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SKILLFACTORY\SF\dataSF\finalproject\data\"/>
    </mc:Choice>
  </mc:AlternateContent>
  <xr:revisionPtr revIDLastSave="0" documentId="13_ncr:1_{091C824F-70A1-4935-95D2-32C1BB825A82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report" sheetId="2" r:id="rId1"/>
    <sheet name="report2" sheetId="4" r:id="rId2"/>
    <sheet name="report3" sheetId="6" r:id="rId3"/>
    <sheet name="report4" sheetId="7" r:id="rId4"/>
    <sheet name="report5" sheetId="8" r:id="rId5"/>
    <sheet name="Лист2" sheetId="5" r:id="rId6"/>
  </sheets>
  <definedNames>
    <definedName name="_xlnm._FilterDatabase" localSheetId="0" hidden="1">report!$A$1:$L$2618</definedName>
    <definedName name="_xlnm._FilterDatabase" localSheetId="1" hidden="1">report2!$A$1:$K$1771</definedName>
    <definedName name="_xlnm._FilterDatabase" localSheetId="2" hidden="1">report3!$A$1:$H$1720</definedName>
    <definedName name="_xlnm._FilterDatabase" localSheetId="3" hidden="1">report4!$A$1:$I$1771</definedName>
    <definedName name="_xlnm._FilterDatabase" localSheetId="4" hidden="1">report5!$A$1:$I$1771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9" roundtripDataSignature="AMtx7mh6qUJactJx2HZQf5YeegkgIjhUxw=="/>
    </ext>
  </extLst>
</workbook>
</file>

<file path=xl/calcChain.xml><?xml version="1.0" encoding="utf-8"?>
<calcChain xmlns="http://schemas.openxmlformats.org/spreadsheetml/2006/main">
  <c r="E3" i="8" l="1"/>
  <c r="F3" i="8"/>
  <c r="H3" i="8" s="1"/>
  <c r="G3" i="8"/>
  <c r="E4" i="8"/>
  <c r="F4" i="8"/>
  <c r="H4" i="8" s="1"/>
  <c r="G4" i="8"/>
  <c r="E5" i="8"/>
  <c r="F5" i="8"/>
  <c r="H5" i="8" s="1"/>
  <c r="G5" i="8"/>
  <c r="E6" i="8"/>
  <c r="F6" i="8"/>
  <c r="H6" i="8" s="1"/>
  <c r="G6" i="8"/>
  <c r="E7" i="8"/>
  <c r="F7" i="8"/>
  <c r="H7" i="8" s="1"/>
  <c r="G7" i="8"/>
  <c r="E8" i="8"/>
  <c r="F8" i="8"/>
  <c r="H8" i="8" s="1"/>
  <c r="G8" i="8"/>
  <c r="E9" i="8"/>
  <c r="F9" i="8"/>
  <c r="H9" i="8" s="1"/>
  <c r="G9" i="8"/>
  <c r="E10" i="8"/>
  <c r="F10" i="8"/>
  <c r="H10" i="8" s="1"/>
  <c r="G10" i="8"/>
  <c r="E11" i="8"/>
  <c r="F11" i="8"/>
  <c r="H11" i="8" s="1"/>
  <c r="G11" i="8"/>
  <c r="E12" i="8"/>
  <c r="F12" i="8"/>
  <c r="G12" i="8"/>
  <c r="E13" i="8"/>
  <c r="F13" i="8"/>
  <c r="H13" i="8" s="1"/>
  <c r="G13" i="8"/>
  <c r="E14" i="8"/>
  <c r="F14" i="8"/>
  <c r="H14" i="8" s="1"/>
  <c r="G14" i="8"/>
  <c r="E15" i="8"/>
  <c r="F15" i="8"/>
  <c r="H15" i="8" s="1"/>
  <c r="G15" i="8"/>
  <c r="E16" i="8"/>
  <c r="F16" i="8"/>
  <c r="H16" i="8" s="1"/>
  <c r="G16" i="8"/>
  <c r="E17" i="8"/>
  <c r="F17" i="8"/>
  <c r="H17" i="8" s="1"/>
  <c r="G17" i="8"/>
  <c r="E18" i="8"/>
  <c r="F18" i="8"/>
  <c r="H18" i="8" s="1"/>
  <c r="G18" i="8"/>
  <c r="E19" i="8"/>
  <c r="F19" i="8"/>
  <c r="H19" i="8" s="1"/>
  <c r="G19" i="8"/>
  <c r="E20" i="8"/>
  <c r="F20" i="8"/>
  <c r="H20" i="8" s="1"/>
  <c r="G20" i="8"/>
  <c r="E21" i="8"/>
  <c r="F21" i="8"/>
  <c r="H21" i="8" s="1"/>
  <c r="G21" i="8"/>
  <c r="E22" i="8"/>
  <c r="F22" i="8"/>
  <c r="G22" i="8"/>
  <c r="E23" i="8"/>
  <c r="F23" i="8"/>
  <c r="H23" i="8" s="1"/>
  <c r="G23" i="8"/>
  <c r="E24" i="8"/>
  <c r="F24" i="8"/>
  <c r="H24" i="8" s="1"/>
  <c r="G24" i="8"/>
  <c r="E25" i="8"/>
  <c r="F25" i="8"/>
  <c r="G25" i="8"/>
  <c r="E26" i="8"/>
  <c r="F26" i="8"/>
  <c r="H26" i="8" s="1"/>
  <c r="G26" i="8"/>
  <c r="E27" i="8"/>
  <c r="F27" i="8"/>
  <c r="H27" i="8" s="1"/>
  <c r="G27" i="8"/>
  <c r="E28" i="8"/>
  <c r="F28" i="8"/>
  <c r="H28" i="8" s="1"/>
  <c r="G28" i="8"/>
  <c r="E29" i="8"/>
  <c r="F29" i="8"/>
  <c r="H29" i="8" s="1"/>
  <c r="G29" i="8"/>
  <c r="E30" i="8"/>
  <c r="F30" i="8"/>
  <c r="H30" i="8" s="1"/>
  <c r="G30" i="8"/>
  <c r="E31" i="8"/>
  <c r="F31" i="8"/>
  <c r="H31" i="8" s="1"/>
  <c r="G31" i="8"/>
  <c r="E32" i="8"/>
  <c r="F32" i="8"/>
  <c r="H32" i="8" s="1"/>
  <c r="G32" i="8"/>
  <c r="E33" i="8"/>
  <c r="F33" i="8"/>
  <c r="H33" i="8" s="1"/>
  <c r="G33" i="8"/>
  <c r="E34" i="8"/>
  <c r="F34" i="8"/>
  <c r="H34" i="8" s="1"/>
  <c r="G34" i="8"/>
  <c r="E35" i="8"/>
  <c r="F35" i="8"/>
  <c r="H35" i="8" s="1"/>
  <c r="G35" i="8"/>
  <c r="E36" i="8"/>
  <c r="F36" i="8"/>
  <c r="H36" i="8" s="1"/>
  <c r="G36" i="8"/>
  <c r="E37" i="8"/>
  <c r="F37" i="8"/>
  <c r="H37" i="8" s="1"/>
  <c r="G37" i="8"/>
  <c r="E38" i="8"/>
  <c r="F38" i="8"/>
  <c r="H38" i="8" s="1"/>
  <c r="G38" i="8"/>
  <c r="E39" i="8"/>
  <c r="F39" i="8"/>
  <c r="H39" i="8" s="1"/>
  <c r="G39" i="8"/>
  <c r="E40" i="8"/>
  <c r="F40" i="8"/>
  <c r="H40" i="8" s="1"/>
  <c r="G40" i="8"/>
  <c r="E41" i="8"/>
  <c r="F41" i="8"/>
  <c r="H41" i="8" s="1"/>
  <c r="G41" i="8"/>
  <c r="E42" i="8"/>
  <c r="F42" i="8"/>
  <c r="H42" i="8" s="1"/>
  <c r="G42" i="8"/>
  <c r="E43" i="8"/>
  <c r="F43" i="8"/>
  <c r="H43" i="8" s="1"/>
  <c r="G43" i="8"/>
  <c r="E44" i="8"/>
  <c r="F44" i="8"/>
  <c r="G44" i="8"/>
  <c r="E45" i="8"/>
  <c r="F45" i="8"/>
  <c r="H45" i="8" s="1"/>
  <c r="G45" i="8"/>
  <c r="E46" i="8"/>
  <c r="F46" i="8"/>
  <c r="H46" i="8" s="1"/>
  <c r="G46" i="8"/>
  <c r="E47" i="8"/>
  <c r="F47" i="8"/>
  <c r="H47" i="8" s="1"/>
  <c r="G47" i="8"/>
  <c r="E48" i="8"/>
  <c r="F48" i="8"/>
  <c r="H48" i="8" s="1"/>
  <c r="G48" i="8"/>
  <c r="E49" i="8"/>
  <c r="F49" i="8"/>
  <c r="H49" i="8" s="1"/>
  <c r="G49" i="8"/>
  <c r="E50" i="8"/>
  <c r="F50" i="8"/>
  <c r="G50" i="8"/>
  <c r="E51" i="8"/>
  <c r="F51" i="8"/>
  <c r="H51" i="8" s="1"/>
  <c r="G51" i="8"/>
  <c r="E52" i="8"/>
  <c r="F52" i="8"/>
  <c r="H52" i="8" s="1"/>
  <c r="G52" i="8"/>
  <c r="E53" i="8"/>
  <c r="F53" i="8"/>
  <c r="H53" i="8" s="1"/>
  <c r="G53" i="8"/>
  <c r="E54" i="8"/>
  <c r="F54" i="8"/>
  <c r="H54" i="8" s="1"/>
  <c r="G54" i="8"/>
  <c r="E55" i="8"/>
  <c r="F55" i="8"/>
  <c r="G55" i="8"/>
  <c r="E56" i="8"/>
  <c r="F56" i="8"/>
  <c r="H56" i="8" s="1"/>
  <c r="G56" i="8"/>
  <c r="E57" i="8"/>
  <c r="F57" i="8"/>
  <c r="H57" i="8" s="1"/>
  <c r="G57" i="8"/>
  <c r="E58" i="8"/>
  <c r="F58" i="8"/>
  <c r="H58" i="8" s="1"/>
  <c r="G58" i="8"/>
  <c r="E59" i="8"/>
  <c r="F59" i="8"/>
  <c r="H59" i="8" s="1"/>
  <c r="G59" i="8"/>
  <c r="E60" i="8"/>
  <c r="F60" i="8"/>
  <c r="H60" i="8" s="1"/>
  <c r="G60" i="8"/>
  <c r="E61" i="8"/>
  <c r="F61" i="8"/>
  <c r="H61" i="8" s="1"/>
  <c r="G61" i="8"/>
  <c r="E62" i="8"/>
  <c r="F62" i="8"/>
  <c r="G62" i="8"/>
  <c r="E63" i="8"/>
  <c r="F63" i="8"/>
  <c r="H63" i="8" s="1"/>
  <c r="G63" i="8"/>
  <c r="E64" i="8"/>
  <c r="F64" i="8"/>
  <c r="H64" i="8" s="1"/>
  <c r="G64" i="8"/>
  <c r="E65" i="8"/>
  <c r="F65" i="8"/>
  <c r="H65" i="8" s="1"/>
  <c r="G65" i="8"/>
  <c r="E66" i="8"/>
  <c r="F66" i="8"/>
  <c r="H66" i="8" s="1"/>
  <c r="G66" i="8"/>
  <c r="E67" i="8"/>
  <c r="F67" i="8"/>
  <c r="H67" i="8" s="1"/>
  <c r="G67" i="8"/>
  <c r="E68" i="8"/>
  <c r="F68" i="8"/>
  <c r="H68" i="8" s="1"/>
  <c r="G68" i="8"/>
  <c r="E69" i="8"/>
  <c r="F69" i="8"/>
  <c r="G69" i="8"/>
  <c r="E70" i="8"/>
  <c r="F70" i="8"/>
  <c r="H70" i="8" s="1"/>
  <c r="G70" i="8"/>
  <c r="E71" i="8"/>
  <c r="F71" i="8"/>
  <c r="H71" i="8" s="1"/>
  <c r="G71" i="8"/>
  <c r="E72" i="8"/>
  <c r="F72" i="8"/>
  <c r="H72" i="8" s="1"/>
  <c r="G72" i="8"/>
  <c r="E73" i="8"/>
  <c r="F73" i="8"/>
  <c r="H73" i="8" s="1"/>
  <c r="G73" i="8"/>
  <c r="E74" i="8"/>
  <c r="F74" i="8"/>
  <c r="G74" i="8"/>
  <c r="E75" i="8"/>
  <c r="F75" i="8"/>
  <c r="H75" i="8" s="1"/>
  <c r="G75" i="8"/>
  <c r="E76" i="8"/>
  <c r="F76" i="8"/>
  <c r="H76" i="8" s="1"/>
  <c r="G76" i="8"/>
  <c r="E77" i="8"/>
  <c r="F77" i="8"/>
  <c r="H77" i="8" s="1"/>
  <c r="G77" i="8"/>
  <c r="E78" i="8"/>
  <c r="F78" i="8"/>
  <c r="H78" i="8" s="1"/>
  <c r="G78" i="8"/>
  <c r="E79" i="8"/>
  <c r="F79" i="8"/>
  <c r="H79" i="8" s="1"/>
  <c r="G79" i="8"/>
  <c r="E80" i="8"/>
  <c r="F80" i="8"/>
  <c r="H80" i="8" s="1"/>
  <c r="G80" i="8"/>
  <c r="E81" i="8"/>
  <c r="F81" i="8"/>
  <c r="H81" i="8" s="1"/>
  <c r="G81" i="8"/>
  <c r="E82" i="8"/>
  <c r="F82" i="8"/>
  <c r="H82" i="8" s="1"/>
  <c r="G82" i="8"/>
  <c r="E83" i="8"/>
  <c r="F83" i="8"/>
  <c r="H83" i="8" s="1"/>
  <c r="G83" i="8"/>
  <c r="E84" i="8"/>
  <c r="F84" i="8"/>
  <c r="H84" i="8" s="1"/>
  <c r="G84" i="8"/>
  <c r="E85" i="8"/>
  <c r="F85" i="8"/>
  <c r="H85" i="8" s="1"/>
  <c r="G85" i="8"/>
  <c r="E86" i="8"/>
  <c r="F86" i="8"/>
  <c r="H86" i="8" s="1"/>
  <c r="G86" i="8"/>
  <c r="E87" i="8"/>
  <c r="F87" i="8"/>
  <c r="H87" i="8" s="1"/>
  <c r="G87" i="8"/>
  <c r="E88" i="8"/>
  <c r="F88" i="8"/>
  <c r="H88" i="8" s="1"/>
  <c r="G88" i="8"/>
  <c r="E89" i="8"/>
  <c r="F89" i="8"/>
  <c r="H89" i="8" s="1"/>
  <c r="G89" i="8"/>
  <c r="E90" i="8"/>
  <c r="F90" i="8"/>
  <c r="H90" i="8" s="1"/>
  <c r="G90" i="8"/>
  <c r="E91" i="8"/>
  <c r="F91" i="8"/>
  <c r="H91" i="8" s="1"/>
  <c r="G91" i="8"/>
  <c r="E92" i="8"/>
  <c r="F92" i="8"/>
  <c r="H92" i="8" s="1"/>
  <c r="G92" i="8"/>
  <c r="E93" i="8"/>
  <c r="F93" i="8"/>
  <c r="H93" i="8" s="1"/>
  <c r="G93" i="8"/>
  <c r="E94" i="8"/>
  <c r="F94" i="8"/>
  <c r="G94" i="8"/>
  <c r="E95" i="8"/>
  <c r="F95" i="8"/>
  <c r="G95" i="8"/>
  <c r="E96" i="8"/>
  <c r="F96" i="8"/>
  <c r="H96" i="8" s="1"/>
  <c r="G96" i="8"/>
  <c r="E97" i="8"/>
  <c r="F97" i="8"/>
  <c r="H97" i="8" s="1"/>
  <c r="G97" i="8"/>
  <c r="E98" i="8"/>
  <c r="F98" i="8"/>
  <c r="H98" i="8" s="1"/>
  <c r="G98" i="8"/>
  <c r="E99" i="8"/>
  <c r="F99" i="8"/>
  <c r="H99" i="8" s="1"/>
  <c r="G99" i="8"/>
  <c r="E100" i="8"/>
  <c r="F100" i="8"/>
  <c r="G100" i="8"/>
  <c r="E101" i="8"/>
  <c r="F101" i="8"/>
  <c r="H101" i="8" s="1"/>
  <c r="G101" i="8"/>
  <c r="E102" i="8"/>
  <c r="F102" i="8"/>
  <c r="G102" i="8"/>
  <c r="E103" i="8"/>
  <c r="F103" i="8"/>
  <c r="H103" i="8" s="1"/>
  <c r="G103" i="8"/>
  <c r="E104" i="8"/>
  <c r="F104" i="8"/>
  <c r="H104" i="8" s="1"/>
  <c r="G104" i="8"/>
  <c r="E105" i="8"/>
  <c r="F105" i="8"/>
  <c r="H105" i="8" s="1"/>
  <c r="G105" i="8"/>
  <c r="E106" i="8"/>
  <c r="F106" i="8"/>
  <c r="H106" i="8" s="1"/>
  <c r="G106" i="8"/>
  <c r="E107" i="8"/>
  <c r="F107" i="8"/>
  <c r="H107" i="8" s="1"/>
  <c r="G107" i="8"/>
  <c r="E108" i="8"/>
  <c r="F108" i="8"/>
  <c r="G108" i="8"/>
  <c r="E109" i="8"/>
  <c r="F109" i="8"/>
  <c r="G109" i="8"/>
  <c r="E110" i="8"/>
  <c r="F110" i="8"/>
  <c r="G110" i="8"/>
  <c r="E111" i="8"/>
  <c r="F111" i="8"/>
  <c r="H111" i="8" s="1"/>
  <c r="G111" i="8"/>
  <c r="E112" i="8"/>
  <c r="F112" i="8"/>
  <c r="H112" i="8" s="1"/>
  <c r="G112" i="8"/>
  <c r="E113" i="8"/>
  <c r="F113" i="8"/>
  <c r="G113" i="8"/>
  <c r="E114" i="8"/>
  <c r="F114" i="8"/>
  <c r="H114" i="8" s="1"/>
  <c r="G114" i="8"/>
  <c r="E115" i="8"/>
  <c r="F115" i="8"/>
  <c r="H115" i="8" s="1"/>
  <c r="G115" i="8"/>
  <c r="E116" i="8"/>
  <c r="F116" i="8"/>
  <c r="G116" i="8"/>
  <c r="E117" i="8"/>
  <c r="F117" i="8"/>
  <c r="H117" i="8" s="1"/>
  <c r="G117" i="8"/>
  <c r="E118" i="8"/>
  <c r="F118" i="8"/>
  <c r="H118" i="8" s="1"/>
  <c r="G118" i="8"/>
  <c r="E119" i="8"/>
  <c r="F119" i="8"/>
  <c r="G119" i="8"/>
  <c r="E120" i="8"/>
  <c r="F120" i="8"/>
  <c r="H120" i="8" s="1"/>
  <c r="G120" i="8"/>
  <c r="E121" i="8"/>
  <c r="F121" i="8"/>
  <c r="H121" i="8" s="1"/>
  <c r="G121" i="8"/>
  <c r="E122" i="8"/>
  <c r="F122" i="8"/>
  <c r="H122" i="8" s="1"/>
  <c r="G122" i="8"/>
  <c r="E123" i="8"/>
  <c r="F123" i="8"/>
  <c r="H123" i="8" s="1"/>
  <c r="G123" i="8"/>
  <c r="E124" i="8"/>
  <c r="F124" i="8"/>
  <c r="H124" i="8" s="1"/>
  <c r="G124" i="8"/>
  <c r="E125" i="8"/>
  <c r="F125" i="8"/>
  <c r="H125" i="8" s="1"/>
  <c r="G125" i="8"/>
  <c r="E126" i="8"/>
  <c r="F126" i="8"/>
  <c r="H126" i="8" s="1"/>
  <c r="G126" i="8"/>
  <c r="E127" i="8"/>
  <c r="F127" i="8"/>
  <c r="H127" i="8" s="1"/>
  <c r="G127" i="8"/>
  <c r="E128" i="8"/>
  <c r="F128" i="8"/>
  <c r="H128" i="8" s="1"/>
  <c r="G128" i="8"/>
  <c r="E129" i="8"/>
  <c r="F129" i="8"/>
  <c r="H129" i="8" s="1"/>
  <c r="G129" i="8"/>
  <c r="E130" i="8"/>
  <c r="F130" i="8"/>
  <c r="H130" i="8" s="1"/>
  <c r="G130" i="8"/>
  <c r="E131" i="8"/>
  <c r="F131" i="8"/>
  <c r="H131" i="8" s="1"/>
  <c r="G131" i="8"/>
  <c r="E132" i="8"/>
  <c r="F132" i="8"/>
  <c r="H132" i="8" s="1"/>
  <c r="G132" i="8"/>
  <c r="E133" i="8"/>
  <c r="F133" i="8"/>
  <c r="H133" i="8" s="1"/>
  <c r="G133" i="8"/>
  <c r="E134" i="8"/>
  <c r="F134" i="8"/>
  <c r="H134" i="8" s="1"/>
  <c r="G134" i="8"/>
  <c r="E135" i="8"/>
  <c r="F135" i="8"/>
  <c r="H135" i="8" s="1"/>
  <c r="G135" i="8"/>
  <c r="E136" i="8"/>
  <c r="F136" i="8"/>
  <c r="H136" i="8" s="1"/>
  <c r="G136" i="8"/>
  <c r="E137" i="8"/>
  <c r="F137" i="8"/>
  <c r="G137" i="8"/>
  <c r="E138" i="8"/>
  <c r="F138" i="8"/>
  <c r="H138" i="8" s="1"/>
  <c r="G138" i="8"/>
  <c r="E139" i="8"/>
  <c r="F139" i="8"/>
  <c r="H139" i="8" s="1"/>
  <c r="G139" i="8"/>
  <c r="E140" i="8"/>
  <c r="F140" i="8"/>
  <c r="H140" i="8" s="1"/>
  <c r="G140" i="8"/>
  <c r="E141" i="8"/>
  <c r="F141" i="8"/>
  <c r="H141" i="8" s="1"/>
  <c r="G141" i="8"/>
  <c r="E142" i="8"/>
  <c r="F142" i="8"/>
  <c r="H142" i="8" s="1"/>
  <c r="G142" i="8"/>
  <c r="E143" i="8"/>
  <c r="F143" i="8"/>
  <c r="H143" i="8" s="1"/>
  <c r="G143" i="8"/>
  <c r="E144" i="8"/>
  <c r="F144" i="8"/>
  <c r="H144" i="8" s="1"/>
  <c r="G144" i="8"/>
  <c r="E145" i="8"/>
  <c r="F145" i="8"/>
  <c r="H145" i="8" s="1"/>
  <c r="G145" i="8"/>
  <c r="E146" i="8"/>
  <c r="F146" i="8"/>
  <c r="H146" i="8" s="1"/>
  <c r="G146" i="8"/>
  <c r="E147" i="8"/>
  <c r="F147" i="8"/>
  <c r="H147" i="8" s="1"/>
  <c r="G147" i="8"/>
  <c r="E148" i="8"/>
  <c r="F148" i="8"/>
  <c r="H148" i="8" s="1"/>
  <c r="G148" i="8"/>
  <c r="E149" i="8"/>
  <c r="F149" i="8"/>
  <c r="H149" i="8" s="1"/>
  <c r="G149" i="8"/>
  <c r="E150" i="8"/>
  <c r="F150" i="8"/>
  <c r="H150" i="8" s="1"/>
  <c r="G150" i="8"/>
  <c r="E151" i="8"/>
  <c r="F151" i="8"/>
  <c r="H151" i="8" s="1"/>
  <c r="G151" i="8"/>
  <c r="E152" i="8"/>
  <c r="F152" i="8"/>
  <c r="H152" i="8" s="1"/>
  <c r="G152" i="8"/>
  <c r="E153" i="8"/>
  <c r="F153" i="8"/>
  <c r="H153" i="8" s="1"/>
  <c r="G153" i="8"/>
  <c r="E154" i="8"/>
  <c r="F154" i="8"/>
  <c r="H154" i="8" s="1"/>
  <c r="G154" i="8"/>
  <c r="E155" i="8"/>
  <c r="F155" i="8"/>
  <c r="G155" i="8"/>
  <c r="E156" i="8"/>
  <c r="F156" i="8"/>
  <c r="H156" i="8" s="1"/>
  <c r="G156" i="8"/>
  <c r="E157" i="8"/>
  <c r="F157" i="8"/>
  <c r="H157" i="8" s="1"/>
  <c r="G157" i="8"/>
  <c r="E158" i="8"/>
  <c r="F158" i="8"/>
  <c r="H158" i="8" s="1"/>
  <c r="G158" i="8"/>
  <c r="E159" i="8"/>
  <c r="F159" i="8"/>
  <c r="G159" i="8"/>
  <c r="E160" i="8"/>
  <c r="F160" i="8"/>
  <c r="H160" i="8" s="1"/>
  <c r="G160" i="8"/>
  <c r="E161" i="8"/>
  <c r="F161" i="8"/>
  <c r="H161" i="8" s="1"/>
  <c r="G161" i="8"/>
  <c r="E162" i="8"/>
  <c r="F162" i="8"/>
  <c r="H162" i="8" s="1"/>
  <c r="G162" i="8"/>
  <c r="E163" i="8"/>
  <c r="F163" i="8"/>
  <c r="H163" i="8" s="1"/>
  <c r="G163" i="8"/>
  <c r="E164" i="8"/>
  <c r="F164" i="8"/>
  <c r="H164" i="8" s="1"/>
  <c r="G164" i="8"/>
  <c r="E165" i="8"/>
  <c r="F165" i="8"/>
  <c r="H165" i="8" s="1"/>
  <c r="G165" i="8"/>
  <c r="E166" i="8"/>
  <c r="F166" i="8"/>
  <c r="G166" i="8"/>
  <c r="E167" i="8"/>
  <c r="F167" i="8"/>
  <c r="H167" i="8" s="1"/>
  <c r="G167" i="8"/>
  <c r="E168" i="8"/>
  <c r="F168" i="8"/>
  <c r="H168" i="8" s="1"/>
  <c r="G168" i="8"/>
  <c r="E169" i="8"/>
  <c r="F169" i="8"/>
  <c r="H169" i="8" s="1"/>
  <c r="G169" i="8"/>
  <c r="E170" i="8"/>
  <c r="F170" i="8"/>
  <c r="H170" i="8" s="1"/>
  <c r="G170" i="8"/>
  <c r="E171" i="8"/>
  <c r="F171" i="8"/>
  <c r="H171" i="8" s="1"/>
  <c r="G171" i="8"/>
  <c r="E172" i="8"/>
  <c r="F172" i="8"/>
  <c r="G172" i="8"/>
  <c r="E173" i="8"/>
  <c r="F173" i="8"/>
  <c r="G173" i="8"/>
  <c r="E174" i="8"/>
  <c r="F174" i="8"/>
  <c r="H174" i="8" s="1"/>
  <c r="G174" i="8"/>
  <c r="E175" i="8"/>
  <c r="F175" i="8"/>
  <c r="H175" i="8" s="1"/>
  <c r="G175" i="8"/>
  <c r="E176" i="8"/>
  <c r="F176" i="8"/>
  <c r="H176" i="8" s="1"/>
  <c r="G176" i="8"/>
  <c r="E177" i="8"/>
  <c r="F177" i="8"/>
  <c r="G177" i="8"/>
  <c r="E178" i="8"/>
  <c r="F178" i="8"/>
  <c r="G178" i="8"/>
  <c r="E179" i="8"/>
  <c r="F179" i="8"/>
  <c r="H179" i="8" s="1"/>
  <c r="G179" i="8"/>
  <c r="E180" i="8"/>
  <c r="F180" i="8"/>
  <c r="H180" i="8" s="1"/>
  <c r="G180" i="8"/>
  <c r="E181" i="8"/>
  <c r="F181" i="8"/>
  <c r="H181" i="8" s="1"/>
  <c r="G181" i="8"/>
  <c r="E182" i="8"/>
  <c r="F182" i="8"/>
  <c r="H182" i="8" s="1"/>
  <c r="G182" i="8"/>
  <c r="E183" i="8"/>
  <c r="F183" i="8"/>
  <c r="H183" i="8" s="1"/>
  <c r="G183" i="8"/>
  <c r="E184" i="8"/>
  <c r="F184" i="8"/>
  <c r="H184" i="8" s="1"/>
  <c r="G184" i="8"/>
  <c r="E185" i="8"/>
  <c r="F185" i="8"/>
  <c r="H185" i="8" s="1"/>
  <c r="G185" i="8"/>
  <c r="E186" i="8"/>
  <c r="F186" i="8"/>
  <c r="H186" i="8" s="1"/>
  <c r="G186" i="8"/>
  <c r="E187" i="8"/>
  <c r="F187" i="8"/>
  <c r="H187" i="8" s="1"/>
  <c r="G187" i="8"/>
  <c r="E188" i="8"/>
  <c r="F188" i="8"/>
  <c r="H188" i="8" s="1"/>
  <c r="G188" i="8"/>
  <c r="E189" i="8"/>
  <c r="F189" i="8"/>
  <c r="H189" i="8" s="1"/>
  <c r="G189" i="8"/>
  <c r="E190" i="8"/>
  <c r="F190" i="8"/>
  <c r="H190" i="8" s="1"/>
  <c r="G190" i="8"/>
  <c r="E191" i="8"/>
  <c r="F191" i="8"/>
  <c r="H191" i="8" s="1"/>
  <c r="G191" i="8"/>
  <c r="E192" i="8"/>
  <c r="F192" i="8"/>
  <c r="G192" i="8"/>
  <c r="E193" i="8"/>
  <c r="F193" i="8"/>
  <c r="H193" i="8" s="1"/>
  <c r="G193" i="8"/>
  <c r="E194" i="8"/>
  <c r="F194" i="8"/>
  <c r="H194" i="8" s="1"/>
  <c r="G194" i="8"/>
  <c r="E195" i="8"/>
  <c r="F195" i="8"/>
  <c r="G195" i="8"/>
  <c r="E196" i="8"/>
  <c r="F196" i="8"/>
  <c r="H196" i="8" s="1"/>
  <c r="G196" i="8"/>
  <c r="E197" i="8"/>
  <c r="F197" i="8"/>
  <c r="H197" i="8" s="1"/>
  <c r="G197" i="8"/>
  <c r="E198" i="8"/>
  <c r="F198" i="8"/>
  <c r="H198" i="8" s="1"/>
  <c r="G198" i="8"/>
  <c r="E199" i="8"/>
  <c r="F199" i="8"/>
  <c r="H199" i="8" s="1"/>
  <c r="G199" i="8"/>
  <c r="E200" i="8"/>
  <c r="F200" i="8"/>
  <c r="H200" i="8" s="1"/>
  <c r="G200" i="8"/>
  <c r="E201" i="8"/>
  <c r="F201" i="8"/>
  <c r="H201" i="8" s="1"/>
  <c r="G201" i="8"/>
  <c r="E202" i="8"/>
  <c r="F202" i="8"/>
  <c r="H202" i="8" s="1"/>
  <c r="G202" i="8"/>
  <c r="E203" i="8"/>
  <c r="F203" i="8"/>
  <c r="H203" i="8" s="1"/>
  <c r="G203" i="8"/>
  <c r="E204" i="8"/>
  <c r="F204" i="8"/>
  <c r="H204" i="8" s="1"/>
  <c r="G204" i="8"/>
  <c r="E205" i="8"/>
  <c r="F205" i="8"/>
  <c r="H205" i="8" s="1"/>
  <c r="G205" i="8"/>
  <c r="E206" i="8"/>
  <c r="F206" i="8"/>
  <c r="H206" i="8" s="1"/>
  <c r="G206" i="8"/>
  <c r="E207" i="8"/>
  <c r="F207" i="8"/>
  <c r="H207" i="8" s="1"/>
  <c r="G207" i="8"/>
  <c r="E208" i="8"/>
  <c r="F208" i="8"/>
  <c r="H208" i="8" s="1"/>
  <c r="G208" i="8"/>
  <c r="E209" i="8"/>
  <c r="F209" i="8"/>
  <c r="H209" i="8" s="1"/>
  <c r="G209" i="8"/>
  <c r="E210" i="8"/>
  <c r="F210" i="8"/>
  <c r="H210" i="8" s="1"/>
  <c r="G210" i="8"/>
  <c r="E211" i="8"/>
  <c r="F211" i="8"/>
  <c r="H211" i="8" s="1"/>
  <c r="G211" i="8"/>
  <c r="E212" i="8"/>
  <c r="F212" i="8"/>
  <c r="H212" i="8" s="1"/>
  <c r="G212" i="8"/>
  <c r="E213" i="8"/>
  <c r="F213" i="8"/>
  <c r="H213" i="8" s="1"/>
  <c r="G213" i="8"/>
  <c r="E214" i="8"/>
  <c r="F214" i="8"/>
  <c r="G214" i="8"/>
  <c r="E215" i="8"/>
  <c r="F215" i="8"/>
  <c r="H215" i="8" s="1"/>
  <c r="G215" i="8"/>
  <c r="E216" i="8"/>
  <c r="F216" i="8"/>
  <c r="H216" i="8" s="1"/>
  <c r="G216" i="8"/>
  <c r="E217" i="8"/>
  <c r="F217" i="8"/>
  <c r="H217" i="8" s="1"/>
  <c r="G217" i="8"/>
  <c r="E218" i="8"/>
  <c r="F218" i="8"/>
  <c r="H218" i="8" s="1"/>
  <c r="G218" i="8"/>
  <c r="E219" i="8"/>
  <c r="F219" i="8"/>
  <c r="G219" i="8"/>
  <c r="E220" i="8"/>
  <c r="F220" i="8"/>
  <c r="H220" i="8" s="1"/>
  <c r="G220" i="8"/>
  <c r="E221" i="8"/>
  <c r="F221" i="8"/>
  <c r="H221" i="8" s="1"/>
  <c r="G221" i="8"/>
  <c r="E222" i="8"/>
  <c r="F222" i="8"/>
  <c r="H222" i="8" s="1"/>
  <c r="G222" i="8"/>
  <c r="E223" i="8"/>
  <c r="F223" i="8"/>
  <c r="H223" i="8" s="1"/>
  <c r="G223" i="8"/>
  <c r="E224" i="8"/>
  <c r="F224" i="8"/>
  <c r="H224" i="8" s="1"/>
  <c r="G224" i="8"/>
  <c r="E225" i="8"/>
  <c r="F225" i="8"/>
  <c r="H225" i="8" s="1"/>
  <c r="G225" i="8"/>
  <c r="E226" i="8"/>
  <c r="F226" i="8"/>
  <c r="H226" i="8" s="1"/>
  <c r="G226" i="8"/>
  <c r="E227" i="8"/>
  <c r="F227" i="8"/>
  <c r="H227" i="8" s="1"/>
  <c r="G227" i="8"/>
  <c r="E228" i="8"/>
  <c r="F228" i="8"/>
  <c r="H228" i="8" s="1"/>
  <c r="G228" i="8"/>
  <c r="E229" i="8"/>
  <c r="F229" i="8"/>
  <c r="G229" i="8"/>
  <c r="E230" i="8"/>
  <c r="F230" i="8"/>
  <c r="G230" i="8"/>
  <c r="E231" i="8"/>
  <c r="F231" i="8"/>
  <c r="H231" i="8" s="1"/>
  <c r="G231" i="8"/>
  <c r="E232" i="8"/>
  <c r="F232" i="8"/>
  <c r="H232" i="8" s="1"/>
  <c r="G232" i="8"/>
  <c r="E233" i="8"/>
  <c r="F233" i="8"/>
  <c r="G233" i="8"/>
  <c r="E234" i="8"/>
  <c r="F234" i="8"/>
  <c r="H234" i="8" s="1"/>
  <c r="G234" i="8"/>
  <c r="E235" i="8"/>
  <c r="F235" i="8"/>
  <c r="H235" i="8" s="1"/>
  <c r="G235" i="8"/>
  <c r="E236" i="8"/>
  <c r="F236" i="8"/>
  <c r="G236" i="8"/>
  <c r="E237" i="8"/>
  <c r="F237" i="8"/>
  <c r="H237" i="8" s="1"/>
  <c r="G237" i="8"/>
  <c r="E238" i="8"/>
  <c r="F238" i="8"/>
  <c r="H238" i="8" s="1"/>
  <c r="G238" i="8"/>
  <c r="E239" i="8"/>
  <c r="F239" i="8"/>
  <c r="H239" i="8" s="1"/>
  <c r="G239" i="8"/>
  <c r="E240" i="8"/>
  <c r="F240" i="8"/>
  <c r="G240" i="8"/>
  <c r="E241" i="8"/>
  <c r="F241" i="8"/>
  <c r="H241" i="8" s="1"/>
  <c r="G241" i="8"/>
  <c r="E242" i="8"/>
  <c r="F242" i="8"/>
  <c r="H242" i="8" s="1"/>
  <c r="G242" i="8"/>
  <c r="E243" i="8"/>
  <c r="F243" i="8"/>
  <c r="H243" i="8" s="1"/>
  <c r="G243" i="8"/>
  <c r="E244" i="8"/>
  <c r="F244" i="8"/>
  <c r="H244" i="8" s="1"/>
  <c r="G244" i="8"/>
  <c r="E245" i="8"/>
  <c r="F245" i="8"/>
  <c r="H245" i="8" s="1"/>
  <c r="G245" i="8"/>
  <c r="E246" i="8"/>
  <c r="F246" i="8"/>
  <c r="H246" i="8" s="1"/>
  <c r="G246" i="8"/>
  <c r="E247" i="8"/>
  <c r="F247" i="8"/>
  <c r="H247" i="8" s="1"/>
  <c r="G247" i="8"/>
  <c r="E248" i="8"/>
  <c r="F248" i="8"/>
  <c r="H248" i="8" s="1"/>
  <c r="G248" i="8"/>
  <c r="E249" i="8"/>
  <c r="F249" i="8"/>
  <c r="H249" i="8" s="1"/>
  <c r="G249" i="8"/>
  <c r="E250" i="8"/>
  <c r="F250" i="8"/>
  <c r="G250" i="8"/>
  <c r="E251" i="8"/>
  <c r="F251" i="8"/>
  <c r="G251" i="8"/>
  <c r="E252" i="8"/>
  <c r="F252" i="8"/>
  <c r="H252" i="8" s="1"/>
  <c r="G252" i="8"/>
  <c r="E253" i="8"/>
  <c r="F253" i="8"/>
  <c r="H253" i="8" s="1"/>
  <c r="G253" i="8"/>
  <c r="E254" i="8"/>
  <c r="F254" i="8"/>
  <c r="H254" i="8" s="1"/>
  <c r="G254" i="8"/>
  <c r="E255" i="8"/>
  <c r="F255" i="8"/>
  <c r="H255" i="8" s="1"/>
  <c r="G255" i="8"/>
  <c r="E256" i="8"/>
  <c r="F256" i="8"/>
  <c r="H256" i="8" s="1"/>
  <c r="G256" i="8"/>
  <c r="E257" i="8"/>
  <c r="F257" i="8"/>
  <c r="H257" i="8" s="1"/>
  <c r="G257" i="8"/>
  <c r="E258" i="8"/>
  <c r="F258" i="8"/>
  <c r="H258" i="8" s="1"/>
  <c r="G258" i="8"/>
  <c r="E259" i="8"/>
  <c r="F259" i="8"/>
  <c r="H259" i="8" s="1"/>
  <c r="G259" i="8"/>
  <c r="E260" i="8"/>
  <c r="F260" i="8"/>
  <c r="G260" i="8"/>
  <c r="E261" i="8"/>
  <c r="F261" i="8"/>
  <c r="G261" i="8"/>
  <c r="E262" i="8"/>
  <c r="F262" i="8"/>
  <c r="H262" i="8" s="1"/>
  <c r="G262" i="8"/>
  <c r="E263" i="8"/>
  <c r="F263" i="8"/>
  <c r="H263" i="8" s="1"/>
  <c r="G263" i="8"/>
  <c r="E264" i="8"/>
  <c r="F264" i="8"/>
  <c r="H264" i="8" s="1"/>
  <c r="G264" i="8"/>
  <c r="E265" i="8"/>
  <c r="F265" i="8"/>
  <c r="H265" i="8" s="1"/>
  <c r="G265" i="8"/>
  <c r="E266" i="8"/>
  <c r="F266" i="8"/>
  <c r="H266" i="8" s="1"/>
  <c r="G266" i="8"/>
  <c r="E267" i="8"/>
  <c r="F267" i="8"/>
  <c r="H267" i="8" s="1"/>
  <c r="G267" i="8"/>
  <c r="E268" i="8"/>
  <c r="F268" i="8"/>
  <c r="H268" i="8" s="1"/>
  <c r="G268" i="8"/>
  <c r="E269" i="8"/>
  <c r="F269" i="8"/>
  <c r="H269" i="8" s="1"/>
  <c r="G269" i="8"/>
  <c r="E270" i="8"/>
  <c r="F270" i="8"/>
  <c r="H270" i="8" s="1"/>
  <c r="G270" i="8"/>
  <c r="E271" i="8"/>
  <c r="F271" i="8"/>
  <c r="H271" i="8" s="1"/>
  <c r="G271" i="8"/>
  <c r="E272" i="8"/>
  <c r="F272" i="8"/>
  <c r="H272" i="8" s="1"/>
  <c r="G272" i="8"/>
  <c r="E273" i="8"/>
  <c r="F273" i="8"/>
  <c r="H273" i="8" s="1"/>
  <c r="G273" i="8"/>
  <c r="E274" i="8"/>
  <c r="F274" i="8"/>
  <c r="H274" i="8" s="1"/>
  <c r="G274" i="8"/>
  <c r="E275" i="8"/>
  <c r="F275" i="8"/>
  <c r="H275" i="8" s="1"/>
  <c r="G275" i="8"/>
  <c r="E276" i="8"/>
  <c r="F276" i="8"/>
  <c r="H276" i="8" s="1"/>
  <c r="G276" i="8"/>
  <c r="E277" i="8"/>
  <c r="F277" i="8"/>
  <c r="H277" i="8" s="1"/>
  <c r="G277" i="8"/>
  <c r="E278" i="8"/>
  <c r="F278" i="8"/>
  <c r="G278" i="8"/>
  <c r="E279" i="8"/>
  <c r="F279" i="8"/>
  <c r="G279" i="8"/>
  <c r="E280" i="8"/>
  <c r="F280" i="8"/>
  <c r="H280" i="8" s="1"/>
  <c r="G280" i="8"/>
  <c r="E281" i="8"/>
  <c r="F281" i="8"/>
  <c r="G281" i="8"/>
  <c r="E282" i="8"/>
  <c r="F282" i="8"/>
  <c r="H282" i="8" s="1"/>
  <c r="G282" i="8"/>
  <c r="E283" i="8"/>
  <c r="F283" i="8"/>
  <c r="H283" i="8" s="1"/>
  <c r="G283" i="8"/>
  <c r="E284" i="8"/>
  <c r="F284" i="8"/>
  <c r="H284" i="8" s="1"/>
  <c r="G284" i="8"/>
  <c r="E285" i="8"/>
  <c r="F285" i="8"/>
  <c r="H285" i="8" s="1"/>
  <c r="G285" i="8"/>
  <c r="E286" i="8"/>
  <c r="F286" i="8"/>
  <c r="H286" i="8" s="1"/>
  <c r="G286" i="8"/>
  <c r="E287" i="8"/>
  <c r="F287" i="8"/>
  <c r="H287" i="8" s="1"/>
  <c r="G287" i="8"/>
  <c r="E288" i="8"/>
  <c r="F288" i="8"/>
  <c r="H288" i="8" s="1"/>
  <c r="G288" i="8"/>
  <c r="E289" i="8"/>
  <c r="F289" i="8"/>
  <c r="H289" i="8" s="1"/>
  <c r="G289" i="8"/>
  <c r="E290" i="8"/>
  <c r="F290" i="8"/>
  <c r="H290" i="8" s="1"/>
  <c r="G290" i="8"/>
  <c r="E291" i="8"/>
  <c r="F291" i="8"/>
  <c r="H291" i="8" s="1"/>
  <c r="G291" i="8"/>
  <c r="E292" i="8"/>
  <c r="F292" i="8"/>
  <c r="H292" i="8" s="1"/>
  <c r="G292" i="8"/>
  <c r="E293" i="8"/>
  <c r="F293" i="8"/>
  <c r="H293" i="8" s="1"/>
  <c r="G293" i="8"/>
  <c r="E294" i="8"/>
  <c r="F294" i="8"/>
  <c r="H294" i="8" s="1"/>
  <c r="G294" i="8"/>
  <c r="E295" i="8"/>
  <c r="F295" i="8"/>
  <c r="H295" i="8" s="1"/>
  <c r="G295" i="8"/>
  <c r="E296" i="8"/>
  <c r="F296" i="8"/>
  <c r="H296" i="8" s="1"/>
  <c r="G296" i="8"/>
  <c r="E297" i="8"/>
  <c r="F297" i="8"/>
  <c r="H297" i="8" s="1"/>
  <c r="G297" i="8"/>
  <c r="E298" i="8"/>
  <c r="F298" i="8"/>
  <c r="H298" i="8" s="1"/>
  <c r="G298" i="8"/>
  <c r="E299" i="8"/>
  <c r="F299" i="8"/>
  <c r="H299" i="8" s="1"/>
  <c r="G299" i="8"/>
  <c r="E300" i="8"/>
  <c r="F300" i="8"/>
  <c r="G300" i="8"/>
  <c r="E301" i="8"/>
  <c r="F301" i="8"/>
  <c r="H301" i="8" s="1"/>
  <c r="G301" i="8"/>
  <c r="E302" i="8"/>
  <c r="F302" i="8"/>
  <c r="H302" i="8" s="1"/>
  <c r="G302" i="8"/>
  <c r="E303" i="8"/>
  <c r="F303" i="8"/>
  <c r="H303" i="8" s="1"/>
  <c r="G303" i="8"/>
  <c r="E304" i="8"/>
  <c r="F304" i="8"/>
  <c r="G304" i="8"/>
  <c r="E305" i="8"/>
  <c r="F305" i="8"/>
  <c r="H305" i="8" s="1"/>
  <c r="G305" i="8"/>
  <c r="E306" i="8"/>
  <c r="F306" i="8"/>
  <c r="G306" i="8"/>
  <c r="E307" i="8"/>
  <c r="F307" i="8"/>
  <c r="H307" i="8" s="1"/>
  <c r="G307" i="8"/>
  <c r="E308" i="8"/>
  <c r="F308" i="8"/>
  <c r="H308" i="8" s="1"/>
  <c r="G308" i="8"/>
  <c r="E309" i="8"/>
  <c r="F309" i="8"/>
  <c r="H309" i="8" s="1"/>
  <c r="G309" i="8"/>
  <c r="E310" i="8"/>
  <c r="F310" i="8"/>
  <c r="H310" i="8" s="1"/>
  <c r="G310" i="8"/>
  <c r="E311" i="8"/>
  <c r="F311" i="8"/>
  <c r="H311" i="8" s="1"/>
  <c r="G311" i="8"/>
  <c r="E312" i="8"/>
  <c r="F312" i="8"/>
  <c r="H312" i="8" s="1"/>
  <c r="G312" i="8"/>
  <c r="E313" i="8"/>
  <c r="F313" i="8"/>
  <c r="H313" i="8" s="1"/>
  <c r="G313" i="8"/>
  <c r="E314" i="8"/>
  <c r="F314" i="8"/>
  <c r="H314" i="8" s="1"/>
  <c r="G314" i="8"/>
  <c r="E315" i="8"/>
  <c r="F315" i="8"/>
  <c r="H315" i="8" s="1"/>
  <c r="G315" i="8"/>
  <c r="E316" i="8"/>
  <c r="F316" i="8"/>
  <c r="H316" i="8" s="1"/>
  <c r="G316" i="8"/>
  <c r="E317" i="8"/>
  <c r="F317" i="8"/>
  <c r="H317" i="8" s="1"/>
  <c r="G317" i="8"/>
  <c r="E318" i="8"/>
  <c r="F318" i="8"/>
  <c r="H318" i="8" s="1"/>
  <c r="G318" i="8"/>
  <c r="E319" i="8"/>
  <c r="F319" i="8"/>
  <c r="H319" i="8" s="1"/>
  <c r="G319" i="8"/>
  <c r="E320" i="8"/>
  <c r="F320" i="8"/>
  <c r="G320" i="8"/>
  <c r="E321" i="8"/>
  <c r="F321" i="8"/>
  <c r="H321" i="8" s="1"/>
  <c r="G321" i="8"/>
  <c r="E322" i="8"/>
  <c r="F322" i="8"/>
  <c r="G322" i="8"/>
  <c r="E323" i="8"/>
  <c r="F323" i="8"/>
  <c r="H323" i="8" s="1"/>
  <c r="G323" i="8"/>
  <c r="E324" i="8"/>
  <c r="F324" i="8"/>
  <c r="H324" i="8" s="1"/>
  <c r="G324" i="8"/>
  <c r="E325" i="8"/>
  <c r="F325" i="8"/>
  <c r="H325" i="8" s="1"/>
  <c r="G325" i="8"/>
  <c r="E326" i="8"/>
  <c r="F326" i="8"/>
  <c r="H326" i="8" s="1"/>
  <c r="G326" i="8"/>
  <c r="E327" i="8"/>
  <c r="F327" i="8"/>
  <c r="G327" i="8"/>
  <c r="E328" i="8"/>
  <c r="F328" i="8"/>
  <c r="G328" i="8"/>
  <c r="E329" i="8"/>
  <c r="F329" i="8"/>
  <c r="H329" i="8" s="1"/>
  <c r="G329" i="8"/>
  <c r="E330" i="8"/>
  <c r="F330" i="8"/>
  <c r="H330" i="8" s="1"/>
  <c r="G330" i="8"/>
  <c r="E331" i="8"/>
  <c r="F331" i="8"/>
  <c r="H331" i="8" s="1"/>
  <c r="G331" i="8"/>
  <c r="E332" i="8"/>
  <c r="F332" i="8"/>
  <c r="H332" i="8" s="1"/>
  <c r="G332" i="8"/>
  <c r="E333" i="8"/>
  <c r="F333" i="8"/>
  <c r="G333" i="8"/>
  <c r="E334" i="8"/>
  <c r="F334" i="8"/>
  <c r="H334" i="8" s="1"/>
  <c r="G334" i="8"/>
  <c r="E335" i="8"/>
  <c r="F335" i="8"/>
  <c r="H335" i="8" s="1"/>
  <c r="G335" i="8"/>
  <c r="E336" i="8"/>
  <c r="F336" i="8"/>
  <c r="H336" i="8" s="1"/>
  <c r="G336" i="8"/>
  <c r="E337" i="8"/>
  <c r="F337" i="8"/>
  <c r="H337" i="8" s="1"/>
  <c r="G337" i="8"/>
  <c r="E338" i="8"/>
  <c r="F338" i="8"/>
  <c r="H338" i="8" s="1"/>
  <c r="G338" i="8"/>
  <c r="E339" i="8"/>
  <c r="F339" i="8"/>
  <c r="H339" i="8" s="1"/>
  <c r="G339" i="8"/>
  <c r="E340" i="8"/>
  <c r="F340" i="8"/>
  <c r="H340" i="8" s="1"/>
  <c r="G340" i="8"/>
  <c r="E341" i="8"/>
  <c r="F341" i="8"/>
  <c r="H341" i="8" s="1"/>
  <c r="G341" i="8"/>
  <c r="E342" i="8"/>
  <c r="F342" i="8"/>
  <c r="G342" i="8"/>
  <c r="E343" i="8"/>
  <c r="F343" i="8"/>
  <c r="H343" i="8" s="1"/>
  <c r="G343" i="8"/>
  <c r="E344" i="8"/>
  <c r="F344" i="8"/>
  <c r="H344" i="8" s="1"/>
  <c r="G344" i="8"/>
  <c r="E345" i="8"/>
  <c r="F345" i="8"/>
  <c r="H345" i="8" s="1"/>
  <c r="G345" i="8"/>
  <c r="E346" i="8"/>
  <c r="F346" i="8"/>
  <c r="G346" i="8"/>
  <c r="E347" i="8"/>
  <c r="F347" i="8"/>
  <c r="G347" i="8"/>
  <c r="E348" i="8"/>
  <c r="F348" i="8"/>
  <c r="H348" i="8" s="1"/>
  <c r="G348" i="8"/>
  <c r="E349" i="8"/>
  <c r="F349" i="8"/>
  <c r="H349" i="8" s="1"/>
  <c r="G349" i="8"/>
  <c r="E350" i="8"/>
  <c r="F350" i="8"/>
  <c r="G350" i="8"/>
  <c r="E351" i="8"/>
  <c r="F351" i="8"/>
  <c r="H351" i="8" s="1"/>
  <c r="G351" i="8"/>
  <c r="E352" i="8"/>
  <c r="F352" i="8"/>
  <c r="H352" i="8" s="1"/>
  <c r="G352" i="8"/>
  <c r="E353" i="8"/>
  <c r="F353" i="8"/>
  <c r="H353" i="8" s="1"/>
  <c r="G353" i="8"/>
  <c r="E354" i="8"/>
  <c r="F354" i="8"/>
  <c r="H354" i="8" s="1"/>
  <c r="G354" i="8"/>
  <c r="E355" i="8"/>
  <c r="F355" i="8"/>
  <c r="H355" i="8" s="1"/>
  <c r="G355" i="8"/>
  <c r="E356" i="8"/>
  <c r="F356" i="8"/>
  <c r="H356" i="8" s="1"/>
  <c r="G356" i="8"/>
  <c r="E357" i="8"/>
  <c r="F357" i="8"/>
  <c r="H357" i="8" s="1"/>
  <c r="G357" i="8"/>
  <c r="E358" i="8"/>
  <c r="F358" i="8"/>
  <c r="H358" i="8" s="1"/>
  <c r="G358" i="8"/>
  <c r="E359" i="8"/>
  <c r="F359" i="8"/>
  <c r="H359" i="8" s="1"/>
  <c r="G359" i="8"/>
  <c r="E360" i="8"/>
  <c r="F360" i="8"/>
  <c r="H360" i="8" s="1"/>
  <c r="G360" i="8"/>
  <c r="E361" i="8"/>
  <c r="F361" i="8"/>
  <c r="H361" i="8" s="1"/>
  <c r="G361" i="8"/>
  <c r="E362" i="8"/>
  <c r="F362" i="8"/>
  <c r="H362" i="8" s="1"/>
  <c r="G362" i="8"/>
  <c r="E363" i="8"/>
  <c r="F363" i="8"/>
  <c r="H363" i="8" s="1"/>
  <c r="G363" i="8"/>
  <c r="E364" i="8"/>
  <c r="F364" i="8"/>
  <c r="G364" i="8"/>
  <c r="E365" i="8"/>
  <c r="F365" i="8"/>
  <c r="G365" i="8"/>
  <c r="E366" i="8"/>
  <c r="F366" i="8"/>
  <c r="H366" i="8" s="1"/>
  <c r="G366" i="8"/>
  <c r="E367" i="8"/>
  <c r="F367" i="8"/>
  <c r="H367" i="8" s="1"/>
  <c r="G367" i="8"/>
  <c r="E368" i="8"/>
  <c r="F368" i="8"/>
  <c r="G368" i="8"/>
  <c r="E369" i="8"/>
  <c r="F369" i="8"/>
  <c r="H369" i="8" s="1"/>
  <c r="G369" i="8"/>
  <c r="E370" i="8"/>
  <c r="F370" i="8"/>
  <c r="G370" i="8"/>
  <c r="E371" i="8"/>
  <c r="F371" i="8"/>
  <c r="H371" i="8" s="1"/>
  <c r="G371" i="8"/>
  <c r="E372" i="8"/>
  <c r="F372" i="8"/>
  <c r="H372" i="8" s="1"/>
  <c r="G372" i="8"/>
  <c r="E373" i="8"/>
  <c r="F373" i="8"/>
  <c r="H373" i="8" s="1"/>
  <c r="G373" i="8"/>
  <c r="E374" i="8"/>
  <c r="F374" i="8"/>
  <c r="H374" i="8" s="1"/>
  <c r="G374" i="8"/>
  <c r="E375" i="8"/>
  <c r="F375" i="8"/>
  <c r="H375" i="8" s="1"/>
  <c r="G375" i="8"/>
  <c r="E376" i="8"/>
  <c r="F376" i="8"/>
  <c r="H376" i="8" s="1"/>
  <c r="G376" i="8"/>
  <c r="E377" i="8"/>
  <c r="F377" i="8"/>
  <c r="H377" i="8" s="1"/>
  <c r="G377" i="8"/>
  <c r="E378" i="8"/>
  <c r="F378" i="8"/>
  <c r="H378" i="8" s="1"/>
  <c r="G378" i="8"/>
  <c r="E379" i="8"/>
  <c r="F379" i="8"/>
  <c r="H379" i="8" s="1"/>
  <c r="G379" i="8"/>
  <c r="E380" i="8"/>
  <c r="F380" i="8"/>
  <c r="H380" i="8" s="1"/>
  <c r="G380" i="8"/>
  <c r="E381" i="8"/>
  <c r="F381" i="8"/>
  <c r="G381" i="8"/>
  <c r="E382" i="8"/>
  <c r="F382" i="8"/>
  <c r="H382" i="8" s="1"/>
  <c r="G382" i="8"/>
  <c r="E383" i="8"/>
  <c r="F383" i="8"/>
  <c r="G383" i="8"/>
  <c r="E384" i="8"/>
  <c r="F384" i="8"/>
  <c r="G384" i="8"/>
  <c r="E385" i="8"/>
  <c r="F385" i="8"/>
  <c r="G385" i="8"/>
  <c r="E386" i="8"/>
  <c r="F386" i="8"/>
  <c r="H386" i="8" s="1"/>
  <c r="G386" i="8"/>
  <c r="E387" i="8"/>
  <c r="F387" i="8"/>
  <c r="H387" i="8" s="1"/>
  <c r="G387" i="8"/>
  <c r="E388" i="8"/>
  <c r="F388" i="8"/>
  <c r="H388" i="8" s="1"/>
  <c r="G388" i="8"/>
  <c r="E389" i="8"/>
  <c r="F389" i="8"/>
  <c r="G389" i="8"/>
  <c r="E390" i="8"/>
  <c r="F390" i="8"/>
  <c r="H390" i="8" s="1"/>
  <c r="G390" i="8"/>
  <c r="E391" i="8"/>
  <c r="F391" i="8"/>
  <c r="H391" i="8" s="1"/>
  <c r="G391" i="8"/>
  <c r="E392" i="8"/>
  <c r="F392" i="8"/>
  <c r="H392" i="8" s="1"/>
  <c r="G392" i="8"/>
  <c r="E393" i="8"/>
  <c r="F393" i="8"/>
  <c r="H393" i="8" s="1"/>
  <c r="G393" i="8"/>
  <c r="E394" i="8"/>
  <c r="F394" i="8"/>
  <c r="H394" i="8" s="1"/>
  <c r="G394" i="8"/>
  <c r="E395" i="8"/>
  <c r="F395" i="8"/>
  <c r="H395" i="8" s="1"/>
  <c r="G395" i="8"/>
  <c r="E396" i="8"/>
  <c r="F396" i="8"/>
  <c r="H396" i="8" s="1"/>
  <c r="G396" i="8"/>
  <c r="E397" i="8"/>
  <c r="F397" i="8"/>
  <c r="H397" i="8" s="1"/>
  <c r="G397" i="8"/>
  <c r="E398" i="8"/>
  <c r="F398" i="8"/>
  <c r="H398" i="8" s="1"/>
  <c r="G398" i="8"/>
  <c r="E399" i="8"/>
  <c r="F399" i="8"/>
  <c r="H399" i="8" s="1"/>
  <c r="G399" i="8"/>
  <c r="E400" i="8"/>
  <c r="F400" i="8"/>
  <c r="H400" i="8" s="1"/>
  <c r="G400" i="8"/>
  <c r="E401" i="8"/>
  <c r="F401" i="8"/>
  <c r="H401" i="8" s="1"/>
  <c r="G401" i="8"/>
  <c r="E402" i="8"/>
  <c r="F402" i="8"/>
  <c r="G402" i="8"/>
  <c r="E403" i="8"/>
  <c r="F403" i="8"/>
  <c r="G403" i="8"/>
  <c r="E404" i="8"/>
  <c r="F404" i="8"/>
  <c r="G404" i="8"/>
  <c r="E405" i="8"/>
  <c r="F405" i="8"/>
  <c r="H405" i="8" s="1"/>
  <c r="G405" i="8"/>
  <c r="E406" i="8"/>
  <c r="F406" i="8"/>
  <c r="G406" i="8"/>
  <c r="E407" i="8"/>
  <c r="F407" i="8"/>
  <c r="H407" i="8" s="1"/>
  <c r="G407" i="8"/>
  <c r="E408" i="8"/>
  <c r="F408" i="8"/>
  <c r="H408" i="8" s="1"/>
  <c r="G408" i="8"/>
  <c r="E409" i="8"/>
  <c r="F409" i="8"/>
  <c r="G409" i="8"/>
  <c r="E410" i="8"/>
  <c r="F410" i="8"/>
  <c r="H410" i="8" s="1"/>
  <c r="G410" i="8"/>
  <c r="E411" i="8"/>
  <c r="F411" i="8"/>
  <c r="G411" i="8"/>
  <c r="E412" i="8"/>
  <c r="F412" i="8"/>
  <c r="H412" i="8" s="1"/>
  <c r="G412" i="8"/>
  <c r="E413" i="8"/>
  <c r="F413" i="8"/>
  <c r="H413" i="8" s="1"/>
  <c r="G413" i="8"/>
  <c r="E414" i="8"/>
  <c r="F414" i="8"/>
  <c r="H414" i="8" s="1"/>
  <c r="G414" i="8"/>
  <c r="E415" i="8"/>
  <c r="F415" i="8"/>
  <c r="H415" i="8" s="1"/>
  <c r="G415" i="8"/>
  <c r="E416" i="8"/>
  <c r="F416" i="8"/>
  <c r="H416" i="8" s="1"/>
  <c r="G416" i="8"/>
  <c r="E417" i="8"/>
  <c r="F417" i="8"/>
  <c r="H417" i="8" s="1"/>
  <c r="G417" i="8"/>
  <c r="E418" i="8"/>
  <c r="F418" i="8"/>
  <c r="H418" i="8" s="1"/>
  <c r="G418" i="8"/>
  <c r="E419" i="8"/>
  <c r="F419" i="8"/>
  <c r="H419" i="8" s="1"/>
  <c r="G419" i="8"/>
  <c r="E420" i="8"/>
  <c r="F420" i="8"/>
  <c r="H420" i="8" s="1"/>
  <c r="G420" i="8"/>
  <c r="E421" i="8"/>
  <c r="F421" i="8"/>
  <c r="G421" i="8"/>
  <c r="E422" i="8"/>
  <c r="F422" i="8"/>
  <c r="H422" i="8" s="1"/>
  <c r="G422" i="8"/>
  <c r="E423" i="8"/>
  <c r="F423" i="8"/>
  <c r="H423" i="8" s="1"/>
  <c r="G423" i="8"/>
  <c r="E424" i="8"/>
  <c r="F424" i="8"/>
  <c r="H424" i="8" s="1"/>
  <c r="G424" i="8"/>
  <c r="E425" i="8"/>
  <c r="F425" i="8"/>
  <c r="H425" i="8" s="1"/>
  <c r="G425" i="8"/>
  <c r="E426" i="8"/>
  <c r="F426" i="8"/>
  <c r="H426" i="8" s="1"/>
  <c r="G426" i="8"/>
  <c r="E427" i="8"/>
  <c r="F427" i="8"/>
  <c r="H427" i="8" s="1"/>
  <c r="G427" i="8"/>
  <c r="E428" i="8"/>
  <c r="F428" i="8"/>
  <c r="H428" i="8" s="1"/>
  <c r="G428" i="8"/>
  <c r="E429" i="8"/>
  <c r="F429" i="8"/>
  <c r="H429" i="8" s="1"/>
  <c r="G429" i="8"/>
  <c r="E430" i="8"/>
  <c r="F430" i="8"/>
  <c r="H430" i="8" s="1"/>
  <c r="G430" i="8"/>
  <c r="E431" i="8"/>
  <c r="F431" i="8"/>
  <c r="H431" i="8" s="1"/>
  <c r="G431" i="8"/>
  <c r="E432" i="8"/>
  <c r="F432" i="8"/>
  <c r="H432" i="8" s="1"/>
  <c r="G432" i="8"/>
  <c r="E433" i="8"/>
  <c r="F433" i="8"/>
  <c r="H433" i="8" s="1"/>
  <c r="G433" i="8"/>
  <c r="E434" i="8"/>
  <c r="F434" i="8"/>
  <c r="G434" i="8"/>
  <c r="E435" i="8"/>
  <c r="F435" i="8"/>
  <c r="H435" i="8" s="1"/>
  <c r="G435" i="8"/>
  <c r="E436" i="8"/>
  <c r="F436" i="8"/>
  <c r="G436" i="8"/>
  <c r="E437" i="8"/>
  <c r="F437" i="8"/>
  <c r="H437" i="8" s="1"/>
  <c r="G437" i="8"/>
  <c r="E438" i="8"/>
  <c r="F438" i="8"/>
  <c r="H438" i="8" s="1"/>
  <c r="G438" i="8"/>
  <c r="E439" i="8"/>
  <c r="F439" i="8"/>
  <c r="H439" i="8" s="1"/>
  <c r="G439" i="8"/>
  <c r="E440" i="8"/>
  <c r="F440" i="8"/>
  <c r="H440" i="8" s="1"/>
  <c r="G440" i="8"/>
  <c r="E441" i="8"/>
  <c r="F441" i="8"/>
  <c r="H441" i="8" s="1"/>
  <c r="G441" i="8"/>
  <c r="E442" i="8"/>
  <c r="F442" i="8"/>
  <c r="G442" i="8"/>
  <c r="E443" i="8"/>
  <c r="F443" i="8"/>
  <c r="H443" i="8" s="1"/>
  <c r="G443" i="8"/>
  <c r="E444" i="8"/>
  <c r="F444" i="8"/>
  <c r="H444" i="8" s="1"/>
  <c r="G444" i="8"/>
  <c r="E445" i="8"/>
  <c r="F445" i="8"/>
  <c r="H445" i="8" s="1"/>
  <c r="G445" i="8"/>
  <c r="E446" i="8"/>
  <c r="F446" i="8"/>
  <c r="H446" i="8" s="1"/>
  <c r="G446" i="8"/>
  <c r="E447" i="8"/>
  <c r="F447" i="8"/>
  <c r="H447" i="8" s="1"/>
  <c r="G447" i="8"/>
  <c r="E448" i="8"/>
  <c r="F448" i="8"/>
  <c r="H448" i="8" s="1"/>
  <c r="G448" i="8"/>
  <c r="E449" i="8"/>
  <c r="F449" i="8"/>
  <c r="H449" i="8" s="1"/>
  <c r="G449" i="8"/>
  <c r="E450" i="8"/>
  <c r="F450" i="8"/>
  <c r="H450" i="8" s="1"/>
  <c r="G450" i="8"/>
  <c r="E451" i="8"/>
  <c r="F451" i="8"/>
  <c r="H451" i="8" s="1"/>
  <c r="G451" i="8"/>
  <c r="E452" i="8"/>
  <c r="F452" i="8"/>
  <c r="H452" i="8" s="1"/>
  <c r="G452" i="8"/>
  <c r="E453" i="8"/>
  <c r="F453" i="8"/>
  <c r="H453" i="8" s="1"/>
  <c r="G453" i="8"/>
  <c r="E454" i="8"/>
  <c r="F454" i="8"/>
  <c r="H454" i="8" s="1"/>
  <c r="G454" i="8"/>
  <c r="E455" i="8"/>
  <c r="F455" i="8"/>
  <c r="H455" i="8" s="1"/>
  <c r="G455" i="8"/>
  <c r="E456" i="8"/>
  <c r="F456" i="8"/>
  <c r="G456" i="8"/>
  <c r="E457" i="8"/>
  <c r="F457" i="8"/>
  <c r="H457" i="8" s="1"/>
  <c r="G457" i="8"/>
  <c r="E458" i="8"/>
  <c r="F458" i="8"/>
  <c r="G458" i="8"/>
  <c r="E459" i="8"/>
  <c r="F459" i="8"/>
  <c r="H459" i="8" s="1"/>
  <c r="G459" i="8"/>
  <c r="E460" i="8"/>
  <c r="F460" i="8"/>
  <c r="H460" i="8" s="1"/>
  <c r="G460" i="8"/>
  <c r="E461" i="8"/>
  <c r="F461" i="8"/>
  <c r="H461" i="8" s="1"/>
  <c r="G461" i="8"/>
  <c r="E462" i="8"/>
  <c r="F462" i="8"/>
  <c r="H462" i="8" s="1"/>
  <c r="G462" i="8"/>
  <c r="E463" i="8"/>
  <c r="F463" i="8"/>
  <c r="G463" i="8"/>
  <c r="E464" i="8"/>
  <c r="F464" i="8"/>
  <c r="H464" i="8" s="1"/>
  <c r="G464" i="8"/>
  <c r="E465" i="8"/>
  <c r="F465" i="8"/>
  <c r="H465" i="8" s="1"/>
  <c r="G465" i="8"/>
  <c r="E466" i="8"/>
  <c r="F466" i="8"/>
  <c r="H466" i="8" s="1"/>
  <c r="G466" i="8"/>
  <c r="E467" i="8"/>
  <c r="F467" i="8"/>
  <c r="H467" i="8" s="1"/>
  <c r="G467" i="8"/>
  <c r="E468" i="8"/>
  <c r="F468" i="8"/>
  <c r="H468" i="8" s="1"/>
  <c r="G468" i="8"/>
  <c r="E469" i="8"/>
  <c r="F469" i="8"/>
  <c r="H469" i="8" s="1"/>
  <c r="G469" i="8"/>
  <c r="E470" i="8"/>
  <c r="F470" i="8"/>
  <c r="H470" i="8" s="1"/>
  <c r="G470" i="8"/>
  <c r="E471" i="8"/>
  <c r="F471" i="8"/>
  <c r="G471" i="8"/>
  <c r="E472" i="8"/>
  <c r="F472" i="8"/>
  <c r="H472" i="8" s="1"/>
  <c r="G472" i="8"/>
  <c r="E473" i="8"/>
  <c r="F473" i="8"/>
  <c r="H473" i="8" s="1"/>
  <c r="G473" i="8"/>
  <c r="E474" i="8"/>
  <c r="F474" i="8"/>
  <c r="H474" i="8" s="1"/>
  <c r="G474" i="8"/>
  <c r="E475" i="8"/>
  <c r="F475" i="8"/>
  <c r="H475" i="8" s="1"/>
  <c r="G475" i="8"/>
  <c r="E476" i="8"/>
  <c r="F476" i="8"/>
  <c r="H476" i="8" s="1"/>
  <c r="G476" i="8"/>
  <c r="E477" i="8"/>
  <c r="F477" i="8"/>
  <c r="H477" i="8" s="1"/>
  <c r="G477" i="8"/>
  <c r="E478" i="8"/>
  <c r="F478" i="8"/>
  <c r="H478" i="8" s="1"/>
  <c r="G478" i="8"/>
  <c r="E479" i="8"/>
  <c r="F479" i="8"/>
  <c r="H479" i="8" s="1"/>
  <c r="G479" i="8"/>
  <c r="E480" i="8"/>
  <c r="F480" i="8"/>
  <c r="H480" i="8" s="1"/>
  <c r="G480" i="8"/>
  <c r="E481" i="8"/>
  <c r="F481" i="8"/>
  <c r="H481" i="8" s="1"/>
  <c r="G481" i="8"/>
  <c r="E482" i="8"/>
  <c r="F482" i="8"/>
  <c r="H482" i="8" s="1"/>
  <c r="G482" i="8"/>
  <c r="E483" i="8"/>
  <c r="F483" i="8"/>
  <c r="H483" i="8" s="1"/>
  <c r="G483" i="8"/>
  <c r="E484" i="8"/>
  <c r="F484" i="8"/>
  <c r="H484" i="8" s="1"/>
  <c r="G484" i="8"/>
  <c r="E485" i="8"/>
  <c r="F485" i="8"/>
  <c r="H485" i="8" s="1"/>
  <c r="G485" i="8"/>
  <c r="E486" i="8"/>
  <c r="F486" i="8"/>
  <c r="H486" i="8" s="1"/>
  <c r="G486" i="8"/>
  <c r="E487" i="8"/>
  <c r="F487" i="8"/>
  <c r="H487" i="8" s="1"/>
  <c r="G487" i="8"/>
  <c r="E488" i="8"/>
  <c r="F488" i="8"/>
  <c r="G488" i="8"/>
  <c r="E489" i="8"/>
  <c r="F489" i="8"/>
  <c r="H489" i="8" s="1"/>
  <c r="G489" i="8"/>
  <c r="E490" i="8"/>
  <c r="F490" i="8"/>
  <c r="H490" i="8" s="1"/>
  <c r="G490" i="8"/>
  <c r="E491" i="8"/>
  <c r="F491" i="8"/>
  <c r="H491" i="8" s="1"/>
  <c r="G491" i="8"/>
  <c r="E492" i="8"/>
  <c r="F492" i="8"/>
  <c r="G492" i="8"/>
  <c r="E493" i="8"/>
  <c r="F493" i="8"/>
  <c r="H493" i="8" s="1"/>
  <c r="G493" i="8"/>
  <c r="E494" i="8"/>
  <c r="F494" i="8"/>
  <c r="H494" i="8" s="1"/>
  <c r="G494" i="8"/>
  <c r="E495" i="8"/>
  <c r="F495" i="8"/>
  <c r="H495" i="8" s="1"/>
  <c r="G495" i="8"/>
  <c r="E496" i="8"/>
  <c r="F496" i="8"/>
  <c r="H496" i="8" s="1"/>
  <c r="G496" i="8"/>
  <c r="E497" i="8"/>
  <c r="F497" i="8"/>
  <c r="H497" i="8" s="1"/>
  <c r="G497" i="8"/>
  <c r="E498" i="8"/>
  <c r="F498" i="8"/>
  <c r="H498" i="8" s="1"/>
  <c r="G498" i="8"/>
  <c r="E499" i="8"/>
  <c r="F499" i="8"/>
  <c r="H499" i="8" s="1"/>
  <c r="G499" i="8"/>
  <c r="E500" i="8"/>
  <c r="F500" i="8"/>
  <c r="H500" i="8" s="1"/>
  <c r="G500" i="8"/>
  <c r="E501" i="8"/>
  <c r="F501" i="8"/>
  <c r="H501" i="8" s="1"/>
  <c r="G501" i="8"/>
  <c r="E502" i="8"/>
  <c r="F502" i="8"/>
  <c r="G502" i="8"/>
  <c r="E503" i="8"/>
  <c r="F503" i="8"/>
  <c r="H503" i="8" s="1"/>
  <c r="G503" i="8"/>
  <c r="E504" i="8"/>
  <c r="F504" i="8"/>
  <c r="H504" i="8" s="1"/>
  <c r="G504" i="8"/>
  <c r="E505" i="8"/>
  <c r="F505" i="8"/>
  <c r="G505" i="8"/>
  <c r="E506" i="8"/>
  <c r="F506" i="8"/>
  <c r="G506" i="8"/>
  <c r="E507" i="8"/>
  <c r="F507" i="8"/>
  <c r="H507" i="8" s="1"/>
  <c r="G507" i="8"/>
  <c r="E508" i="8"/>
  <c r="F508" i="8"/>
  <c r="H508" i="8" s="1"/>
  <c r="G508" i="8"/>
  <c r="E509" i="8"/>
  <c r="F509" i="8"/>
  <c r="H509" i="8" s="1"/>
  <c r="G509" i="8"/>
  <c r="E510" i="8"/>
  <c r="F510" i="8"/>
  <c r="H510" i="8" s="1"/>
  <c r="G510" i="8"/>
  <c r="E511" i="8"/>
  <c r="F511" i="8"/>
  <c r="H511" i="8" s="1"/>
  <c r="G511" i="8"/>
  <c r="E512" i="8"/>
  <c r="F512" i="8"/>
  <c r="H512" i="8" s="1"/>
  <c r="G512" i="8"/>
  <c r="E513" i="8"/>
  <c r="F513" i="8"/>
  <c r="H513" i="8" s="1"/>
  <c r="G513" i="8"/>
  <c r="E514" i="8"/>
  <c r="F514" i="8"/>
  <c r="H514" i="8" s="1"/>
  <c r="G514" i="8"/>
  <c r="E515" i="8"/>
  <c r="F515" i="8"/>
  <c r="H515" i="8" s="1"/>
  <c r="G515" i="8"/>
  <c r="E516" i="8"/>
  <c r="F516" i="8"/>
  <c r="H516" i="8" s="1"/>
  <c r="G516" i="8"/>
  <c r="E517" i="8"/>
  <c r="F517" i="8"/>
  <c r="G517" i="8"/>
  <c r="E518" i="8"/>
  <c r="F518" i="8"/>
  <c r="H518" i="8" s="1"/>
  <c r="G518" i="8"/>
  <c r="E519" i="8"/>
  <c r="F519" i="8"/>
  <c r="H519" i="8" s="1"/>
  <c r="G519" i="8"/>
  <c r="E520" i="8"/>
  <c r="F520" i="8"/>
  <c r="G520" i="8"/>
  <c r="E521" i="8"/>
  <c r="F521" i="8"/>
  <c r="H521" i="8" s="1"/>
  <c r="G521" i="8"/>
  <c r="E522" i="8"/>
  <c r="F522" i="8"/>
  <c r="H522" i="8" s="1"/>
  <c r="G522" i="8"/>
  <c r="E523" i="8"/>
  <c r="F523" i="8"/>
  <c r="G523" i="8"/>
  <c r="E524" i="8"/>
  <c r="F524" i="8"/>
  <c r="H524" i="8" s="1"/>
  <c r="G524" i="8"/>
  <c r="E525" i="8"/>
  <c r="F525" i="8"/>
  <c r="H525" i="8" s="1"/>
  <c r="G525" i="8"/>
  <c r="E526" i="8"/>
  <c r="F526" i="8"/>
  <c r="H526" i="8" s="1"/>
  <c r="G526" i="8"/>
  <c r="E527" i="8"/>
  <c r="F527" i="8"/>
  <c r="H527" i="8" s="1"/>
  <c r="G527" i="8"/>
  <c r="E528" i="8"/>
  <c r="F528" i="8"/>
  <c r="H528" i="8" s="1"/>
  <c r="G528" i="8"/>
  <c r="E529" i="8"/>
  <c r="F529" i="8"/>
  <c r="H529" i="8" s="1"/>
  <c r="G529" i="8"/>
  <c r="E530" i="8"/>
  <c r="F530" i="8"/>
  <c r="G530" i="8"/>
  <c r="E531" i="8"/>
  <c r="F531" i="8"/>
  <c r="H531" i="8" s="1"/>
  <c r="G531" i="8"/>
  <c r="E532" i="8"/>
  <c r="F532" i="8"/>
  <c r="H532" i="8" s="1"/>
  <c r="G532" i="8"/>
  <c r="E533" i="8"/>
  <c r="F533" i="8"/>
  <c r="H533" i="8" s="1"/>
  <c r="G533" i="8"/>
  <c r="E534" i="8"/>
  <c r="F534" i="8"/>
  <c r="H534" i="8" s="1"/>
  <c r="G534" i="8"/>
  <c r="E535" i="8"/>
  <c r="F535" i="8"/>
  <c r="G535" i="8"/>
  <c r="E536" i="8"/>
  <c r="F536" i="8"/>
  <c r="G536" i="8"/>
  <c r="E537" i="8"/>
  <c r="F537" i="8"/>
  <c r="H537" i="8" s="1"/>
  <c r="G537" i="8"/>
  <c r="E538" i="8"/>
  <c r="F538" i="8"/>
  <c r="G538" i="8"/>
  <c r="E539" i="8"/>
  <c r="F539" i="8"/>
  <c r="G539" i="8"/>
  <c r="E540" i="8"/>
  <c r="F540" i="8"/>
  <c r="G540" i="8"/>
  <c r="E541" i="8"/>
  <c r="F541" i="8"/>
  <c r="H541" i="8" s="1"/>
  <c r="G541" i="8"/>
  <c r="E542" i="8"/>
  <c r="F542" i="8"/>
  <c r="H542" i="8" s="1"/>
  <c r="G542" i="8"/>
  <c r="E543" i="8"/>
  <c r="F543" i="8"/>
  <c r="H543" i="8" s="1"/>
  <c r="G543" i="8"/>
  <c r="E544" i="8"/>
  <c r="F544" i="8"/>
  <c r="H544" i="8" s="1"/>
  <c r="G544" i="8"/>
  <c r="E545" i="8"/>
  <c r="F545" i="8"/>
  <c r="H545" i="8" s="1"/>
  <c r="G545" i="8"/>
  <c r="E546" i="8"/>
  <c r="F546" i="8"/>
  <c r="H546" i="8" s="1"/>
  <c r="G546" i="8"/>
  <c r="E547" i="8"/>
  <c r="F547" i="8"/>
  <c r="H547" i="8" s="1"/>
  <c r="G547" i="8"/>
  <c r="E548" i="8"/>
  <c r="F548" i="8"/>
  <c r="G548" i="8"/>
  <c r="E549" i="8"/>
  <c r="F549" i="8"/>
  <c r="H549" i="8" s="1"/>
  <c r="G549" i="8"/>
  <c r="E550" i="8"/>
  <c r="F550" i="8"/>
  <c r="H550" i="8" s="1"/>
  <c r="G550" i="8"/>
  <c r="E551" i="8"/>
  <c r="F551" i="8"/>
  <c r="H551" i="8" s="1"/>
  <c r="G551" i="8"/>
  <c r="E552" i="8"/>
  <c r="F552" i="8"/>
  <c r="G552" i="8"/>
  <c r="E553" i="8"/>
  <c r="F553" i="8"/>
  <c r="H553" i="8" s="1"/>
  <c r="G553" i="8"/>
  <c r="E554" i="8"/>
  <c r="F554" i="8"/>
  <c r="H554" i="8" s="1"/>
  <c r="G554" i="8"/>
  <c r="E555" i="8"/>
  <c r="F555" i="8"/>
  <c r="H555" i="8" s="1"/>
  <c r="G555" i="8"/>
  <c r="E556" i="8"/>
  <c r="F556" i="8"/>
  <c r="H556" i="8" s="1"/>
  <c r="G556" i="8"/>
  <c r="E557" i="8"/>
  <c r="F557" i="8"/>
  <c r="H557" i="8" s="1"/>
  <c r="G557" i="8"/>
  <c r="E558" i="8"/>
  <c r="F558" i="8"/>
  <c r="H558" i="8" s="1"/>
  <c r="G558" i="8"/>
  <c r="E559" i="8"/>
  <c r="F559" i="8"/>
  <c r="H559" i="8" s="1"/>
  <c r="G559" i="8"/>
  <c r="E560" i="8"/>
  <c r="F560" i="8"/>
  <c r="H560" i="8" s="1"/>
  <c r="G560" i="8"/>
  <c r="E561" i="8"/>
  <c r="F561" i="8"/>
  <c r="H561" i="8" s="1"/>
  <c r="G561" i="8"/>
  <c r="E562" i="8"/>
  <c r="F562" i="8"/>
  <c r="H562" i="8" s="1"/>
  <c r="G562" i="8"/>
  <c r="E563" i="8"/>
  <c r="F563" i="8"/>
  <c r="G563" i="8"/>
  <c r="E564" i="8"/>
  <c r="F564" i="8"/>
  <c r="H564" i="8" s="1"/>
  <c r="G564" i="8"/>
  <c r="E565" i="8"/>
  <c r="F565" i="8"/>
  <c r="H565" i="8" s="1"/>
  <c r="G565" i="8"/>
  <c r="E566" i="8"/>
  <c r="F566" i="8"/>
  <c r="G566" i="8"/>
  <c r="E567" i="8"/>
  <c r="F567" i="8"/>
  <c r="H567" i="8" s="1"/>
  <c r="G567" i="8"/>
  <c r="E568" i="8"/>
  <c r="F568" i="8"/>
  <c r="H568" i="8" s="1"/>
  <c r="G568" i="8"/>
  <c r="E569" i="8"/>
  <c r="F569" i="8"/>
  <c r="H569" i="8" s="1"/>
  <c r="G569" i="8"/>
  <c r="E570" i="8"/>
  <c r="F570" i="8"/>
  <c r="H570" i="8" s="1"/>
  <c r="G570" i="8"/>
  <c r="E571" i="8"/>
  <c r="F571" i="8"/>
  <c r="H571" i="8" s="1"/>
  <c r="G571" i="8"/>
  <c r="E572" i="8"/>
  <c r="F572" i="8"/>
  <c r="H572" i="8" s="1"/>
  <c r="G572" i="8"/>
  <c r="E573" i="8"/>
  <c r="F573" i="8"/>
  <c r="H573" i="8" s="1"/>
  <c r="G573" i="8"/>
  <c r="E574" i="8"/>
  <c r="F574" i="8"/>
  <c r="H574" i="8" s="1"/>
  <c r="G574" i="8"/>
  <c r="E575" i="8"/>
  <c r="F575" i="8"/>
  <c r="H575" i="8" s="1"/>
  <c r="G575" i="8"/>
  <c r="E576" i="8"/>
  <c r="F576" i="8"/>
  <c r="H576" i="8" s="1"/>
  <c r="G576" i="8"/>
  <c r="E577" i="8"/>
  <c r="F577" i="8"/>
  <c r="H577" i="8" s="1"/>
  <c r="G577" i="8"/>
  <c r="E578" i="8"/>
  <c r="F578" i="8"/>
  <c r="H578" i="8" s="1"/>
  <c r="G578" i="8"/>
  <c r="E579" i="8"/>
  <c r="F579" i="8"/>
  <c r="H579" i="8" s="1"/>
  <c r="G579" i="8"/>
  <c r="E580" i="8"/>
  <c r="F580" i="8"/>
  <c r="H580" i="8" s="1"/>
  <c r="G580" i="8"/>
  <c r="E581" i="8"/>
  <c r="F581" i="8"/>
  <c r="H581" i="8" s="1"/>
  <c r="G581" i="8"/>
  <c r="E582" i="8"/>
  <c r="F582" i="8"/>
  <c r="H582" i="8" s="1"/>
  <c r="G582" i="8"/>
  <c r="E583" i="8"/>
  <c r="F583" i="8"/>
  <c r="G583" i="8"/>
  <c r="E584" i="8"/>
  <c r="F584" i="8"/>
  <c r="H584" i="8" s="1"/>
  <c r="G584" i="8"/>
  <c r="E585" i="8"/>
  <c r="F585" i="8"/>
  <c r="H585" i="8" s="1"/>
  <c r="G585" i="8"/>
  <c r="E586" i="8"/>
  <c r="F586" i="8"/>
  <c r="H586" i="8" s="1"/>
  <c r="G586" i="8"/>
  <c r="E587" i="8"/>
  <c r="F587" i="8"/>
  <c r="H587" i="8" s="1"/>
  <c r="G587" i="8"/>
  <c r="E588" i="8"/>
  <c r="F588" i="8"/>
  <c r="H588" i="8" s="1"/>
  <c r="G588" i="8"/>
  <c r="E589" i="8"/>
  <c r="F589" i="8"/>
  <c r="H589" i="8" s="1"/>
  <c r="G589" i="8"/>
  <c r="E590" i="8"/>
  <c r="F590" i="8"/>
  <c r="H590" i="8" s="1"/>
  <c r="G590" i="8"/>
  <c r="E591" i="8"/>
  <c r="F591" i="8"/>
  <c r="H591" i="8" s="1"/>
  <c r="G591" i="8"/>
  <c r="E592" i="8"/>
  <c r="F592" i="8"/>
  <c r="H592" i="8" s="1"/>
  <c r="G592" i="8"/>
  <c r="E593" i="8"/>
  <c r="F593" i="8"/>
  <c r="H593" i="8" s="1"/>
  <c r="G593" i="8"/>
  <c r="E594" i="8"/>
  <c r="F594" i="8"/>
  <c r="H594" i="8" s="1"/>
  <c r="G594" i="8"/>
  <c r="E595" i="8"/>
  <c r="F595" i="8"/>
  <c r="H595" i="8" s="1"/>
  <c r="G595" i="8"/>
  <c r="E596" i="8"/>
  <c r="F596" i="8"/>
  <c r="H596" i="8" s="1"/>
  <c r="G596" i="8"/>
  <c r="E597" i="8"/>
  <c r="F597" i="8"/>
  <c r="H597" i="8" s="1"/>
  <c r="G597" i="8"/>
  <c r="E598" i="8"/>
  <c r="F598" i="8"/>
  <c r="H598" i="8" s="1"/>
  <c r="G598" i="8"/>
  <c r="E599" i="8"/>
  <c r="F599" i="8"/>
  <c r="H599" i="8" s="1"/>
  <c r="G599" i="8"/>
  <c r="E600" i="8"/>
  <c r="F600" i="8"/>
  <c r="H600" i="8" s="1"/>
  <c r="G600" i="8"/>
  <c r="E601" i="8"/>
  <c r="F601" i="8"/>
  <c r="H601" i="8" s="1"/>
  <c r="G601" i="8"/>
  <c r="E602" i="8"/>
  <c r="F602" i="8"/>
  <c r="H602" i="8" s="1"/>
  <c r="G602" i="8"/>
  <c r="E603" i="8"/>
  <c r="F603" i="8"/>
  <c r="H603" i="8" s="1"/>
  <c r="G603" i="8"/>
  <c r="E604" i="8"/>
  <c r="F604" i="8"/>
  <c r="H604" i="8" s="1"/>
  <c r="G604" i="8"/>
  <c r="E605" i="8"/>
  <c r="F605" i="8"/>
  <c r="H605" i="8" s="1"/>
  <c r="G605" i="8"/>
  <c r="E606" i="8"/>
  <c r="F606" i="8"/>
  <c r="H606" i="8" s="1"/>
  <c r="G606" i="8"/>
  <c r="E607" i="8"/>
  <c r="F607" i="8"/>
  <c r="H607" i="8" s="1"/>
  <c r="G607" i="8"/>
  <c r="E608" i="8"/>
  <c r="F608" i="8"/>
  <c r="H608" i="8" s="1"/>
  <c r="G608" i="8"/>
  <c r="E609" i="8"/>
  <c r="F609" i="8"/>
  <c r="H609" i="8" s="1"/>
  <c r="G609" i="8"/>
  <c r="E610" i="8"/>
  <c r="F610" i="8"/>
  <c r="H610" i="8" s="1"/>
  <c r="G610" i="8"/>
  <c r="E611" i="8"/>
  <c r="F611" i="8"/>
  <c r="H611" i="8" s="1"/>
  <c r="G611" i="8"/>
  <c r="E612" i="8"/>
  <c r="F612" i="8"/>
  <c r="H612" i="8" s="1"/>
  <c r="G612" i="8"/>
  <c r="E613" i="8"/>
  <c r="F613" i="8"/>
  <c r="H613" i="8" s="1"/>
  <c r="G613" i="8"/>
  <c r="E614" i="8"/>
  <c r="F614" i="8"/>
  <c r="H614" i="8" s="1"/>
  <c r="G614" i="8"/>
  <c r="E615" i="8"/>
  <c r="F615" i="8"/>
  <c r="H615" i="8" s="1"/>
  <c r="G615" i="8"/>
  <c r="E616" i="8"/>
  <c r="F616" i="8"/>
  <c r="H616" i="8" s="1"/>
  <c r="G616" i="8"/>
  <c r="E617" i="8"/>
  <c r="F617" i="8"/>
  <c r="H617" i="8" s="1"/>
  <c r="G617" i="8"/>
  <c r="E618" i="8"/>
  <c r="F618" i="8"/>
  <c r="H618" i="8" s="1"/>
  <c r="G618" i="8"/>
  <c r="E619" i="8"/>
  <c r="F619" i="8"/>
  <c r="H619" i="8" s="1"/>
  <c r="G619" i="8"/>
  <c r="E620" i="8"/>
  <c r="F620" i="8"/>
  <c r="H620" i="8" s="1"/>
  <c r="G620" i="8"/>
  <c r="E621" i="8"/>
  <c r="F621" i="8"/>
  <c r="H621" i="8" s="1"/>
  <c r="G621" i="8"/>
  <c r="E622" i="8"/>
  <c r="F622" i="8"/>
  <c r="H622" i="8" s="1"/>
  <c r="G622" i="8"/>
  <c r="E623" i="8"/>
  <c r="F623" i="8"/>
  <c r="H623" i="8" s="1"/>
  <c r="G623" i="8"/>
  <c r="E624" i="8"/>
  <c r="F624" i="8"/>
  <c r="G624" i="8"/>
  <c r="E625" i="8"/>
  <c r="F625" i="8"/>
  <c r="H625" i="8" s="1"/>
  <c r="G625" i="8"/>
  <c r="E626" i="8"/>
  <c r="F626" i="8"/>
  <c r="G626" i="8"/>
  <c r="E627" i="8"/>
  <c r="F627" i="8"/>
  <c r="H627" i="8" s="1"/>
  <c r="G627" i="8"/>
  <c r="E628" i="8"/>
  <c r="F628" i="8"/>
  <c r="H628" i="8" s="1"/>
  <c r="G628" i="8"/>
  <c r="E629" i="8"/>
  <c r="F629" i="8"/>
  <c r="G629" i="8"/>
  <c r="E630" i="8"/>
  <c r="F630" i="8"/>
  <c r="H630" i="8" s="1"/>
  <c r="G630" i="8"/>
  <c r="E631" i="8"/>
  <c r="F631" i="8"/>
  <c r="H631" i="8" s="1"/>
  <c r="G631" i="8"/>
  <c r="E632" i="8"/>
  <c r="F632" i="8"/>
  <c r="H632" i="8" s="1"/>
  <c r="G632" i="8"/>
  <c r="E633" i="8"/>
  <c r="F633" i="8"/>
  <c r="H633" i="8" s="1"/>
  <c r="G633" i="8"/>
  <c r="E634" i="8"/>
  <c r="F634" i="8"/>
  <c r="H634" i="8" s="1"/>
  <c r="G634" i="8"/>
  <c r="E635" i="8"/>
  <c r="F635" i="8"/>
  <c r="H635" i="8" s="1"/>
  <c r="G635" i="8"/>
  <c r="E636" i="8"/>
  <c r="F636" i="8"/>
  <c r="H636" i="8" s="1"/>
  <c r="G636" i="8"/>
  <c r="E637" i="8"/>
  <c r="F637" i="8"/>
  <c r="G637" i="8"/>
  <c r="E638" i="8"/>
  <c r="F638" i="8"/>
  <c r="H638" i="8" s="1"/>
  <c r="G638" i="8"/>
  <c r="E639" i="8"/>
  <c r="F639" i="8"/>
  <c r="H639" i="8" s="1"/>
  <c r="G639" i="8"/>
  <c r="E640" i="8"/>
  <c r="F640" i="8"/>
  <c r="G640" i="8"/>
  <c r="E641" i="8"/>
  <c r="F641" i="8"/>
  <c r="G641" i="8"/>
  <c r="E642" i="8"/>
  <c r="F642" i="8"/>
  <c r="H642" i="8" s="1"/>
  <c r="G642" i="8"/>
  <c r="E643" i="8"/>
  <c r="F643" i="8"/>
  <c r="H643" i="8" s="1"/>
  <c r="G643" i="8"/>
  <c r="E644" i="8"/>
  <c r="F644" i="8"/>
  <c r="H644" i="8" s="1"/>
  <c r="G644" i="8"/>
  <c r="E645" i="8"/>
  <c r="F645" i="8"/>
  <c r="H645" i="8" s="1"/>
  <c r="G645" i="8"/>
  <c r="E646" i="8"/>
  <c r="F646" i="8"/>
  <c r="H646" i="8" s="1"/>
  <c r="G646" i="8"/>
  <c r="E647" i="8"/>
  <c r="F647" i="8"/>
  <c r="H647" i="8" s="1"/>
  <c r="G647" i="8"/>
  <c r="E648" i="8"/>
  <c r="F648" i="8"/>
  <c r="H648" i="8" s="1"/>
  <c r="G648" i="8"/>
  <c r="E649" i="8"/>
  <c r="F649" i="8"/>
  <c r="H649" i="8" s="1"/>
  <c r="G649" i="8"/>
  <c r="E650" i="8"/>
  <c r="F650" i="8"/>
  <c r="H650" i="8" s="1"/>
  <c r="G650" i="8"/>
  <c r="E651" i="8"/>
  <c r="F651" i="8"/>
  <c r="H651" i="8" s="1"/>
  <c r="G651" i="8"/>
  <c r="E652" i="8"/>
  <c r="F652" i="8"/>
  <c r="H652" i="8" s="1"/>
  <c r="G652" i="8"/>
  <c r="E653" i="8"/>
  <c r="F653" i="8"/>
  <c r="G653" i="8"/>
  <c r="E654" i="8"/>
  <c r="F654" i="8"/>
  <c r="H654" i="8" s="1"/>
  <c r="G654" i="8"/>
  <c r="E655" i="8"/>
  <c r="F655" i="8"/>
  <c r="H655" i="8" s="1"/>
  <c r="G655" i="8"/>
  <c r="E656" i="8"/>
  <c r="F656" i="8"/>
  <c r="H656" i="8" s="1"/>
  <c r="G656" i="8"/>
  <c r="E657" i="8"/>
  <c r="F657" i="8"/>
  <c r="H657" i="8" s="1"/>
  <c r="G657" i="8"/>
  <c r="E658" i="8"/>
  <c r="F658" i="8"/>
  <c r="H658" i="8" s="1"/>
  <c r="G658" i="8"/>
  <c r="E659" i="8"/>
  <c r="F659" i="8"/>
  <c r="H659" i="8" s="1"/>
  <c r="G659" i="8"/>
  <c r="E660" i="8"/>
  <c r="F660" i="8"/>
  <c r="H660" i="8" s="1"/>
  <c r="G660" i="8"/>
  <c r="E661" i="8"/>
  <c r="F661" i="8"/>
  <c r="H661" i="8" s="1"/>
  <c r="G661" i="8"/>
  <c r="E662" i="8"/>
  <c r="F662" i="8"/>
  <c r="H662" i="8" s="1"/>
  <c r="G662" i="8"/>
  <c r="E663" i="8"/>
  <c r="F663" i="8"/>
  <c r="H663" i="8" s="1"/>
  <c r="G663" i="8"/>
  <c r="E664" i="8"/>
  <c r="F664" i="8"/>
  <c r="H664" i="8" s="1"/>
  <c r="G664" i="8"/>
  <c r="E665" i="8"/>
  <c r="F665" i="8"/>
  <c r="H665" i="8" s="1"/>
  <c r="G665" i="8"/>
  <c r="E666" i="8"/>
  <c r="F666" i="8"/>
  <c r="H666" i="8" s="1"/>
  <c r="G666" i="8"/>
  <c r="E667" i="8"/>
  <c r="F667" i="8"/>
  <c r="H667" i="8" s="1"/>
  <c r="G667" i="8"/>
  <c r="E668" i="8"/>
  <c r="F668" i="8"/>
  <c r="H668" i="8" s="1"/>
  <c r="G668" i="8"/>
  <c r="E669" i="8"/>
  <c r="F669" i="8"/>
  <c r="H669" i="8" s="1"/>
  <c r="G669" i="8"/>
  <c r="E670" i="8"/>
  <c r="F670" i="8"/>
  <c r="H670" i="8" s="1"/>
  <c r="G670" i="8"/>
  <c r="E671" i="8"/>
  <c r="F671" i="8"/>
  <c r="H671" i="8" s="1"/>
  <c r="G671" i="8"/>
  <c r="E672" i="8"/>
  <c r="F672" i="8"/>
  <c r="H672" i="8" s="1"/>
  <c r="G672" i="8"/>
  <c r="E673" i="8"/>
  <c r="F673" i="8"/>
  <c r="G673" i="8"/>
  <c r="E674" i="8"/>
  <c r="F674" i="8"/>
  <c r="H674" i="8" s="1"/>
  <c r="G674" i="8"/>
  <c r="E675" i="8"/>
  <c r="F675" i="8"/>
  <c r="G675" i="8"/>
  <c r="E676" i="8"/>
  <c r="F676" i="8"/>
  <c r="H676" i="8" s="1"/>
  <c r="G676" i="8"/>
  <c r="E677" i="8"/>
  <c r="F677" i="8"/>
  <c r="H677" i="8" s="1"/>
  <c r="G677" i="8"/>
  <c r="E678" i="8"/>
  <c r="F678" i="8"/>
  <c r="H678" i="8" s="1"/>
  <c r="G678" i="8"/>
  <c r="E679" i="8"/>
  <c r="F679" i="8"/>
  <c r="G679" i="8"/>
  <c r="E680" i="8"/>
  <c r="F680" i="8"/>
  <c r="H680" i="8" s="1"/>
  <c r="G680" i="8"/>
  <c r="E681" i="8"/>
  <c r="F681" i="8"/>
  <c r="H681" i="8" s="1"/>
  <c r="G681" i="8"/>
  <c r="E682" i="8"/>
  <c r="F682" i="8"/>
  <c r="H682" i="8" s="1"/>
  <c r="G682" i="8"/>
  <c r="E683" i="8"/>
  <c r="F683" i="8"/>
  <c r="H683" i="8" s="1"/>
  <c r="G683" i="8"/>
  <c r="E684" i="8"/>
  <c r="F684" i="8"/>
  <c r="H684" i="8" s="1"/>
  <c r="G684" i="8"/>
  <c r="E685" i="8"/>
  <c r="F685" i="8"/>
  <c r="H685" i="8" s="1"/>
  <c r="G685" i="8"/>
  <c r="E686" i="8"/>
  <c r="F686" i="8"/>
  <c r="H686" i="8" s="1"/>
  <c r="G686" i="8"/>
  <c r="E687" i="8"/>
  <c r="F687" i="8"/>
  <c r="H687" i="8" s="1"/>
  <c r="G687" i="8"/>
  <c r="E688" i="8"/>
  <c r="F688" i="8"/>
  <c r="H688" i="8" s="1"/>
  <c r="G688" i="8"/>
  <c r="E689" i="8"/>
  <c r="F689" i="8"/>
  <c r="G689" i="8"/>
  <c r="E690" i="8"/>
  <c r="F690" i="8"/>
  <c r="H690" i="8" s="1"/>
  <c r="G690" i="8"/>
  <c r="E691" i="8"/>
  <c r="F691" i="8"/>
  <c r="H691" i="8" s="1"/>
  <c r="G691" i="8"/>
  <c r="E692" i="8"/>
  <c r="F692" i="8"/>
  <c r="H692" i="8" s="1"/>
  <c r="G692" i="8"/>
  <c r="E693" i="8"/>
  <c r="F693" i="8"/>
  <c r="H693" i="8" s="1"/>
  <c r="G693" i="8"/>
  <c r="E694" i="8"/>
  <c r="F694" i="8"/>
  <c r="H694" i="8" s="1"/>
  <c r="G694" i="8"/>
  <c r="E695" i="8"/>
  <c r="F695" i="8"/>
  <c r="H695" i="8" s="1"/>
  <c r="G695" i="8"/>
  <c r="E696" i="8"/>
  <c r="F696" i="8"/>
  <c r="H696" i="8" s="1"/>
  <c r="G696" i="8"/>
  <c r="E697" i="8"/>
  <c r="F697" i="8"/>
  <c r="G697" i="8"/>
  <c r="E698" i="8"/>
  <c r="F698" i="8"/>
  <c r="H698" i="8" s="1"/>
  <c r="G698" i="8"/>
  <c r="E699" i="8"/>
  <c r="F699" i="8"/>
  <c r="H699" i="8" s="1"/>
  <c r="G699" i="8"/>
  <c r="E700" i="8"/>
  <c r="F700" i="8"/>
  <c r="H700" i="8" s="1"/>
  <c r="G700" i="8"/>
  <c r="E701" i="8"/>
  <c r="F701" i="8"/>
  <c r="H701" i="8" s="1"/>
  <c r="G701" i="8"/>
  <c r="E702" i="8"/>
  <c r="F702" i="8"/>
  <c r="H702" i="8" s="1"/>
  <c r="G702" i="8"/>
  <c r="E703" i="8"/>
  <c r="F703" i="8"/>
  <c r="H703" i="8" s="1"/>
  <c r="G703" i="8"/>
  <c r="E704" i="8"/>
  <c r="F704" i="8"/>
  <c r="G704" i="8"/>
  <c r="E705" i="8"/>
  <c r="F705" i="8"/>
  <c r="H705" i="8" s="1"/>
  <c r="G705" i="8"/>
  <c r="E706" i="8"/>
  <c r="F706" i="8"/>
  <c r="H706" i="8" s="1"/>
  <c r="G706" i="8"/>
  <c r="E707" i="8"/>
  <c r="F707" i="8"/>
  <c r="H707" i="8" s="1"/>
  <c r="G707" i="8"/>
  <c r="E708" i="8"/>
  <c r="F708" i="8"/>
  <c r="H708" i="8" s="1"/>
  <c r="G708" i="8"/>
  <c r="E709" i="8"/>
  <c r="F709" i="8"/>
  <c r="H709" i="8" s="1"/>
  <c r="G709" i="8"/>
  <c r="E710" i="8"/>
  <c r="F710" i="8"/>
  <c r="H710" i="8" s="1"/>
  <c r="G710" i="8"/>
  <c r="E711" i="8"/>
  <c r="F711" i="8"/>
  <c r="H711" i="8" s="1"/>
  <c r="G711" i="8"/>
  <c r="E712" i="8"/>
  <c r="F712" i="8"/>
  <c r="H712" i="8" s="1"/>
  <c r="G712" i="8"/>
  <c r="E713" i="8"/>
  <c r="F713" i="8"/>
  <c r="H713" i="8" s="1"/>
  <c r="G713" i="8"/>
  <c r="E714" i="8"/>
  <c r="F714" i="8"/>
  <c r="G714" i="8"/>
  <c r="E715" i="8"/>
  <c r="F715" i="8"/>
  <c r="H715" i="8" s="1"/>
  <c r="G715" i="8"/>
  <c r="E716" i="8"/>
  <c r="F716" i="8"/>
  <c r="H716" i="8" s="1"/>
  <c r="G716" i="8"/>
  <c r="E717" i="8"/>
  <c r="F717" i="8"/>
  <c r="H717" i="8" s="1"/>
  <c r="G717" i="8"/>
  <c r="E718" i="8"/>
  <c r="F718" i="8"/>
  <c r="H718" i="8" s="1"/>
  <c r="G718" i="8"/>
  <c r="E719" i="8"/>
  <c r="F719" i="8"/>
  <c r="H719" i="8" s="1"/>
  <c r="G719" i="8"/>
  <c r="E720" i="8"/>
  <c r="F720" i="8"/>
  <c r="G720" i="8"/>
  <c r="E721" i="8"/>
  <c r="F721" i="8"/>
  <c r="H721" i="8" s="1"/>
  <c r="G721" i="8"/>
  <c r="E722" i="8"/>
  <c r="F722" i="8"/>
  <c r="H722" i="8" s="1"/>
  <c r="G722" i="8"/>
  <c r="E723" i="8"/>
  <c r="F723" i="8"/>
  <c r="H723" i="8" s="1"/>
  <c r="G723" i="8"/>
  <c r="E724" i="8"/>
  <c r="F724" i="8"/>
  <c r="H724" i="8" s="1"/>
  <c r="G724" i="8"/>
  <c r="E725" i="8"/>
  <c r="F725" i="8"/>
  <c r="H725" i="8" s="1"/>
  <c r="G725" i="8"/>
  <c r="E726" i="8"/>
  <c r="F726" i="8"/>
  <c r="H726" i="8" s="1"/>
  <c r="G726" i="8"/>
  <c r="E727" i="8"/>
  <c r="F727" i="8"/>
  <c r="H727" i="8" s="1"/>
  <c r="G727" i="8"/>
  <c r="E728" i="8"/>
  <c r="F728" i="8"/>
  <c r="G728" i="8"/>
  <c r="E729" i="8"/>
  <c r="F729" i="8"/>
  <c r="H729" i="8" s="1"/>
  <c r="G729" i="8"/>
  <c r="E730" i="8"/>
  <c r="F730" i="8"/>
  <c r="H730" i="8" s="1"/>
  <c r="G730" i="8"/>
  <c r="E731" i="8"/>
  <c r="F731" i="8"/>
  <c r="G731" i="8"/>
  <c r="E732" i="8"/>
  <c r="F732" i="8"/>
  <c r="H732" i="8" s="1"/>
  <c r="G732" i="8"/>
  <c r="E733" i="8"/>
  <c r="F733" i="8"/>
  <c r="H733" i="8" s="1"/>
  <c r="G733" i="8"/>
  <c r="E734" i="8"/>
  <c r="F734" i="8"/>
  <c r="H734" i="8" s="1"/>
  <c r="G734" i="8"/>
  <c r="E735" i="8"/>
  <c r="F735" i="8"/>
  <c r="H735" i="8" s="1"/>
  <c r="G735" i="8"/>
  <c r="E736" i="8"/>
  <c r="F736" i="8"/>
  <c r="H736" i="8" s="1"/>
  <c r="G736" i="8"/>
  <c r="E737" i="8"/>
  <c r="F737" i="8"/>
  <c r="H737" i="8" s="1"/>
  <c r="G737" i="8"/>
  <c r="E738" i="8"/>
  <c r="F738" i="8"/>
  <c r="H738" i="8" s="1"/>
  <c r="G738" i="8"/>
  <c r="E739" i="8"/>
  <c r="F739" i="8"/>
  <c r="H739" i="8" s="1"/>
  <c r="G739" i="8"/>
  <c r="E740" i="8"/>
  <c r="F740" i="8"/>
  <c r="H740" i="8" s="1"/>
  <c r="G740" i="8"/>
  <c r="E741" i="8"/>
  <c r="F741" i="8"/>
  <c r="H741" i="8" s="1"/>
  <c r="G741" i="8"/>
  <c r="E742" i="8"/>
  <c r="F742" i="8"/>
  <c r="H742" i="8" s="1"/>
  <c r="G742" i="8"/>
  <c r="E743" i="8"/>
  <c r="F743" i="8"/>
  <c r="G743" i="8"/>
  <c r="E744" i="8"/>
  <c r="F744" i="8"/>
  <c r="H744" i="8" s="1"/>
  <c r="G744" i="8"/>
  <c r="E745" i="8"/>
  <c r="F745" i="8"/>
  <c r="H745" i="8" s="1"/>
  <c r="G745" i="8"/>
  <c r="E746" i="8"/>
  <c r="F746" i="8"/>
  <c r="G746" i="8"/>
  <c r="E747" i="8"/>
  <c r="F747" i="8"/>
  <c r="H747" i="8" s="1"/>
  <c r="G747" i="8"/>
  <c r="E748" i="8"/>
  <c r="F748" i="8"/>
  <c r="H748" i="8" s="1"/>
  <c r="G748" i="8"/>
  <c r="E749" i="8"/>
  <c r="F749" i="8"/>
  <c r="H749" i="8" s="1"/>
  <c r="G749" i="8"/>
  <c r="E750" i="8"/>
  <c r="F750" i="8"/>
  <c r="G750" i="8"/>
  <c r="E751" i="8"/>
  <c r="F751" i="8"/>
  <c r="H751" i="8" s="1"/>
  <c r="G751" i="8"/>
  <c r="E752" i="8"/>
  <c r="F752" i="8"/>
  <c r="H752" i="8" s="1"/>
  <c r="G752" i="8"/>
  <c r="E753" i="8"/>
  <c r="F753" i="8"/>
  <c r="H753" i="8" s="1"/>
  <c r="G753" i="8"/>
  <c r="E754" i="8"/>
  <c r="F754" i="8"/>
  <c r="H754" i="8" s="1"/>
  <c r="G754" i="8"/>
  <c r="E755" i="8"/>
  <c r="F755" i="8"/>
  <c r="H755" i="8" s="1"/>
  <c r="G755" i="8"/>
  <c r="E756" i="8"/>
  <c r="F756" i="8"/>
  <c r="H756" i="8" s="1"/>
  <c r="G756" i="8"/>
  <c r="E757" i="8"/>
  <c r="F757" i="8"/>
  <c r="H757" i="8" s="1"/>
  <c r="G757" i="8"/>
  <c r="E758" i="8"/>
  <c r="F758" i="8"/>
  <c r="H758" i="8" s="1"/>
  <c r="G758" i="8"/>
  <c r="E759" i="8"/>
  <c r="F759" i="8"/>
  <c r="H759" i="8" s="1"/>
  <c r="G759" i="8"/>
  <c r="E760" i="8"/>
  <c r="F760" i="8"/>
  <c r="H760" i="8" s="1"/>
  <c r="G760" i="8"/>
  <c r="E761" i="8"/>
  <c r="F761" i="8"/>
  <c r="H761" i="8" s="1"/>
  <c r="G761" i="8"/>
  <c r="E762" i="8"/>
  <c r="F762" i="8"/>
  <c r="H762" i="8" s="1"/>
  <c r="G762" i="8"/>
  <c r="E763" i="8"/>
  <c r="F763" i="8"/>
  <c r="H763" i="8" s="1"/>
  <c r="G763" i="8"/>
  <c r="E764" i="8"/>
  <c r="F764" i="8"/>
  <c r="H764" i="8" s="1"/>
  <c r="G764" i="8"/>
  <c r="E765" i="8"/>
  <c r="F765" i="8"/>
  <c r="H765" i="8" s="1"/>
  <c r="G765" i="8"/>
  <c r="E766" i="8"/>
  <c r="F766" i="8"/>
  <c r="H766" i="8" s="1"/>
  <c r="G766" i="8"/>
  <c r="E767" i="8"/>
  <c r="F767" i="8"/>
  <c r="G767" i="8"/>
  <c r="E768" i="8"/>
  <c r="F768" i="8"/>
  <c r="G768" i="8"/>
  <c r="E769" i="8"/>
  <c r="F769" i="8"/>
  <c r="H769" i="8" s="1"/>
  <c r="G769" i="8"/>
  <c r="E770" i="8"/>
  <c r="F770" i="8"/>
  <c r="H770" i="8" s="1"/>
  <c r="G770" i="8"/>
  <c r="E771" i="8"/>
  <c r="F771" i="8"/>
  <c r="H771" i="8" s="1"/>
  <c r="G771" i="8"/>
  <c r="E772" i="8"/>
  <c r="F772" i="8"/>
  <c r="H772" i="8" s="1"/>
  <c r="G772" i="8"/>
  <c r="E773" i="8"/>
  <c r="F773" i="8"/>
  <c r="H773" i="8" s="1"/>
  <c r="G773" i="8"/>
  <c r="E774" i="8"/>
  <c r="F774" i="8"/>
  <c r="H774" i="8" s="1"/>
  <c r="G774" i="8"/>
  <c r="E775" i="8"/>
  <c r="F775" i="8"/>
  <c r="G775" i="8"/>
  <c r="E776" i="8"/>
  <c r="F776" i="8"/>
  <c r="G776" i="8"/>
  <c r="E777" i="8"/>
  <c r="F777" i="8"/>
  <c r="H777" i="8" s="1"/>
  <c r="G777" i="8"/>
  <c r="E778" i="8"/>
  <c r="F778" i="8"/>
  <c r="H778" i="8" s="1"/>
  <c r="G778" i="8"/>
  <c r="E779" i="8"/>
  <c r="F779" i="8"/>
  <c r="H779" i="8" s="1"/>
  <c r="G779" i="8"/>
  <c r="E780" i="8"/>
  <c r="F780" i="8"/>
  <c r="H780" i="8" s="1"/>
  <c r="G780" i="8"/>
  <c r="E781" i="8"/>
  <c r="F781" i="8"/>
  <c r="H781" i="8" s="1"/>
  <c r="G781" i="8"/>
  <c r="E782" i="8"/>
  <c r="F782" i="8"/>
  <c r="H782" i="8" s="1"/>
  <c r="G782" i="8"/>
  <c r="E783" i="8"/>
  <c r="F783" i="8"/>
  <c r="H783" i="8" s="1"/>
  <c r="G783" i="8"/>
  <c r="E784" i="8"/>
  <c r="F784" i="8"/>
  <c r="H784" i="8" s="1"/>
  <c r="G784" i="8"/>
  <c r="E785" i="8"/>
  <c r="F785" i="8"/>
  <c r="H785" i="8" s="1"/>
  <c r="G785" i="8"/>
  <c r="E786" i="8"/>
  <c r="F786" i="8"/>
  <c r="G786" i="8"/>
  <c r="E787" i="8"/>
  <c r="F787" i="8"/>
  <c r="H787" i="8" s="1"/>
  <c r="G787" i="8"/>
  <c r="E788" i="8"/>
  <c r="F788" i="8"/>
  <c r="G788" i="8"/>
  <c r="E789" i="8"/>
  <c r="F789" i="8"/>
  <c r="H789" i="8" s="1"/>
  <c r="G789" i="8"/>
  <c r="E790" i="8"/>
  <c r="F790" i="8"/>
  <c r="G790" i="8"/>
  <c r="E791" i="8"/>
  <c r="F791" i="8"/>
  <c r="H791" i="8" s="1"/>
  <c r="G791" i="8"/>
  <c r="E792" i="8"/>
  <c r="F792" i="8"/>
  <c r="H792" i="8" s="1"/>
  <c r="G792" i="8"/>
  <c r="E793" i="8"/>
  <c r="F793" i="8"/>
  <c r="H793" i="8" s="1"/>
  <c r="G793" i="8"/>
  <c r="E794" i="8"/>
  <c r="F794" i="8"/>
  <c r="H794" i="8" s="1"/>
  <c r="G794" i="8"/>
  <c r="E795" i="8"/>
  <c r="F795" i="8"/>
  <c r="H795" i="8" s="1"/>
  <c r="G795" i="8"/>
  <c r="E796" i="8"/>
  <c r="F796" i="8"/>
  <c r="H796" i="8" s="1"/>
  <c r="G796" i="8"/>
  <c r="E797" i="8"/>
  <c r="F797" i="8"/>
  <c r="H797" i="8" s="1"/>
  <c r="G797" i="8"/>
  <c r="E798" i="8"/>
  <c r="F798" i="8"/>
  <c r="H798" i="8" s="1"/>
  <c r="G798" i="8"/>
  <c r="E799" i="8"/>
  <c r="F799" i="8"/>
  <c r="H799" i="8" s="1"/>
  <c r="G799" i="8"/>
  <c r="E800" i="8"/>
  <c r="F800" i="8"/>
  <c r="H800" i="8" s="1"/>
  <c r="G800" i="8"/>
  <c r="E801" i="8"/>
  <c r="F801" i="8"/>
  <c r="H801" i="8" s="1"/>
  <c r="G801" i="8"/>
  <c r="E802" i="8"/>
  <c r="F802" i="8"/>
  <c r="H802" i="8" s="1"/>
  <c r="G802" i="8"/>
  <c r="E803" i="8"/>
  <c r="F803" i="8"/>
  <c r="H803" i="8" s="1"/>
  <c r="G803" i="8"/>
  <c r="E804" i="8"/>
  <c r="F804" i="8"/>
  <c r="G804" i="8"/>
  <c r="E805" i="8"/>
  <c r="F805" i="8"/>
  <c r="H805" i="8" s="1"/>
  <c r="G805" i="8"/>
  <c r="E806" i="8"/>
  <c r="F806" i="8"/>
  <c r="H806" i="8" s="1"/>
  <c r="G806" i="8"/>
  <c r="E807" i="8"/>
  <c r="F807" i="8"/>
  <c r="H807" i="8" s="1"/>
  <c r="G807" i="8"/>
  <c r="E808" i="8"/>
  <c r="F808" i="8"/>
  <c r="H808" i="8" s="1"/>
  <c r="G808" i="8"/>
  <c r="E809" i="8"/>
  <c r="F809" i="8"/>
  <c r="G809" i="8"/>
  <c r="E810" i="8"/>
  <c r="F810" i="8"/>
  <c r="H810" i="8" s="1"/>
  <c r="G810" i="8"/>
  <c r="E811" i="8"/>
  <c r="F811" i="8"/>
  <c r="H811" i="8" s="1"/>
  <c r="G811" i="8"/>
  <c r="E812" i="8"/>
  <c r="F812" i="8"/>
  <c r="H812" i="8" s="1"/>
  <c r="G812" i="8"/>
  <c r="E813" i="8"/>
  <c r="F813" i="8"/>
  <c r="G813" i="8"/>
  <c r="E814" i="8"/>
  <c r="F814" i="8"/>
  <c r="H814" i="8" s="1"/>
  <c r="G814" i="8"/>
  <c r="E815" i="8"/>
  <c r="F815" i="8"/>
  <c r="H815" i="8" s="1"/>
  <c r="G815" i="8"/>
  <c r="E816" i="8"/>
  <c r="F816" i="8"/>
  <c r="G816" i="8"/>
  <c r="E817" i="8"/>
  <c r="F817" i="8"/>
  <c r="G817" i="8"/>
  <c r="E818" i="8"/>
  <c r="F818" i="8"/>
  <c r="H818" i="8" s="1"/>
  <c r="G818" i="8"/>
  <c r="E819" i="8"/>
  <c r="F819" i="8"/>
  <c r="H819" i="8" s="1"/>
  <c r="G819" i="8"/>
  <c r="E820" i="8"/>
  <c r="F820" i="8"/>
  <c r="G820" i="8"/>
  <c r="E821" i="8"/>
  <c r="F821" i="8"/>
  <c r="G821" i="8"/>
  <c r="E822" i="8"/>
  <c r="F822" i="8"/>
  <c r="H822" i="8" s="1"/>
  <c r="G822" i="8"/>
  <c r="E823" i="8"/>
  <c r="F823" i="8"/>
  <c r="H823" i="8" s="1"/>
  <c r="G823" i="8"/>
  <c r="E824" i="8"/>
  <c r="F824" i="8"/>
  <c r="H824" i="8" s="1"/>
  <c r="G824" i="8"/>
  <c r="E825" i="8"/>
  <c r="F825" i="8"/>
  <c r="H825" i="8" s="1"/>
  <c r="G825" i="8"/>
  <c r="E826" i="8"/>
  <c r="F826" i="8"/>
  <c r="H826" i="8" s="1"/>
  <c r="G826" i="8"/>
  <c r="E827" i="8"/>
  <c r="F827" i="8"/>
  <c r="H827" i="8" s="1"/>
  <c r="G827" i="8"/>
  <c r="E828" i="8"/>
  <c r="F828" i="8"/>
  <c r="H828" i="8" s="1"/>
  <c r="G828" i="8"/>
  <c r="E829" i="8"/>
  <c r="F829" i="8"/>
  <c r="H829" i="8" s="1"/>
  <c r="G829" i="8"/>
  <c r="E830" i="8"/>
  <c r="F830" i="8"/>
  <c r="G830" i="8"/>
  <c r="E831" i="8"/>
  <c r="F831" i="8"/>
  <c r="G831" i="8"/>
  <c r="E832" i="8"/>
  <c r="F832" i="8"/>
  <c r="H832" i="8" s="1"/>
  <c r="G832" i="8"/>
  <c r="E833" i="8"/>
  <c r="F833" i="8"/>
  <c r="G833" i="8"/>
  <c r="E834" i="8"/>
  <c r="F834" i="8"/>
  <c r="H834" i="8" s="1"/>
  <c r="G834" i="8"/>
  <c r="E835" i="8"/>
  <c r="F835" i="8"/>
  <c r="H835" i="8" s="1"/>
  <c r="G835" i="8"/>
  <c r="E836" i="8"/>
  <c r="F836" i="8"/>
  <c r="H836" i="8" s="1"/>
  <c r="G836" i="8"/>
  <c r="E837" i="8"/>
  <c r="F837" i="8"/>
  <c r="H837" i="8" s="1"/>
  <c r="G837" i="8"/>
  <c r="E838" i="8"/>
  <c r="F838" i="8"/>
  <c r="H838" i="8" s="1"/>
  <c r="G838" i="8"/>
  <c r="E839" i="8"/>
  <c r="F839" i="8"/>
  <c r="H839" i="8" s="1"/>
  <c r="G839" i="8"/>
  <c r="E840" i="8"/>
  <c r="F840" i="8"/>
  <c r="H840" i="8" s="1"/>
  <c r="G840" i="8"/>
  <c r="E841" i="8"/>
  <c r="F841" i="8"/>
  <c r="H841" i="8" s="1"/>
  <c r="G841" i="8"/>
  <c r="E842" i="8"/>
  <c r="F842" i="8"/>
  <c r="H842" i="8" s="1"/>
  <c r="G842" i="8"/>
  <c r="E843" i="8"/>
  <c r="F843" i="8"/>
  <c r="H843" i="8" s="1"/>
  <c r="G843" i="8"/>
  <c r="E844" i="8"/>
  <c r="F844" i="8"/>
  <c r="H844" i="8" s="1"/>
  <c r="G844" i="8"/>
  <c r="E845" i="8"/>
  <c r="F845" i="8"/>
  <c r="H845" i="8" s="1"/>
  <c r="G845" i="8"/>
  <c r="E846" i="8"/>
  <c r="F846" i="8"/>
  <c r="H846" i="8" s="1"/>
  <c r="G846" i="8"/>
  <c r="E847" i="8"/>
  <c r="F847" i="8"/>
  <c r="H847" i="8" s="1"/>
  <c r="G847" i="8"/>
  <c r="E848" i="8"/>
  <c r="F848" i="8"/>
  <c r="G848" i="8"/>
  <c r="E849" i="8"/>
  <c r="F849" i="8"/>
  <c r="H849" i="8" s="1"/>
  <c r="G849" i="8"/>
  <c r="E850" i="8"/>
  <c r="F850" i="8"/>
  <c r="G850" i="8"/>
  <c r="E851" i="8"/>
  <c r="F851" i="8"/>
  <c r="H851" i="8" s="1"/>
  <c r="G851" i="8"/>
  <c r="E852" i="8"/>
  <c r="F852" i="8"/>
  <c r="H852" i="8" s="1"/>
  <c r="G852" i="8"/>
  <c r="E853" i="8"/>
  <c r="F853" i="8"/>
  <c r="H853" i="8" s="1"/>
  <c r="G853" i="8"/>
  <c r="E854" i="8"/>
  <c r="F854" i="8"/>
  <c r="G854" i="8"/>
  <c r="E855" i="8"/>
  <c r="F855" i="8"/>
  <c r="H855" i="8" s="1"/>
  <c r="G855" i="8"/>
  <c r="E856" i="8"/>
  <c r="F856" i="8"/>
  <c r="H856" i="8" s="1"/>
  <c r="G856" i="8"/>
  <c r="E857" i="8"/>
  <c r="F857" i="8"/>
  <c r="H857" i="8" s="1"/>
  <c r="G857" i="8"/>
  <c r="E858" i="8"/>
  <c r="F858" i="8"/>
  <c r="H858" i="8" s="1"/>
  <c r="G858" i="8"/>
  <c r="E859" i="8"/>
  <c r="F859" i="8"/>
  <c r="H859" i="8" s="1"/>
  <c r="G859" i="8"/>
  <c r="E860" i="8"/>
  <c r="F860" i="8"/>
  <c r="G860" i="8"/>
  <c r="E861" i="8"/>
  <c r="F861" i="8"/>
  <c r="H861" i="8" s="1"/>
  <c r="G861" i="8"/>
  <c r="E862" i="8"/>
  <c r="F862" i="8"/>
  <c r="H862" i="8" s="1"/>
  <c r="G862" i="8"/>
  <c r="E863" i="8"/>
  <c r="F863" i="8"/>
  <c r="G863" i="8"/>
  <c r="E864" i="8"/>
  <c r="F864" i="8"/>
  <c r="H864" i="8" s="1"/>
  <c r="G864" i="8"/>
  <c r="E865" i="8"/>
  <c r="F865" i="8"/>
  <c r="G865" i="8"/>
  <c r="E866" i="8"/>
  <c r="F866" i="8"/>
  <c r="H866" i="8" s="1"/>
  <c r="G866" i="8"/>
  <c r="E867" i="8"/>
  <c r="F867" i="8"/>
  <c r="H867" i="8" s="1"/>
  <c r="G867" i="8"/>
  <c r="E868" i="8"/>
  <c r="F868" i="8"/>
  <c r="H868" i="8" s="1"/>
  <c r="G868" i="8"/>
  <c r="E869" i="8"/>
  <c r="F869" i="8"/>
  <c r="H869" i="8" s="1"/>
  <c r="G869" i="8"/>
  <c r="E870" i="8"/>
  <c r="F870" i="8"/>
  <c r="H870" i="8" s="1"/>
  <c r="G870" i="8"/>
  <c r="E871" i="8"/>
  <c r="F871" i="8"/>
  <c r="G871" i="8"/>
  <c r="E872" i="8"/>
  <c r="F872" i="8"/>
  <c r="H872" i="8" s="1"/>
  <c r="G872" i="8"/>
  <c r="E873" i="8"/>
  <c r="F873" i="8"/>
  <c r="H873" i="8" s="1"/>
  <c r="G873" i="8"/>
  <c r="E874" i="8"/>
  <c r="F874" i="8"/>
  <c r="H874" i="8" s="1"/>
  <c r="G874" i="8"/>
  <c r="E875" i="8"/>
  <c r="F875" i="8"/>
  <c r="H875" i="8" s="1"/>
  <c r="G875" i="8"/>
  <c r="E876" i="8"/>
  <c r="F876" i="8"/>
  <c r="G876" i="8"/>
  <c r="E877" i="8"/>
  <c r="F877" i="8"/>
  <c r="H877" i="8" s="1"/>
  <c r="G877" i="8"/>
  <c r="E878" i="8"/>
  <c r="F878" i="8"/>
  <c r="H878" i="8" s="1"/>
  <c r="G878" i="8"/>
  <c r="E879" i="8"/>
  <c r="F879" i="8"/>
  <c r="H879" i="8" s="1"/>
  <c r="G879" i="8"/>
  <c r="E880" i="8"/>
  <c r="F880" i="8"/>
  <c r="H880" i="8" s="1"/>
  <c r="G880" i="8"/>
  <c r="E881" i="8"/>
  <c r="F881" i="8"/>
  <c r="H881" i="8" s="1"/>
  <c r="G881" i="8"/>
  <c r="E882" i="8"/>
  <c r="F882" i="8"/>
  <c r="H882" i="8" s="1"/>
  <c r="G882" i="8"/>
  <c r="E883" i="8"/>
  <c r="F883" i="8"/>
  <c r="H883" i="8" s="1"/>
  <c r="G883" i="8"/>
  <c r="E884" i="8"/>
  <c r="F884" i="8"/>
  <c r="G884" i="8"/>
  <c r="E885" i="8"/>
  <c r="F885" i="8"/>
  <c r="H885" i="8" s="1"/>
  <c r="G885" i="8"/>
  <c r="E886" i="8"/>
  <c r="F886" i="8"/>
  <c r="H886" i="8" s="1"/>
  <c r="G886" i="8"/>
  <c r="E887" i="8"/>
  <c r="F887" i="8"/>
  <c r="H887" i="8" s="1"/>
  <c r="G887" i="8"/>
  <c r="E888" i="8"/>
  <c r="F888" i="8"/>
  <c r="H888" i="8" s="1"/>
  <c r="G888" i="8"/>
  <c r="E889" i="8"/>
  <c r="F889" i="8"/>
  <c r="H889" i="8" s="1"/>
  <c r="G889" i="8"/>
  <c r="E890" i="8"/>
  <c r="F890" i="8"/>
  <c r="H890" i="8" s="1"/>
  <c r="G890" i="8"/>
  <c r="E891" i="8"/>
  <c r="F891" i="8"/>
  <c r="H891" i="8" s="1"/>
  <c r="G891" i="8"/>
  <c r="E892" i="8"/>
  <c r="F892" i="8"/>
  <c r="H892" i="8" s="1"/>
  <c r="G892" i="8"/>
  <c r="E893" i="8"/>
  <c r="F893" i="8"/>
  <c r="H893" i="8" s="1"/>
  <c r="G893" i="8"/>
  <c r="E894" i="8"/>
  <c r="F894" i="8"/>
  <c r="H894" i="8" s="1"/>
  <c r="G894" i="8"/>
  <c r="E895" i="8"/>
  <c r="F895" i="8"/>
  <c r="H895" i="8" s="1"/>
  <c r="G895" i="8"/>
  <c r="E896" i="8"/>
  <c r="F896" i="8"/>
  <c r="H896" i="8" s="1"/>
  <c r="G896" i="8"/>
  <c r="E897" i="8"/>
  <c r="F897" i="8"/>
  <c r="G897" i="8"/>
  <c r="E898" i="8"/>
  <c r="F898" i="8"/>
  <c r="G898" i="8"/>
  <c r="E899" i="8"/>
  <c r="F899" i="8"/>
  <c r="G899" i="8"/>
  <c r="E900" i="8"/>
  <c r="F900" i="8"/>
  <c r="H900" i="8" s="1"/>
  <c r="G900" i="8"/>
  <c r="E901" i="8"/>
  <c r="F901" i="8"/>
  <c r="H901" i="8" s="1"/>
  <c r="G901" i="8"/>
  <c r="E902" i="8"/>
  <c r="F902" i="8"/>
  <c r="H902" i="8" s="1"/>
  <c r="G902" i="8"/>
  <c r="E903" i="8"/>
  <c r="F903" i="8"/>
  <c r="H903" i="8" s="1"/>
  <c r="G903" i="8"/>
  <c r="E904" i="8"/>
  <c r="F904" i="8"/>
  <c r="G904" i="8"/>
  <c r="E905" i="8"/>
  <c r="F905" i="8"/>
  <c r="H905" i="8" s="1"/>
  <c r="G905" i="8"/>
  <c r="E906" i="8"/>
  <c r="F906" i="8"/>
  <c r="H906" i="8" s="1"/>
  <c r="G906" i="8"/>
  <c r="E907" i="8"/>
  <c r="F907" i="8"/>
  <c r="H907" i="8" s="1"/>
  <c r="G907" i="8"/>
  <c r="E908" i="8"/>
  <c r="F908" i="8"/>
  <c r="H908" i="8" s="1"/>
  <c r="G908" i="8"/>
  <c r="E909" i="8"/>
  <c r="F909" i="8"/>
  <c r="G909" i="8"/>
  <c r="E910" i="8"/>
  <c r="F910" i="8"/>
  <c r="H910" i="8" s="1"/>
  <c r="G910" i="8"/>
  <c r="E911" i="8"/>
  <c r="F911" i="8"/>
  <c r="H911" i="8" s="1"/>
  <c r="G911" i="8"/>
  <c r="E912" i="8"/>
  <c r="F912" i="8"/>
  <c r="H912" i="8" s="1"/>
  <c r="G912" i="8"/>
  <c r="E913" i="8"/>
  <c r="F913" i="8"/>
  <c r="G913" i="8"/>
  <c r="E914" i="8"/>
  <c r="F914" i="8"/>
  <c r="H914" i="8" s="1"/>
  <c r="G914" i="8"/>
  <c r="E915" i="8"/>
  <c r="F915" i="8"/>
  <c r="H915" i="8" s="1"/>
  <c r="G915" i="8"/>
  <c r="E916" i="8"/>
  <c r="F916" i="8"/>
  <c r="H916" i="8" s="1"/>
  <c r="G916" i="8"/>
  <c r="E917" i="8"/>
  <c r="F917" i="8"/>
  <c r="H917" i="8" s="1"/>
  <c r="G917" i="8"/>
  <c r="E918" i="8"/>
  <c r="F918" i="8"/>
  <c r="H918" i="8" s="1"/>
  <c r="G918" i="8"/>
  <c r="E919" i="8"/>
  <c r="F919" i="8"/>
  <c r="G919" i="8"/>
  <c r="E920" i="8"/>
  <c r="F920" i="8"/>
  <c r="H920" i="8" s="1"/>
  <c r="G920" i="8"/>
  <c r="E921" i="8"/>
  <c r="F921" i="8"/>
  <c r="H921" i="8" s="1"/>
  <c r="G921" i="8"/>
  <c r="E922" i="8"/>
  <c r="F922" i="8"/>
  <c r="H922" i="8" s="1"/>
  <c r="G922" i="8"/>
  <c r="E923" i="8"/>
  <c r="F923" i="8"/>
  <c r="H923" i="8" s="1"/>
  <c r="G923" i="8"/>
  <c r="E924" i="8"/>
  <c r="F924" i="8"/>
  <c r="H924" i="8" s="1"/>
  <c r="G924" i="8"/>
  <c r="E925" i="8"/>
  <c r="F925" i="8"/>
  <c r="H925" i="8" s="1"/>
  <c r="G925" i="8"/>
  <c r="E926" i="8"/>
  <c r="F926" i="8"/>
  <c r="G926" i="8"/>
  <c r="E927" i="8"/>
  <c r="F927" i="8"/>
  <c r="H927" i="8" s="1"/>
  <c r="G927" i="8"/>
  <c r="E928" i="8"/>
  <c r="F928" i="8"/>
  <c r="H928" i="8" s="1"/>
  <c r="G928" i="8"/>
  <c r="E929" i="8"/>
  <c r="F929" i="8"/>
  <c r="H929" i="8" s="1"/>
  <c r="G929" i="8"/>
  <c r="E930" i="8"/>
  <c r="F930" i="8"/>
  <c r="G930" i="8"/>
  <c r="E931" i="8"/>
  <c r="F931" i="8"/>
  <c r="H931" i="8" s="1"/>
  <c r="G931" i="8"/>
  <c r="E932" i="8"/>
  <c r="F932" i="8"/>
  <c r="G932" i="8"/>
  <c r="E933" i="8"/>
  <c r="F933" i="8"/>
  <c r="H933" i="8" s="1"/>
  <c r="G933" i="8"/>
  <c r="E934" i="8"/>
  <c r="F934" i="8"/>
  <c r="G934" i="8"/>
  <c r="E935" i="8"/>
  <c r="F935" i="8"/>
  <c r="G935" i="8"/>
  <c r="E936" i="8"/>
  <c r="F936" i="8"/>
  <c r="H936" i="8" s="1"/>
  <c r="G936" i="8"/>
  <c r="E937" i="8"/>
  <c r="F937" i="8"/>
  <c r="H937" i="8" s="1"/>
  <c r="G937" i="8"/>
  <c r="E938" i="8"/>
  <c r="F938" i="8"/>
  <c r="H938" i="8" s="1"/>
  <c r="G938" i="8"/>
  <c r="E939" i="8"/>
  <c r="F939" i="8"/>
  <c r="H939" i="8" s="1"/>
  <c r="G939" i="8"/>
  <c r="E940" i="8"/>
  <c r="F940" i="8"/>
  <c r="G940" i="8"/>
  <c r="E941" i="8"/>
  <c r="F941" i="8"/>
  <c r="H941" i="8" s="1"/>
  <c r="G941" i="8"/>
  <c r="E942" i="8"/>
  <c r="F942" i="8"/>
  <c r="G942" i="8"/>
  <c r="E943" i="8"/>
  <c r="F943" i="8"/>
  <c r="H943" i="8" s="1"/>
  <c r="G943" i="8"/>
  <c r="E944" i="8"/>
  <c r="F944" i="8"/>
  <c r="G944" i="8"/>
  <c r="E945" i="8"/>
  <c r="F945" i="8"/>
  <c r="H945" i="8" s="1"/>
  <c r="G945" i="8"/>
  <c r="E946" i="8"/>
  <c r="F946" i="8"/>
  <c r="G946" i="8"/>
  <c r="E947" i="8"/>
  <c r="F947" i="8"/>
  <c r="H947" i="8" s="1"/>
  <c r="G947" i="8"/>
  <c r="E948" i="8"/>
  <c r="F948" i="8"/>
  <c r="H948" i="8" s="1"/>
  <c r="G948" i="8"/>
  <c r="E949" i="8"/>
  <c r="F949" i="8"/>
  <c r="H949" i="8" s="1"/>
  <c r="G949" i="8"/>
  <c r="E950" i="8"/>
  <c r="F950" i="8"/>
  <c r="H950" i="8" s="1"/>
  <c r="G950" i="8"/>
  <c r="E951" i="8"/>
  <c r="F951" i="8"/>
  <c r="H951" i="8" s="1"/>
  <c r="G951" i="8"/>
  <c r="E952" i="8"/>
  <c r="F952" i="8"/>
  <c r="H952" i="8" s="1"/>
  <c r="G952" i="8"/>
  <c r="E953" i="8"/>
  <c r="F953" i="8"/>
  <c r="H953" i="8" s="1"/>
  <c r="G953" i="8"/>
  <c r="E954" i="8"/>
  <c r="F954" i="8"/>
  <c r="H954" i="8" s="1"/>
  <c r="G954" i="8"/>
  <c r="E955" i="8"/>
  <c r="F955" i="8"/>
  <c r="H955" i="8" s="1"/>
  <c r="G955" i="8"/>
  <c r="E956" i="8"/>
  <c r="F956" i="8"/>
  <c r="H956" i="8" s="1"/>
  <c r="G956" i="8"/>
  <c r="E957" i="8"/>
  <c r="F957" i="8"/>
  <c r="G957" i="8"/>
  <c r="E958" i="8"/>
  <c r="F958" i="8"/>
  <c r="H958" i="8" s="1"/>
  <c r="G958" i="8"/>
  <c r="E959" i="8"/>
  <c r="F959" i="8"/>
  <c r="G959" i="8"/>
  <c r="E960" i="8"/>
  <c r="F960" i="8"/>
  <c r="H960" i="8" s="1"/>
  <c r="G960" i="8"/>
  <c r="E961" i="8"/>
  <c r="F961" i="8"/>
  <c r="H961" i="8" s="1"/>
  <c r="G961" i="8"/>
  <c r="E962" i="8"/>
  <c r="F962" i="8"/>
  <c r="H962" i="8" s="1"/>
  <c r="G962" i="8"/>
  <c r="E963" i="8"/>
  <c r="F963" i="8"/>
  <c r="H963" i="8" s="1"/>
  <c r="G963" i="8"/>
  <c r="E964" i="8"/>
  <c r="F964" i="8"/>
  <c r="H964" i="8" s="1"/>
  <c r="G964" i="8"/>
  <c r="E965" i="8"/>
  <c r="F965" i="8"/>
  <c r="H965" i="8" s="1"/>
  <c r="G965" i="8"/>
  <c r="E966" i="8"/>
  <c r="F966" i="8"/>
  <c r="H966" i="8" s="1"/>
  <c r="G966" i="8"/>
  <c r="E967" i="8"/>
  <c r="F967" i="8"/>
  <c r="H967" i="8" s="1"/>
  <c r="G967" i="8"/>
  <c r="E968" i="8"/>
  <c r="F968" i="8"/>
  <c r="H968" i="8" s="1"/>
  <c r="G968" i="8"/>
  <c r="E969" i="8"/>
  <c r="F969" i="8"/>
  <c r="H969" i="8" s="1"/>
  <c r="G969" i="8"/>
  <c r="E970" i="8"/>
  <c r="F970" i="8"/>
  <c r="H970" i="8" s="1"/>
  <c r="G970" i="8"/>
  <c r="E971" i="8"/>
  <c r="F971" i="8"/>
  <c r="H971" i="8" s="1"/>
  <c r="G971" i="8"/>
  <c r="E972" i="8"/>
  <c r="F972" i="8"/>
  <c r="H972" i="8" s="1"/>
  <c r="G972" i="8"/>
  <c r="E973" i="8"/>
  <c r="F973" i="8"/>
  <c r="H973" i="8" s="1"/>
  <c r="G973" i="8"/>
  <c r="E974" i="8"/>
  <c r="F974" i="8"/>
  <c r="H974" i="8" s="1"/>
  <c r="G974" i="8"/>
  <c r="E975" i="8"/>
  <c r="F975" i="8"/>
  <c r="H975" i="8" s="1"/>
  <c r="G975" i="8"/>
  <c r="E976" i="8"/>
  <c r="F976" i="8"/>
  <c r="H976" i="8" s="1"/>
  <c r="G976" i="8"/>
  <c r="E977" i="8"/>
  <c r="F977" i="8"/>
  <c r="H977" i="8" s="1"/>
  <c r="G977" i="8"/>
  <c r="E978" i="8"/>
  <c r="F978" i="8"/>
  <c r="H978" i="8" s="1"/>
  <c r="G978" i="8"/>
  <c r="E979" i="8"/>
  <c r="F979" i="8"/>
  <c r="H979" i="8" s="1"/>
  <c r="G979" i="8"/>
  <c r="E980" i="8"/>
  <c r="F980" i="8"/>
  <c r="H980" i="8" s="1"/>
  <c r="G980" i="8"/>
  <c r="E981" i="8"/>
  <c r="F981" i="8"/>
  <c r="H981" i="8" s="1"/>
  <c r="G981" i="8"/>
  <c r="E982" i="8"/>
  <c r="F982" i="8"/>
  <c r="H982" i="8" s="1"/>
  <c r="G982" i="8"/>
  <c r="E983" i="8"/>
  <c r="F983" i="8"/>
  <c r="H983" i="8" s="1"/>
  <c r="G983" i="8"/>
  <c r="E984" i="8"/>
  <c r="F984" i="8"/>
  <c r="H984" i="8" s="1"/>
  <c r="G984" i="8"/>
  <c r="E985" i="8"/>
  <c r="F985" i="8"/>
  <c r="H985" i="8" s="1"/>
  <c r="G985" i="8"/>
  <c r="E986" i="8"/>
  <c r="F986" i="8"/>
  <c r="H986" i="8" s="1"/>
  <c r="G986" i="8"/>
  <c r="E987" i="8"/>
  <c r="F987" i="8"/>
  <c r="H987" i="8" s="1"/>
  <c r="G987" i="8"/>
  <c r="E988" i="8"/>
  <c r="F988" i="8"/>
  <c r="H988" i="8" s="1"/>
  <c r="G988" i="8"/>
  <c r="E989" i="8"/>
  <c r="F989" i="8"/>
  <c r="H989" i="8" s="1"/>
  <c r="G989" i="8"/>
  <c r="E990" i="8"/>
  <c r="F990" i="8"/>
  <c r="H990" i="8" s="1"/>
  <c r="G990" i="8"/>
  <c r="E991" i="8"/>
  <c r="F991" i="8"/>
  <c r="H991" i="8" s="1"/>
  <c r="G991" i="8"/>
  <c r="E992" i="8"/>
  <c r="F992" i="8"/>
  <c r="H992" i="8" s="1"/>
  <c r="G992" i="8"/>
  <c r="E993" i="8"/>
  <c r="F993" i="8"/>
  <c r="H993" i="8" s="1"/>
  <c r="G993" i="8"/>
  <c r="E994" i="8"/>
  <c r="F994" i="8"/>
  <c r="H994" i="8" s="1"/>
  <c r="G994" i="8"/>
  <c r="E995" i="8"/>
  <c r="F995" i="8"/>
  <c r="G995" i="8"/>
  <c r="E996" i="8"/>
  <c r="F996" i="8"/>
  <c r="H996" i="8" s="1"/>
  <c r="G996" i="8"/>
  <c r="E997" i="8"/>
  <c r="F997" i="8"/>
  <c r="H997" i="8" s="1"/>
  <c r="G997" i="8"/>
  <c r="E998" i="8"/>
  <c r="F998" i="8"/>
  <c r="H998" i="8" s="1"/>
  <c r="G998" i="8"/>
  <c r="E999" i="8"/>
  <c r="F999" i="8"/>
  <c r="H999" i="8" s="1"/>
  <c r="G999" i="8"/>
  <c r="E1000" i="8"/>
  <c r="F1000" i="8"/>
  <c r="H1000" i="8" s="1"/>
  <c r="G1000" i="8"/>
  <c r="E1001" i="8"/>
  <c r="F1001" i="8"/>
  <c r="H1001" i="8" s="1"/>
  <c r="G1001" i="8"/>
  <c r="E1002" i="8"/>
  <c r="F1002" i="8"/>
  <c r="H1002" i="8" s="1"/>
  <c r="G1002" i="8"/>
  <c r="E1003" i="8"/>
  <c r="F1003" i="8"/>
  <c r="H1003" i="8" s="1"/>
  <c r="G1003" i="8"/>
  <c r="E1004" i="8"/>
  <c r="F1004" i="8"/>
  <c r="H1004" i="8" s="1"/>
  <c r="G1004" i="8"/>
  <c r="E1005" i="8"/>
  <c r="F1005" i="8"/>
  <c r="H1005" i="8" s="1"/>
  <c r="G1005" i="8"/>
  <c r="E1006" i="8"/>
  <c r="F1006" i="8"/>
  <c r="H1006" i="8" s="1"/>
  <c r="G1006" i="8"/>
  <c r="E1007" i="8"/>
  <c r="F1007" i="8"/>
  <c r="G1007" i="8"/>
  <c r="E1008" i="8"/>
  <c r="F1008" i="8"/>
  <c r="H1008" i="8" s="1"/>
  <c r="G1008" i="8"/>
  <c r="E1009" i="8"/>
  <c r="F1009" i="8"/>
  <c r="H1009" i="8" s="1"/>
  <c r="G1009" i="8"/>
  <c r="E1010" i="8"/>
  <c r="F1010" i="8"/>
  <c r="H1010" i="8" s="1"/>
  <c r="G1010" i="8"/>
  <c r="E1011" i="8"/>
  <c r="F1011" i="8"/>
  <c r="H1011" i="8" s="1"/>
  <c r="G1011" i="8"/>
  <c r="E1012" i="8"/>
  <c r="F1012" i="8"/>
  <c r="H1012" i="8" s="1"/>
  <c r="G1012" i="8"/>
  <c r="E1013" i="8"/>
  <c r="F1013" i="8"/>
  <c r="H1013" i="8" s="1"/>
  <c r="G1013" i="8"/>
  <c r="E1014" i="8"/>
  <c r="F1014" i="8"/>
  <c r="H1014" i="8" s="1"/>
  <c r="G1014" i="8"/>
  <c r="E1015" i="8"/>
  <c r="F1015" i="8"/>
  <c r="G1015" i="8"/>
  <c r="E1016" i="8"/>
  <c r="F1016" i="8"/>
  <c r="H1016" i="8" s="1"/>
  <c r="G1016" i="8"/>
  <c r="E1017" i="8"/>
  <c r="F1017" i="8"/>
  <c r="H1017" i="8" s="1"/>
  <c r="G1017" i="8"/>
  <c r="E1018" i="8"/>
  <c r="F1018" i="8"/>
  <c r="H1018" i="8" s="1"/>
  <c r="G1018" i="8"/>
  <c r="E1019" i="8"/>
  <c r="F1019" i="8"/>
  <c r="H1019" i="8" s="1"/>
  <c r="G1019" i="8"/>
  <c r="E1020" i="8"/>
  <c r="F1020" i="8"/>
  <c r="G1020" i="8"/>
  <c r="E1021" i="8"/>
  <c r="F1021" i="8"/>
  <c r="H1021" i="8" s="1"/>
  <c r="G1021" i="8"/>
  <c r="E1022" i="8"/>
  <c r="F1022" i="8"/>
  <c r="H1022" i="8" s="1"/>
  <c r="G1022" i="8"/>
  <c r="E1023" i="8"/>
  <c r="F1023" i="8"/>
  <c r="H1023" i="8" s="1"/>
  <c r="G1023" i="8"/>
  <c r="E1024" i="8"/>
  <c r="F1024" i="8"/>
  <c r="H1024" i="8" s="1"/>
  <c r="G1024" i="8"/>
  <c r="E1025" i="8"/>
  <c r="F1025" i="8"/>
  <c r="H1025" i="8" s="1"/>
  <c r="G1025" i="8"/>
  <c r="E1026" i="8"/>
  <c r="F1026" i="8"/>
  <c r="H1026" i="8" s="1"/>
  <c r="G1026" i="8"/>
  <c r="E1027" i="8"/>
  <c r="F1027" i="8"/>
  <c r="H1027" i="8" s="1"/>
  <c r="G1027" i="8"/>
  <c r="E1028" i="8"/>
  <c r="F1028" i="8"/>
  <c r="H1028" i="8" s="1"/>
  <c r="G1028" i="8"/>
  <c r="E1029" i="8"/>
  <c r="F1029" i="8"/>
  <c r="H1029" i="8" s="1"/>
  <c r="G1029" i="8"/>
  <c r="E1030" i="8"/>
  <c r="F1030" i="8"/>
  <c r="H1030" i="8" s="1"/>
  <c r="G1030" i="8"/>
  <c r="E1031" i="8"/>
  <c r="F1031" i="8"/>
  <c r="H1031" i="8" s="1"/>
  <c r="G1031" i="8"/>
  <c r="E1032" i="8"/>
  <c r="F1032" i="8"/>
  <c r="H1032" i="8" s="1"/>
  <c r="G1032" i="8"/>
  <c r="E1033" i="8"/>
  <c r="F1033" i="8"/>
  <c r="H1033" i="8" s="1"/>
  <c r="G1033" i="8"/>
  <c r="E1034" i="8"/>
  <c r="F1034" i="8"/>
  <c r="G1034" i="8"/>
  <c r="E1035" i="8"/>
  <c r="F1035" i="8"/>
  <c r="H1035" i="8" s="1"/>
  <c r="G1035" i="8"/>
  <c r="E1036" i="8"/>
  <c r="F1036" i="8"/>
  <c r="H1036" i="8" s="1"/>
  <c r="G1036" i="8"/>
  <c r="E1037" i="8"/>
  <c r="F1037" i="8"/>
  <c r="H1037" i="8" s="1"/>
  <c r="G1037" i="8"/>
  <c r="E1038" i="8"/>
  <c r="F1038" i="8"/>
  <c r="H1038" i="8" s="1"/>
  <c r="G1038" i="8"/>
  <c r="E1039" i="8"/>
  <c r="F1039" i="8"/>
  <c r="H1039" i="8" s="1"/>
  <c r="G1039" i="8"/>
  <c r="E1040" i="8"/>
  <c r="F1040" i="8"/>
  <c r="G1040" i="8"/>
  <c r="E1041" i="8"/>
  <c r="F1041" i="8"/>
  <c r="H1041" i="8" s="1"/>
  <c r="G1041" i="8"/>
  <c r="E1042" i="8"/>
  <c r="F1042" i="8"/>
  <c r="H1042" i="8" s="1"/>
  <c r="G1042" i="8"/>
  <c r="E1043" i="8"/>
  <c r="F1043" i="8"/>
  <c r="H1043" i="8" s="1"/>
  <c r="G1043" i="8"/>
  <c r="E1044" i="8"/>
  <c r="F1044" i="8"/>
  <c r="H1044" i="8" s="1"/>
  <c r="G1044" i="8"/>
  <c r="E1045" i="8"/>
  <c r="F1045" i="8"/>
  <c r="H1045" i="8" s="1"/>
  <c r="G1045" i="8"/>
  <c r="E1046" i="8"/>
  <c r="F1046" i="8"/>
  <c r="H1046" i="8" s="1"/>
  <c r="G1046" i="8"/>
  <c r="E1047" i="8"/>
  <c r="F1047" i="8"/>
  <c r="H1047" i="8" s="1"/>
  <c r="G1047" i="8"/>
  <c r="E1048" i="8"/>
  <c r="F1048" i="8"/>
  <c r="H1048" i="8" s="1"/>
  <c r="G1048" i="8"/>
  <c r="E1049" i="8"/>
  <c r="F1049" i="8"/>
  <c r="H1049" i="8" s="1"/>
  <c r="G1049" i="8"/>
  <c r="E1050" i="8"/>
  <c r="F1050" i="8"/>
  <c r="H1050" i="8" s="1"/>
  <c r="G1050" i="8"/>
  <c r="E1051" i="8"/>
  <c r="F1051" i="8"/>
  <c r="H1051" i="8" s="1"/>
  <c r="G1051" i="8"/>
  <c r="E1052" i="8"/>
  <c r="F1052" i="8"/>
  <c r="H1052" i="8" s="1"/>
  <c r="G1052" i="8"/>
  <c r="E1053" i="8"/>
  <c r="F1053" i="8"/>
  <c r="H1053" i="8" s="1"/>
  <c r="G1053" i="8"/>
  <c r="E1054" i="8"/>
  <c r="F1054" i="8"/>
  <c r="H1054" i="8" s="1"/>
  <c r="G1054" i="8"/>
  <c r="E1055" i="8"/>
  <c r="F1055" i="8"/>
  <c r="H1055" i="8" s="1"/>
  <c r="G1055" i="8"/>
  <c r="E1056" i="8"/>
  <c r="F1056" i="8"/>
  <c r="H1056" i="8" s="1"/>
  <c r="G1056" i="8"/>
  <c r="E1057" i="8"/>
  <c r="F1057" i="8"/>
  <c r="H1057" i="8" s="1"/>
  <c r="G1057" i="8"/>
  <c r="E1058" i="8"/>
  <c r="F1058" i="8"/>
  <c r="G1058" i="8"/>
  <c r="E1059" i="8"/>
  <c r="F1059" i="8"/>
  <c r="H1059" i="8" s="1"/>
  <c r="G1059" i="8"/>
  <c r="E1060" i="8"/>
  <c r="F1060" i="8"/>
  <c r="H1060" i="8" s="1"/>
  <c r="G1060" i="8"/>
  <c r="E1061" i="8"/>
  <c r="F1061" i="8"/>
  <c r="H1061" i="8" s="1"/>
  <c r="G1061" i="8"/>
  <c r="E1062" i="8"/>
  <c r="F1062" i="8"/>
  <c r="G1062" i="8"/>
  <c r="E1063" i="8"/>
  <c r="F1063" i="8"/>
  <c r="H1063" i="8" s="1"/>
  <c r="G1063" i="8"/>
  <c r="E1064" i="8"/>
  <c r="F1064" i="8"/>
  <c r="H1064" i="8" s="1"/>
  <c r="G1064" i="8"/>
  <c r="E1065" i="8"/>
  <c r="F1065" i="8"/>
  <c r="H1065" i="8" s="1"/>
  <c r="G1065" i="8"/>
  <c r="E1066" i="8"/>
  <c r="F1066" i="8"/>
  <c r="H1066" i="8" s="1"/>
  <c r="G1066" i="8"/>
  <c r="E1067" i="8"/>
  <c r="F1067" i="8"/>
  <c r="H1067" i="8" s="1"/>
  <c r="G1067" i="8"/>
  <c r="E1068" i="8"/>
  <c r="F1068" i="8"/>
  <c r="H1068" i="8" s="1"/>
  <c r="G1068" i="8"/>
  <c r="E1069" i="8"/>
  <c r="F1069" i="8"/>
  <c r="H1069" i="8" s="1"/>
  <c r="G1069" i="8"/>
  <c r="E1070" i="8"/>
  <c r="F1070" i="8"/>
  <c r="H1070" i="8" s="1"/>
  <c r="G1070" i="8"/>
  <c r="E1071" i="8"/>
  <c r="F1071" i="8"/>
  <c r="H1071" i="8" s="1"/>
  <c r="G1071" i="8"/>
  <c r="E1072" i="8"/>
  <c r="F1072" i="8"/>
  <c r="H1072" i="8" s="1"/>
  <c r="G1072" i="8"/>
  <c r="E1073" i="8"/>
  <c r="F1073" i="8"/>
  <c r="H1073" i="8" s="1"/>
  <c r="G1073" i="8"/>
  <c r="E1074" i="8"/>
  <c r="F1074" i="8"/>
  <c r="H1074" i="8" s="1"/>
  <c r="G1074" i="8"/>
  <c r="E1075" i="8"/>
  <c r="F1075" i="8"/>
  <c r="G1075" i="8"/>
  <c r="E1076" i="8"/>
  <c r="F1076" i="8"/>
  <c r="H1076" i="8" s="1"/>
  <c r="G1076" i="8"/>
  <c r="E1077" i="8"/>
  <c r="F1077" i="8"/>
  <c r="G1077" i="8"/>
  <c r="E1078" i="8"/>
  <c r="F1078" i="8"/>
  <c r="H1078" i="8" s="1"/>
  <c r="G1078" i="8"/>
  <c r="E1079" i="8"/>
  <c r="F1079" i="8"/>
  <c r="H1079" i="8" s="1"/>
  <c r="G1079" i="8"/>
  <c r="E1080" i="8"/>
  <c r="F1080" i="8"/>
  <c r="H1080" i="8" s="1"/>
  <c r="G1080" i="8"/>
  <c r="E1081" i="8"/>
  <c r="F1081" i="8"/>
  <c r="G1081" i="8"/>
  <c r="E1082" i="8"/>
  <c r="F1082" i="8"/>
  <c r="H1082" i="8" s="1"/>
  <c r="G1082" i="8"/>
  <c r="E1083" i="8"/>
  <c r="F1083" i="8"/>
  <c r="H1083" i="8" s="1"/>
  <c r="G1083" i="8"/>
  <c r="E1084" i="8"/>
  <c r="F1084" i="8"/>
  <c r="H1084" i="8" s="1"/>
  <c r="G1084" i="8"/>
  <c r="E1085" i="8"/>
  <c r="F1085" i="8"/>
  <c r="G1085" i="8"/>
  <c r="E1086" i="8"/>
  <c r="F1086" i="8"/>
  <c r="H1086" i="8" s="1"/>
  <c r="G1086" i="8"/>
  <c r="E1087" i="8"/>
  <c r="F1087" i="8"/>
  <c r="H1087" i="8" s="1"/>
  <c r="G1087" i="8"/>
  <c r="E1088" i="8"/>
  <c r="F1088" i="8"/>
  <c r="H1088" i="8" s="1"/>
  <c r="G1088" i="8"/>
  <c r="E1089" i="8"/>
  <c r="F1089" i="8"/>
  <c r="G1089" i="8"/>
  <c r="E1090" i="8"/>
  <c r="F1090" i="8"/>
  <c r="H1090" i="8" s="1"/>
  <c r="G1090" i="8"/>
  <c r="E1091" i="8"/>
  <c r="F1091" i="8"/>
  <c r="H1091" i="8" s="1"/>
  <c r="G1091" i="8"/>
  <c r="E1092" i="8"/>
  <c r="F1092" i="8"/>
  <c r="H1092" i="8" s="1"/>
  <c r="G1092" i="8"/>
  <c r="E1093" i="8"/>
  <c r="F1093" i="8"/>
  <c r="H1093" i="8" s="1"/>
  <c r="G1093" i="8"/>
  <c r="E1094" i="8"/>
  <c r="F1094" i="8"/>
  <c r="H1094" i="8" s="1"/>
  <c r="G1094" i="8"/>
  <c r="E1095" i="8"/>
  <c r="F1095" i="8"/>
  <c r="H1095" i="8" s="1"/>
  <c r="G1095" i="8"/>
  <c r="E1096" i="8"/>
  <c r="F1096" i="8"/>
  <c r="H1096" i="8" s="1"/>
  <c r="G1096" i="8"/>
  <c r="E1097" i="8"/>
  <c r="F1097" i="8"/>
  <c r="H1097" i="8" s="1"/>
  <c r="G1097" i="8"/>
  <c r="E1098" i="8"/>
  <c r="F1098" i="8"/>
  <c r="G1098" i="8"/>
  <c r="E1099" i="8"/>
  <c r="F1099" i="8"/>
  <c r="H1099" i="8" s="1"/>
  <c r="G1099" i="8"/>
  <c r="E1100" i="8"/>
  <c r="F1100" i="8"/>
  <c r="H1100" i="8" s="1"/>
  <c r="G1100" i="8"/>
  <c r="E1101" i="8"/>
  <c r="F1101" i="8"/>
  <c r="H1101" i="8" s="1"/>
  <c r="G1101" i="8"/>
  <c r="E1102" i="8"/>
  <c r="F1102" i="8"/>
  <c r="H1102" i="8" s="1"/>
  <c r="G1102" i="8"/>
  <c r="E1103" i="8"/>
  <c r="F1103" i="8"/>
  <c r="H1103" i="8" s="1"/>
  <c r="G1103" i="8"/>
  <c r="E1104" i="8"/>
  <c r="F1104" i="8"/>
  <c r="H1104" i="8" s="1"/>
  <c r="G1104" i="8"/>
  <c r="E1105" i="8"/>
  <c r="F1105" i="8"/>
  <c r="H1105" i="8" s="1"/>
  <c r="G1105" i="8"/>
  <c r="E1106" i="8"/>
  <c r="F1106" i="8"/>
  <c r="H1106" i="8" s="1"/>
  <c r="G1106" i="8"/>
  <c r="E1107" i="8"/>
  <c r="F1107" i="8"/>
  <c r="H1107" i="8" s="1"/>
  <c r="G1107" i="8"/>
  <c r="E1108" i="8"/>
  <c r="F1108" i="8"/>
  <c r="H1108" i="8" s="1"/>
  <c r="G1108" i="8"/>
  <c r="E1109" i="8"/>
  <c r="F1109" i="8"/>
  <c r="H1109" i="8" s="1"/>
  <c r="G1109" i="8"/>
  <c r="E1110" i="8"/>
  <c r="F1110" i="8"/>
  <c r="H1110" i="8" s="1"/>
  <c r="G1110" i="8"/>
  <c r="E1111" i="8"/>
  <c r="F1111" i="8"/>
  <c r="H1111" i="8" s="1"/>
  <c r="G1111" i="8"/>
  <c r="E1112" i="8"/>
  <c r="F1112" i="8"/>
  <c r="H1112" i="8" s="1"/>
  <c r="G1112" i="8"/>
  <c r="E1113" i="8"/>
  <c r="F1113" i="8"/>
  <c r="H1113" i="8" s="1"/>
  <c r="G1113" i="8"/>
  <c r="E1114" i="8"/>
  <c r="F1114" i="8"/>
  <c r="H1114" i="8" s="1"/>
  <c r="G1114" i="8"/>
  <c r="E1115" i="8"/>
  <c r="F1115" i="8"/>
  <c r="H1115" i="8" s="1"/>
  <c r="G1115" i="8"/>
  <c r="E1116" i="8"/>
  <c r="F1116" i="8"/>
  <c r="G1116" i="8"/>
  <c r="E1117" i="8"/>
  <c r="F1117" i="8"/>
  <c r="H1117" i="8" s="1"/>
  <c r="G1117" i="8"/>
  <c r="E1118" i="8"/>
  <c r="F1118" i="8"/>
  <c r="G1118" i="8"/>
  <c r="E1119" i="8"/>
  <c r="F1119" i="8"/>
  <c r="H1119" i="8" s="1"/>
  <c r="G1119" i="8"/>
  <c r="E1120" i="8"/>
  <c r="F1120" i="8"/>
  <c r="H1120" i="8" s="1"/>
  <c r="G1120" i="8"/>
  <c r="E1121" i="8"/>
  <c r="F1121" i="8"/>
  <c r="H1121" i="8" s="1"/>
  <c r="G1121" i="8"/>
  <c r="E1122" i="8"/>
  <c r="F1122" i="8"/>
  <c r="H1122" i="8" s="1"/>
  <c r="G1122" i="8"/>
  <c r="E1123" i="8"/>
  <c r="F1123" i="8"/>
  <c r="H1123" i="8" s="1"/>
  <c r="G1123" i="8"/>
  <c r="E1124" i="8"/>
  <c r="F1124" i="8"/>
  <c r="G1124" i="8"/>
  <c r="E1125" i="8"/>
  <c r="F1125" i="8"/>
  <c r="H1125" i="8" s="1"/>
  <c r="G1125" i="8"/>
  <c r="E1126" i="8"/>
  <c r="F1126" i="8"/>
  <c r="H1126" i="8" s="1"/>
  <c r="G1126" i="8"/>
  <c r="E1127" i="8"/>
  <c r="F1127" i="8"/>
  <c r="H1127" i="8" s="1"/>
  <c r="G1127" i="8"/>
  <c r="E1128" i="8"/>
  <c r="F1128" i="8"/>
  <c r="G1128" i="8"/>
  <c r="E1129" i="8"/>
  <c r="F1129" i="8"/>
  <c r="H1129" i="8" s="1"/>
  <c r="G1129" i="8"/>
  <c r="E1130" i="8"/>
  <c r="F1130" i="8"/>
  <c r="G1130" i="8"/>
  <c r="E1131" i="8"/>
  <c r="F1131" i="8"/>
  <c r="H1131" i="8" s="1"/>
  <c r="G1131" i="8"/>
  <c r="E1132" i="8"/>
  <c r="F1132" i="8"/>
  <c r="H1132" i="8" s="1"/>
  <c r="G1132" i="8"/>
  <c r="E1133" i="8"/>
  <c r="F1133" i="8"/>
  <c r="H1133" i="8" s="1"/>
  <c r="G1133" i="8"/>
  <c r="E1134" i="8"/>
  <c r="F1134" i="8"/>
  <c r="H1134" i="8" s="1"/>
  <c r="G1134" i="8"/>
  <c r="E1135" i="8"/>
  <c r="F1135" i="8"/>
  <c r="H1135" i="8" s="1"/>
  <c r="G1135" i="8"/>
  <c r="E1136" i="8"/>
  <c r="F1136" i="8"/>
  <c r="H1136" i="8" s="1"/>
  <c r="G1136" i="8"/>
  <c r="E1137" i="8"/>
  <c r="F1137" i="8"/>
  <c r="H1137" i="8" s="1"/>
  <c r="G1137" i="8"/>
  <c r="E1138" i="8"/>
  <c r="F1138" i="8"/>
  <c r="H1138" i="8" s="1"/>
  <c r="G1138" i="8"/>
  <c r="E1139" i="8"/>
  <c r="F1139" i="8"/>
  <c r="H1139" i="8" s="1"/>
  <c r="G1139" i="8"/>
  <c r="E1140" i="8"/>
  <c r="F1140" i="8"/>
  <c r="H1140" i="8" s="1"/>
  <c r="G1140" i="8"/>
  <c r="E1141" i="8"/>
  <c r="F1141" i="8"/>
  <c r="H1141" i="8" s="1"/>
  <c r="G1141" i="8"/>
  <c r="E1142" i="8"/>
  <c r="F1142" i="8"/>
  <c r="H1142" i="8" s="1"/>
  <c r="G1142" i="8"/>
  <c r="E1143" i="8"/>
  <c r="F1143" i="8"/>
  <c r="H1143" i="8" s="1"/>
  <c r="G1143" i="8"/>
  <c r="E1144" i="8"/>
  <c r="F1144" i="8"/>
  <c r="H1144" i="8" s="1"/>
  <c r="G1144" i="8"/>
  <c r="E1145" i="8"/>
  <c r="F1145" i="8"/>
  <c r="G1145" i="8"/>
  <c r="E1146" i="8"/>
  <c r="F1146" i="8"/>
  <c r="G1146" i="8"/>
  <c r="E1147" i="8"/>
  <c r="F1147" i="8"/>
  <c r="H1147" i="8" s="1"/>
  <c r="G1147" i="8"/>
  <c r="E1148" i="8"/>
  <c r="F1148" i="8"/>
  <c r="H1148" i="8" s="1"/>
  <c r="G1148" i="8"/>
  <c r="E1149" i="8"/>
  <c r="F1149" i="8"/>
  <c r="H1149" i="8" s="1"/>
  <c r="G1149" i="8"/>
  <c r="E1150" i="8"/>
  <c r="F1150" i="8"/>
  <c r="H1150" i="8" s="1"/>
  <c r="G1150" i="8"/>
  <c r="E1151" i="8"/>
  <c r="F1151" i="8"/>
  <c r="H1151" i="8" s="1"/>
  <c r="G1151" i="8"/>
  <c r="E1152" i="8"/>
  <c r="F1152" i="8"/>
  <c r="H1152" i="8" s="1"/>
  <c r="G1152" i="8"/>
  <c r="E1153" i="8"/>
  <c r="F1153" i="8"/>
  <c r="G1153" i="8"/>
  <c r="E1154" i="8"/>
  <c r="F1154" i="8"/>
  <c r="H1154" i="8" s="1"/>
  <c r="G1154" i="8"/>
  <c r="E1155" i="8"/>
  <c r="F1155" i="8"/>
  <c r="H1155" i="8" s="1"/>
  <c r="G1155" i="8"/>
  <c r="E1156" i="8"/>
  <c r="F1156" i="8"/>
  <c r="H1156" i="8" s="1"/>
  <c r="G1156" i="8"/>
  <c r="E1157" i="8"/>
  <c r="F1157" i="8"/>
  <c r="H1157" i="8" s="1"/>
  <c r="G1157" i="8"/>
  <c r="E1158" i="8"/>
  <c r="F1158" i="8"/>
  <c r="H1158" i="8" s="1"/>
  <c r="G1158" i="8"/>
  <c r="E1159" i="8"/>
  <c r="F1159" i="8"/>
  <c r="H1159" i="8" s="1"/>
  <c r="G1159" i="8"/>
  <c r="E1160" i="8"/>
  <c r="F1160" i="8"/>
  <c r="H1160" i="8" s="1"/>
  <c r="G1160" i="8"/>
  <c r="E1161" i="8"/>
  <c r="F1161" i="8"/>
  <c r="H1161" i="8" s="1"/>
  <c r="G1161" i="8"/>
  <c r="E1162" i="8"/>
  <c r="F1162" i="8"/>
  <c r="H1162" i="8" s="1"/>
  <c r="G1162" i="8"/>
  <c r="E1163" i="8"/>
  <c r="F1163" i="8"/>
  <c r="H1163" i="8" s="1"/>
  <c r="G1163" i="8"/>
  <c r="E1164" i="8"/>
  <c r="F1164" i="8"/>
  <c r="G1164" i="8"/>
  <c r="E1165" i="8"/>
  <c r="F1165" i="8"/>
  <c r="H1165" i="8" s="1"/>
  <c r="G1165" i="8"/>
  <c r="E1166" i="8"/>
  <c r="F1166" i="8"/>
  <c r="H1166" i="8" s="1"/>
  <c r="G1166" i="8"/>
  <c r="E1167" i="8"/>
  <c r="F1167" i="8"/>
  <c r="H1167" i="8" s="1"/>
  <c r="G1167" i="8"/>
  <c r="E1168" i="8"/>
  <c r="F1168" i="8"/>
  <c r="H1168" i="8" s="1"/>
  <c r="G1168" i="8"/>
  <c r="E1169" i="8"/>
  <c r="F1169" i="8"/>
  <c r="G1169" i="8"/>
  <c r="E1170" i="8"/>
  <c r="F1170" i="8"/>
  <c r="H1170" i="8" s="1"/>
  <c r="G1170" i="8"/>
  <c r="E1171" i="8"/>
  <c r="F1171" i="8"/>
  <c r="G1171" i="8"/>
  <c r="E1172" i="8"/>
  <c r="F1172" i="8"/>
  <c r="H1172" i="8" s="1"/>
  <c r="G1172" i="8"/>
  <c r="E1173" i="8"/>
  <c r="F1173" i="8"/>
  <c r="H1173" i="8" s="1"/>
  <c r="G1173" i="8"/>
  <c r="E1174" i="8"/>
  <c r="F1174" i="8"/>
  <c r="H1174" i="8" s="1"/>
  <c r="G1174" i="8"/>
  <c r="E1175" i="8"/>
  <c r="F1175" i="8"/>
  <c r="G1175" i="8"/>
  <c r="E1176" i="8"/>
  <c r="F1176" i="8"/>
  <c r="H1176" i="8" s="1"/>
  <c r="G1176" i="8"/>
  <c r="E1177" i="8"/>
  <c r="F1177" i="8"/>
  <c r="H1177" i="8" s="1"/>
  <c r="G1177" i="8"/>
  <c r="E1178" i="8"/>
  <c r="F1178" i="8"/>
  <c r="H1178" i="8" s="1"/>
  <c r="G1178" i="8"/>
  <c r="E1179" i="8"/>
  <c r="F1179" i="8"/>
  <c r="H1179" i="8" s="1"/>
  <c r="G1179" i="8"/>
  <c r="E1180" i="8"/>
  <c r="F1180" i="8"/>
  <c r="H1180" i="8" s="1"/>
  <c r="G1180" i="8"/>
  <c r="E1181" i="8"/>
  <c r="F1181" i="8"/>
  <c r="H1181" i="8" s="1"/>
  <c r="G1181" i="8"/>
  <c r="E1182" i="8"/>
  <c r="F1182" i="8"/>
  <c r="H1182" i="8" s="1"/>
  <c r="G1182" i="8"/>
  <c r="E1183" i="8"/>
  <c r="F1183" i="8"/>
  <c r="H1183" i="8" s="1"/>
  <c r="G1183" i="8"/>
  <c r="E1184" i="8"/>
  <c r="F1184" i="8"/>
  <c r="H1184" i="8" s="1"/>
  <c r="G1184" i="8"/>
  <c r="E1185" i="8"/>
  <c r="F1185" i="8"/>
  <c r="H1185" i="8" s="1"/>
  <c r="G1185" i="8"/>
  <c r="E1186" i="8"/>
  <c r="F1186" i="8"/>
  <c r="H1186" i="8" s="1"/>
  <c r="G1186" i="8"/>
  <c r="E1187" i="8"/>
  <c r="F1187" i="8"/>
  <c r="G1187" i="8"/>
  <c r="E1188" i="8"/>
  <c r="F1188" i="8"/>
  <c r="H1188" i="8" s="1"/>
  <c r="G1188" i="8"/>
  <c r="E1189" i="8"/>
  <c r="F1189" i="8"/>
  <c r="G1189" i="8"/>
  <c r="E1190" i="8"/>
  <c r="F1190" i="8"/>
  <c r="G1190" i="8"/>
  <c r="E1191" i="8"/>
  <c r="F1191" i="8"/>
  <c r="H1191" i="8" s="1"/>
  <c r="G1191" i="8"/>
  <c r="E1192" i="8"/>
  <c r="F1192" i="8"/>
  <c r="H1192" i="8" s="1"/>
  <c r="G1192" i="8"/>
  <c r="E1193" i="8"/>
  <c r="F1193" i="8"/>
  <c r="H1193" i="8" s="1"/>
  <c r="G1193" i="8"/>
  <c r="E1194" i="8"/>
  <c r="F1194" i="8"/>
  <c r="H1194" i="8" s="1"/>
  <c r="G1194" i="8"/>
  <c r="E1195" i="8"/>
  <c r="F1195" i="8"/>
  <c r="H1195" i="8" s="1"/>
  <c r="G1195" i="8"/>
  <c r="E1196" i="8"/>
  <c r="F1196" i="8"/>
  <c r="H1196" i="8" s="1"/>
  <c r="G1196" i="8"/>
  <c r="E1197" i="8"/>
  <c r="F1197" i="8"/>
  <c r="H1197" i="8" s="1"/>
  <c r="G1197" i="8"/>
  <c r="E1198" i="8"/>
  <c r="F1198" i="8"/>
  <c r="H1198" i="8" s="1"/>
  <c r="G1198" i="8"/>
  <c r="E1199" i="8"/>
  <c r="F1199" i="8"/>
  <c r="H1199" i="8" s="1"/>
  <c r="G1199" i="8"/>
  <c r="E1200" i="8"/>
  <c r="F1200" i="8"/>
  <c r="G1200" i="8"/>
  <c r="E1201" i="8"/>
  <c r="F1201" i="8"/>
  <c r="H1201" i="8" s="1"/>
  <c r="G1201" i="8"/>
  <c r="E1202" i="8"/>
  <c r="F1202" i="8"/>
  <c r="H1202" i="8" s="1"/>
  <c r="G1202" i="8"/>
  <c r="E1203" i="8"/>
  <c r="F1203" i="8"/>
  <c r="H1203" i="8" s="1"/>
  <c r="G1203" i="8"/>
  <c r="E1204" i="8"/>
  <c r="F1204" i="8"/>
  <c r="H1204" i="8" s="1"/>
  <c r="G1204" i="8"/>
  <c r="E1205" i="8"/>
  <c r="F1205" i="8"/>
  <c r="H1205" i="8" s="1"/>
  <c r="G1205" i="8"/>
  <c r="E1206" i="8"/>
  <c r="F1206" i="8"/>
  <c r="G1206" i="8"/>
  <c r="E1207" i="8"/>
  <c r="F1207" i="8"/>
  <c r="H1207" i="8" s="1"/>
  <c r="G1207" i="8"/>
  <c r="E1208" i="8"/>
  <c r="F1208" i="8"/>
  <c r="H1208" i="8" s="1"/>
  <c r="G1208" i="8"/>
  <c r="E1209" i="8"/>
  <c r="F1209" i="8"/>
  <c r="H1209" i="8" s="1"/>
  <c r="G1209" i="8"/>
  <c r="E1210" i="8"/>
  <c r="F1210" i="8"/>
  <c r="G1210" i="8"/>
  <c r="E1211" i="8"/>
  <c r="F1211" i="8"/>
  <c r="H1211" i="8" s="1"/>
  <c r="G1211" i="8"/>
  <c r="E1212" i="8"/>
  <c r="F1212" i="8"/>
  <c r="H1212" i="8" s="1"/>
  <c r="G1212" i="8"/>
  <c r="E1213" i="8"/>
  <c r="F1213" i="8"/>
  <c r="H1213" i="8" s="1"/>
  <c r="G1213" i="8"/>
  <c r="E1214" i="8"/>
  <c r="F1214" i="8"/>
  <c r="H1214" i="8" s="1"/>
  <c r="G1214" i="8"/>
  <c r="E1215" i="8"/>
  <c r="F1215" i="8"/>
  <c r="H1215" i="8" s="1"/>
  <c r="G1215" i="8"/>
  <c r="E1216" i="8"/>
  <c r="F1216" i="8"/>
  <c r="H1216" i="8" s="1"/>
  <c r="G1216" i="8"/>
  <c r="E1217" i="8"/>
  <c r="F1217" i="8"/>
  <c r="H1217" i="8" s="1"/>
  <c r="G1217" i="8"/>
  <c r="E1218" i="8"/>
  <c r="F1218" i="8"/>
  <c r="H1218" i="8" s="1"/>
  <c r="G1218" i="8"/>
  <c r="E1219" i="8"/>
  <c r="F1219" i="8"/>
  <c r="H1219" i="8" s="1"/>
  <c r="G1219" i="8"/>
  <c r="E1220" i="8"/>
  <c r="F1220" i="8"/>
  <c r="H1220" i="8" s="1"/>
  <c r="G1220" i="8"/>
  <c r="E1221" i="8"/>
  <c r="F1221" i="8"/>
  <c r="G1221" i="8"/>
  <c r="E1222" i="8"/>
  <c r="F1222" i="8"/>
  <c r="H1222" i="8" s="1"/>
  <c r="G1222" i="8"/>
  <c r="E1223" i="8"/>
  <c r="F1223" i="8"/>
  <c r="H1223" i="8" s="1"/>
  <c r="G1223" i="8"/>
  <c r="E1224" i="8"/>
  <c r="F1224" i="8"/>
  <c r="H1224" i="8" s="1"/>
  <c r="G1224" i="8"/>
  <c r="E1225" i="8"/>
  <c r="F1225" i="8"/>
  <c r="G1225" i="8"/>
  <c r="E1226" i="8"/>
  <c r="F1226" i="8"/>
  <c r="G1226" i="8"/>
  <c r="E1227" i="8"/>
  <c r="F1227" i="8"/>
  <c r="H1227" i="8" s="1"/>
  <c r="G1227" i="8"/>
  <c r="E1228" i="8"/>
  <c r="F1228" i="8"/>
  <c r="G1228" i="8"/>
  <c r="E1229" i="8"/>
  <c r="F1229" i="8"/>
  <c r="H1229" i="8" s="1"/>
  <c r="G1229" i="8"/>
  <c r="E1230" i="8"/>
  <c r="F1230" i="8"/>
  <c r="H1230" i="8" s="1"/>
  <c r="G1230" i="8"/>
  <c r="E1231" i="8"/>
  <c r="F1231" i="8"/>
  <c r="H1231" i="8" s="1"/>
  <c r="G1231" i="8"/>
  <c r="E1232" i="8"/>
  <c r="F1232" i="8"/>
  <c r="H1232" i="8" s="1"/>
  <c r="G1232" i="8"/>
  <c r="E1233" i="8"/>
  <c r="F1233" i="8"/>
  <c r="H1233" i="8" s="1"/>
  <c r="G1233" i="8"/>
  <c r="E1234" i="8"/>
  <c r="F1234" i="8"/>
  <c r="G1234" i="8"/>
  <c r="E1235" i="8"/>
  <c r="F1235" i="8"/>
  <c r="H1235" i="8" s="1"/>
  <c r="G1235" i="8"/>
  <c r="E1236" i="8"/>
  <c r="F1236" i="8"/>
  <c r="H1236" i="8" s="1"/>
  <c r="G1236" i="8"/>
  <c r="E1237" i="8"/>
  <c r="F1237" i="8"/>
  <c r="H1237" i="8" s="1"/>
  <c r="G1237" i="8"/>
  <c r="E1238" i="8"/>
  <c r="F1238" i="8"/>
  <c r="G1238" i="8"/>
  <c r="E1239" i="8"/>
  <c r="F1239" i="8"/>
  <c r="H1239" i="8" s="1"/>
  <c r="G1239" i="8"/>
  <c r="E1240" i="8"/>
  <c r="F1240" i="8"/>
  <c r="H1240" i="8" s="1"/>
  <c r="G1240" i="8"/>
  <c r="E1241" i="8"/>
  <c r="F1241" i="8"/>
  <c r="H1241" i="8" s="1"/>
  <c r="G1241" i="8"/>
  <c r="E1242" i="8"/>
  <c r="F1242" i="8"/>
  <c r="H1242" i="8" s="1"/>
  <c r="G1242" i="8"/>
  <c r="E1243" i="8"/>
  <c r="F1243" i="8"/>
  <c r="H1243" i="8" s="1"/>
  <c r="G1243" i="8"/>
  <c r="E1244" i="8"/>
  <c r="F1244" i="8"/>
  <c r="H1244" i="8" s="1"/>
  <c r="G1244" i="8"/>
  <c r="E1245" i="8"/>
  <c r="F1245" i="8"/>
  <c r="H1245" i="8" s="1"/>
  <c r="G1245" i="8"/>
  <c r="E1246" i="8"/>
  <c r="F1246" i="8"/>
  <c r="H1246" i="8" s="1"/>
  <c r="G1246" i="8"/>
  <c r="E1247" i="8"/>
  <c r="F1247" i="8"/>
  <c r="H1247" i="8" s="1"/>
  <c r="G1247" i="8"/>
  <c r="E1248" i="8"/>
  <c r="F1248" i="8"/>
  <c r="H1248" i="8" s="1"/>
  <c r="G1248" i="8"/>
  <c r="E1249" i="8"/>
  <c r="F1249" i="8"/>
  <c r="H1249" i="8" s="1"/>
  <c r="G1249" i="8"/>
  <c r="E1250" i="8"/>
  <c r="F1250" i="8"/>
  <c r="H1250" i="8" s="1"/>
  <c r="G1250" i="8"/>
  <c r="E1251" i="8"/>
  <c r="F1251" i="8"/>
  <c r="H1251" i="8" s="1"/>
  <c r="G1251" i="8"/>
  <c r="E1252" i="8"/>
  <c r="F1252" i="8"/>
  <c r="H1252" i="8" s="1"/>
  <c r="G1252" i="8"/>
  <c r="E1253" i="8"/>
  <c r="F1253" i="8"/>
  <c r="H1253" i="8" s="1"/>
  <c r="G1253" i="8"/>
  <c r="E1254" i="8"/>
  <c r="F1254" i="8"/>
  <c r="H1254" i="8" s="1"/>
  <c r="G1254" i="8"/>
  <c r="E1255" i="8"/>
  <c r="F1255" i="8"/>
  <c r="H1255" i="8" s="1"/>
  <c r="G1255" i="8"/>
  <c r="E1256" i="8"/>
  <c r="F1256" i="8"/>
  <c r="G1256" i="8"/>
  <c r="E1257" i="8"/>
  <c r="F1257" i="8"/>
  <c r="H1257" i="8" s="1"/>
  <c r="G1257" i="8"/>
  <c r="E1258" i="8"/>
  <c r="F1258" i="8"/>
  <c r="H1258" i="8" s="1"/>
  <c r="G1258" i="8"/>
  <c r="E1259" i="8"/>
  <c r="F1259" i="8"/>
  <c r="H1259" i="8" s="1"/>
  <c r="G1259" i="8"/>
  <c r="E1260" i="8"/>
  <c r="F1260" i="8"/>
  <c r="G1260" i="8"/>
  <c r="E1261" i="8"/>
  <c r="F1261" i="8"/>
  <c r="H1261" i="8" s="1"/>
  <c r="G1261" i="8"/>
  <c r="E1262" i="8"/>
  <c r="F1262" i="8"/>
  <c r="H1262" i="8" s="1"/>
  <c r="G1262" i="8"/>
  <c r="E1263" i="8"/>
  <c r="F1263" i="8"/>
  <c r="H1263" i="8" s="1"/>
  <c r="G1263" i="8"/>
  <c r="E1264" i="8"/>
  <c r="F1264" i="8"/>
  <c r="G1264" i="8"/>
  <c r="E1265" i="8"/>
  <c r="F1265" i="8"/>
  <c r="H1265" i="8" s="1"/>
  <c r="G1265" i="8"/>
  <c r="E1266" i="8"/>
  <c r="F1266" i="8"/>
  <c r="H1266" i="8" s="1"/>
  <c r="G1266" i="8"/>
  <c r="E1267" i="8"/>
  <c r="F1267" i="8"/>
  <c r="H1267" i="8" s="1"/>
  <c r="G1267" i="8"/>
  <c r="E1268" i="8"/>
  <c r="F1268" i="8"/>
  <c r="H1268" i="8" s="1"/>
  <c r="G1268" i="8"/>
  <c r="E1269" i="8"/>
  <c r="F1269" i="8"/>
  <c r="H1269" i="8" s="1"/>
  <c r="G1269" i="8"/>
  <c r="E1270" i="8"/>
  <c r="F1270" i="8"/>
  <c r="H1270" i="8" s="1"/>
  <c r="G1270" i="8"/>
  <c r="E1271" i="8"/>
  <c r="F1271" i="8"/>
  <c r="G1271" i="8"/>
  <c r="E1272" i="8"/>
  <c r="F1272" i="8"/>
  <c r="H1272" i="8" s="1"/>
  <c r="G1272" i="8"/>
  <c r="E1273" i="8"/>
  <c r="F1273" i="8"/>
  <c r="G1273" i="8"/>
  <c r="E1274" i="8"/>
  <c r="F1274" i="8"/>
  <c r="H1274" i="8" s="1"/>
  <c r="G1274" i="8"/>
  <c r="E1275" i="8"/>
  <c r="F1275" i="8"/>
  <c r="H1275" i="8" s="1"/>
  <c r="G1275" i="8"/>
  <c r="E1276" i="8"/>
  <c r="F1276" i="8"/>
  <c r="H1276" i="8" s="1"/>
  <c r="G1276" i="8"/>
  <c r="E1277" i="8"/>
  <c r="F1277" i="8"/>
  <c r="H1277" i="8" s="1"/>
  <c r="G1277" i="8"/>
  <c r="E1278" i="8"/>
  <c r="F1278" i="8"/>
  <c r="H1278" i="8" s="1"/>
  <c r="G1278" i="8"/>
  <c r="E1279" i="8"/>
  <c r="F1279" i="8"/>
  <c r="G1279" i="8"/>
  <c r="E1280" i="8"/>
  <c r="F1280" i="8"/>
  <c r="H1280" i="8" s="1"/>
  <c r="G1280" i="8"/>
  <c r="E1281" i="8"/>
  <c r="F1281" i="8"/>
  <c r="H1281" i="8" s="1"/>
  <c r="G1281" i="8"/>
  <c r="E1282" i="8"/>
  <c r="F1282" i="8"/>
  <c r="G1282" i="8"/>
  <c r="E1283" i="8"/>
  <c r="F1283" i="8"/>
  <c r="H1283" i="8" s="1"/>
  <c r="G1283" i="8"/>
  <c r="E1284" i="8"/>
  <c r="F1284" i="8"/>
  <c r="H1284" i="8" s="1"/>
  <c r="G1284" i="8"/>
  <c r="E1285" i="8"/>
  <c r="F1285" i="8"/>
  <c r="H1285" i="8" s="1"/>
  <c r="G1285" i="8"/>
  <c r="E1286" i="8"/>
  <c r="F1286" i="8"/>
  <c r="G1286" i="8"/>
  <c r="E1287" i="8"/>
  <c r="F1287" i="8"/>
  <c r="G1287" i="8"/>
  <c r="E1288" i="8"/>
  <c r="F1288" i="8"/>
  <c r="H1288" i="8" s="1"/>
  <c r="G1288" i="8"/>
  <c r="E1289" i="8"/>
  <c r="F1289" i="8"/>
  <c r="H1289" i="8" s="1"/>
  <c r="G1289" i="8"/>
  <c r="E1290" i="8"/>
  <c r="F1290" i="8"/>
  <c r="H1290" i="8" s="1"/>
  <c r="G1290" i="8"/>
  <c r="E1291" i="8"/>
  <c r="F1291" i="8"/>
  <c r="H1291" i="8" s="1"/>
  <c r="G1291" i="8"/>
  <c r="E1292" i="8"/>
  <c r="F1292" i="8"/>
  <c r="H1292" i="8" s="1"/>
  <c r="G1292" i="8"/>
  <c r="E1293" i="8"/>
  <c r="F1293" i="8"/>
  <c r="H1293" i="8" s="1"/>
  <c r="G1293" i="8"/>
  <c r="E1294" i="8"/>
  <c r="F1294" i="8"/>
  <c r="G1294" i="8"/>
  <c r="E1295" i="8"/>
  <c r="F1295" i="8"/>
  <c r="G1295" i="8"/>
  <c r="E1296" i="8"/>
  <c r="F1296" i="8"/>
  <c r="H1296" i="8" s="1"/>
  <c r="G1296" i="8"/>
  <c r="E1297" i="8"/>
  <c r="F1297" i="8"/>
  <c r="H1297" i="8" s="1"/>
  <c r="G1297" i="8"/>
  <c r="E1298" i="8"/>
  <c r="F1298" i="8"/>
  <c r="H1298" i="8" s="1"/>
  <c r="G1298" i="8"/>
  <c r="E1299" i="8"/>
  <c r="F1299" i="8"/>
  <c r="H1299" i="8" s="1"/>
  <c r="G1299" i="8"/>
  <c r="E1300" i="8"/>
  <c r="F1300" i="8"/>
  <c r="G1300" i="8"/>
  <c r="E1301" i="8"/>
  <c r="F1301" i="8"/>
  <c r="H1301" i="8" s="1"/>
  <c r="G1301" i="8"/>
  <c r="E1302" i="8"/>
  <c r="F1302" i="8"/>
  <c r="G1302" i="8"/>
  <c r="E1303" i="8"/>
  <c r="F1303" i="8"/>
  <c r="H1303" i="8" s="1"/>
  <c r="G1303" i="8"/>
  <c r="E1304" i="8"/>
  <c r="F1304" i="8"/>
  <c r="H1304" i="8" s="1"/>
  <c r="G1304" i="8"/>
  <c r="E1305" i="8"/>
  <c r="F1305" i="8"/>
  <c r="H1305" i="8" s="1"/>
  <c r="G1305" i="8"/>
  <c r="E1306" i="8"/>
  <c r="F1306" i="8"/>
  <c r="G1306" i="8"/>
  <c r="E1307" i="8"/>
  <c r="F1307" i="8"/>
  <c r="H1307" i="8" s="1"/>
  <c r="G1307" i="8"/>
  <c r="E1308" i="8"/>
  <c r="F1308" i="8"/>
  <c r="H1308" i="8" s="1"/>
  <c r="G1308" i="8"/>
  <c r="E1309" i="8"/>
  <c r="F1309" i="8"/>
  <c r="H1309" i="8" s="1"/>
  <c r="G1309" i="8"/>
  <c r="E1310" i="8"/>
  <c r="F1310" i="8"/>
  <c r="G1310" i="8"/>
  <c r="E1311" i="8"/>
  <c r="F1311" i="8"/>
  <c r="H1311" i="8" s="1"/>
  <c r="G1311" i="8"/>
  <c r="E1312" i="8"/>
  <c r="F1312" i="8"/>
  <c r="H1312" i="8" s="1"/>
  <c r="G1312" i="8"/>
  <c r="E1313" i="8"/>
  <c r="F1313" i="8"/>
  <c r="H1313" i="8" s="1"/>
  <c r="G1313" i="8"/>
  <c r="E1314" i="8"/>
  <c r="F1314" i="8"/>
  <c r="H1314" i="8" s="1"/>
  <c r="G1314" i="8"/>
  <c r="E1315" i="8"/>
  <c r="F1315" i="8"/>
  <c r="H1315" i="8" s="1"/>
  <c r="G1315" i="8"/>
  <c r="E1316" i="8"/>
  <c r="F1316" i="8"/>
  <c r="H1316" i="8" s="1"/>
  <c r="G1316" i="8"/>
  <c r="E1317" i="8"/>
  <c r="F1317" i="8"/>
  <c r="H1317" i="8" s="1"/>
  <c r="G1317" i="8"/>
  <c r="E1318" i="8"/>
  <c r="F1318" i="8"/>
  <c r="H1318" i="8" s="1"/>
  <c r="G1318" i="8"/>
  <c r="E1319" i="8"/>
  <c r="F1319" i="8"/>
  <c r="H1319" i="8" s="1"/>
  <c r="G1319" i="8"/>
  <c r="E1320" i="8"/>
  <c r="F1320" i="8"/>
  <c r="H1320" i="8" s="1"/>
  <c r="G1320" i="8"/>
  <c r="E1321" i="8"/>
  <c r="F1321" i="8"/>
  <c r="H1321" i="8" s="1"/>
  <c r="G1321" i="8"/>
  <c r="E1322" i="8"/>
  <c r="F1322" i="8"/>
  <c r="H1322" i="8" s="1"/>
  <c r="G1322" i="8"/>
  <c r="E1323" i="8"/>
  <c r="F1323" i="8"/>
  <c r="H1323" i="8" s="1"/>
  <c r="G1323" i="8"/>
  <c r="E1324" i="8"/>
  <c r="F1324" i="8"/>
  <c r="H1324" i="8" s="1"/>
  <c r="G1324" i="8"/>
  <c r="E1325" i="8"/>
  <c r="F1325" i="8"/>
  <c r="H1325" i="8" s="1"/>
  <c r="G1325" i="8"/>
  <c r="E1326" i="8"/>
  <c r="F1326" i="8"/>
  <c r="H1326" i="8" s="1"/>
  <c r="G1326" i="8"/>
  <c r="E1327" i="8"/>
  <c r="F1327" i="8"/>
  <c r="H1327" i="8" s="1"/>
  <c r="G1327" i="8"/>
  <c r="E1328" i="8"/>
  <c r="F1328" i="8"/>
  <c r="H1328" i="8" s="1"/>
  <c r="G1328" i="8"/>
  <c r="E1329" i="8"/>
  <c r="F1329" i="8"/>
  <c r="H1329" i="8" s="1"/>
  <c r="G1329" i="8"/>
  <c r="E1330" i="8"/>
  <c r="F1330" i="8"/>
  <c r="H1330" i="8" s="1"/>
  <c r="G1330" i="8"/>
  <c r="E1331" i="8"/>
  <c r="F1331" i="8"/>
  <c r="H1331" i="8" s="1"/>
  <c r="G1331" i="8"/>
  <c r="E1332" i="8"/>
  <c r="F1332" i="8"/>
  <c r="H1332" i="8" s="1"/>
  <c r="G1332" i="8"/>
  <c r="E1333" i="8"/>
  <c r="F1333" i="8"/>
  <c r="H1333" i="8" s="1"/>
  <c r="G1333" i="8"/>
  <c r="E1334" i="8"/>
  <c r="F1334" i="8"/>
  <c r="H1334" i="8" s="1"/>
  <c r="G1334" i="8"/>
  <c r="E1335" i="8"/>
  <c r="F1335" i="8"/>
  <c r="H1335" i="8" s="1"/>
  <c r="G1335" i="8"/>
  <c r="E1336" i="8"/>
  <c r="F1336" i="8"/>
  <c r="H1336" i="8" s="1"/>
  <c r="G1336" i="8"/>
  <c r="E1337" i="8"/>
  <c r="F1337" i="8"/>
  <c r="H1337" i="8" s="1"/>
  <c r="G1337" i="8"/>
  <c r="E1338" i="8"/>
  <c r="F1338" i="8"/>
  <c r="H1338" i="8" s="1"/>
  <c r="G1338" i="8"/>
  <c r="E1339" i="8"/>
  <c r="F1339" i="8"/>
  <c r="H1339" i="8" s="1"/>
  <c r="G1339" i="8"/>
  <c r="E1340" i="8"/>
  <c r="F1340" i="8"/>
  <c r="H1340" i="8" s="1"/>
  <c r="G1340" i="8"/>
  <c r="E1341" i="8"/>
  <c r="F1341" i="8"/>
  <c r="H1341" i="8" s="1"/>
  <c r="G1341" i="8"/>
  <c r="E1342" i="8"/>
  <c r="F1342" i="8"/>
  <c r="H1342" i="8" s="1"/>
  <c r="G1342" i="8"/>
  <c r="E1343" i="8"/>
  <c r="F1343" i="8"/>
  <c r="H1343" i="8" s="1"/>
  <c r="G1343" i="8"/>
  <c r="E1344" i="8"/>
  <c r="F1344" i="8"/>
  <c r="H1344" i="8" s="1"/>
  <c r="G1344" i="8"/>
  <c r="E1345" i="8"/>
  <c r="F1345" i="8"/>
  <c r="H1345" i="8" s="1"/>
  <c r="G1345" i="8"/>
  <c r="E1346" i="8"/>
  <c r="F1346" i="8"/>
  <c r="H1346" i="8" s="1"/>
  <c r="G1346" i="8"/>
  <c r="E1347" i="8"/>
  <c r="F1347" i="8"/>
  <c r="H1347" i="8" s="1"/>
  <c r="G1347" i="8"/>
  <c r="E1348" i="8"/>
  <c r="F1348" i="8"/>
  <c r="H1348" i="8" s="1"/>
  <c r="G1348" i="8"/>
  <c r="E1349" i="8"/>
  <c r="F1349" i="8"/>
  <c r="H1349" i="8" s="1"/>
  <c r="G1349" i="8"/>
  <c r="E1350" i="8"/>
  <c r="F1350" i="8"/>
  <c r="H1350" i="8" s="1"/>
  <c r="G1350" i="8"/>
  <c r="E1351" i="8"/>
  <c r="F1351" i="8"/>
  <c r="G1351" i="8"/>
  <c r="E1352" i="8"/>
  <c r="F1352" i="8"/>
  <c r="H1352" i="8" s="1"/>
  <c r="G1352" i="8"/>
  <c r="E1353" i="8"/>
  <c r="F1353" i="8"/>
  <c r="H1353" i="8" s="1"/>
  <c r="G1353" i="8"/>
  <c r="E1354" i="8"/>
  <c r="F1354" i="8"/>
  <c r="H1354" i="8" s="1"/>
  <c r="G1354" i="8"/>
  <c r="E1355" i="8"/>
  <c r="F1355" i="8"/>
  <c r="H1355" i="8" s="1"/>
  <c r="G1355" i="8"/>
  <c r="E1356" i="8"/>
  <c r="F1356" i="8"/>
  <c r="H1356" i="8" s="1"/>
  <c r="G1356" i="8"/>
  <c r="E1357" i="8"/>
  <c r="F1357" i="8"/>
  <c r="H1357" i="8" s="1"/>
  <c r="G1357" i="8"/>
  <c r="E1358" i="8"/>
  <c r="F1358" i="8"/>
  <c r="G1358" i="8"/>
  <c r="E1359" i="8"/>
  <c r="F1359" i="8"/>
  <c r="H1359" i="8" s="1"/>
  <c r="G1359" i="8"/>
  <c r="E1360" i="8"/>
  <c r="F1360" i="8"/>
  <c r="H1360" i="8" s="1"/>
  <c r="G1360" i="8"/>
  <c r="E1361" i="8"/>
  <c r="F1361" i="8"/>
  <c r="H1361" i="8" s="1"/>
  <c r="G1361" i="8"/>
  <c r="E1362" i="8"/>
  <c r="F1362" i="8"/>
  <c r="H1362" i="8" s="1"/>
  <c r="G1362" i="8"/>
  <c r="E1363" i="8"/>
  <c r="F1363" i="8"/>
  <c r="H1363" i="8" s="1"/>
  <c r="G1363" i="8"/>
  <c r="E1364" i="8"/>
  <c r="F1364" i="8"/>
  <c r="H1364" i="8" s="1"/>
  <c r="G1364" i="8"/>
  <c r="E1365" i="8"/>
  <c r="F1365" i="8"/>
  <c r="H1365" i="8" s="1"/>
  <c r="G1365" i="8"/>
  <c r="E1366" i="8"/>
  <c r="F1366" i="8"/>
  <c r="H1366" i="8" s="1"/>
  <c r="G1366" i="8"/>
  <c r="E1367" i="8"/>
  <c r="F1367" i="8"/>
  <c r="H1367" i="8" s="1"/>
  <c r="G1367" i="8"/>
  <c r="E1368" i="8"/>
  <c r="F1368" i="8"/>
  <c r="H1368" i="8" s="1"/>
  <c r="G1368" i="8"/>
  <c r="E1369" i="8"/>
  <c r="F1369" i="8"/>
  <c r="H1369" i="8" s="1"/>
  <c r="G1369" i="8"/>
  <c r="E1370" i="8"/>
  <c r="F1370" i="8"/>
  <c r="H1370" i="8" s="1"/>
  <c r="G1370" i="8"/>
  <c r="E1371" i="8"/>
  <c r="F1371" i="8"/>
  <c r="H1371" i="8" s="1"/>
  <c r="G1371" i="8"/>
  <c r="E1372" i="8"/>
  <c r="F1372" i="8"/>
  <c r="H1372" i="8" s="1"/>
  <c r="G1372" i="8"/>
  <c r="E1373" i="8"/>
  <c r="F1373" i="8"/>
  <c r="H1373" i="8" s="1"/>
  <c r="G1373" i="8"/>
  <c r="E1374" i="8"/>
  <c r="F1374" i="8"/>
  <c r="H1374" i="8" s="1"/>
  <c r="G1374" i="8"/>
  <c r="E1375" i="8"/>
  <c r="F1375" i="8"/>
  <c r="H1375" i="8" s="1"/>
  <c r="G1375" i="8"/>
  <c r="E1376" i="8"/>
  <c r="F1376" i="8"/>
  <c r="H1376" i="8" s="1"/>
  <c r="G1376" i="8"/>
  <c r="E1377" i="8"/>
  <c r="F1377" i="8"/>
  <c r="G1377" i="8"/>
  <c r="E1378" i="8"/>
  <c r="F1378" i="8"/>
  <c r="H1378" i="8" s="1"/>
  <c r="G1378" i="8"/>
  <c r="E1379" i="8"/>
  <c r="F1379" i="8"/>
  <c r="H1379" i="8" s="1"/>
  <c r="G1379" i="8"/>
  <c r="E1380" i="8"/>
  <c r="F1380" i="8"/>
  <c r="H1380" i="8" s="1"/>
  <c r="G1380" i="8"/>
  <c r="E1381" i="8"/>
  <c r="F1381" i="8"/>
  <c r="H1381" i="8" s="1"/>
  <c r="G1381" i="8"/>
  <c r="E1382" i="8"/>
  <c r="F1382" i="8"/>
  <c r="H1382" i="8" s="1"/>
  <c r="G1382" i="8"/>
  <c r="E1383" i="8"/>
  <c r="F1383" i="8"/>
  <c r="H1383" i="8" s="1"/>
  <c r="G1383" i="8"/>
  <c r="E1384" i="8"/>
  <c r="F1384" i="8"/>
  <c r="H1384" i="8" s="1"/>
  <c r="G1384" i="8"/>
  <c r="E1385" i="8"/>
  <c r="F1385" i="8"/>
  <c r="H1385" i="8" s="1"/>
  <c r="G1385" i="8"/>
  <c r="E1386" i="8"/>
  <c r="F1386" i="8"/>
  <c r="H1386" i="8" s="1"/>
  <c r="G1386" i="8"/>
  <c r="E1387" i="8"/>
  <c r="F1387" i="8"/>
  <c r="H1387" i="8" s="1"/>
  <c r="G1387" i="8"/>
  <c r="E1388" i="8"/>
  <c r="F1388" i="8"/>
  <c r="H1388" i="8" s="1"/>
  <c r="G1388" i="8"/>
  <c r="E1389" i="8"/>
  <c r="F1389" i="8"/>
  <c r="H1389" i="8" s="1"/>
  <c r="G1389" i="8"/>
  <c r="E1390" i="8"/>
  <c r="F1390" i="8"/>
  <c r="H1390" i="8" s="1"/>
  <c r="G1390" i="8"/>
  <c r="E1391" i="8"/>
  <c r="F1391" i="8"/>
  <c r="G1391" i="8"/>
  <c r="E1392" i="8"/>
  <c r="F1392" i="8"/>
  <c r="H1392" i="8" s="1"/>
  <c r="G1392" i="8"/>
  <c r="E1393" i="8"/>
  <c r="F1393" i="8"/>
  <c r="H1393" i="8" s="1"/>
  <c r="G1393" i="8"/>
  <c r="E1394" i="8"/>
  <c r="F1394" i="8"/>
  <c r="G1394" i="8"/>
  <c r="E1395" i="8"/>
  <c r="F1395" i="8"/>
  <c r="H1395" i="8" s="1"/>
  <c r="G1395" i="8"/>
  <c r="E1396" i="8"/>
  <c r="F1396" i="8"/>
  <c r="H1396" i="8" s="1"/>
  <c r="G1396" i="8"/>
  <c r="E1397" i="8"/>
  <c r="F1397" i="8"/>
  <c r="H1397" i="8" s="1"/>
  <c r="G1397" i="8"/>
  <c r="E1398" i="8"/>
  <c r="F1398" i="8"/>
  <c r="H1398" i="8" s="1"/>
  <c r="G1398" i="8"/>
  <c r="E1399" i="8"/>
  <c r="F1399" i="8"/>
  <c r="H1399" i="8" s="1"/>
  <c r="G1399" i="8"/>
  <c r="E1400" i="8"/>
  <c r="F1400" i="8"/>
  <c r="H1400" i="8" s="1"/>
  <c r="G1400" i="8"/>
  <c r="E1401" i="8"/>
  <c r="F1401" i="8"/>
  <c r="H1401" i="8" s="1"/>
  <c r="G1401" i="8"/>
  <c r="E1402" i="8"/>
  <c r="F1402" i="8"/>
  <c r="H1402" i="8" s="1"/>
  <c r="G1402" i="8"/>
  <c r="E1403" i="8"/>
  <c r="F1403" i="8"/>
  <c r="H1403" i="8" s="1"/>
  <c r="G1403" i="8"/>
  <c r="E1404" i="8"/>
  <c r="F1404" i="8"/>
  <c r="H1404" i="8" s="1"/>
  <c r="G1404" i="8"/>
  <c r="E1405" i="8"/>
  <c r="F1405" i="8"/>
  <c r="G1405" i="8"/>
  <c r="E1406" i="8"/>
  <c r="F1406" i="8"/>
  <c r="G1406" i="8"/>
  <c r="E1407" i="8"/>
  <c r="F1407" i="8"/>
  <c r="H1407" i="8" s="1"/>
  <c r="G1407" i="8"/>
  <c r="E1408" i="8"/>
  <c r="F1408" i="8"/>
  <c r="H1408" i="8" s="1"/>
  <c r="G1408" i="8"/>
  <c r="E1409" i="8"/>
  <c r="F1409" i="8"/>
  <c r="H1409" i="8" s="1"/>
  <c r="G1409" i="8"/>
  <c r="E1410" i="8"/>
  <c r="F1410" i="8"/>
  <c r="H1410" i="8" s="1"/>
  <c r="G1410" i="8"/>
  <c r="E1411" i="8"/>
  <c r="F1411" i="8"/>
  <c r="H1411" i="8" s="1"/>
  <c r="G1411" i="8"/>
  <c r="E1412" i="8"/>
  <c r="F1412" i="8"/>
  <c r="H1412" i="8" s="1"/>
  <c r="G1412" i="8"/>
  <c r="E1413" i="8"/>
  <c r="F1413" i="8"/>
  <c r="G1413" i="8"/>
  <c r="E1414" i="8"/>
  <c r="F1414" i="8"/>
  <c r="H1414" i="8" s="1"/>
  <c r="G1414" i="8"/>
  <c r="E1415" i="8"/>
  <c r="F1415" i="8"/>
  <c r="H1415" i="8" s="1"/>
  <c r="G1415" i="8"/>
  <c r="E1416" i="8"/>
  <c r="F1416" i="8"/>
  <c r="H1416" i="8" s="1"/>
  <c r="G1416" i="8"/>
  <c r="E1417" i="8"/>
  <c r="F1417" i="8"/>
  <c r="H1417" i="8" s="1"/>
  <c r="G1417" i="8"/>
  <c r="E1418" i="8"/>
  <c r="F1418" i="8"/>
  <c r="H1418" i="8" s="1"/>
  <c r="G1418" i="8"/>
  <c r="E1419" i="8"/>
  <c r="F1419" i="8"/>
  <c r="G1419" i="8"/>
  <c r="E1420" i="8"/>
  <c r="F1420" i="8"/>
  <c r="G1420" i="8"/>
  <c r="E1421" i="8"/>
  <c r="F1421" i="8"/>
  <c r="H1421" i="8" s="1"/>
  <c r="G1421" i="8"/>
  <c r="E1422" i="8"/>
  <c r="F1422" i="8"/>
  <c r="H1422" i="8" s="1"/>
  <c r="G1422" i="8"/>
  <c r="E1423" i="8"/>
  <c r="F1423" i="8"/>
  <c r="H1423" i="8" s="1"/>
  <c r="G1423" i="8"/>
  <c r="E1424" i="8"/>
  <c r="F1424" i="8"/>
  <c r="G1424" i="8"/>
  <c r="E1425" i="8"/>
  <c r="F1425" i="8"/>
  <c r="H1425" i="8" s="1"/>
  <c r="G1425" i="8"/>
  <c r="E1426" i="8"/>
  <c r="F1426" i="8"/>
  <c r="H1426" i="8" s="1"/>
  <c r="G1426" i="8"/>
  <c r="E1427" i="8"/>
  <c r="F1427" i="8"/>
  <c r="H1427" i="8" s="1"/>
  <c r="G1427" i="8"/>
  <c r="E1428" i="8"/>
  <c r="F1428" i="8"/>
  <c r="H1428" i="8" s="1"/>
  <c r="G1428" i="8"/>
  <c r="E1429" i="8"/>
  <c r="F1429" i="8"/>
  <c r="H1429" i="8" s="1"/>
  <c r="G1429" i="8"/>
  <c r="E1430" i="8"/>
  <c r="F1430" i="8"/>
  <c r="H1430" i="8" s="1"/>
  <c r="G1430" i="8"/>
  <c r="E1431" i="8"/>
  <c r="F1431" i="8"/>
  <c r="H1431" i="8" s="1"/>
  <c r="G1431" i="8"/>
  <c r="E1432" i="8"/>
  <c r="F1432" i="8"/>
  <c r="H1432" i="8" s="1"/>
  <c r="G1432" i="8"/>
  <c r="E1433" i="8"/>
  <c r="F1433" i="8"/>
  <c r="H1433" i="8" s="1"/>
  <c r="G1433" i="8"/>
  <c r="E1434" i="8"/>
  <c r="F1434" i="8"/>
  <c r="G1434" i="8"/>
  <c r="E1435" i="8"/>
  <c r="F1435" i="8"/>
  <c r="H1435" i="8" s="1"/>
  <c r="G1435" i="8"/>
  <c r="E1436" i="8"/>
  <c r="F1436" i="8"/>
  <c r="H1436" i="8" s="1"/>
  <c r="G1436" i="8"/>
  <c r="E1437" i="8"/>
  <c r="F1437" i="8"/>
  <c r="H1437" i="8" s="1"/>
  <c r="G1437" i="8"/>
  <c r="E1438" i="8"/>
  <c r="F1438" i="8"/>
  <c r="H1438" i="8" s="1"/>
  <c r="G1438" i="8"/>
  <c r="E1439" i="8"/>
  <c r="F1439" i="8"/>
  <c r="G1439" i="8"/>
  <c r="E1440" i="8"/>
  <c r="F1440" i="8"/>
  <c r="H1440" i="8" s="1"/>
  <c r="G1440" i="8"/>
  <c r="E1441" i="8"/>
  <c r="F1441" i="8"/>
  <c r="H1441" i="8" s="1"/>
  <c r="G1441" i="8"/>
  <c r="E1442" i="8"/>
  <c r="F1442" i="8"/>
  <c r="H1442" i="8" s="1"/>
  <c r="G1442" i="8"/>
  <c r="E1443" i="8"/>
  <c r="F1443" i="8"/>
  <c r="H1443" i="8" s="1"/>
  <c r="G1443" i="8"/>
  <c r="E1444" i="8"/>
  <c r="F1444" i="8"/>
  <c r="H1444" i="8" s="1"/>
  <c r="G1444" i="8"/>
  <c r="E1445" i="8"/>
  <c r="F1445" i="8"/>
  <c r="G1445" i="8"/>
  <c r="E1446" i="8"/>
  <c r="F1446" i="8"/>
  <c r="H1446" i="8" s="1"/>
  <c r="G1446" i="8"/>
  <c r="E1447" i="8"/>
  <c r="F1447" i="8"/>
  <c r="H1447" i="8" s="1"/>
  <c r="G1447" i="8"/>
  <c r="E1448" i="8"/>
  <c r="F1448" i="8"/>
  <c r="G1448" i="8"/>
  <c r="E1449" i="8"/>
  <c r="F1449" i="8"/>
  <c r="G1449" i="8"/>
  <c r="E1450" i="8"/>
  <c r="F1450" i="8"/>
  <c r="H1450" i="8" s="1"/>
  <c r="G1450" i="8"/>
  <c r="E1451" i="8"/>
  <c r="F1451" i="8"/>
  <c r="H1451" i="8" s="1"/>
  <c r="G1451" i="8"/>
  <c r="E1452" i="8"/>
  <c r="F1452" i="8"/>
  <c r="H1452" i="8" s="1"/>
  <c r="G1452" i="8"/>
  <c r="E1453" i="8"/>
  <c r="F1453" i="8"/>
  <c r="H1453" i="8" s="1"/>
  <c r="G1453" i="8"/>
  <c r="E1454" i="8"/>
  <c r="F1454" i="8"/>
  <c r="H1454" i="8" s="1"/>
  <c r="G1454" i="8"/>
  <c r="E1455" i="8"/>
  <c r="F1455" i="8"/>
  <c r="H1455" i="8" s="1"/>
  <c r="G1455" i="8"/>
  <c r="E1456" i="8"/>
  <c r="F1456" i="8"/>
  <c r="H1456" i="8" s="1"/>
  <c r="G1456" i="8"/>
  <c r="E1457" i="8"/>
  <c r="F1457" i="8"/>
  <c r="H1457" i="8" s="1"/>
  <c r="G1457" i="8"/>
  <c r="E1458" i="8"/>
  <c r="F1458" i="8"/>
  <c r="G1458" i="8"/>
  <c r="E1459" i="8"/>
  <c r="F1459" i="8"/>
  <c r="H1459" i="8" s="1"/>
  <c r="G1459" i="8"/>
  <c r="E1460" i="8"/>
  <c r="F1460" i="8"/>
  <c r="H1460" i="8" s="1"/>
  <c r="G1460" i="8"/>
  <c r="E1461" i="8"/>
  <c r="F1461" i="8"/>
  <c r="H1461" i="8" s="1"/>
  <c r="G1461" i="8"/>
  <c r="E1462" i="8"/>
  <c r="F1462" i="8"/>
  <c r="H1462" i="8" s="1"/>
  <c r="G1462" i="8"/>
  <c r="E1463" i="8"/>
  <c r="F1463" i="8"/>
  <c r="H1463" i="8" s="1"/>
  <c r="G1463" i="8"/>
  <c r="E1464" i="8"/>
  <c r="F1464" i="8"/>
  <c r="H1464" i="8" s="1"/>
  <c r="G1464" i="8"/>
  <c r="E1465" i="8"/>
  <c r="F1465" i="8"/>
  <c r="H1465" i="8" s="1"/>
  <c r="G1465" i="8"/>
  <c r="E1466" i="8"/>
  <c r="F1466" i="8"/>
  <c r="H1466" i="8" s="1"/>
  <c r="G1466" i="8"/>
  <c r="E1467" i="8"/>
  <c r="F1467" i="8"/>
  <c r="H1467" i="8" s="1"/>
  <c r="G1467" i="8"/>
  <c r="E1468" i="8"/>
  <c r="F1468" i="8"/>
  <c r="H1468" i="8" s="1"/>
  <c r="G1468" i="8"/>
  <c r="E1469" i="8"/>
  <c r="F1469" i="8"/>
  <c r="H1469" i="8" s="1"/>
  <c r="G1469" i="8"/>
  <c r="E1470" i="8"/>
  <c r="F1470" i="8"/>
  <c r="H1470" i="8" s="1"/>
  <c r="G1470" i="8"/>
  <c r="E1471" i="8"/>
  <c r="F1471" i="8"/>
  <c r="H1471" i="8" s="1"/>
  <c r="G1471" i="8"/>
  <c r="E1472" i="8"/>
  <c r="F1472" i="8"/>
  <c r="H1472" i="8" s="1"/>
  <c r="G1472" i="8"/>
  <c r="E1473" i="8"/>
  <c r="F1473" i="8"/>
  <c r="H1473" i="8" s="1"/>
  <c r="G1473" i="8"/>
  <c r="E1474" i="8"/>
  <c r="F1474" i="8"/>
  <c r="H1474" i="8" s="1"/>
  <c r="G1474" i="8"/>
  <c r="E1475" i="8"/>
  <c r="F1475" i="8"/>
  <c r="H1475" i="8" s="1"/>
  <c r="G1475" i="8"/>
  <c r="E1476" i="8"/>
  <c r="F1476" i="8"/>
  <c r="H1476" i="8" s="1"/>
  <c r="G1476" i="8"/>
  <c r="E1477" i="8"/>
  <c r="F1477" i="8"/>
  <c r="H1477" i="8" s="1"/>
  <c r="G1477" i="8"/>
  <c r="E1478" i="8"/>
  <c r="F1478" i="8"/>
  <c r="G1478" i="8"/>
  <c r="E1479" i="8"/>
  <c r="F1479" i="8"/>
  <c r="H1479" i="8" s="1"/>
  <c r="G1479" i="8"/>
  <c r="E1480" i="8"/>
  <c r="F1480" i="8"/>
  <c r="H1480" i="8" s="1"/>
  <c r="G1480" i="8"/>
  <c r="E1481" i="8"/>
  <c r="F1481" i="8"/>
  <c r="H1481" i="8" s="1"/>
  <c r="G1481" i="8"/>
  <c r="E1482" i="8"/>
  <c r="F1482" i="8"/>
  <c r="H1482" i="8" s="1"/>
  <c r="G1482" i="8"/>
  <c r="E1483" i="8"/>
  <c r="F1483" i="8"/>
  <c r="H1483" i="8" s="1"/>
  <c r="G1483" i="8"/>
  <c r="E1484" i="8"/>
  <c r="F1484" i="8"/>
  <c r="H1484" i="8" s="1"/>
  <c r="G1484" i="8"/>
  <c r="E1485" i="8"/>
  <c r="F1485" i="8"/>
  <c r="H1485" i="8" s="1"/>
  <c r="G1485" i="8"/>
  <c r="E1486" i="8"/>
  <c r="F1486" i="8"/>
  <c r="H1486" i="8" s="1"/>
  <c r="G1486" i="8"/>
  <c r="E1487" i="8"/>
  <c r="F1487" i="8"/>
  <c r="H1487" i="8" s="1"/>
  <c r="G1487" i="8"/>
  <c r="E1488" i="8"/>
  <c r="F1488" i="8"/>
  <c r="H1488" i="8" s="1"/>
  <c r="G1488" i="8"/>
  <c r="E1489" i="8"/>
  <c r="F1489" i="8"/>
  <c r="H1489" i="8" s="1"/>
  <c r="G1489" i="8"/>
  <c r="E1490" i="8"/>
  <c r="F1490" i="8"/>
  <c r="H1490" i="8" s="1"/>
  <c r="G1490" i="8"/>
  <c r="E1491" i="8"/>
  <c r="F1491" i="8"/>
  <c r="H1491" i="8" s="1"/>
  <c r="G1491" i="8"/>
  <c r="E1492" i="8"/>
  <c r="F1492" i="8"/>
  <c r="H1492" i="8" s="1"/>
  <c r="G1492" i="8"/>
  <c r="E1493" i="8"/>
  <c r="F1493" i="8"/>
  <c r="H1493" i="8" s="1"/>
  <c r="G1493" i="8"/>
  <c r="E1494" i="8"/>
  <c r="F1494" i="8"/>
  <c r="H1494" i="8" s="1"/>
  <c r="G1494" i="8"/>
  <c r="E1495" i="8"/>
  <c r="F1495" i="8"/>
  <c r="H1495" i="8" s="1"/>
  <c r="G1495" i="8"/>
  <c r="E1496" i="8"/>
  <c r="F1496" i="8"/>
  <c r="H1496" i="8" s="1"/>
  <c r="G1496" i="8"/>
  <c r="E1497" i="8"/>
  <c r="F1497" i="8"/>
  <c r="H1497" i="8" s="1"/>
  <c r="G1497" i="8"/>
  <c r="E1498" i="8"/>
  <c r="F1498" i="8"/>
  <c r="H1498" i="8" s="1"/>
  <c r="G1498" i="8"/>
  <c r="E1499" i="8"/>
  <c r="F1499" i="8"/>
  <c r="H1499" i="8" s="1"/>
  <c r="G1499" i="8"/>
  <c r="E1500" i="8"/>
  <c r="F1500" i="8"/>
  <c r="H1500" i="8" s="1"/>
  <c r="G1500" i="8"/>
  <c r="E1501" i="8"/>
  <c r="F1501" i="8"/>
  <c r="G1501" i="8"/>
  <c r="E1502" i="8"/>
  <c r="F1502" i="8"/>
  <c r="H1502" i="8" s="1"/>
  <c r="G1502" i="8"/>
  <c r="E1503" i="8"/>
  <c r="F1503" i="8"/>
  <c r="G1503" i="8"/>
  <c r="E1504" i="8"/>
  <c r="F1504" i="8"/>
  <c r="G1504" i="8"/>
  <c r="E1505" i="8"/>
  <c r="F1505" i="8"/>
  <c r="H1505" i="8" s="1"/>
  <c r="G1505" i="8"/>
  <c r="E1506" i="8"/>
  <c r="F1506" i="8"/>
  <c r="H1506" i="8" s="1"/>
  <c r="G1506" i="8"/>
  <c r="E1507" i="8"/>
  <c r="F1507" i="8"/>
  <c r="H1507" i="8" s="1"/>
  <c r="G1507" i="8"/>
  <c r="E1508" i="8"/>
  <c r="F1508" i="8"/>
  <c r="H1508" i="8" s="1"/>
  <c r="G1508" i="8"/>
  <c r="E1509" i="8"/>
  <c r="F1509" i="8"/>
  <c r="H1509" i="8" s="1"/>
  <c r="G1509" i="8"/>
  <c r="E1510" i="8"/>
  <c r="F1510" i="8"/>
  <c r="H1510" i="8" s="1"/>
  <c r="G1510" i="8"/>
  <c r="E1511" i="8"/>
  <c r="F1511" i="8"/>
  <c r="H1511" i="8" s="1"/>
  <c r="G1511" i="8"/>
  <c r="E1512" i="8"/>
  <c r="F1512" i="8"/>
  <c r="H1512" i="8" s="1"/>
  <c r="G1512" i="8"/>
  <c r="E1513" i="8"/>
  <c r="F1513" i="8"/>
  <c r="G1513" i="8"/>
  <c r="E1514" i="8"/>
  <c r="F1514" i="8"/>
  <c r="H1514" i="8" s="1"/>
  <c r="G1514" i="8"/>
  <c r="E1515" i="8"/>
  <c r="F1515" i="8"/>
  <c r="G1515" i="8"/>
  <c r="E1516" i="8"/>
  <c r="F1516" i="8"/>
  <c r="H1516" i="8" s="1"/>
  <c r="G1516" i="8"/>
  <c r="E1517" i="8"/>
  <c r="F1517" i="8"/>
  <c r="H1517" i="8" s="1"/>
  <c r="G1517" i="8"/>
  <c r="E1518" i="8"/>
  <c r="F1518" i="8"/>
  <c r="H1518" i="8" s="1"/>
  <c r="G1518" i="8"/>
  <c r="E1519" i="8"/>
  <c r="F1519" i="8"/>
  <c r="H1519" i="8" s="1"/>
  <c r="G1519" i="8"/>
  <c r="E1520" i="8"/>
  <c r="F1520" i="8"/>
  <c r="H1520" i="8" s="1"/>
  <c r="G1520" i="8"/>
  <c r="E1521" i="8"/>
  <c r="F1521" i="8"/>
  <c r="G1521" i="8"/>
  <c r="E1522" i="8"/>
  <c r="F1522" i="8"/>
  <c r="H1522" i="8" s="1"/>
  <c r="G1522" i="8"/>
  <c r="E1523" i="8"/>
  <c r="F1523" i="8"/>
  <c r="H1523" i="8" s="1"/>
  <c r="G1523" i="8"/>
  <c r="E1524" i="8"/>
  <c r="F1524" i="8"/>
  <c r="H1524" i="8" s="1"/>
  <c r="G1524" i="8"/>
  <c r="E1525" i="8"/>
  <c r="F1525" i="8"/>
  <c r="H1525" i="8" s="1"/>
  <c r="G1525" i="8"/>
  <c r="E1526" i="8"/>
  <c r="F1526" i="8"/>
  <c r="H1526" i="8" s="1"/>
  <c r="G1526" i="8"/>
  <c r="E1527" i="8"/>
  <c r="F1527" i="8"/>
  <c r="H1527" i="8" s="1"/>
  <c r="G1527" i="8"/>
  <c r="E1528" i="8"/>
  <c r="F1528" i="8"/>
  <c r="H1528" i="8" s="1"/>
  <c r="G1528" i="8"/>
  <c r="E1529" i="8"/>
  <c r="F1529" i="8"/>
  <c r="G1529" i="8"/>
  <c r="E1530" i="8"/>
  <c r="F1530" i="8"/>
  <c r="H1530" i="8" s="1"/>
  <c r="G1530" i="8"/>
  <c r="E1531" i="8"/>
  <c r="F1531" i="8"/>
  <c r="G1531" i="8"/>
  <c r="E1532" i="8"/>
  <c r="F1532" i="8"/>
  <c r="H1532" i="8" s="1"/>
  <c r="G1532" i="8"/>
  <c r="E1533" i="8"/>
  <c r="F1533" i="8"/>
  <c r="H1533" i="8" s="1"/>
  <c r="G1533" i="8"/>
  <c r="E1534" i="8"/>
  <c r="F1534" i="8"/>
  <c r="H1534" i="8" s="1"/>
  <c r="G1534" i="8"/>
  <c r="E1535" i="8"/>
  <c r="F1535" i="8"/>
  <c r="H1535" i="8" s="1"/>
  <c r="G1535" i="8"/>
  <c r="E1536" i="8"/>
  <c r="F1536" i="8"/>
  <c r="H1536" i="8" s="1"/>
  <c r="G1536" i="8"/>
  <c r="E1537" i="8"/>
  <c r="F1537" i="8"/>
  <c r="H1537" i="8" s="1"/>
  <c r="G1537" i="8"/>
  <c r="E1538" i="8"/>
  <c r="F1538" i="8"/>
  <c r="H1538" i="8" s="1"/>
  <c r="G1538" i="8"/>
  <c r="E1539" i="8"/>
  <c r="F1539" i="8"/>
  <c r="H1539" i="8" s="1"/>
  <c r="G1539" i="8"/>
  <c r="E1540" i="8"/>
  <c r="F1540" i="8"/>
  <c r="H1540" i="8" s="1"/>
  <c r="G1540" i="8"/>
  <c r="E1541" i="8"/>
  <c r="F1541" i="8"/>
  <c r="H1541" i="8" s="1"/>
  <c r="G1541" i="8"/>
  <c r="E1542" i="8"/>
  <c r="F1542" i="8"/>
  <c r="G1542" i="8"/>
  <c r="E1543" i="8"/>
  <c r="F1543" i="8"/>
  <c r="G1543" i="8"/>
  <c r="E1544" i="8"/>
  <c r="F1544" i="8"/>
  <c r="H1544" i="8" s="1"/>
  <c r="G1544" i="8"/>
  <c r="E1545" i="8"/>
  <c r="F1545" i="8"/>
  <c r="H1545" i="8" s="1"/>
  <c r="G1545" i="8"/>
  <c r="E1546" i="8"/>
  <c r="F1546" i="8"/>
  <c r="H1546" i="8" s="1"/>
  <c r="G1546" i="8"/>
  <c r="E1547" i="8"/>
  <c r="F1547" i="8"/>
  <c r="H1547" i="8" s="1"/>
  <c r="G1547" i="8"/>
  <c r="E1548" i="8"/>
  <c r="F1548" i="8"/>
  <c r="H1548" i="8" s="1"/>
  <c r="G1548" i="8"/>
  <c r="E1549" i="8"/>
  <c r="F1549" i="8"/>
  <c r="H1549" i="8" s="1"/>
  <c r="G1549" i="8"/>
  <c r="E1550" i="8"/>
  <c r="F1550" i="8"/>
  <c r="G1550" i="8"/>
  <c r="E1551" i="8"/>
  <c r="F1551" i="8"/>
  <c r="G1551" i="8"/>
  <c r="E1552" i="8"/>
  <c r="F1552" i="8"/>
  <c r="H1552" i="8" s="1"/>
  <c r="G1552" i="8"/>
  <c r="E1553" i="8"/>
  <c r="F1553" i="8"/>
  <c r="H1553" i="8" s="1"/>
  <c r="G1553" i="8"/>
  <c r="E1554" i="8"/>
  <c r="F1554" i="8"/>
  <c r="H1554" i="8" s="1"/>
  <c r="G1554" i="8"/>
  <c r="E1555" i="8"/>
  <c r="F1555" i="8"/>
  <c r="H1555" i="8" s="1"/>
  <c r="G1555" i="8"/>
  <c r="E1556" i="8"/>
  <c r="F1556" i="8"/>
  <c r="H1556" i="8" s="1"/>
  <c r="G1556" i="8"/>
  <c r="E1557" i="8"/>
  <c r="F1557" i="8"/>
  <c r="G1557" i="8"/>
  <c r="E1558" i="8"/>
  <c r="F1558" i="8"/>
  <c r="H1558" i="8" s="1"/>
  <c r="G1558" i="8"/>
  <c r="E1559" i="8"/>
  <c r="F1559" i="8"/>
  <c r="G1559" i="8"/>
  <c r="E1560" i="8"/>
  <c r="F1560" i="8"/>
  <c r="H1560" i="8" s="1"/>
  <c r="G1560" i="8"/>
  <c r="E1561" i="8"/>
  <c r="F1561" i="8"/>
  <c r="H1561" i="8" s="1"/>
  <c r="G1561" i="8"/>
  <c r="E1562" i="8"/>
  <c r="F1562" i="8"/>
  <c r="H1562" i="8" s="1"/>
  <c r="G1562" i="8"/>
  <c r="E1563" i="8"/>
  <c r="F1563" i="8"/>
  <c r="H1563" i="8" s="1"/>
  <c r="G1563" i="8"/>
  <c r="E1564" i="8"/>
  <c r="F1564" i="8"/>
  <c r="H1564" i="8" s="1"/>
  <c r="G1564" i="8"/>
  <c r="E1565" i="8"/>
  <c r="F1565" i="8"/>
  <c r="H1565" i="8" s="1"/>
  <c r="G1565" i="8"/>
  <c r="E1566" i="8"/>
  <c r="F1566" i="8"/>
  <c r="H1566" i="8" s="1"/>
  <c r="G1566" i="8"/>
  <c r="E1567" i="8"/>
  <c r="F1567" i="8"/>
  <c r="H1567" i="8" s="1"/>
  <c r="G1567" i="8"/>
  <c r="E1568" i="8"/>
  <c r="F1568" i="8"/>
  <c r="H1568" i="8" s="1"/>
  <c r="G1568" i="8"/>
  <c r="E1569" i="8"/>
  <c r="F1569" i="8"/>
  <c r="H1569" i="8" s="1"/>
  <c r="G1569" i="8"/>
  <c r="E1570" i="8"/>
  <c r="F1570" i="8"/>
  <c r="H1570" i="8" s="1"/>
  <c r="G1570" i="8"/>
  <c r="E1571" i="8"/>
  <c r="F1571" i="8"/>
  <c r="H1571" i="8" s="1"/>
  <c r="G1571" i="8"/>
  <c r="E1572" i="8"/>
  <c r="F1572" i="8"/>
  <c r="H1572" i="8" s="1"/>
  <c r="G1572" i="8"/>
  <c r="E1573" i="8"/>
  <c r="F1573" i="8"/>
  <c r="H1573" i="8" s="1"/>
  <c r="G1573" i="8"/>
  <c r="E1574" i="8"/>
  <c r="F1574" i="8"/>
  <c r="H1574" i="8" s="1"/>
  <c r="G1574" i="8"/>
  <c r="E1575" i="8"/>
  <c r="F1575" i="8"/>
  <c r="H1575" i="8" s="1"/>
  <c r="G1575" i="8"/>
  <c r="E1576" i="8"/>
  <c r="F1576" i="8"/>
  <c r="H1576" i="8" s="1"/>
  <c r="G1576" i="8"/>
  <c r="E1577" i="8"/>
  <c r="F1577" i="8"/>
  <c r="G1577" i="8"/>
  <c r="E1578" i="8"/>
  <c r="F1578" i="8"/>
  <c r="H1578" i="8" s="1"/>
  <c r="G1578" i="8"/>
  <c r="E1579" i="8"/>
  <c r="F1579" i="8"/>
  <c r="H1579" i="8" s="1"/>
  <c r="G1579" i="8"/>
  <c r="E1580" i="8"/>
  <c r="F1580" i="8"/>
  <c r="G1580" i="8"/>
  <c r="E1581" i="8"/>
  <c r="F1581" i="8"/>
  <c r="H1581" i="8" s="1"/>
  <c r="G1581" i="8"/>
  <c r="E1582" i="8"/>
  <c r="F1582" i="8"/>
  <c r="H1582" i="8" s="1"/>
  <c r="G1582" i="8"/>
  <c r="E1583" i="8"/>
  <c r="F1583" i="8"/>
  <c r="H1583" i="8" s="1"/>
  <c r="G1583" i="8"/>
  <c r="E1584" i="8"/>
  <c r="F1584" i="8"/>
  <c r="H1584" i="8" s="1"/>
  <c r="G1584" i="8"/>
  <c r="E1585" i="8"/>
  <c r="F1585" i="8"/>
  <c r="H1585" i="8" s="1"/>
  <c r="G1585" i="8"/>
  <c r="E1586" i="8"/>
  <c r="F1586" i="8"/>
  <c r="H1586" i="8" s="1"/>
  <c r="G1586" i="8"/>
  <c r="E1587" i="8"/>
  <c r="F1587" i="8"/>
  <c r="H1587" i="8" s="1"/>
  <c r="G1587" i="8"/>
  <c r="E1588" i="8"/>
  <c r="F1588" i="8"/>
  <c r="H1588" i="8" s="1"/>
  <c r="G1588" i="8"/>
  <c r="E1589" i="8"/>
  <c r="F1589" i="8"/>
  <c r="H1589" i="8" s="1"/>
  <c r="G1589" i="8"/>
  <c r="E1590" i="8"/>
  <c r="F1590" i="8"/>
  <c r="H1590" i="8" s="1"/>
  <c r="G1590" i="8"/>
  <c r="E1591" i="8"/>
  <c r="F1591" i="8"/>
  <c r="H1591" i="8" s="1"/>
  <c r="G1591" i="8"/>
  <c r="E1592" i="8"/>
  <c r="F1592" i="8"/>
  <c r="H1592" i="8" s="1"/>
  <c r="G1592" i="8"/>
  <c r="E1593" i="8"/>
  <c r="F1593" i="8"/>
  <c r="H1593" i="8" s="1"/>
  <c r="G1593" i="8"/>
  <c r="E1594" i="8"/>
  <c r="F1594" i="8"/>
  <c r="H1594" i="8" s="1"/>
  <c r="G1594" i="8"/>
  <c r="E1595" i="8"/>
  <c r="F1595" i="8"/>
  <c r="H1595" i="8" s="1"/>
  <c r="G1595" i="8"/>
  <c r="E1596" i="8"/>
  <c r="F1596" i="8"/>
  <c r="H1596" i="8" s="1"/>
  <c r="G1596" i="8"/>
  <c r="E1597" i="8"/>
  <c r="F1597" i="8"/>
  <c r="G1597" i="8"/>
  <c r="E1598" i="8"/>
  <c r="F1598" i="8"/>
  <c r="H1598" i="8" s="1"/>
  <c r="G1598" i="8"/>
  <c r="E1599" i="8"/>
  <c r="F1599" i="8"/>
  <c r="G1599" i="8"/>
  <c r="E1600" i="8"/>
  <c r="F1600" i="8"/>
  <c r="G1600" i="8"/>
  <c r="E1601" i="8"/>
  <c r="F1601" i="8"/>
  <c r="H1601" i="8" s="1"/>
  <c r="G1601" i="8"/>
  <c r="E1602" i="8"/>
  <c r="F1602" i="8"/>
  <c r="H1602" i="8" s="1"/>
  <c r="G1602" i="8"/>
  <c r="E1603" i="8"/>
  <c r="F1603" i="8"/>
  <c r="H1603" i="8" s="1"/>
  <c r="G1603" i="8"/>
  <c r="E1604" i="8"/>
  <c r="F1604" i="8"/>
  <c r="H1604" i="8" s="1"/>
  <c r="G1604" i="8"/>
  <c r="E1605" i="8"/>
  <c r="F1605" i="8"/>
  <c r="H1605" i="8" s="1"/>
  <c r="G1605" i="8"/>
  <c r="E1606" i="8"/>
  <c r="F1606" i="8"/>
  <c r="G1606" i="8"/>
  <c r="E1607" i="8"/>
  <c r="F1607" i="8"/>
  <c r="H1607" i="8" s="1"/>
  <c r="G1607" i="8"/>
  <c r="E1608" i="8"/>
  <c r="F1608" i="8"/>
  <c r="H1608" i="8" s="1"/>
  <c r="G1608" i="8"/>
  <c r="E1609" i="8"/>
  <c r="F1609" i="8"/>
  <c r="H1609" i="8" s="1"/>
  <c r="G1609" i="8"/>
  <c r="E1610" i="8"/>
  <c r="F1610" i="8"/>
  <c r="H1610" i="8" s="1"/>
  <c r="G1610" i="8"/>
  <c r="E1611" i="8"/>
  <c r="F1611" i="8"/>
  <c r="H1611" i="8" s="1"/>
  <c r="G1611" i="8"/>
  <c r="E1612" i="8"/>
  <c r="F1612" i="8"/>
  <c r="H1612" i="8" s="1"/>
  <c r="G1612" i="8"/>
  <c r="E1613" i="8"/>
  <c r="F1613" i="8"/>
  <c r="H1613" i="8" s="1"/>
  <c r="G1613" i="8"/>
  <c r="E1614" i="8"/>
  <c r="F1614" i="8"/>
  <c r="H1614" i="8" s="1"/>
  <c r="G1614" i="8"/>
  <c r="E1615" i="8"/>
  <c r="F1615" i="8"/>
  <c r="H1615" i="8" s="1"/>
  <c r="G1615" i="8"/>
  <c r="E1616" i="8"/>
  <c r="F1616" i="8"/>
  <c r="H1616" i="8" s="1"/>
  <c r="G1616" i="8"/>
  <c r="E1617" i="8"/>
  <c r="F1617" i="8"/>
  <c r="H1617" i="8" s="1"/>
  <c r="G1617" i="8"/>
  <c r="E1618" i="8"/>
  <c r="F1618" i="8"/>
  <c r="G1618" i="8"/>
  <c r="E1619" i="8"/>
  <c r="F1619" i="8"/>
  <c r="H1619" i="8" s="1"/>
  <c r="G1619" i="8"/>
  <c r="E1620" i="8"/>
  <c r="F1620" i="8"/>
  <c r="H1620" i="8" s="1"/>
  <c r="G1620" i="8"/>
  <c r="E1621" i="8"/>
  <c r="F1621" i="8"/>
  <c r="H1621" i="8" s="1"/>
  <c r="G1621" i="8"/>
  <c r="E1622" i="8"/>
  <c r="F1622" i="8"/>
  <c r="H1622" i="8" s="1"/>
  <c r="G1622" i="8"/>
  <c r="E1623" i="8"/>
  <c r="F1623" i="8"/>
  <c r="H1623" i="8" s="1"/>
  <c r="G1623" i="8"/>
  <c r="E1624" i="8"/>
  <c r="F1624" i="8"/>
  <c r="H1624" i="8" s="1"/>
  <c r="G1624" i="8"/>
  <c r="E1625" i="8"/>
  <c r="F1625" i="8"/>
  <c r="H1625" i="8" s="1"/>
  <c r="G1625" i="8"/>
  <c r="E1626" i="8"/>
  <c r="F1626" i="8"/>
  <c r="H1626" i="8" s="1"/>
  <c r="G1626" i="8"/>
  <c r="E1627" i="8"/>
  <c r="F1627" i="8"/>
  <c r="G1627" i="8"/>
  <c r="E1628" i="8"/>
  <c r="F1628" i="8"/>
  <c r="H1628" i="8" s="1"/>
  <c r="G1628" i="8"/>
  <c r="E1629" i="8"/>
  <c r="F1629" i="8"/>
  <c r="H1629" i="8" s="1"/>
  <c r="G1629" i="8"/>
  <c r="E1630" i="8"/>
  <c r="F1630" i="8"/>
  <c r="H1630" i="8" s="1"/>
  <c r="G1630" i="8"/>
  <c r="E1631" i="8"/>
  <c r="F1631" i="8"/>
  <c r="H1631" i="8" s="1"/>
  <c r="G1631" i="8"/>
  <c r="E1632" i="8"/>
  <c r="F1632" i="8"/>
  <c r="H1632" i="8" s="1"/>
  <c r="G1632" i="8"/>
  <c r="E1633" i="8"/>
  <c r="F1633" i="8"/>
  <c r="H1633" i="8" s="1"/>
  <c r="G1633" i="8"/>
  <c r="E1634" i="8"/>
  <c r="F1634" i="8"/>
  <c r="H1634" i="8" s="1"/>
  <c r="G1634" i="8"/>
  <c r="E1635" i="8"/>
  <c r="F1635" i="8"/>
  <c r="H1635" i="8" s="1"/>
  <c r="G1635" i="8"/>
  <c r="E1636" i="8"/>
  <c r="F1636" i="8"/>
  <c r="H1636" i="8" s="1"/>
  <c r="G1636" i="8"/>
  <c r="E1637" i="8"/>
  <c r="F1637" i="8"/>
  <c r="H1637" i="8" s="1"/>
  <c r="G1637" i="8"/>
  <c r="E1638" i="8"/>
  <c r="F1638" i="8"/>
  <c r="H1638" i="8" s="1"/>
  <c r="G1638" i="8"/>
  <c r="E1639" i="8"/>
  <c r="F1639" i="8"/>
  <c r="G1639" i="8"/>
  <c r="E1640" i="8"/>
  <c r="F1640" i="8"/>
  <c r="H1640" i="8" s="1"/>
  <c r="G1640" i="8"/>
  <c r="E1641" i="8"/>
  <c r="F1641" i="8"/>
  <c r="H1641" i="8" s="1"/>
  <c r="G1641" i="8"/>
  <c r="E1642" i="8"/>
  <c r="F1642" i="8"/>
  <c r="G1642" i="8"/>
  <c r="E1643" i="8"/>
  <c r="F1643" i="8"/>
  <c r="H1643" i="8" s="1"/>
  <c r="G1643" i="8"/>
  <c r="E1644" i="8"/>
  <c r="F1644" i="8"/>
  <c r="H1644" i="8" s="1"/>
  <c r="G1644" i="8"/>
  <c r="E1645" i="8"/>
  <c r="F1645" i="8"/>
  <c r="G1645" i="8"/>
  <c r="E1646" i="8"/>
  <c r="F1646" i="8"/>
  <c r="H1646" i="8" s="1"/>
  <c r="G1646" i="8"/>
  <c r="E1647" i="8"/>
  <c r="F1647" i="8"/>
  <c r="H1647" i="8" s="1"/>
  <c r="G1647" i="8"/>
  <c r="E1648" i="8"/>
  <c r="F1648" i="8"/>
  <c r="H1648" i="8" s="1"/>
  <c r="G1648" i="8"/>
  <c r="E1649" i="8"/>
  <c r="F1649" i="8"/>
  <c r="H1649" i="8" s="1"/>
  <c r="G1649" i="8"/>
  <c r="E1650" i="8"/>
  <c r="F1650" i="8"/>
  <c r="G1650" i="8"/>
  <c r="E1651" i="8"/>
  <c r="F1651" i="8"/>
  <c r="H1651" i="8" s="1"/>
  <c r="G1651" i="8"/>
  <c r="E1652" i="8"/>
  <c r="F1652" i="8"/>
  <c r="H1652" i="8" s="1"/>
  <c r="G1652" i="8"/>
  <c r="E1653" i="8"/>
  <c r="F1653" i="8"/>
  <c r="H1653" i="8" s="1"/>
  <c r="G1653" i="8"/>
  <c r="E1654" i="8"/>
  <c r="F1654" i="8"/>
  <c r="H1654" i="8" s="1"/>
  <c r="G1654" i="8"/>
  <c r="E1655" i="8"/>
  <c r="F1655" i="8"/>
  <c r="H1655" i="8" s="1"/>
  <c r="G1655" i="8"/>
  <c r="E1656" i="8"/>
  <c r="F1656" i="8"/>
  <c r="H1656" i="8" s="1"/>
  <c r="G1656" i="8"/>
  <c r="E1657" i="8"/>
  <c r="F1657" i="8"/>
  <c r="H1657" i="8" s="1"/>
  <c r="G1657" i="8"/>
  <c r="E1658" i="8"/>
  <c r="F1658" i="8"/>
  <c r="G1658" i="8"/>
  <c r="E1659" i="8"/>
  <c r="F1659" i="8"/>
  <c r="H1659" i="8" s="1"/>
  <c r="G1659" i="8"/>
  <c r="E1660" i="8"/>
  <c r="F1660" i="8"/>
  <c r="H1660" i="8" s="1"/>
  <c r="G1660" i="8"/>
  <c r="E1661" i="8"/>
  <c r="F1661" i="8"/>
  <c r="H1661" i="8" s="1"/>
  <c r="G1661" i="8"/>
  <c r="E1662" i="8"/>
  <c r="F1662" i="8"/>
  <c r="H1662" i="8" s="1"/>
  <c r="G1662" i="8"/>
  <c r="E1663" i="8"/>
  <c r="F1663" i="8"/>
  <c r="H1663" i="8" s="1"/>
  <c r="G1663" i="8"/>
  <c r="E1664" i="8"/>
  <c r="F1664" i="8"/>
  <c r="H1664" i="8" s="1"/>
  <c r="G1664" i="8"/>
  <c r="E1665" i="8"/>
  <c r="F1665" i="8"/>
  <c r="H1665" i="8" s="1"/>
  <c r="G1665" i="8"/>
  <c r="E1666" i="8"/>
  <c r="F1666" i="8"/>
  <c r="H1666" i="8" s="1"/>
  <c r="G1666" i="8"/>
  <c r="E1667" i="8"/>
  <c r="F1667" i="8"/>
  <c r="H1667" i="8" s="1"/>
  <c r="G1667" i="8"/>
  <c r="E1668" i="8"/>
  <c r="F1668" i="8"/>
  <c r="H1668" i="8" s="1"/>
  <c r="G1668" i="8"/>
  <c r="E1669" i="8"/>
  <c r="F1669" i="8"/>
  <c r="H1669" i="8" s="1"/>
  <c r="G1669" i="8"/>
  <c r="E1670" i="8"/>
  <c r="F1670" i="8"/>
  <c r="H1670" i="8" s="1"/>
  <c r="G1670" i="8"/>
  <c r="E1671" i="8"/>
  <c r="F1671" i="8"/>
  <c r="H1671" i="8" s="1"/>
  <c r="G1671" i="8"/>
  <c r="E1672" i="8"/>
  <c r="F1672" i="8"/>
  <c r="H1672" i="8" s="1"/>
  <c r="G1672" i="8"/>
  <c r="E1673" i="8"/>
  <c r="F1673" i="8"/>
  <c r="H1673" i="8" s="1"/>
  <c r="G1673" i="8"/>
  <c r="E1674" i="8"/>
  <c r="F1674" i="8"/>
  <c r="H1674" i="8" s="1"/>
  <c r="G1674" i="8"/>
  <c r="E1675" i="8"/>
  <c r="F1675" i="8"/>
  <c r="H1675" i="8" s="1"/>
  <c r="G1675" i="8"/>
  <c r="E1676" i="8"/>
  <c r="F1676" i="8"/>
  <c r="H1676" i="8" s="1"/>
  <c r="G1676" i="8"/>
  <c r="E1677" i="8"/>
  <c r="F1677" i="8"/>
  <c r="H1677" i="8" s="1"/>
  <c r="G1677" i="8"/>
  <c r="E1678" i="8"/>
  <c r="F1678" i="8"/>
  <c r="H1678" i="8" s="1"/>
  <c r="G1678" i="8"/>
  <c r="E1679" i="8"/>
  <c r="F1679" i="8"/>
  <c r="H1679" i="8" s="1"/>
  <c r="G1679" i="8"/>
  <c r="E1680" i="8"/>
  <c r="F1680" i="8"/>
  <c r="H1680" i="8" s="1"/>
  <c r="G1680" i="8"/>
  <c r="E1681" i="8"/>
  <c r="F1681" i="8"/>
  <c r="H1681" i="8" s="1"/>
  <c r="G1681" i="8"/>
  <c r="E1682" i="8"/>
  <c r="F1682" i="8"/>
  <c r="H1682" i="8" s="1"/>
  <c r="G1682" i="8"/>
  <c r="E1683" i="8"/>
  <c r="F1683" i="8"/>
  <c r="H1683" i="8" s="1"/>
  <c r="G1683" i="8"/>
  <c r="E1684" i="8"/>
  <c r="F1684" i="8"/>
  <c r="G1684" i="8"/>
  <c r="E1685" i="8"/>
  <c r="F1685" i="8"/>
  <c r="G1685" i="8"/>
  <c r="E1686" i="8"/>
  <c r="F1686" i="8"/>
  <c r="H1686" i="8" s="1"/>
  <c r="G1686" i="8"/>
  <c r="E1687" i="8"/>
  <c r="F1687" i="8"/>
  <c r="H1687" i="8" s="1"/>
  <c r="G1687" i="8"/>
  <c r="E1688" i="8"/>
  <c r="F1688" i="8"/>
  <c r="H1688" i="8" s="1"/>
  <c r="G1688" i="8"/>
  <c r="E1689" i="8"/>
  <c r="F1689" i="8"/>
  <c r="H1689" i="8" s="1"/>
  <c r="G1689" i="8"/>
  <c r="E1690" i="8"/>
  <c r="F1690" i="8"/>
  <c r="H1690" i="8" s="1"/>
  <c r="G1690" i="8"/>
  <c r="E1691" i="8"/>
  <c r="F1691" i="8"/>
  <c r="H1691" i="8" s="1"/>
  <c r="G1691" i="8"/>
  <c r="E1692" i="8"/>
  <c r="F1692" i="8"/>
  <c r="G1692" i="8"/>
  <c r="E1693" i="8"/>
  <c r="F1693" i="8"/>
  <c r="H1693" i="8" s="1"/>
  <c r="G1693" i="8"/>
  <c r="E1694" i="8"/>
  <c r="F1694" i="8"/>
  <c r="H1694" i="8" s="1"/>
  <c r="G1694" i="8"/>
  <c r="E1695" i="8"/>
  <c r="F1695" i="8"/>
  <c r="G1695" i="8"/>
  <c r="E1696" i="8"/>
  <c r="F1696" i="8"/>
  <c r="G1696" i="8"/>
  <c r="E1697" i="8"/>
  <c r="F1697" i="8"/>
  <c r="H1697" i="8" s="1"/>
  <c r="G1697" i="8"/>
  <c r="E1698" i="8"/>
  <c r="F1698" i="8"/>
  <c r="H1698" i="8" s="1"/>
  <c r="G1698" i="8"/>
  <c r="E1699" i="8"/>
  <c r="F1699" i="8"/>
  <c r="H1699" i="8" s="1"/>
  <c r="G1699" i="8"/>
  <c r="E1700" i="8"/>
  <c r="F1700" i="8"/>
  <c r="H1700" i="8" s="1"/>
  <c r="G1700" i="8"/>
  <c r="E1701" i="8"/>
  <c r="F1701" i="8"/>
  <c r="H1701" i="8" s="1"/>
  <c r="G1701" i="8"/>
  <c r="E1702" i="8"/>
  <c r="F1702" i="8"/>
  <c r="H1702" i="8" s="1"/>
  <c r="G1702" i="8"/>
  <c r="E1703" i="8"/>
  <c r="F1703" i="8"/>
  <c r="H1703" i="8" s="1"/>
  <c r="G1703" i="8"/>
  <c r="E1704" i="8"/>
  <c r="F1704" i="8"/>
  <c r="H1704" i="8" s="1"/>
  <c r="G1704" i="8"/>
  <c r="E1705" i="8"/>
  <c r="F1705" i="8"/>
  <c r="H1705" i="8" s="1"/>
  <c r="G1705" i="8"/>
  <c r="E1706" i="8"/>
  <c r="F1706" i="8"/>
  <c r="G1706" i="8"/>
  <c r="E1707" i="8"/>
  <c r="F1707" i="8"/>
  <c r="H1707" i="8" s="1"/>
  <c r="G1707" i="8"/>
  <c r="E1708" i="8"/>
  <c r="F1708" i="8"/>
  <c r="H1708" i="8" s="1"/>
  <c r="G1708" i="8"/>
  <c r="E1709" i="8"/>
  <c r="F1709" i="8"/>
  <c r="H1709" i="8" s="1"/>
  <c r="G1709" i="8"/>
  <c r="E1710" i="8"/>
  <c r="F1710" i="8"/>
  <c r="H1710" i="8" s="1"/>
  <c r="G1710" i="8"/>
  <c r="E1711" i="8"/>
  <c r="F1711" i="8"/>
  <c r="G1711" i="8"/>
  <c r="E1712" i="8"/>
  <c r="F1712" i="8"/>
  <c r="H1712" i="8" s="1"/>
  <c r="G1712" i="8"/>
  <c r="E1713" i="8"/>
  <c r="F1713" i="8"/>
  <c r="H1713" i="8" s="1"/>
  <c r="G1713" i="8"/>
  <c r="E1714" i="8"/>
  <c r="F1714" i="8"/>
  <c r="H1714" i="8" s="1"/>
  <c r="G1714" i="8"/>
  <c r="E1715" i="8"/>
  <c r="F1715" i="8"/>
  <c r="H1715" i="8" s="1"/>
  <c r="G1715" i="8"/>
  <c r="E1716" i="8"/>
  <c r="F1716" i="8"/>
  <c r="H1716" i="8" s="1"/>
  <c r="G1716" i="8"/>
  <c r="E1717" i="8"/>
  <c r="F1717" i="8"/>
  <c r="H1717" i="8" s="1"/>
  <c r="G1717" i="8"/>
  <c r="E1718" i="8"/>
  <c r="F1718" i="8"/>
  <c r="H1718" i="8" s="1"/>
  <c r="G1718" i="8"/>
  <c r="E1719" i="8"/>
  <c r="F1719" i="8"/>
  <c r="H1719" i="8" s="1"/>
  <c r="G1719" i="8"/>
  <c r="E1720" i="8"/>
  <c r="F1720" i="8"/>
  <c r="H1720" i="8" s="1"/>
  <c r="G1720" i="8"/>
  <c r="E1721" i="8"/>
  <c r="F1721" i="8"/>
  <c r="H1721" i="8" s="1"/>
  <c r="G1721" i="8"/>
  <c r="E1722" i="8"/>
  <c r="F1722" i="8"/>
  <c r="H1722" i="8" s="1"/>
  <c r="G1722" i="8"/>
  <c r="E1723" i="8"/>
  <c r="F1723" i="8"/>
  <c r="H1723" i="8" s="1"/>
  <c r="G1723" i="8"/>
  <c r="E1724" i="8"/>
  <c r="F1724" i="8"/>
  <c r="G1724" i="8"/>
  <c r="E1725" i="8"/>
  <c r="F1725" i="8"/>
  <c r="H1725" i="8" s="1"/>
  <c r="G1725" i="8"/>
  <c r="E1726" i="8"/>
  <c r="F1726" i="8"/>
  <c r="H1726" i="8" s="1"/>
  <c r="G1726" i="8"/>
  <c r="E1727" i="8"/>
  <c r="F1727" i="8"/>
  <c r="H1727" i="8" s="1"/>
  <c r="G1727" i="8"/>
  <c r="E1728" i="8"/>
  <c r="F1728" i="8"/>
  <c r="H1728" i="8" s="1"/>
  <c r="G1728" i="8"/>
  <c r="E1729" i="8"/>
  <c r="F1729" i="8"/>
  <c r="H1729" i="8" s="1"/>
  <c r="G1729" i="8"/>
  <c r="E1730" i="8"/>
  <c r="F1730" i="8"/>
  <c r="H1730" i="8" s="1"/>
  <c r="G1730" i="8"/>
  <c r="E1731" i="8"/>
  <c r="F1731" i="8"/>
  <c r="H1731" i="8" s="1"/>
  <c r="G1731" i="8"/>
  <c r="E1732" i="8"/>
  <c r="F1732" i="8"/>
  <c r="H1732" i="8" s="1"/>
  <c r="G1732" i="8"/>
  <c r="E1733" i="8"/>
  <c r="F1733" i="8"/>
  <c r="G1733" i="8"/>
  <c r="E1734" i="8"/>
  <c r="F1734" i="8"/>
  <c r="H1734" i="8" s="1"/>
  <c r="G1734" i="8"/>
  <c r="E1735" i="8"/>
  <c r="F1735" i="8"/>
  <c r="G1735" i="8"/>
  <c r="E1736" i="8"/>
  <c r="F1736" i="8"/>
  <c r="H1736" i="8" s="1"/>
  <c r="G1736" i="8"/>
  <c r="E1737" i="8"/>
  <c r="F1737" i="8"/>
  <c r="H1737" i="8" s="1"/>
  <c r="G1737" i="8"/>
  <c r="E1738" i="8"/>
  <c r="F1738" i="8"/>
  <c r="H1738" i="8" s="1"/>
  <c r="G1738" i="8"/>
  <c r="E1739" i="8"/>
  <c r="F1739" i="8"/>
  <c r="G1739" i="8"/>
  <c r="E1740" i="8"/>
  <c r="F1740" i="8"/>
  <c r="H1740" i="8" s="1"/>
  <c r="G1740" i="8"/>
  <c r="E1741" i="8"/>
  <c r="F1741" i="8"/>
  <c r="H1741" i="8" s="1"/>
  <c r="G1741" i="8"/>
  <c r="E1742" i="8"/>
  <c r="F1742" i="8"/>
  <c r="H1742" i="8" s="1"/>
  <c r="G1742" i="8"/>
  <c r="E1743" i="8"/>
  <c r="F1743" i="8"/>
  <c r="H1743" i="8" s="1"/>
  <c r="G1743" i="8"/>
  <c r="E1744" i="8"/>
  <c r="F1744" i="8"/>
  <c r="H1744" i="8" s="1"/>
  <c r="G1744" i="8"/>
  <c r="E1745" i="8"/>
  <c r="F1745" i="8"/>
  <c r="H1745" i="8" s="1"/>
  <c r="G1745" i="8"/>
  <c r="E1746" i="8"/>
  <c r="F1746" i="8"/>
  <c r="H1746" i="8" s="1"/>
  <c r="G1746" i="8"/>
  <c r="E1747" i="8"/>
  <c r="F1747" i="8"/>
  <c r="G1747" i="8"/>
  <c r="E1748" i="8"/>
  <c r="F1748" i="8"/>
  <c r="H1748" i="8" s="1"/>
  <c r="G1748" i="8"/>
  <c r="E1749" i="8"/>
  <c r="F1749" i="8"/>
  <c r="H1749" i="8" s="1"/>
  <c r="G1749" i="8"/>
  <c r="E1750" i="8"/>
  <c r="F1750" i="8"/>
  <c r="H1750" i="8" s="1"/>
  <c r="G1750" i="8"/>
  <c r="E1751" i="8"/>
  <c r="F1751" i="8"/>
  <c r="H1751" i="8" s="1"/>
  <c r="G1751" i="8"/>
  <c r="E1752" i="8"/>
  <c r="F1752" i="8"/>
  <c r="G1752" i="8"/>
  <c r="E1753" i="8"/>
  <c r="F1753" i="8"/>
  <c r="H1753" i="8" s="1"/>
  <c r="G1753" i="8"/>
  <c r="E1754" i="8"/>
  <c r="F1754" i="8"/>
  <c r="H1754" i="8" s="1"/>
  <c r="G1754" i="8"/>
  <c r="E1755" i="8"/>
  <c r="F1755" i="8"/>
  <c r="H1755" i="8" s="1"/>
  <c r="G1755" i="8"/>
  <c r="E1756" i="8"/>
  <c r="F1756" i="8"/>
  <c r="G1756" i="8"/>
  <c r="E1757" i="8"/>
  <c r="F1757" i="8"/>
  <c r="H1757" i="8" s="1"/>
  <c r="G1757" i="8"/>
  <c r="E1758" i="8"/>
  <c r="F1758" i="8"/>
  <c r="H1758" i="8" s="1"/>
  <c r="G1758" i="8"/>
  <c r="E1759" i="8"/>
  <c r="F1759" i="8"/>
  <c r="G1759" i="8"/>
  <c r="E1760" i="8"/>
  <c r="F1760" i="8"/>
  <c r="G1760" i="8"/>
  <c r="E1761" i="8"/>
  <c r="F1761" i="8"/>
  <c r="H1761" i="8" s="1"/>
  <c r="G1761" i="8"/>
  <c r="E1762" i="8"/>
  <c r="F1762" i="8"/>
  <c r="H1762" i="8" s="1"/>
  <c r="G1762" i="8"/>
  <c r="E1763" i="8"/>
  <c r="F1763" i="8"/>
  <c r="H1763" i="8" s="1"/>
  <c r="G1763" i="8"/>
  <c r="E1764" i="8"/>
  <c r="F1764" i="8"/>
  <c r="G1764" i="8"/>
  <c r="E1765" i="8"/>
  <c r="F1765" i="8"/>
  <c r="H1765" i="8" s="1"/>
  <c r="G1765" i="8"/>
  <c r="E1766" i="8"/>
  <c r="F1766" i="8"/>
  <c r="H1766" i="8" s="1"/>
  <c r="G1766" i="8"/>
  <c r="E1767" i="8"/>
  <c r="F1767" i="8"/>
  <c r="H1767" i="8" s="1"/>
  <c r="G1767" i="8"/>
  <c r="E1768" i="8"/>
  <c r="F1768" i="8"/>
  <c r="H1768" i="8" s="1"/>
  <c r="G1768" i="8"/>
  <c r="E1769" i="8"/>
  <c r="F1769" i="8"/>
  <c r="G1769" i="8"/>
  <c r="E1770" i="8"/>
  <c r="F1770" i="8"/>
  <c r="H1770" i="8" s="1"/>
  <c r="G1770" i="8"/>
  <c r="E1771" i="8"/>
  <c r="F1771" i="8"/>
  <c r="H1771" i="8" s="1"/>
  <c r="G1771" i="8"/>
  <c r="F2" i="8"/>
  <c r="H2" i="8" s="1"/>
  <c r="E2" i="8"/>
  <c r="G2" i="8"/>
  <c r="D3" i="6"/>
  <c r="E3" i="6"/>
  <c r="G3" i="6" s="1"/>
  <c r="F3" i="6"/>
  <c r="D4" i="6"/>
  <c r="E4" i="6"/>
  <c r="F4" i="6"/>
  <c r="D5" i="6"/>
  <c r="E5" i="6"/>
  <c r="G5" i="6" s="1"/>
  <c r="F5" i="6"/>
  <c r="D6" i="6"/>
  <c r="E6" i="6"/>
  <c r="G6" i="6" s="1"/>
  <c r="F6" i="6"/>
  <c r="D7" i="6"/>
  <c r="E7" i="6"/>
  <c r="G7" i="6" s="1"/>
  <c r="F7" i="6"/>
  <c r="D8" i="6"/>
  <c r="E8" i="6"/>
  <c r="G8" i="6" s="1"/>
  <c r="F8" i="6"/>
  <c r="D9" i="6"/>
  <c r="E9" i="6"/>
  <c r="F9" i="6"/>
  <c r="D10" i="6"/>
  <c r="E10" i="6"/>
  <c r="G10" i="6" s="1"/>
  <c r="F10" i="6"/>
  <c r="D11" i="6"/>
  <c r="E11" i="6"/>
  <c r="F11" i="6"/>
  <c r="D12" i="6"/>
  <c r="E12" i="6"/>
  <c r="G12" i="6" s="1"/>
  <c r="F12" i="6"/>
  <c r="D13" i="6"/>
  <c r="E13" i="6"/>
  <c r="G13" i="6" s="1"/>
  <c r="F13" i="6"/>
  <c r="D14" i="6"/>
  <c r="E14" i="6"/>
  <c r="G14" i="6" s="1"/>
  <c r="F14" i="6"/>
  <c r="D15" i="6"/>
  <c r="E15" i="6"/>
  <c r="G15" i="6" s="1"/>
  <c r="F15" i="6"/>
  <c r="D16" i="6"/>
  <c r="E16" i="6"/>
  <c r="G16" i="6" s="1"/>
  <c r="F16" i="6"/>
  <c r="D17" i="6"/>
  <c r="E17" i="6"/>
  <c r="G17" i="6" s="1"/>
  <c r="F17" i="6"/>
  <c r="D18" i="6"/>
  <c r="E18" i="6"/>
  <c r="G18" i="6" s="1"/>
  <c r="F18" i="6"/>
  <c r="D19" i="6"/>
  <c r="E19" i="6"/>
  <c r="G19" i="6" s="1"/>
  <c r="F19" i="6"/>
  <c r="D20" i="6"/>
  <c r="E20" i="6"/>
  <c r="G20" i="6" s="1"/>
  <c r="F20" i="6"/>
  <c r="D21" i="6"/>
  <c r="E21" i="6"/>
  <c r="G21" i="6" s="1"/>
  <c r="F21" i="6"/>
  <c r="D22" i="6"/>
  <c r="E22" i="6"/>
  <c r="G22" i="6" s="1"/>
  <c r="F22" i="6"/>
  <c r="D23" i="6"/>
  <c r="E23" i="6"/>
  <c r="G23" i="6" s="1"/>
  <c r="F23" i="6"/>
  <c r="D24" i="6"/>
  <c r="E24" i="6"/>
  <c r="F24" i="6"/>
  <c r="D25" i="6"/>
  <c r="E25" i="6"/>
  <c r="G25" i="6" s="1"/>
  <c r="F25" i="6"/>
  <c r="D26" i="6"/>
  <c r="E26" i="6"/>
  <c r="G26" i="6" s="1"/>
  <c r="F26" i="6"/>
  <c r="D27" i="6"/>
  <c r="E27" i="6"/>
  <c r="G27" i="6" s="1"/>
  <c r="F27" i="6"/>
  <c r="D28" i="6"/>
  <c r="E28" i="6"/>
  <c r="G28" i="6" s="1"/>
  <c r="F28" i="6"/>
  <c r="D29" i="6"/>
  <c r="E29" i="6"/>
  <c r="F29" i="6"/>
  <c r="D30" i="6"/>
  <c r="E30" i="6"/>
  <c r="G30" i="6" s="1"/>
  <c r="F30" i="6"/>
  <c r="D31" i="6"/>
  <c r="E31" i="6"/>
  <c r="F31" i="6"/>
  <c r="D32" i="6"/>
  <c r="E32" i="6"/>
  <c r="G32" i="6" s="1"/>
  <c r="F32" i="6"/>
  <c r="D33" i="6"/>
  <c r="E33" i="6"/>
  <c r="G33" i="6" s="1"/>
  <c r="F33" i="6"/>
  <c r="D34" i="6"/>
  <c r="E34" i="6"/>
  <c r="G34" i="6" s="1"/>
  <c r="F34" i="6"/>
  <c r="D35" i="6"/>
  <c r="E35" i="6"/>
  <c r="F35" i="6"/>
  <c r="D36" i="6"/>
  <c r="E36" i="6"/>
  <c r="G36" i="6" s="1"/>
  <c r="F36" i="6"/>
  <c r="D37" i="6"/>
  <c r="E37" i="6"/>
  <c r="G37" i="6" s="1"/>
  <c r="F37" i="6"/>
  <c r="D38" i="6"/>
  <c r="E38" i="6"/>
  <c r="G38" i="6" s="1"/>
  <c r="F38" i="6"/>
  <c r="D39" i="6"/>
  <c r="E39" i="6"/>
  <c r="G39" i="6" s="1"/>
  <c r="F39" i="6"/>
  <c r="D40" i="6"/>
  <c r="E40" i="6"/>
  <c r="G40" i="6" s="1"/>
  <c r="F40" i="6"/>
  <c r="D41" i="6"/>
  <c r="E41" i="6"/>
  <c r="G41" i="6" s="1"/>
  <c r="F41" i="6"/>
  <c r="D42" i="6"/>
  <c r="E42" i="6"/>
  <c r="G42" i="6" s="1"/>
  <c r="F42" i="6"/>
  <c r="D43" i="6"/>
  <c r="E43" i="6"/>
  <c r="G43" i="6" s="1"/>
  <c r="F43" i="6"/>
  <c r="D44" i="6"/>
  <c r="E44" i="6"/>
  <c r="G44" i="6" s="1"/>
  <c r="F44" i="6"/>
  <c r="D45" i="6"/>
  <c r="E45" i="6"/>
  <c r="G45" i="6" s="1"/>
  <c r="F45" i="6"/>
  <c r="D46" i="6"/>
  <c r="E46" i="6"/>
  <c r="G46" i="6" s="1"/>
  <c r="F46" i="6"/>
  <c r="D47" i="6"/>
  <c r="E47" i="6"/>
  <c r="F47" i="6"/>
  <c r="D48" i="6"/>
  <c r="E48" i="6"/>
  <c r="G48" i="6" s="1"/>
  <c r="F48" i="6"/>
  <c r="D49" i="6"/>
  <c r="E49" i="6"/>
  <c r="G49" i="6" s="1"/>
  <c r="F49" i="6"/>
  <c r="D50" i="6"/>
  <c r="E50" i="6"/>
  <c r="G50" i="6" s="1"/>
  <c r="F50" i="6"/>
  <c r="D51" i="6"/>
  <c r="E51" i="6"/>
  <c r="G51" i="6" s="1"/>
  <c r="F51" i="6"/>
  <c r="D52" i="6"/>
  <c r="E52" i="6"/>
  <c r="G52" i="6" s="1"/>
  <c r="F52" i="6"/>
  <c r="D53" i="6"/>
  <c r="E53" i="6"/>
  <c r="G53" i="6" s="1"/>
  <c r="F53" i="6"/>
  <c r="D54" i="6"/>
  <c r="E54" i="6"/>
  <c r="F54" i="6"/>
  <c r="D55" i="6"/>
  <c r="E55" i="6"/>
  <c r="F55" i="6"/>
  <c r="D56" i="6"/>
  <c r="E56" i="6"/>
  <c r="G56" i="6" s="1"/>
  <c r="F56" i="6"/>
  <c r="D57" i="6"/>
  <c r="E57" i="6"/>
  <c r="G57" i="6" s="1"/>
  <c r="F57" i="6"/>
  <c r="D58" i="6"/>
  <c r="E58" i="6"/>
  <c r="F58" i="6"/>
  <c r="D59" i="6"/>
  <c r="E59" i="6"/>
  <c r="G59" i="6" s="1"/>
  <c r="F59" i="6"/>
  <c r="D60" i="6"/>
  <c r="E60" i="6"/>
  <c r="G60" i="6" s="1"/>
  <c r="F60" i="6"/>
  <c r="D61" i="6"/>
  <c r="E61" i="6"/>
  <c r="G61" i="6" s="1"/>
  <c r="F61" i="6"/>
  <c r="D62" i="6"/>
  <c r="E62" i="6"/>
  <c r="F62" i="6"/>
  <c r="D63" i="6"/>
  <c r="E63" i="6"/>
  <c r="G63" i="6" s="1"/>
  <c r="F63" i="6"/>
  <c r="D64" i="6"/>
  <c r="E64" i="6"/>
  <c r="G64" i="6" s="1"/>
  <c r="F64" i="6"/>
  <c r="D65" i="6"/>
  <c r="E65" i="6"/>
  <c r="G65" i="6" s="1"/>
  <c r="F65" i="6"/>
  <c r="D66" i="6"/>
  <c r="E66" i="6"/>
  <c r="G66" i="6" s="1"/>
  <c r="F66" i="6"/>
  <c r="D67" i="6"/>
  <c r="E67" i="6"/>
  <c r="F67" i="6"/>
  <c r="D68" i="6"/>
  <c r="E68" i="6"/>
  <c r="G68" i="6" s="1"/>
  <c r="F68" i="6"/>
  <c r="D69" i="6"/>
  <c r="E69" i="6"/>
  <c r="G69" i="6" s="1"/>
  <c r="F69" i="6"/>
  <c r="D70" i="6"/>
  <c r="E70" i="6"/>
  <c r="G70" i="6" s="1"/>
  <c r="F70" i="6"/>
  <c r="D71" i="6"/>
  <c r="E71" i="6"/>
  <c r="G71" i="6" s="1"/>
  <c r="F71" i="6"/>
  <c r="D72" i="6"/>
  <c r="E72" i="6"/>
  <c r="G72" i="6" s="1"/>
  <c r="F72" i="6"/>
  <c r="D73" i="6"/>
  <c r="E73" i="6"/>
  <c r="G73" i="6" s="1"/>
  <c r="F73" i="6"/>
  <c r="D74" i="6"/>
  <c r="E74" i="6"/>
  <c r="G74" i="6" s="1"/>
  <c r="F74" i="6"/>
  <c r="D75" i="6"/>
  <c r="E75" i="6"/>
  <c r="G75" i="6" s="1"/>
  <c r="F75" i="6"/>
  <c r="D76" i="6"/>
  <c r="E76" i="6"/>
  <c r="G76" i="6" s="1"/>
  <c r="F76" i="6"/>
  <c r="D77" i="6"/>
  <c r="E77" i="6"/>
  <c r="G77" i="6" s="1"/>
  <c r="F77" i="6"/>
  <c r="D78" i="6"/>
  <c r="E78" i="6"/>
  <c r="F78" i="6"/>
  <c r="D79" i="6"/>
  <c r="E79" i="6"/>
  <c r="F79" i="6"/>
  <c r="D80" i="6"/>
  <c r="E80" i="6"/>
  <c r="G80" i="6" s="1"/>
  <c r="F80" i="6"/>
  <c r="D81" i="6"/>
  <c r="E81" i="6"/>
  <c r="G81" i="6" s="1"/>
  <c r="F81" i="6"/>
  <c r="D82" i="6"/>
  <c r="E82" i="6"/>
  <c r="F82" i="6"/>
  <c r="D83" i="6"/>
  <c r="E83" i="6"/>
  <c r="G83" i="6" s="1"/>
  <c r="F83" i="6"/>
  <c r="D84" i="6"/>
  <c r="E84" i="6"/>
  <c r="G84" i="6" s="1"/>
  <c r="F84" i="6"/>
  <c r="D85" i="6"/>
  <c r="E85" i="6"/>
  <c r="G85" i="6" s="1"/>
  <c r="F85" i="6"/>
  <c r="D86" i="6"/>
  <c r="E86" i="6"/>
  <c r="G86" i="6" s="1"/>
  <c r="F86" i="6"/>
  <c r="D87" i="6"/>
  <c r="E87" i="6"/>
  <c r="G87" i="6" s="1"/>
  <c r="F87" i="6"/>
  <c r="D88" i="6"/>
  <c r="E88" i="6"/>
  <c r="G88" i="6" s="1"/>
  <c r="F88" i="6"/>
  <c r="D89" i="6"/>
  <c r="E89" i="6"/>
  <c r="G89" i="6" s="1"/>
  <c r="F89" i="6"/>
  <c r="D90" i="6"/>
  <c r="E90" i="6"/>
  <c r="G90" i="6" s="1"/>
  <c r="F90" i="6"/>
  <c r="D91" i="6"/>
  <c r="E91" i="6"/>
  <c r="G91" i="6" s="1"/>
  <c r="F91" i="6"/>
  <c r="D92" i="6"/>
  <c r="E92" i="6"/>
  <c r="G92" i="6" s="1"/>
  <c r="F92" i="6"/>
  <c r="D93" i="6"/>
  <c r="E93" i="6"/>
  <c r="G93" i="6" s="1"/>
  <c r="F93" i="6"/>
  <c r="D94" i="6"/>
  <c r="E94" i="6"/>
  <c r="G94" i="6" s="1"/>
  <c r="F94" i="6"/>
  <c r="D95" i="6"/>
  <c r="E95" i="6"/>
  <c r="G95" i="6" s="1"/>
  <c r="F95" i="6"/>
  <c r="D96" i="6"/>
  <c r="E96" i="6"/>
  <c r="G96" i="6" s="1"/>
  <c r="F96" i="6"/>
  <c r="D97" i="6"/>
  <c r="E97" i="6"/>
  <c r="G97" i="6" s="1"/>
  <c r="F97" i="6"/>
  <c r="D98" i="6"/>
  <c r="E98" i="6"/>
  <c r="F98" i="6"/>
  <c r="D99" i="6"/>
  <c r="E99" i="6"/>
  <c r="G99" i="6" s="1"/>
  <c r="F99" i="6"/>
  <c r="D100" i="6"/>
  <c r="E100" i="6"/>
  <c r="G100" i="6" s="1"/>
  <c r="F100" i="6"/>
  <c r="D101" i="6"/>
  <c r="E101" i="6"/>
  <c r="G101" i="6" s="1"/>
  <c r="F101" i="6"/>
  <c r="D102" i="6"/>
  <c r="E102" i="6"/>
  <c r="G102" i="6" s="1"/>
  <c r="F102" i="6"/>
  <c r="D103" i="6"/>
  <c r="E103" i="6"/>
  <c r="F103" i="6"/>
  <c r="D104" i="6"/>
  <c r="E104" i="6"/>
  <c r="G104" i="6" s="1"/>
  <c r="F104" i="6"/>
  <c r="D105" i="6"/>
  <c r="E105" i="6"/>
  <c r="G105" i="6" s="1"/>
  <c r="F105" i="6"/>
  <c r="D106" i="6"/>
  <c r="E106" i="6"/>
  <c r="G106" i="6" s="1"/>
  <c r="F106" i="6"/>
  <c r="D107" i="6"/>
  <c r="E107" i="6"/>
  <c r="G107" i="6" s="1"/>
  <c r="F107" i="6"/>
  <c r="D108" i="6"/>
  <c r="E108" i="6"/>
  <c r="G108" i="6" s="1"/>
  <c r="F108" i="6"/>
  <c r="D109" i="6"/>
  <c r="E109" i="6"/>
  <c r="G109" i="6" s="1"/>
  <c r="F109" i="6"/>
  <c r="D110" i="6"/>
  <c r="E110" i="6"/>
  <c r="F110" i="6"/>
  <c r="D111" i="6"/>
  <c r="E111" i="6"/>
  <c r="G111" i="6" s="1"/>
  <c r="F111" i="6"/>
  <c r="D112" i="6"/>
  <c r="E112" i="6"/>
  <c r="G112" i="6" s="1"/>
  <c r="F112" i="6"/>
  <c r="D113" i="6"/>
  <c r="E113" i="6"/>
  <c r="G113" i="6" s="1"/>
  <c r="F113" i="6"/>
  <c r="D114" i="6"/>
  <c r="E114" i="6"/>
  <c r="G114" i="6" s="1"/>
  <c r="F114" i="6"/>
  <c r="D115" i="6"/>
  <c r="E115" i="6"/>
  <c r="G115" i="6" s="1"/>
  <c r="F115" i="6"/>
  <c r="D116" i="6"/>
  <c r="E116" i="6"/>
  <c r="G116" i="6" s="1"/>
  <c r="F116" i="6"/>
  <c r="D117" i="6"/>
  <c r="E117" i="6"/>
  <c r="G117" i="6" s="1"/>
  <c r="F117" i="6"/>
  <c r="D118" i="6"/>
  <c r="E118" i="6"/>
  <c r="G118" i="6" s="1"/>
  <c r="F118" i="6"/>
  <c r="D119" i="6"/>
  <c r="E119" i="6"/>
  <c r="G119" i="6" s="1"/>
  <c r="F119" i="6"/>
  <c r="D120" i="6"/>
  <c r="E120" i="6"/>
  <c r="G120" i="6" s="1"/>
  <c r="F120" i="6"/>
  <c r="D121" i="6"/>
  <c r="E121" i="6"/>
  <c r="G121" i="6" s="1"/>
  <c r="F121" i="6"/>
  <c r="D122" i="6"/>
  <c r="E122" i="6"/>
  <c r="G122" i="6" s="1"/>
  <c r="F122" i="6"/>
  <c r="D123" i="6"/>
  <c r="E123" i="6"/>
  <c r="F123" i="6"/>
  <c r="D124" i="6"/>
  <c r="E124" i="6"/>
  <c r="G124" i="6" s="1"/>
  <c r="F124" i="6"/>
  <c r="D125" i="6"/>
  <c r="E125" i="6"/>
  <c r="G125" i="6" s="1"/>
  <c r="F125" i="6"/>
  <c r="D126" i="6"/>
  <c r="E126" i="6"/>
  <c r="G126" i="6" s="1"/>
  <c r="F126" i="6"/>
  <c r="D127" i="6"/>
  <c r="E127" i="6"/>
  <c r="G127" i="6" s="1"/>
  <c r="F127" i="6"/>
  <c r="D128" i="6"/>
  <c r="E128" i="6"/>
  <c r="G128" i="6" s="1"/>
  <c r="F128" i="6"/>
  <c r="D129" i="6"/>
  <c r="E129" i="6"/>
  <c r="G129" i="6" s="1"/>
  <c r="F129" i="6"/>
  <c r="D130" i="6"/>
  <c r="E130" i="6"/>
  <c r="G130" i="6" s="1"/>
  <c r="F130" i="6"/>
  <c r="D131" i="6"/>
  <c r="E131" i="6"/>
  <c r="G131" i="6" s="1"/>
  <c r="F131" i="6"/>
  <c r="D132" i="6"/>
  <c r="E132" i="6"/>
  <c r="G132" i="6" s="1"/>
  <c r="F132" i="6"/>
  <c r="D133" i="6"/>
  <c r="E133" i="6"/>
  <c r="G133" i="6" s="1"/>
  <c r="F133" i="6"/>
  <c r="D134" i="6"/>
  <c r="E134" i="6"/>
  <c r="G134" i="6" s="1"/>
  <c r="F134" i="6"/>
  <c r="D135" i="6"/>
  <c r="E135" i="6"/>
  <c r="G135" i="6" s="1"/>
  <c r="F135" i="6"/>
  <c r="D136" i="6"/>
  <c r="E136" i="6"/>
  <c r="G136" i="6" s="1"/>
  <c r="F136" i="6"/>
  <c r="D137" i="6"/>
  <c r="E137" i="6"/>
  <c r="G137" i="6" s="1"/>
  <c r="F137" i="6"/>
  <c r="D138" i="6"/>
  <c r="E138" i="6"/>
  <c r="G138" i="6" s="1"/>
  <c r="F138" i="6"/>
  <c r="D139" i="6"/>
  <c r="E139" i="6"/>
  <c r="G139" i="6" s="1"/>
  <c r="F139" i="6"/>
  <c r="D140" i="6"/>
  <c r="E140" i="6"/>
  <c r="G140" i="6" s="1"/>
  <c r="F140" i="6"/>
  <c r="D141" i="6"/>
  <c r="E141" i="6"/>
  <c r="F141" i="6"/>
  <c r="D142" i="6"/>
  <c r="E142" i="6"/>
  <c r="G142" i="6" s="1"/>
  <c r="F142" i="6"/>
  <c r="D143" i="6"/>
  <c r="E143" i="6"/>
  <c r="G143" i="6" s="1"/>
  <c r="F143" i="6"/>
  <c r="D144" i="6"/>
  <c r="E144" i="6"/>
  <c r="F144" i="6"/>
  <c r="D145" i="6"/>
  <c r="E145" i="6"/>
  <c r="G145" i="6" s="1"/>
  <c r="F145" i="6"/>
  <c r="D146" i="6"/>
  <c r="E146" i="6"/>
  <c r="G146" i="6" s="1"/>
  <c r="F146" i="6"/>
  <c r="D147" i="6"/>
  <c r="E147" i="6"/>
  <c r="G147" i="6" s="1"/>
  <c r="F147" i="6"/>
  <c r="D148" i="6"/>
  <c r="E148" i="6"/>
  <c r="G148" i="6" s="1"/>
  <c r="F148" i="6"/>
  <c r="D149" i="6"/>
  <c r="E149" i="6"/>
  <c r="G149" i="6" s="1"/>
  <c r="F149" i="6"/>
  <c r="D150" i="6"/>
  <c r="E150" i="6"/>
  <c r="G150" i="6" s="1"/>
  <c r="F150" i="6"/>
  <c r="D151" i="6"/>
  <c r="E151" i="6"/>
  <c r="G151" i="6" s="1"/>
  <c r="F151" i="6"/>
  <c r="D152" i="6"/>
  <c r="E152" i="6"/>
  <c r="G152" i="6" s="1"/>
  <c r="F152" i="6"/>
  <c r="D153" i="6"/>
  <c r="E153" i="6"/>
  <c r="G153" i="6" s="1"/>
  <c r="F153" i="6"/>
  <c r="D154" i="6"/>
  <c r="E154" i="6"/>
  <c r="G154" i="6" s="1"/>
  <c r="F154" i="6"/>
  <c r="D155" i="6"/>
  <c r="E155" i="6"/>
  <c r="G155" i="6" s="1"/>
  <c r="F155" i="6"/>
  <c r="D156" i="6"/>
  <c r="E156" i="6"/>
  <c r="G156" i="6" s="1"/>
  <c r="F156" i="6"/>
  <c r="D157" i="6"/>
  <c r="E157" i="6"/>
  <c r="G157" i="6" s="1"/>
  <c r="F157" i="6"/>
  <c r="D158" i="6"/>
  <c r="E158" i="6"/>
  <c r="G158" i="6" s="1"/>
  <c r="F158" i="6"/>
  <c r="D159" i="6"/>
  <c r="E159" i="6"/>
  <c r="G159" i="6" s="1"/>
  <c r="F159" i="6"/>
  <c r="D160" i="6"/>
  <c r="E160" i="6"/>
  <c r="G160" i="6" s="1"/>
  <c r="F160" i="6"/>
  <c r="D161" i="6"/>
  <c r="E161" i="6"/>
  <c r="G161" i="6" s="1"/>
  <c r="F161" i="6"/>
  <c r="D162" i="6"/>
  <c r="E162" i="6"/>
  <c r="G162" i="6" s="1"/>
  <c r="F162" i="6"/>
  <c r="D163" i="6"/>
  <c r="E163" i="6"/>
  <c r="F163" i="6"/>
  <c r="D164" i="6"/>
  <c r="E164" i="6"/>
  <c r="G164" i="6" s="1"/>
  <c r="F164" i="6"/>
  <c r="D165" i="6"/>
  <c r="E165" i="6"/>
  <c r="G165" i="6" s="1"/>
  <c r="F165" i="6"/>
  <c r="D166" i="6"/>
  <c r="E166" i="6"/>
  <c r="G166" i="6" s="1"/>
  <c r="F166" i="6"/>
  <c r="D167" i="6"/>
  <c r="E167" i="6"/>
  <c r="F167" i="6"/>
  <c r="D168" i="6"/>
  <c r="E168" i="6"/>
  <c r="G168" i="6" s="1"/>
  <c r="F168" i="6"/>
  <c r="D169" i="6"/>
  <c r="E169" i="6"/>
  <c r="G169" i="6" s="1"/>
  <c r="F169" i="6"/>
  <c r="D170" i="6"/>
  <c r="E170" i="6"/>
  <c r="G170" i="6" s="1"/>
  <c r="F170" i="6"/>
  <c r="D171" i="6"/>
  <c r="E171" i="6"/>
  <c r="G171" i="6" s="1"/>
  <c r="F171" i="6"/>
  <c r="D172" i="6"/>
  <c r="E172" i="6"/>
  <c r="F172" i="6"/>
  <c r="D173" i="6"/>
  <c r="E173" i="6"/>
  <c r="G173" i="6" s="1"/>
  <c r="F173" i="6"/>
  <c r="D174" i="6"/>
  <c r="E174" i="6"/>
  <c r="G174" i="6" s="1"/>
  <c r="F174" i="6"/>
  <c r="D175" i="6"/>
  <c r="E175" i="6"/>
  <c r="G175" i="6" s="1"/>
  <c r="F175" i="6"/>
  <c r="D176" i="6"/>
  <c r="E176" i="6"/>
  <c r="G176" i="6" s="1"/>
  <c r="F176" i="6"/>
  <c r="D177" i="6"/>
  <c r="E177" i="6"/>
  <c r="G177" i="6" s="1"/>
  <c r="F177" i="6"/>
  <c r="D178" i="6"/>
  <c r="E178" i="6"/>
  <c r="F178" i="6"/>
  <c r="D179" i="6"/>
  <c r="E179" i="6"/>
  <c r="G179" i="6" s="1"/>
  <c r="F179" i="6"/>
  <c r="D180" i="6"/>
  <c r="E180" i="6"/>
  <c r="G180" i="6" s="1"/>
  <c r="F180" i="6"/>
  <c r="D181" i="6"/>
  <c r="E181" i="6"/>
  <c r="G181" i="6" s="1"/>
  <c r="F181" i="6"/>
  <c r="D182" i="6"/>
  <c r="E182" i="6"/>
  <c r="G182" i="6" s="1"/>
  <c r="F182" i="6"/>
  <c r="D183" i="6"/>
  <c r="E183" i="6"/>
  <c r="G183" i="6" s="1"/>
  <c r="F183" i="6"/>
  <c r="D184" i="6"/>
  <c r="E184" i="6"/>
  <c r="G184" i="6" s="1"/>
  <c r="F184" i="6"/>
  <c r="D185" i="6"/>
  <c r="E185" i="6"/>
  <c r="G185" i="6" s="1"/>
  <c r="F185" i="6"/>
  <c r="D186" i="6"/>
  <c r="E186" i="6"/>
  <c r="G186" i="6" s="1"/>
  <c r="F186" i="6"/>
  <c r="D187" i="6"/>
  <c r="E187" i="6"/>
  <c r="G187" i="6" s="1"/>
  <c r="F187" i="6"/>
  <c r="D188" i="6"/>
  <c r="E188" i="6"/>
  <c r="G188" i="6" s="1"/>
  <c r="F188" i="6"/>
  <c r="D189" i="6"/>
  <c r="E189" i="6"/>
  <c r="G189" i="6" s="1"/>
  <c r="F189" i="6"/>
  <c r="D190" i="6"/>
  <c r="E190" i="6"/>
  <c r="G190" i="6" s="1"/>
  <c r="F190" i="6"/>
  <c r="D191" i="6"/>
  <c r="E191" i="6"/>
  <c r="G191" i="6" s="1"/>
  <c r="F191" i="6"/>
  <c r="H191" i="6" s="1"/>
  <c r="D192" i="6"/>
  <c r="E192" i="6"/>
  <c r="G192" i="6" s="1"/>
  <c r="F192" i="6"/>
  <c r="D193" i="6"/>
  <c r="E193" i="6"/>
  <c r="G193" i="6" s="1"/>
  <c r="F193" i="6"/>
  <c r="D194" i="6"/>
  <c r="E194" i="6"/>
  <c r="G194" i="6" s="1"/>
  <c r="F194" i="6"/>
  <c r="D195" i="6"/>
  <c r="E195" i="6"/>
  <c r="G195" i="6" s="1"/>
  <c r="F195" i="6"/>
  <c r="D196" i="6"/>
  <c r="E196" i="6"/>
  <c r="G196" i="6" s="1"/>
  <c r="F196" i="6"/>
  <c r="D197" i="6"/>
  <c r="E197" i="6"/>
  <c r="G197" i="6" s="1"/>
  <c r="F197" i="6"/>
  <c r="D198" i="6"/>
  <c r="E198" i="6"/>
  <c r="G198" i="6" s="1"/>
  <c r="F198" i="6"/>
  <c r="D199" i="6"/>
  <c r="E199" i="6"/>
  <c r="G199" i="6" s="1"/>
  <c r="F199" i="6"/>
  <c r="D200" i="6"/>
  <c r="E200" i="6"/>
  <c r="G200" i="6" s="1"/>
  <c r="F200" i="6"/>
  <c r="D201" i="6"/>
  <c r="E201" i="6"/>
  <c r="F201" i="6"/>
  <c r="D202" i="6"/>
  <c r="E202" i="6"/>
  <c r="G202" i="6" s="1"/>
  <c r="F202" i="6"/>
  <c r="D203" i="6"/>
  <c r="E203" i="6"/>
  <c r="G203" i="6" s="1"/>
  <c r="F203" i="6"/>
  <c r="D204" i="6"/>
  <c r="E204" i="6"/>
  <c r="G204" i="6" s="1"/>
  <c r="F204" i="6"/>
  <c r="D205" i="6"/>
  <c r="E205" i="6"/>
  <c r="G205" i="6" s="1"/>
  <c r="F205" i="6"/>
  <c r="D206" i="6"/>
  <c r="E206" i="6"/>
  <c r="G206" i="6" s="1"/>
  <c r="F206" i="6"/>
  <c r="D207" i="6"/>
  <c r="E207" i="6"/>
  <c r="G207" i="6" s="1"/>
  <c r="F207" i="6"/>
  <c r="D208" i="6"/>
  <c r="E208" i="6"/>
  <c r="G208" i="6" s="1"/>
  <c r="F208" i="6"/>
  <c r="D209" i="6"/>
  <c r="E209" i="6"/>
  <c r="F209" i="6"/>
  <c r="D210" i="6"/>
  <c r="E210" i="6"/>
  <c r="G210" i="6" s="1"/>
  <c r="F210" i="6"/>
  <c r="D211" i="6"/>
  <c r="E211" i="6"/>
  <c r="G211" i="6" s="1"/>
  <c r="F211" i="6"/>
  <c r="D212" i="6"/>
  <c r="E212" i="6"/>
  <c r="F212" i="6"/>
  <c r="D213" i="6"/>
  <c r="E213" i="6"/>
  <c r="G213" i="6" s="1"/>
  <c r="F213" i="6"/>
  <c r="D214" i="6"/>
  <c r="E214" i="6"/>
  <c r="G214" i="6" s="1"/>
  <c r="F214" i="6"/>
  <c r="D215" i="6"/>
  <c r="E215" i="6"/>
  <c r="G215" i="6" s="1"/>
  <c r="F215" i="6"/>
  <c r="D216" i="6"/>
  <c r="E216" i="6"/>
  <c r="G216" i="6" s="1"/>
  <c r="F216" i="6"/>
  <c r="D217" i="6"/>
  <c r="E217" i="6"/>
  <c r="G217" i="6" s="1"/>
  <c r="F217" i="6"/>
  <c r="D218" i="6"/>
  <c r="E218" i="6"/>
  <c r="G218" i="6" s="1"/>
  <c r="F218" i="6"/>
  <c r="D219" i="6"/>
  <c r="E219" i="6"/>
  <c r="G219" i="6" s="1"/>
  <c r="F219" i="6"/>
  <c r="D220" i="6"/>
  <c r="E220" i="6"/>
  <c r="F220" i="6"/>
  <c r="D221" i="6"/>
  <c r="E221" i="6"/>
  <c r="G221" i="6" s="1"/>
  <c r="F221" i="6"/>
  <c r="D222" i="6"/>
  <c r="E222" i="6"/>
  <c r="G222" i="6" s="1"/>
  <c r="F222" i="6"/>
  <c r="D223" i="6"/>
  <c r="E223" i="6"/>
  <c r="F223" i="6"/>
  <c r="D224" i="6"/>
  <c r="E224" i="6"/>
  <c r="G224" i="6" s="1"/>
  <c r="F224" i="6"/>
  <c r="D225" i="6"/>
  <c r="E225" i="6"/>
  <c r="G225" i="6" s="1"/>
  <c r="F225" i="6"/>
  <c r="D226" i="6"/>
  <c r="E226" i="6"/>
  <c r="G226" i="6" s="1"/>
  <c r="F226" i="6"/>
  <c r="D227" i="6"/>
  <c r="E227" i="6"/>
  <c r="G227" i="6" s="1"/>
  <c r="F227" i="6"/>
  <c r="D228" i="6"/>
  <c r="E228" i="6"/>
  <c r="G228" i="6" s="1"/>
  <c r="F228" i="6"/>
  <c r="D229" i="6"/>
  <c r="E229" i="6"/>
  <c r="G229" i="6" s="1"/>
  <c r="F229" i="6"/>
  <c r="D230" i="6"/>
  <c r="E230" i="6"/>
  <c r="F230" i="6"/>
  <c r="D231" i="6"/>
  <c r="E231" i="6"/>
  <c r="G231" i="6" s="1"/>
  <c r="F231" i="6"/>
  <c r="D232" i="6"/>
  <c r="E232" i="6"/>
  <c r="F232" i="6"/>
  <c r="D233" i="6"/>
  <c r="E233" i="6"/>
  <c r="G233" i="6" s="1"/>
  <c r="F233" i="6"/>
  <c r="D234" i="6"/>
  <c r="E234" i="6"/>
  <c r="F234" i="6"/>
  <c r="D235" i="6"/>
  <c r="E235" i="6"/>
  <c r="G235" i="6" s="1"/>
  <c r="F235" i="6"/>
  <c r="D236" i="6"/>
  <c r="E236" i="6"/>
  <c r="G236" i="6" s="1"/>
  <c r="F236" i="6"/>
  <c r="D237" i="6"/>
  <c r="E237" i="6"/>
  <c r="G237" i="6" s="1"/>
  <c r="F237" i="6"/>
  <c r="D238" i="6"/>
  <c r="E238" i="6"/>
  <c r="G238" i="6" s="1"/>
  <c r="F238" i="6"/>
  <c r="D239" i="6"/>
  <c r="E239" i="6"/>
  <c r="G239" i="6" s="1"/>
  <c r="F239" i="6"/>
  <c r="D240" i="6"/>
  <c r="E240" i="6"/>
  <c r="G240" i="6" s="1"/>
  <c r="F240" i="6"/>
  <c r="D241" i="6"/>
  <c r="E241" i="6"/>
  <c r="G241" i="6" s="1"/>
  <c r="F241" i="6"/>
  <c r="D242" i="6"/>
  <c r="E242" i="6"/>
  <c r="G242" i="6" s="1"/>
  <c r="F242" i="6"/>
  <c r="D243" i="6"/>
  <c r="E243" i="6"/>
  <c r="F243" i="6"/>
  <c r="D244" i="6"/>
  <c r="E244" i="6"/>
  <c r="G244" i="6" s="1"/>
  <c r="F244" i="6"/>
  <c r="D245" i="6"/>
  <c r="E245" i="6"/>
  <c r="G245" i="6" s="1"/>
  <c r="F245" i="6"/>
  <c r="D246" i="6"/>
  <c r="E246" i="6"/>
  <c r="F246" i="6"/>
  <c r="D247" i="6"/>
  <c r="E247" i="6"/>
  <c r="G247" i="6" s="1"/>
  <c r="F247" i="6"/>
  <c r="D248" i="6"/>
  <c r="E248" i="6"/>
  <c r="G248" i="6" s="1"/>
  <c r="F248" i="6"/>
  <c r="D249" i="6"/>
  <c r="E249" i="6"/>
  <c r="G249" i="6" s="1"/>
  <c r="F249" i="6"/>
  <c r="D250" i="6"/>
  <c r="E250" i="6"/>
  <c r="F250" i="6"/>
  <c r="D251" i="6"/>
  <c r="E251" i="6"/>
  <c r="G251" i="6" s="1"/>
  <c r="F251" i="6"/>
  <c r="D252" i="6"/>
  <c r="E252" i="6"/>
  <c r="G252" i="6" s="1"/>
  <c r="F252" i="6"/>
  <c r="D253" i="6"/>
  <c r="E253" i="6"/>
  <c r="F253" i="6"/>
  <c r="D254" i="6"/>
  <c r="E254" i="6"/>
  <c r="G254" i="6" s="1"/>
  <c r="F254" i="6"/>
  <c r="D255" i="6"/>
  <c r="E255" i="6"/>
  <c r="G255" i="6" s="1"/>
  <c r="F255" i="6"/>
  <c r="D256" i="6"/>
  <c r="E256" i="6"/>
  <c r="G256" i="6" s="1"/>
  <c r="F256" i="6"/>
  <c r="D257" i="6"/>
  <c r="E257" i="6"/>
  <c r="G257" i="6" s="1"/>
  <c r="F257" i="6"/>
  <c r="D258" i="6"/>
  <c r="E258" i="6"/>
  <c r="G258" i="6" s="1"/>
  <c r="F258" i="6"/>
  <c r="D259" i="6"/>
  <c r="E259" i="6"/>
  <c r="G259" i="6" s="1"/>
  <c r="F259" i="6"/>
  <c r="D260" i="6"/>
  <c r="E260" i="6"/>
  <c r="G260" i="6" s="1"/>
  <c r="F260" i="6"/>
  <c r="D261" i="6"/>
  <c r="E261" i="6"/>
  <c r="G261" i="6" s="1"/>
  <c r="F261" i="6"/>
  <c r="D262" i="6"/>
  <c r="E262" i="6"/>
  <c r="G262" i="6" s="1"/>
  <c r="F262" i="6"/>
  <c r="D263" i="6"/>
  <c r="E263" i="6"/>
  <c r="G263" i="6" s="1"/>
  <c r="F263" i="6"/>
  <c r="D264" i="6"/>
  <c r="E264" i="6"/>
  <c r="F264" i="6"/>
  <c r="D265" i="6"/>
  <c r="E265" i="6"/>
  <c r="G265" i="6" s="1"/>
  <c r="F265" i="6"/>
  <c r="D266" i="6"/>
  <c r="E266" i="6"/>
  <c r="G266" i="6" s="1"/>
  <c r="F266" i="6"/>
  <c r="D267" i="6"/>
  <c r="E267" i="6"/>
  <c r="G267" i="6" s="1"/>
  <c r="F267" i="6"/>
  <c r="D268" i="6"/>
  <c r="E268" i="6"/>
  <c r="G268" i="6" s="1"/>
  <c r="F268" i="6"/>
  <c r="D269" i="6"/>
  <c r="E269" i="6"/>
  <c r="G269" i="6" s="1"/>
  <c r="F269" i="6"/>
  <c r="D270" i="6"/>
  <c r="E270" i="6"/>
  <c r="G270" i="6" s="1"/>
  <c r="F270" i="6"/>
  <c r="D271" i="6"/>
  <c r="E271" i="6"/>
  <c r="G271" i="6" s="1"/>
  <c r="F271" i="6"/>
  <c r="D272" i="6"/>
  <c r="E272" i="6"/>
  <c r="G272" i="6" s="1"/>
  <c r="F272" i="6"/>
  <c r="D273" i="6"/>
  <c r="E273" i="6"/>
  <c r="G273" i="6" s="1"/>
  <c r="F273" i="6"/>
  <c r="D274" i="6"/>
  <c r="E274" i="6"/>
  <c r="F274" i="6"/>
  <c r="D275" i="6"/>
  <c r="E275" i="6"/>
  <c r="F275" i="6"/>
  <c r="D276" i="6"/>
  <c r="E276" i="6"/>
  <c r="G276" i="6" s="1"/>
  <c r="F276" i="6"/>
  <c r="D277" i="6"/>
  <c r="E277" i="6"/>
  <c r="G277" i="6" s="1"/>
  <c r="F277" i="6"/>
  <c r="D278" i="6"/>
  <c r="E278" i="6"/>
  <c r="G278" i="6" s="1"/>
  <c r="F278" i="6"/>
  <c r="D279" i="6"/>
  <c r="E279" i="6"/>
  <c r="G279" i="6" s="1"/>
  <c r="F279" i="6"/>
  <c r="D280" i="6"/>
  <c r="E280" i="6"/>
  <c r="G280" i="6" s="1"/>
  <c r="F280" i="6"/>
  <c r="D281" i="6"/>
  <c r="E281" i="6"/>
  <c r="G281" i="6" s="1"/>
  <c r="F281" i="6"/>
  <c r="D282" i="6"/>
  <c r="E282" i="6"/>
  <c r="G282" i="6" s="1"/>
  <c r="F282" i="6"/>
  <c r="D283" i="6"/>
  <c r="E283" i="6"/>
  <c r="G283" i="6" s="1"/>
  <c r="F283" i="6"/>
  <c r="D284" i="6"/>
  <c r="E284" i="6"/>
  <c r="G284" i="6" s="1"/>
  <c r="F284" i="6"/>
  <c r="D285" i="6"/>
  <c r="E285" i="6"/>
  <c r="G285" i="6" s="1"/>
  <c r="F285" i="6"/>
  <c r="D286" i="6"/>
  <c r="E286" i="6"/>
  <c r="G286" i="6" s="1"/>
  <c r="F286" i="6"/>
  <c r="D287" i="6"/>
  <c r="E287" i="6"/>
  <c r="G287" i="6" s="1"/>
  <c r="F287" i="6"/>
  <c r="D288" i="6"/>
  <c r="E288" i="6"/>
  <c r="F288" i="6"/>
  <c r="D289" i="6"/>
  <c r="E289" i="6"/>
  <c r="G289" i="6" s="1"/>
  <c r="F289" i="6"/>
  <c r="D290" i="6"/>
  <c r="E290" i="6"/>
  <c r="G290" i="6" s="1"/>
  <c r="F290" i="6"/>
  <c r="D291" i="6"/>
  <c r="E291" i="6"/>
  <c r="F291" i="6"/>
  <c r="D292" i="6"/>
  <c r="E292" i="6"/>
  <c r="G292" i="6" s="1"/>
  <c r="F292" i="6"/>
  <c r="D293" i="6"/>
  <c r="E293" i="6"/>
  <c r="G293" i="6" s="1"/>
  <c r="F293" i="6"/>
  <c r="D294" i="6"/>
  <c r="E294" i="6"/>
  <c r="G294" i="6" s="1"/>
  <c r="F294" i="6"/>
  <c r="D295" i="6"/>
  <c r="E295" i="6"/>
  <c r="G295" i="6" s="1"/>
  <c r="F295" i="6"/>
  <c r="D296" i="6"/>
  <c r="E296" i="6"/>
  <c r="G296" i="6" s="1"/>
  <c r="F296" i="6"/>
  <c r="D297" i="6"/>
  <c r="E297" i="6"/>
  <c r="G297" i="6" s="1"/>
  <c r="F297" i="6"/>
  <c r="D298" i="6"/>
  <c r="E298" i="6"/>
  <c r="G298" i="6" s="1"/>
  <c r="F298" i="6"/>
  <c r="D299" i="6"/>
  <c r="E299" i="6"/>
  <c r="G299" i="6" s="1"/>
  <c r="F299" i="6"/>
  <c r="D300" i="6"/>
  <c r="E300" i="6"/>
  <c r="G300" i="6" s="1"/>
  <c r="F300" i="6"/>
  <c r="D301" i="6"/>
  <c r="E301" i="6"/>
  <c r="F301" i="6"/>
  <c r="D302" i="6"/>
  <c r="E302" i="6"/>
  <c r="G302" i="6" s="1"/>
  <c r="F302" i="6"/>
  <c r="D303" i="6"/>
  <c r="E303" i="6"/>
  <c r="G303" i="6" s="1"/>
  <c r="F303" i="6"/>
  <c r="D304" i="6"/>
  <c r="E304" i="6"/>
  <c r="G304" i="6" s="1"/>
  <c r="F304" i="6"/>
  <c r="D305" i="6"/>
  <c r="E305" i="6"/>
  <c r="G305" i="6" s="1"/>
  <c r="F305" i="6"/>
  <c r="D306" i="6"/>
  <c r="E306" i="6"/>
  <c r="G306" i="6" s="1"/>
  <c r="F306" i="6"/>
  <c r="D307" i="6"/>
  <c r="E307" i="6"/>
  <c r="G307" i="6" s="1"/>
  <c r="F307" i="6"/>
  <c r="D308" i="6"/>
  <c r="E308" i="6"/>
  <c r="F308" i="6"/>
  <c r="D309" i="6"/>
  <c r="E309" i="6"/>
  <c r="F309" i="6"/>
  <c r="D310" i="6"/>
  <c r="E310" i="6"/>
  <c r="G310" i="6" s="1"/>
  <c r="F310" i="6"/>
  <c r="D311" i="6"/>
  <c r="E311" i="6"/>
  <c r="G311" i="6" s="1"/>
  <c r="F311" i="6"/>
  <c r="D312" i="6"/>
  <c r="E312" i="6"/>
  <c r="G312" i="6" s="1"/>
  <c r="F312" i="6"/>
  <c r="D313" i="6"/>
  <c r="E313" i="6"/>
  <c r="F313" i="6"/>
  <c r="D314" i="6"/>
  <c r="E314" i="6"/>
  <c r="G314" i="6" s="1"/>
  <c r="F314" i="6"/>
  <c r="D315" i="6"/>
  <c r="E315" i="6"/>
  <c r="G315" i="6" s="1"/>
  <c r="F315" i="6"/>
  <c r="D316" i="6"/>
  <c r="E316" i="6"/>
  <c r="G316" i="6" s="1"/>
  <c r="F316" i="6"/>
  <c r="D317" i="6"/>
  <c r="E317" i="6"/>
  <c r="F317" i="6"/>
  <c r="D318" i="6"/>
  <c r="E318" i="6"/>
  <c r="G318" i="6" s="1"/>
  <c r="F318" i="6"/>
  <c r="D319" i="6"/>
  <c r="E319" i="6"/>
  <c r="G319" i="6" s="1"/>
  <c r="F319" i="6"/>
  <c r="D320" i="6"/>
  <c r="E320" i="6"/>
  <c r="G320" i="6" s="1"/>
  <c r="F320" i="6"/>
  <c r="D321" i="6"/>
  <c r="E321" i="6"/>
  <c r="F321" i="6"/>
  <c r="D322" i="6"/>
  <c r="E322" i="6"/>
  <c r="G322" i="6" s="1"/>
  <c r="F322" i="6"/>
  <c r="D323" i="6"/>
  <c r="E323" i="6"/>
  <c r="G323" i="6" s="1"/>
  <c r="F323" i="6"/>
  <c r="D324" i="6"/>
  <c r="E324" i="6"/>
  <c r="F324" i="6"/>
  <c r="D325" i="6"/>
  <c r="E325" i="6"/>
  <c r="G325" i="6" s="1"/>
  <c r="F325" i="6"/>
  <c r="D326" i="6"/>
  <c r="E326" i="6"/>
  <c r="G326" i="6" s="1"/>
  <c r="F326" i="6"/>
  <c r="D327" i="6"/>
  <c r="E327" i="6"/>
  <c r="G327" i="6" s="1"/>
  <c r="F327" i="6"/>
  <c r="D328" i="6"/>
  <c r="E328" i="6"/>
  <c r="G328" i="6" s="1"/>
  <c r="F328" i="6"/>
  <c r="D329" i="6"/>
  <c r="E329" i="6"/>
  <c r="G329" i="6" s="1"/>
  <c r="F329" i="6"/>
  <c r="D330" i="6"/>
  <c r="E330" i="6"/>
  <c r="G330" i="6" s="1"/>
  <c r="F330" i="6"/>
  <c r="D331" i="6"/>
  <c r="E331" i="6"/>
  <c r="F331" i="6"/>
  <c r="D332" i="6"/>
  <c r="E332" i="6"/>
  <c r="F332" i="6"/>
  <c r="D333" i="6"/>
  <c r="E333" i="6"/>
  <c r="G333" i="6" s="1"/>
  <c r="F333" i="6"/>
  <c r="D334" i="6"/>
  <c r="E334" i="6"/>
  <c r="G334" i="6" s="1"/>
  <c r="F334" i="6"/>
  <c r="D335" i="6"/>
  <c r="E335" i="6"/>
  <c r="F335" i="6"/>
  <c r="D336" i="6"/>
  <c r="E336" i="6"/>
  <c r="G336" i="6" s="1"/>
  <c r="F336" i="6"/>
  <c r="D337" i="6"/>
  <c r="E337" i="6"/>
  <c r="G337" i="6" s="1"/>
  <c r="F337" i="6"/>
  <c r="D338" i="6"/>
  <c r="E338" i="6"/>
  <c r="G338" i="6" s="1"/>
  <c r="F338" i="6"/>
  <c r="D339" i="6"/>
  <c r="E339" i="6"/>
  <c r="G339" i="6" s="1"/>
  <c r="F339" i="6"/>
  <c r="D340" i="6"/>
  <c r="E340" i="6"/>
  <c r="G340" i="6" s="1"/>
  <c r="F340" i="6"/>
  <c r="D341" i="6"/>
  <c r="E341" i="6"/>
  <c r="G341" i="6" s="1"/>
  <c r="F341" i="6"/>
  <c r="D342" i="6"/>
  <c r="E342" i="6"/>
  <c r="G342" i="6" s="1"/>
  <c r="F342" i="6"/>
  <c r="D343" i="6"/>
  <c r="E343" i="6"/>
  <c r="G343" i="6" s="1"/>
  <c r="F343" i="6"/>
  <c r="D344" i="6"/>
  <c r="E344" i="6"/>
  <c r="F344" i="6"/>
  <c r="D345" i="6"/>
  <c r="E345" i="6"/>
  <c r="G345" i="6" s="1"/>
  <c r="F345" i="6"/>
  <c r="D346" i="6"/>
  <c r="E346" i="6"/>
  <c r="G346" i="6" s="1"/>
  <c r="F346" i="6"/>
  <c r="D347" i="6"/>
  <c r="E347" i="6"/>
  <c r="G347" i="6" s="1"/>
  <c r="F347" i="6"/>
  <c r="D348" i="6"/>
  <c r="E348" i="6"/>
  <c r="G348" i="6" s="1"/>
  <c r="F348" i="6"/>
  <c r="D349" i="6"/>
  <c r="E349" i="6"/>
  <c r="G349" i="6" s="1"/>
  <c r="F349" i="6"/>
  <c r="D350" i="6"/>
  <c r="E350" i="6"/>
  <c r="F350" i="6"/>
  <c r="D351" i="6"/>
  <c r="E351" i="6"/>
  <c r="F351" i="6"/>
  <c r="D352" i="6"/>
  <c r="E352" i="6"/>
  <c r="G352" i="6" s="1"/>
  <c r="F352" i="6"/>
  <c r="D353" i="6"/>
  <c r="E353" i="6"/>
  <c r="G353" i="6" s="1"/>
  <c r="F353" i="6"/>
  <c r="D354" i="6"/>
  <c r="E354" i="6"/>
  <c r="G354" i="6" s="1"/>
  <c r="F354" i="6"/>
  <c r="D355" i="6"/>
  <c r="E355" i="6"/>
  <c r="G355" i="6" s="1"/>
  <c r="F355" i="6"/>
  <c r="D356" i="6"/>
  <c r="E356" i="6"/>
  <c r="G356" i="6" s="1"/>
  <c r="F356" i="6"/>
  <c r="D357" i="6"/>
  <c r="E357" i="6"/>
  <c r="G357" i="6" s="1"/>
  <c r="F357" i="6"/>
  <c r="D358" i="6"/>
  <c r="E358" i="6"/>
  <c r="G358" i="6" s="1"/>
  <c r="F358" i="6"/>
  <c r="D359" i="6"/>
  <c r="E359" i="6"/>
  <c r="G359" i="6" s="1"/>
  <c r="F359" i="6"/>
  <c r="D360" i="6"/>
  <c r="E360" i="6"/>
  <c r="G360" i="6" s="1"/>
  <c r="F360" i="6"/>
  <c r="D361" i="6"/>
  <c r="E361" i="6"/>
  <c r="G361" i="6" s="1"/>
  <c r="F361" i="6"/>
  <c r="D362" i="6"/>
  <c r="E362" i="6"/>
  <c r="G362" i="6" s="1"/>
  <c r="F362" i="6"/>
  <c r="D363" i="6"/>
  <c r="E363" i="6"/>
  <c r="G363" i="6" s="1"/>
  <c r="F363" i="6"/>
  <c r="D364" i="6"/>
  <c r="E364" i="6"/>
  <c r="G364" i="6" s="1"/>
  <c r="F364" i="6"/>
  <c r="D365" i="6"/>
  <c r="E365" i="6"/>
  <c r="G365" i="6" s="1"/>
  <c r="F365" i="6"/>
  <c r="D366" i="6"/>
  <c r="E366" i="6"/>
  <c r="G366" i="6" s="1"/>
  <c r="F366" i="6"/>
  <c r="D367" i="6"/>
  <c r="E367" i="6"/>
  <c r="G367" i="6" s="1"/>
  <c r="F367" i="6"/>
  <c r="D368" i="6"/>
  <c r="E368" i="6"/>
  <c r="G368" i="6" s="1"/>
  <c r="F368" i="6"/>
  <c r="D369" i="6"/>
  <c r="E369" i="6"/>
  <c r="G369" i="6" s="1"/>
  <c r="F369" i="6"/>
  <c r="D370" i="6"/>
  <c r="E370" i="6"/>
  <c r="G370" i="6" s="1"/>
  <c r="F370" i="6"/>
  <c r="D371" i="6"/>
  <c r="E371" i="6"/>
  <c r="F371" i="6"/>
  <c r="D372" i="6"/>
  <c r="E372" i="6"/>
  <c r="F372" i="6"/>
  <c r="D373" i="6"/>
  <c r="E373" i="6"/>
  <c r="G373" i="6" s="1"/>
  <c r="F373" i="6"/>
  <c r="D374" i="6"/>
  <c r="E374" i="6"/>
  <c r="G374" i="6" s="1"/>
  <c r="F374" i="6"/>
  <c r="D375" i="6"/>
  <c r="E375" i="6"/>
  <c r="G375" i="6" s="1"/>
  <c r="F375" i="6"/>
  <c r="D376" i="6"/>
  <c r="E376" i="6"/>
  <c r="G376" i="6" s="1"/>
  <c r="F376" i="6"/>
  <c r="D377" i="6"/>
  <c r="E377" i="6"/>
  <c r="F377" i="6"/>
  <c r="D378" i="6"/>
  <c r="E378" i="6"/>
  <c r="F378" i="6"/>
  <c r="D379" i="6"/>
  <c r="E379" i="6"/>
  <c r="G379" i="6" s="1"/>
  <c r="F379" i="6"/>
  <c r="D380" i="6"/>
  <c r="E380" i="6"/>
  <c r="G380" i="6" s="1"/>
  <c r="F380" i="6"/>
  <c r="D381" i="6"/>
  <c r="E381" i="6"/>
  <c r="G381" i="6" s="1"/>
  <c r="F381" i="6"/>
  <c r="D382" i="6"/>
  <c r="E382" i="6"/>
  <c r="F382" i="6"/>
  <c r="D383" i="6"/>
  <c r="E383" i="6"/>
  <c r="G383" i="6" s="1"/>
  <c r="F383" i="6"/>
  <c r="D384" i="6"/>
  <c r="E384" i="6"/>
  <c r="G384" i="6" s="1"/>
  <c r="F384" i="6"/>
  <c r="D385" i="6"/>
  <c r="E385" i="6"/>
  <c r="F385" i="6"/>
  <c r="D386" i="6"/>
  <c r="E386" i="6"/>
  <c r="F386" i="6"/>
  <c r="D387" i="6"/>
  <c r="E387" i="6"/>
  <c r="G387" i="6" s="1"/>
  <c r="F387" i="6"/>
  <c r="D388" i="6"/>
  <c r="E388" i="6"/>
  <c r="G388" i="6" s="1"/>
  <c r="F388" i="6"/>
  <c r="D389" i="6"/>
  <c r="E389" i="6"/>
  <c r="G389" i="6" s="1"/>
  <c r="F389" i="6"/>
  <c r="D390" i="6"/>
  <c r="E390" i="6"/>
  <c r="G390" i="6" s="1"/>
  <c r="F390" i="6"/>
  <c r="D391" i="6"/>
  <c r="E391" i="6"/>
  <c r="G391" i="6" s="1"/>
  <c r="F391" i="6"/>
  <c r="D392" i="6"/>
  <c r="E392" i="6"/>
  <c r="G392" i="6" s="1"/>
  <c r="F392" i="6"/>
  <c r="D393" i="6"/>
  <c r="E393" i="6"/>
  <c r="G393" i="6" s="1"/>
  <c r="F393" i="6"/>
  <c r="D394" i="6"/>
  <c r="E394" i="6"/>
  <c r="G394" i="6" s="1"/>
  <c r="F394" i="6"/>
  <c r="D395" i="6"/>
  <c r="E395" i="6"/>
  <c r="F395" i="6"/>
  <c r="D396" i="6"/>
  <c r="E396" i="6"/>
  <c r="G396" i="6" s="1"/>
  <c r="F396" i="6"/>
  <c r="D397" i="6"/>
  <c r="E397" i="6"/>
  <c r="G397" i="6" s="1"/>
  <c r="F397" i="6"/>
  <c r="D398" i="6"/>
  <c r="E398" i="6"/>
  <c r="G398" i="6" s="1"/>
  <c r="F398" i="6"/>
  <c r="D399" i="6"/>
  <c r="E399" i="6"/>
  <c r="F399" i="6"/>
  <c r="D400" i="6"/>
  <c r="E400" i="6"/>
  <c r="G400" i="6" s="1"/>
  <c r="F400" i="6"/>
  <c r="D401" i="6"/>
  <c r="E401" i="6"/>
  <c r="G401" i="6" s="1"/>
  <c r="F401" i="6"/>
  <c r="D402" i="6"/>
  <c r="E402" i="6"/>
  <c r="G402" i="6" s="1"/>
  <c r="F402" i="6"/>
  <c r="D403" i="6"/>
  <c r="E403" i="6"/>
  <c r="G403" i="6" s="1"/>
  <c r="F403" i="6"/>
  <c r="D404" i="6"/>
  <c r="E404" i="6"/>
  <c r="G404" i="6" s="1"/>
  <c r="F404" i="6"/>
  <c r="D405" i="6"/>
  <c r="E405" i="6"/>
  <c r="G405" i="6" s="1"/>
  <c r="F405" i="6"/>
  <c r="D406" i="6"/>
  <c r="E406" i="6"/>
  <c r="G406" i="6" s="1"/>
  <c r="F406" i="6"/>
  <c r="D407" i="6"/>
  <c r="E407" i="6"/>
  <c r="F407" i="6"/>
  <c r="D408" i="6"/>
  <c r="E408" i="6"/>
  <c r="F408" i="6"/>
  <c r="D409" i="6"/>
  <c r="E409" i="6"/>
  <c r="G409" i="6" s="1"/>
  <c r="F409" i="6"/>
  <c r="D410" i="6"/>
  <c r="E410" i="6"/>
  <c r="G410" i="6" s="1"/>
  <c r="F410" i="6"/>
  <c r="D411" i="6"/>
  <c r="E411" i="6"/>
  <c r="G411" i="6" s="1"/>
  <c r="F411" i="6"/>
  <c r="D412" i="6"/>
  <c r="E412" i="6"/>
  <c r="G412" i="6" s="1"/>
  <c r="F412" i="6"/>
  <c r="D413" i="6"/>
  <c r="E413" i="6"/>
  <c r="G413" i="6" s="1"/>
  <c r="F413" i="6"/>
  <c r="D414" i="6"/>
  <c r="E414" i="6"/>
  <c r="G414" i="6" s="1"/>
  <c r="F414" i="6"/>
  <c r="D415" i="6"/>
  <c r="E415" i="6"/>
  <c r="G415" i="6" s="1"/>
  <c r="F415" i="6"/>
  <c r="D416" i="6"/>
  <c r="E416" i="6"/>
  <c r="G416" i="6" s="1"/>
  <c r="F416" i="6"/>
  <c r="D417" i="6"/>
  <c r="E417" i="6"/>
  <c r="G417" i="6" s="1"/>
  <c r="F417" i="6"/>
  <c r="D418" i="6"/>
  <c r="E418" i="6"/>
  <c r="G418" i="6" s="1"/>
  <c r="F418" i="6"/>
  <c r="D419" i="6"/>
  <c r="E419" i="6"/>
  <c r="G419" i="6" s="1"/>
  <c r="F419" i="6"/>
  <c r="D420" i="6"/>
  <c r="E420" i="6"/>
  <c r="G420" i="6" s="1"/>
  <c r="F420" i="6"/>
  <c r="D421" i="6"/>
  <c r="E421" i="6"/>
  <c r="G421" i="6" s="1"/>
  <c r="F421" i="6"/>
  <c r="D422" i="6"/>
  <c r="E422" i="6"/>
  <c r="G422" i="6" s="1"/>
  <c r="F422" i="6"/>
  <c r="D423" i="6"/>
  <c r="E423" i="6"/>
  <c r="G423" i="6" s="1"/>
  <c r="F423" i="6"/>
  <c r="D424" i="6"/>
  <c r="E424" i="6"/>
  <c r="G424" i="6" s="1"/>
  <c r="F424" i="6"/>
  <c r="D425" i="6"/>
  <c r="E425" i="6"/>
  <c r="G425" i="6" s="1"/>
  <c r="F425" i="6"/>
  <c r="D426" i="6"/>
  <c r="E426" i="6"/>
  <c r="F426" i="6"/>
  <c r="D427" i="6"/>
  <c r="E427" i="6"/>
  <c r="G427" i="6" s="1"/>
  <c r="F427" i="6"/>
  <c r="D428" i="6"/>
  <c r="E428" i="6"/>
  <c r="G428" i="6" s="1"/>
  <c r="F428" i="6"/>
  <c r="D429" i="6"/>
  <c r="E429" i="6"/>
  <c r="G429" i="6" s="1"/>
  <c r="F429" i="6"/>
  <c r="D430" i="6"/>
  <c r="E430" i="6"/>
  <c r="G430" i="6" s="1"/>
  <c r="F430" i="6"/>
  <c r="D431" i="6"/>
  <c r="E431" i="6"/>
  <c r="G431" i="6" s="1"/>
  <c r="F431" i="6"/>
  <c r="D432" i="6"/>
  <c r="E432" i="6"/>
  <c r="G432" i="6" s="1"/>
  <c r="F432" i="6"/>
  <c r="D433" i="6"/>
  <c r="E433" i="6"/>
  <c r="G433" i="6" s="1"/>
  <c r="F433" i="6"/>
  <c r="D434" i="6"/>
  <c r="E434" i="6"/>
  <c r="G434" i="6" s="1"/>
  <c r="F434" i="6"/>
  <c r="D435" i="6"/>
  <c r="E435" i="6"/>
  <c r="G435" i="6" s="1"/>
  <c r="F435" i="6"/>
  <c r="D436" i="6"/>
  <c r="E436" i="6"/>
  <c r="G436" i="6" s="1"/>
  <c r="F436" i="6"/>
  <c r="D437" i="6"/>
  <c r="E437" i="6"/>
  <c r="G437" i="6" s="1"/>
  <c r="F437" i="6"/>
  <c r="D438" i="6"/>
  <c r="E438" i="6"/>
  <c r="G438" i="6" s="1"/>
  <c r="F438" i="6"/>
  <c r="D439" i="6"/>
  <c r="E439" i="6"/>
  <c r="G439" i="6" s="1"/>
  <c r="F439" i="6"/>
  <c r="D440" i="6"/>
  <c r="E440" i="6"/>
  <c r="G440" i="6" s="1"/>
  <c r="F440" i="6"/>
  <c r="D441" i="6"/>
  <c r="E441" i="6"/>
  <c r="G441" i="6" s="1"/>
  <c r="F441" i="6"/>
  <c r="D442" i="6"/>
  <c r="E442" i="6"/>
  <c r="G442" i="6" s="1"/>
  <c r="F442" i="6"/>
  <c r="D443" i="6"/>
  <c r="E443" i="6"/>
  <c r="G443" i="6" s="1"/>
  <c r="F443" i="6"/>
  <c r="D444" i="6"/>
  <c r="E444" i="6"/>
  <c r="G444" i="6" s="1"/>
  <c r="F444" i="6"/>
  <c r="D445" i="6"/>
  <c r="E445" i="6"/>
  <c r="G445" i="6" s="1"/>
  <c r="F445" i="6"/>
  <c r="D446" i="6"/>
  <c r="E446" i="6"/>
  <c r="F446" i="6"/>
  <c r="D447" i="6"/>
  <c r="E447" i="6"/>
  <c r="F447" i="6"/>
  <c r="D448" i="6"/>
  <c r="E448" i="6"/>
  <c r="G448" i="6" s="1"/>
  <c r="F448" i="6"/>
  <c r="D449" i="6"/>
  <c r="E449" i="6"/>
  <c r="G449" i="6" s="1"/>
  <c r="F449" i="6"/>
  <c r="D450" i="6"/>
  <c r="E450" i="6"/>
  <c r="G450" i="6" s="1"/>
  <c r="F450" i="6"/>
  <c r="D451" i="6"/>
  <c r="E451" i="6"/>
  <c r="G451" i="6" s="1"/>
  <c r="F451" i="6"/>
  <c r="D452" i="6"/>
  <c r="E452" i="6"/>
  <c r="G452" i="6" s="1"/>
  <c r="F452" i="6"/>
  <c r="D453" i="6"/>
  <c r="E453" i="6"/>
  <c r="G453" i="6" s="1"/>
  <c r="F453" i="6"/>
  <c r="D454" i="6"/>
  <c r="E454" i="6"/>
  <c r="G454" i="6" s="1"/>
  <c r="F454" i="6"/>
  <c r="D455" i="6"/>
  <c r="E455" i="6"/>
  <c r="G455" i="6" s="1"/>
  <c r="F455" i="6"/>
  <c r="D456" i="6"/>
  <c r="E456" i="6"/>
  <c r="F456" i="6"/>
  <c r="D457" i="6"/>
  <c r="E457" i="6"/>
  <c r="G457" i="6" s="1"/>
  <c r="F457" i="6"/>
  <c r="D458" i="6"/>
  <c r="E458" i="6"/>
  <c r="G458" i="6" s="1"/>
  <c r="F458" i="6"/>
  <c r="D459" i="6"/>
  <c r="E459" i="6"/>
  <c r="G459" i="6" s="1"/>
  <c r="F459" i="6"/>
  <c r="D460" i="6"/>
  <c r="E460" i="6"/>
  <c r="G460" i="6" s="1"/>
  <c r="F460" i="6"/>
  <c r="D461" i="6"/>
  <c r="E461" i="6"/>
  <c r="G461" i="6" s="1"/>
  <c r="F461" i="6"/>
  <c r="D462" i="6"/>
  <c r="E462" i="6"/>
  <c r="G462" i="6" s="1"/>
  <c r="F462" i="6"/>
  <c r="D463" i="6"/>
  <c r="E463" i="6"/>
  <c r="G463" i="6" s="1"/>
  <c r="F463" i="6"/>
  <c r="D464" i="6"/>
  <c r="E464" i="6"/>
  <c r="G464" i="6" s="1"/>
  <c r="F464" i="6"/>
  <c r="D465" i="6"/>
  <c r="E465" i="6"/>
  <c r="G465" i="6" s="1"/>
  <c r="F465" i="6"/>
  <c r="D466" i="6"/>
  <c r="E466" i="6"/>
  <c r="G466" i="6" s="1"/>
  <c r="F466" i="6"/>
  <c r="D467" i="6"/>
  <c r="E467" i="6"/>
  <c r="G467" i="6" s="1"/>
  <c r="F467" i="6"/>
  <c r="D468" i="6"/>
  <c r="E468" i="6"/>
  <c r="G468" i="6" s="1"/>
  <c r="F468" i="6"/>
  <c r="D469" i="6"/>
  <c r="E469" i="6"/>
  <c r="G469" i="6" s="1"/>
  <c r="F469" i="6"/>
  <c r="D470" i="6"/>
  <c r="E470" i="6"/>
  <c r="G470" i="6" s="1"/>
  <c r="F470" i="6"/>
  <c r="D471" i="6"/>
  <c r="E471" i="6"/>
  <c r="G471" i="6" s="1"/>
  <c r="F471" i="6"/>
  <c r="D472" i="6"/>
  <c r="E472" i="6"/>
  <c r="G472" i="6" s="1"/>
  <c r="F472" i="6"/>
  <c r="D473" i="6"/>
  <c r="E473" i="6"/>
  <c r="G473" i="6" s="1"/>
  <c r="F473" i="6"/>
  <c r="D474" i="6"/>
  <c r="E474" i="6"/>
  <c r="G474" i="6" s="1"/>
  <c r="F474" i="6"/>
  <c r="D475" i="6"/>
  <c r="E475" i="6"/>
  <c r="G475" i="6" s="1"/>
  <c r="F475" i="6"/>
  <c r="D476" i="6"/>
  <c r="E476" i="6"/>
  <c r="G476" i="6" s="1"/>
  <c r="F476" i="6"/>
  <c r="D477" i="6"/>
  <c r="E477" i="6"/>
  <c r="G477" i="6" s="1"/>
  <c r="F477" i="6"/>
  <c r="D478" i="6"/>
  <c r="E478" i="6"/>
  <c r="G478" i="6" s="1"/>
  <c r="F478" i="6"/>
  <c r="D479" i="6"/>
  <c r="E479" i="6"/>
  <c r="G479" i="6" s="1"/>
  <c r="F479" i="6"/>
  <c r="D480" i="6"/>
  <c r="E480" i="6"/>
  <c r="F480" i="6"/>
  <c r="D481" i="6"/>
  <c r="E481" i="6"/>
  <c r="G481" i="6" s="1"/>
  <c r="F481" i="6"/>
  <c r="D482" i="6"/>
  <c r="E482" i="6"/>
  <c r="G482" i="6" s="1"/>
  <c r="F482" i="6"/>
  <c r="D483" i="6"/>
  <c r="E483" i="6"/>
  <c r="G483" i="6" s="1"/>
  <c r="F483" i="6"/>
  <c r="D484" i="6"/>
  <c r="E484" i="6"/>
  <c r="G484" i="6" s="1"/>
  <c r="F484" i="6"/>
  <c r="D485" i="6"/>
  <c r="E485" i="6"/>
  <c r="G485" i="6" s="1"/>
  <c r="F485" i="6"/>
  <c r="D486" i="6"/>
  <c r="E486" i="6"/>
  <c r="F486" i="6"/>
  <c r="D487" i="6"/>
  <c r="E487" i="6"/>
  <c r="G487" i="6" s="1"/>
  <c r="F487" i="6"/>
  <c r="D488" i="6"/>
  <c r="E488" i="6"/>
  <c r="G488" i="6" s="1"/>
  <c r="F488" i="6"/>
  <c r="D489" i="6"/>
  <c r="E489" i="6"/>
  <c r="F489" i="6"/>
  <c r="D490" i="6"/>
  <c r="E490" i="6"/>
  <c r="G490" i="6" s="1"/>
  <c r="F490" i="6"/>
  <c r="D491" i="6"/>
  <c r="E491" i="6"/>
  <c r="G491" i="6" s="1"/>
  <c r="F491" i="6"/>
  <c r="D492" i="6"/>
  <c r="E492" i="6"/>
  <c r="G492" i="6" s="1"/>
  <c r="F492" i="6"/>
  <c r="D493" i="6"/>
  <c r="E493" i="6"/>
  <c r="G493" i="6" s="1"/>
  <c r="F493" i="6"/>
  <c r="D494" i="6"/>
  <c r="E494" i="6"/>
  <c r="G494" i="6" s="1"/>
  <c r="F494" i="6"/>
  <c r="D495" i="6"/>
  <c r="E495" i="6"/>
  <c r="G495" i="6" s="1"/>
  <c r="F495" i="6"/>
  <c r="D496" i="6"/>
  <c r="E496" i="6"/>
  <c r="F496" i="6"/>
  <c r="D497" i="6"/>
  <c r="E497" i="6"/>
  <c r="G497" i="6" s="1"/>
  <c r="F497" i="6"/>
  <c r="D498" i="6"/>
  <c r="E498" i="6"/>
  <c r="G498" i="6" s="1"/>
  <c r="F498" i="6"/>
  <c r="D499" i="6"/>
  <c r="E499" i="6"/>
  <c r="F499" i="6"/>
  <c r="D500" i="6"/>
  <c r="E500" i="6"/>
  <c r="G500" i="6" s="1"/>
  <c r="F500" i="6"/>
  <c r="D501" i="6"/>
  <c r="E501" i="6"/>
  <c r="G501" i="6" s="1"/>
  <c r="F501" i="6"/>
  <c r="D502" i="6"/>
  <c r="E502" i="6"/>
  <c r="G502" i="6" s="1"/>
  <c r="F502" i="6"/>
  <c r="D503" i="6"/>
  <c r="E503" i="6"/>
  <c r="G503" i="6" s="1"/>
  <c r="F503" i="6"/>
  <c r="D504" i="6"/>
  <c r="E504" i="6"/>
  <c r="G504" i="6" s="1"/>
  <c r="F504" i="6"/>
  <c r="D505" i="6"/>
  <c r="E505" i="6"/>
  <c r="F505" i="6"/>
  <c r="D506" i="6"/>
  <c r="E506" i="6"/>
  <c r="G506" i="6" s="1"/>
  <c r="F506" i="6"/>
  <c r="D507" i="6"/>
  <c r="E507" i="6"/>
  <c r="G507" i="6" s="1"/>
  <c r="F507" i="6"/>
  <c r="D508" i="6"/>
  <c r="E508" i="6"/>
  <c r="G508" i="6" s="1"/>
  <c r="F508" i="6"/>
  <c r="D509" i="6"/>
  <c r="E509" i="6"/>
  <c r="G509" i="6" s="1"/>
  <c r="F509" i="6"/>
  <c r="D510" i="6"/>
  <c r="E510" i="6"/>
  <c r="G510" i="6" s="1"/>
  <c r="F510" i="6"/>
  <c r="D511" i="6"/>
  <c r="E511" i="6"/>
  <c r="G511" i="6" s="1"/>
  <c r="F511" i="6"/>
  <c r="D512" i="6"/>
  <c r="E512" i="6"/>
  <c r="F512" i="6"/>
  <c r="D513" i="6"/>
  <c r="E513" i="6"/>
  <c r="G513" i="6" s="1"/>
  <c r="F513" i="6"/>
  <c r="D514" i="6"/>
  <c r="E514" i="6"/>
  <c r="G514" i="6" s="1"/>
  <c r="F514" i="6"/>
  <c r="D515" i="6"/>
  <c r="E515" i="6"/>
  <c r="G515" i="6" s="1"/>
  <c r="F515" i="6"/>
  <c r="D516" i="6"/>
  <c r="E516" i="6"/>
  <c r="G516" i="6" s="1"/>
  <c r="F516" i="6"/>
  <c r="D517" i="6"/>
  <c r="E517" i="6"/>
  <c r="G517" i="6" s="1"/>
  <c r="F517" i="6"/>
  <c r="D518" i="6"/>
  <c r="E518" i="6"/>
  <c r="G518" i="6" s="1"/>
  <c r="F518" i="6"/>
  <c r="D519" i="6"/>
  <c r="E519" i="6"/>
  <c r="G519" i="6" s="1"/>
  <c r="F519" i="6"/>
  <c r="D520" i="6"/>
  <c r="E520" i="6"/>
  <c r="G520" i="6" s="1"/>
  <c r="F520" i="6"/>
  <c r="D521" i="6"/>
  <c r="E521" i="6"/>
  <c r="F521" i="6"/>
  <c r="D522" i="6"/>
  <c r="E522" i="6"/>
  <c r="G522" i="6" s="1"/>
  <c r="F522" i="6"/>
  <c r="D523" i="6"/>
  <c r="E523" i="6"/>
  <c r="G523" i="6" s="1"/>
  <c r="F523" i="6"/>
  <c r="D524" i="6"/>
  <c r="E524" i="6"/>
  <c r="G524" i="6" s="1"/>
  <c r="F524" i="6"/>
  <c r="D525" i="6"/>
  <c r="E525" i="6"/>
  <c r="G525" i="6" s="1"/>
  <c r="F525" i="6"/>
  <c r="D526" i="6"/>
  <c r="E526" i="6"/>
  <c r="G526" i="6" s="1"/>
  <c r="F526" i="6"/>
  <c r="D527" i="6"/>
  <c r="E527" i="6"/>
  <c r="G527" i="6" s="1"/>
  <c r="F527" i="6"/>
  <c r="D528" i="6"/>
  <c r="E528" i="6"/>
  <c r="G528" i="6" s="1"/>
  <c r="F528" i="6"/>
  <c r="D529" i="6"/>
  <c r="E529" i="6"/>
  <c r="G529" i="6" s="1"/>
  <c r="F529" i="6"/>
  <c r="D530" i="6"/>
  <c r="E530" i="6"/>
  <c r="G530" i="6" s="1"/>
  <c r="F530" i="6"/>
  <c r="D531" i="6"/>
  <c r="E531" i="6"/>
  <c r="G531" i="6" s="1"/>
  <c r="F531" i="6"/>
  <c r="D532" i="6"/>
  <c r="E532" i="6"/>
  <c r="G532" i="6" s="1"/>
  <c r="F532" i="6"/>
  <c r="D533" i="6"/>
  <c r="E533" i="6"/>
  <c r="G533" i="6" s="1"/>
  <c r="F533" i="6"/>
  <c r="D534" i="6"/>
  <c r="E534" i="6"/>
  <c r="G534" i="6" s="1"/>
  <c r="F534" i="6"/>
  <c r="D535" i="6"/>
  <c r="E535" i="6"/>
  <c r="G535" i="6" s="1"/>
  <c r="F535" i="6"/>
  <c r="D536" i="6"/>
  <c r="E536" i="6"/>
  <c r="G536" i="6" s="1"/>
  <c r="F536" i="6"/>
  <c r="D537" i="6"/>
  <c r="E537" i="6"/>
  <c r="F537" i="6"/>
  <c r="D538" i="6"/>
  <c r="E538" i="6"/>
  <c r="G538" i="6" s="1"/>
  <c r="F538" i="6"/>
  <c r="D539" i="6"/>
  <c r="E539" i="6"/>
  <c r="F539" i="6"/>
  <c r="D540" i="6"/>
  <c r="E540" i="6"/>
  <c r="G540" i="6" s="1"/>
  <c r="F540" i="6"/>
  <c r="D541" i="6"/>
  <c r="E541" i="6"/>
  <c r="F541" i="6"/>
  <c r="D542" i="6"/>
  <c r="E542" i="6"/>
  <c r="G542" i="6" s="1"/>
  <c r="F542" i="6"/>
  <c r="D543" i="6"/>
  <c r="E543" i="6"/>
  <c r="G543" i="6" s="1"/>
  <c r="F543" i="6"/>
  <c r="D544" i="6"/>
  <c r="E544" i="6"/>
  <c r="G544" i="6" s="1"/>
  <c r="F544" i="6"/>
  <c r="D545" i="6"/>
  <c r="E545" i="6"/>
  <c r="G545" i="6" s="1"/>
  <c r="F545" i="6"/>
  <c r="D546" i="6"/>
  <c r="E546" i="6"/>
  <c r="G546" i="6" s="1"/>
  <c r="F546" i="6"/>
  <c r="D547" i="6"/>
  <c r="E547" i="6"/>
  <c r="G547" i="6" s="1"/>
  <c r="F547" i="6"/>
  <c r="D548" i="6"/>
  <c r="E548" i="6"/>
  <c r="G548" i="6" s="1"/>
  <c r="F548" i="6"/>
  <c r="D549" i="6"/>
  <c r="E549" i="6"/>
  <c r="G549" i="6" s="1"/>
  <c r="F549" i="6"/>
  <c r="D550" i="6"/>
  <c r="E550" i="6"/>
  <c r="G550" i="6" s="1"/>
  <c r="F550" i="6"/>
  <c r="D551" i="6"/>
  <c r="E551" i="6"/>
  <c r="G551" i="6" s="1"/>
  <c r="F551" i="6"/>
  <c r="D552" i="6"/>
  <c r="E552" i="6"/>
  <c r="G552" i="6" s="1"/>
  <c r="F552" i="6"/>
  <c r="D553" i="6"/>
  <c r="E553" i="6"/>
  <c r="G553" i="6" s="1"/>
  <c r="F553" i="6"/>
  <c r="D554" i="6"/>
  <c r="E554" i="6"/>
  <c r="F554" i="6"/>
  <c r="D555" i="6"/>
  <c r="E555" i="6"/>
  <c r="G555" i="6" s="1"/>
  <c r="F555" i="6"/>
  <c r="D556" i="6"/>
  <c r="E556" i="6"/>
  <c r="G556" i="6" s="1"/>
  <c r="F556" i="6"/>
  <c r="D557" i="6"/>
  <c r="E557" i="6"/>
  <c r="G557" i="6" s="1"/>
  <c r="F557" i="6"/>
  <c r="D558" i="6"/>
  <c r="E558" i="6"/>
  <c r="G558" i="6" s="1"/>
  <c r="F558" i="6"/>
  <c r="D559" i="6"/>
  <c r="E559" i="6"/>
  <c r="G559" i="6" s="1"/>
  <c r="F559" i="6"/>
  <c r="D560" i="6"/>
  <c r="E560" i="6"/>
  <c r="F560" i="6"/>
  <c r="D561" i="6"/>
  <c r="E561" i="6"/>
  <c r="G561" i="6" s="1"/>
  <c r="F561" i="6"/>
  <c r="D562" i="6"/>
  <c r="E562" i="6"/>
  <c r="G562" i="6" s="1"/>
  <c r="F562" i="6"/>
  <c r="D563" i="6"/>
  <c r="E563" i="6"/>
  <c r="G563" i="6" s="1"/>
  <c r="F563" i="6"/>
  <c r="D564" i="6"/>
  <c r="E564" i="6"/>
  <c r="F564" i="6"/>
  <c r="D565" i="6"/>
  <c r="E565" i="6"/>
  <c r="G565" i="6" s="1"/>
  <c r="F565" i="6"/>
  <c r="D566" i="6"/>
  <c r="E566" i="6"/>
  <c r="G566" i="6" s="1"/>
  <c r="F566" i="6"/>
  <c r="D567" i="6"/>
  <c r="E567" i="6"/>
  <c r="G567" i="6" s="1"/>
  <c r="F567" i="6"/>
  <c r="D568" i="6"/>
  <c r="E568" i="6"/>
  <c r="G568" i="6" s="1"/>
  <c r="F568" i="6"/>
  <c r="D569" i="6"/>
  <c r="E569" i="6"/>
  <c r="G569" i="6" s="1"/>
  <c r="F569" i="6"/>
  <c r="D570" i="6"/>
  <c r="E570" i="6"/>
  <c r="G570" i="6" s="1"/>
  <c r="F570" i="6"/>
  <c r="D571" i="6"/>
  <c r="E571" i="6"/>
  <c r="G571" i="6" s="1"/>
  <c r="F571" i="6"/>
  <c r="D572" i="6"/>
  <c r="E572" i="6"/>
  <c r="G572" i="6" s="1"/>
  <c r="F572" i="6"/>
  <c r="D573" i="6"/>
  <c r="E573" i="6"/>
  <c r="G573" i="6" s="1"/>
  <c r="F573" i="6"/>
  <c r="D574" i="6"/>
  <c r="E574" i="6"/>
  <c r="G574" i="6" s="1"/>
  <c r="F574" i="6"/>
  <c r="D575" i="6"/>
  <c r="E575" i="6"/>
  <c r="F575" i="6"/>
  <c r="D576" i="6"/>
  <c r="E576" i="6"/>
  <c r="F576" i="6"/>
  <c r="D577" i="6"/>
  <c r="E577" i="6"/>
  <c r="G577" i="6" s="1"/>
  <c r="F577" i="6"/>
  <c r="D578" i="6"/>
  <c r="E578" i="6"/>
  <c r="G578" i="6" s="1"/>
  <c r="F578" i="6"/>
  <c r="D579" i="6"/>
  <c r="E579" i="6"/>
  <c r="G579" i="6" s="1"/>
  <c r="F579" i="6"/>
  <c r="D580" i="6"/>
  <c r="E580" i="6"/>
  <c r="G580" i="6" s="1"/>
  <c r="F580" i="6"/>
  <c r="D581" i="6"/>
  <c r="E581" i="6"/>
  <c r="G581" i="6" s="1"/>
  <c r="F581" i="6"/>
  <c r="D582" i="6"/>
  <c r="E582" i="6"/>
  <c r="G582" i="6" s="1"/>
  <c r="F582" i="6"/>
  <c r="D583" i="6"/>
  <c r="E583" i="6"/>
  <c r="G583" i="6" s="1"/>
  <c r="F583" i="6"/>
  <c r="D584" i="6"/>
  <c r="E584" i="6"/>
  <c r="G584" i="6" s="1"/>
  <c r="F584" i="6"/>
  <c r="D585" i="6"/>
  <c r="E585" i="6"/>
  <c r="G585" i="6" s="1"/>
  <c r="F585" i="6"/>
  <c r="D586" i="6"/>
  <c r="E586" i="6"/>
  <c r="G586" i="6" s="1"/>
  <c r="F586" i="6"/>
  <c r="D587" i="6"/>
  <c r="E587" i="6"/>
  <c r="G587" i="6" s="1"/>
  <c r="F587" i="6"/>
  <c r="D588" i="6"/>
  <c r="E588" i="6"/>
  <c r="G588" i="6" s="1"/>
  <c r="F588" i="6"/>
  <c r="D589" i="6"/>
  <c r="E589" i="6"/>
  <c r="G589" i="6" s="1"/>
  <c r="F589" i="6"/>
  <c r="D590" i="6"/>
  <c r="E590" i="6"/>
  <c r="G590" i="6" s="1"/>
  <c r="F590" i="6"/>
  <c r="D591" i="6"/>
  <c r="E591" i="6"/>
  <c r="G591" i="6" s="1"/>
  <c r="F591" i="6"/>
  <c r="D592" i="6"/>
  <c r="E592" i="6"/>
  <c r="G592" i="6" s="1"/>
  <c r="F592" i="6"/>
  <c r="D593" i="6"/>
  <c r="E593" i="6"/>
  <c r="G593" i="6" s="1"/>
  <c r="F593" i="6"/>
  <c r="D594" i="6"/>
  <c r="E594" i="6"/>
  <c r="G594" i="6" s="1"/>
  <c r="F594" i="6"/>
  <c r="D595" i="6"/>
  <c r="E595" i="6"/>
  <c r="G595" i="6" s="1"/>
  <c r="F595" i="6"/>
  <c r="D596" i="6"/>
  <c r="E596" i="6"/>
  <c r="G596" i="6" s="1"/>
  <c r="F596" i="6"/>
  <c r="D597" i="6"/>
  <c r="E597" i="6"/>
  <c r="G597" i="6" s="1"/>
  <c r="F597" i="6"/>
  <c r="D598" i="6"/>
  <c r="E598" i="6"/>
  <c r="G598" i="6" s="1"/>
  <c r="F598" i="6"/>
  <c r="D599" i="6"/>
  <c r="E599" i="6"/>
  <c r="G599" i="6" s="1"/>
  <c r="F599" i="6"/>
  <c r="D600" i="6"/>
  <c r="E600" i="6"/>
  <c r="G600" i="6" s="1"/>
  <c r="F600" i="6"/>
  <c r="D601" i="6"/>
  <c r="E601" i="6"/>
  <c r="G601" i="6" s="1"/>
  <c r="F601" i="6"/>
  <c r="D602" i="6"/>
  <c r="E602" i="6"/>
  <c r="G602" i="6" s="1"/>
  <c r="F602" i="6"/>
  <c r="D603" i="6"/>
  <c r="E603" i="6"/>
  <c r="G603" i="6" s="1"/>
  <c r="F603" i="6"/>
  <c r="D604" i="6"/>
  <c r="E604" i="6"/>
  <c r="G604" i="6" s="1"/>
  <c r="F604" i="6"/>
  <c r="D605" i="6"/>
  <c r="E605" i="6"/>
  <c r="G605" i="6" s="1"/>
  <c r="F605" i="6"/>
  <c r="D606" i="6"/>
  <c r="E606" i="6"/>
  <c r="G606" i="6" s="1"/>
  <c r="F606" i="6"/>
  <c r="D607" i="6"/>
  <c r="E607" i="6"/>
  <c r="F607" i="6"/>
  <c r="D608" i="6"/>
  <c r="E608" i="6"/>
  <c r="G608" i="6" s="1"/>
  <c r="F608" i="6"/>
  <c r="D609" i="6"/>
  <c r="E609" i="6"/>
  <c r="G609" i="6" s="1"/>
  <c r="F609" i="6"/>
  <c r="D610" i="6"/>
  <c r="E610" i="6"/>
  <c r="G610" i="6" s="1"/>
  <c r="F610" i="6"/>
  <c r="D611" i="6"/>
  <c r="E611" i="6"/>
  <c r="G611" i="6" s="1"/>
  <c r="F611" i="6"/>
  <c r="D612" i="6"/>
  <c r="E612" i="6"/>
  <c r="G612" i="6" s="1"/>
  <c r="F612" i="6"/>
  <c r="D613" i="6"/>
  <c r="E613" i="6"/>
  <c r="G613" i="6" s="1"/>
  <c r="F613" i="6"/>
  <c r="D614" i="6"/>
  <c r="E614" i="6"/>
  <c r="G614" i="6" s="1"/>
  <c r="F614" i="6"/>
  <c r="D615" i="6"/>
  <c r="E615" i="6"/>
  <c r="G615" i="6" s="1"/>
  <c r="F615" i="6"/>
  <c r="D616" i="6"/>
  <c r="E616" i="6"/>
  <c r="F616" i="6"/>
  <c r="D617" i="6"/>
  <c r="E617" i="6"/>
  <c r="G617" i="6" s="1"/>
  <c r="F617" i="6"/>
  <c r="D618" i="6"/>
  <c r="E618" i="6"/>
  <c r="F618" i="6"/>
  <c r="D619" i="6"/>
  <c r="E619" i="6"/>
  <c r="G619" i="6" s="1"/>
  <c r="F619" i="6"/>
  <c r="D620" i="6"/>
  <c r="E620" i="6"/>
  <c r="G620" i="6" s="1"/>
  <c r="F620" i="6"/>
  <c r="D621" i="6"/>
  <c r="E621" i="6"/>
  <c r="F621" i="6"/>
  <c r="D622" i="6"/>
  <c r="E622" i="6"/>
  <c r="F622" i="6"/>
  <c r="D623" i="6"/>
  <c r="E623" i="6"/>
  <c r="G623" i="6" s="1"/>
  <c r="F623" i="6"/>
  <c r="D624" i="6"/>
  <c r="E624" i="6"/>
  <c r="G624" i="6" s="1"/>
  <c r="F624" i="6"/>
  <c r="D625" i="6"/>
  <c r="E625" i="6"/>
  <c r="G625" i="6" s="1"/>
  <c r="F625" i="6"/>
  <c r="D626" i="6"/>
  <c r="E626" i="6"/>
  <c r="F626" i="6"/>
  <c r="D627" i="6"/>
  <c r="E627" i="6"/>
  <c r="G627" i="6" s="1"/>
  <c r="F627" i="6"/>
  <c r="D628" i="6"/>
  <c r="E628" i="6"/>
  <c r="G628" i="6" s="1"/>
  <c r="F628" i="6"/>
  <c r="D629" i="6"/>
  <c r="E629" i="6"/>
  <c r="G629" i="6" s="1"/>
  <c r="F629" i="6"/>
  <c r="D630" i="6"/>
  <c r="E630" i="6"/>
  <c r="G630" i="6" s="1"/>
  <c r="F630" i="6"/>
  <c r="D631" i="6"/>
  <c r="E631" i="6"/>
  <c r="G631" i="6" s="1"/>
  <c r="F631" i="6"/>
  <c r="D632" i="6"/>
  <c r="E632" i="6"/>
  <c r="G632" i="6" s="1"/>
  <c r="F632" i="6"/>
  <c r="D633" i="6"/>
  <c r="E633" i="6"/>
  <c r="G633" i="6" s="1"/>
  <c r="F633" i="6"/>
  <c r="D634" i="6"/>
  <c r="E634" i="6"/>
  <c r="G634" i="6" s="1"/>
  <c r="F634" i="6"/>
  <c r="D635" i="6"/>
  <c r="E635" i="6"/>
  <c r="G635" i="6" s="1"/>
  <c r="F635" i="6"/>
  <c r="D636" i="6"/>
  <c r="E636" i="6"/>
  <c r="G636" i="6" s="1"/>
  <c r="F636" i="6"/>
  <c r="D637" i="6"/>
  <c r="E637" i="6"/>
  <c r="G637" i="6" s="1"/>
  <c r="F637" i="6"/>
  <c r="D638" i="6"/>
  <c r="E638" i="6"/>
  <c r="G638" i="6" s="1"/>
  <c r="F638" i="6"/>
  <c r="D639" i="6"/>
  <c r="E639" i="6"/>
  <c r="G639" i="6" s="1"/>
  <c r="F639" i="6"/>
  <c r="D640" i="6"/>
  <c r="E640" i="6"/>
  <c r="G640" i="6" s="1"/>
  <c r="F640" i="6"/>
  <c r="D641" i="6"/>
  <c r="E641" i="6"/>
  <c r="G641" i="6" s="1"/>
  <c r="F641" i="6"/>
  <c r="D642" i="6"/>
  <c r="E642" i="6"/>
  <c r="G642" i="6" s="1"/>
  <c r="F642" i="6"/>
  <c r="D643" i="6"/>
  <c r="E643" i="6"/>
  <c r="G643" i="6" s="1"/>
  <c r="F643" i="6"/>
  <c r="D644" i="6"/>
  <c r="E644" i="6"/>
  <c r="G644" i="6" s="1"/>
  <c r="F644" i="6"/>
  <c r="D645" i="6"/>
  <c r="E645" i="6"/>
  <c r="F645" i="6"/>
  <c r="D646" i="6"/>
  <c r="E646" i="6"/>
  <c r="G646" i="6" s="1"/>
  <c r="F646" i="6"/>
  <c r="D647" i="6"/>
  <c r="E647" i="6"/>
  <c r="F647" i="6"/>
  <c r="D648" i="6"/>
  <c r="E648" i="6"/>
  <c r="G648" i="6" s="1"/>
  <c r="F648" i="6"/>
  <c r="D649" i="6"/>
  <c r="E649" i="6"/>
  <c r="G649" i="6" s="1"/>
  <c r="F649" i="6"/>
  <c r="D650" i="6"/>
  <c r="E650" i="6"/>
  <c r="G650" i="6" s="1"/>
  <c r="F650" i="6"/>
  <c r="D651" i="6"/>
  <c r="E651" i="6"/>
  <c r="G651" i="6" s="1"/>
  <c r="F651" i="6"/>
  <c r="D652" i="6"/>
  <c r="E652" i="6"/>
  <c r="G652" i="6" s="1"/>
  <c r="F652" i="6"/>
  <c r="D653" i="6"/>
  <c r="E653" i="6"/>
  <c r="G653" i="6" s="1"/>
  <c r="F653" i="6"/>
  <c r="D654" i="6"/>
  <c r="E654" i="6"/>
  <c r="G654" i="6" s="1"/>
  <c r="F654" i="6"/>
  <c r="D655" i="6"/>
  <c r="E655" i="6"/>
  <c r="G655" i="6" s="1"/>
  <c r="F655" i="6"/>
  <c r="D656" i="6"/>
  <c r="E656" i="6"/>
  <c r="G656" i="6" s="1"/>
  <c r="F656" i="6"/>
  <c r="D657" i="6"/>
  <c r="E657" i="6"/>
  <c r="G657" i="6" s="1"/>
  <c r="F657" i="6"/>
  <c r="D658" i="6"/>
  <c r="E658" i="6"/>
  <c r="G658" i="6" s="1"/>
  <c r="F658" i="6"/>
  <c r="D659" i="6"/>
  <c r="E659" i="6"/>
  <c r="G659" i="6" s="1"/>
  <c r="F659" i="6"/>
  <c r="D660" i="6"/>
  <c r="E660" i="6"/>
  <c r="F660" i="6"/>
  <c r="D661" i="6"/>
  <c r="E661" i="6"/>
  <c r="G661" i="6" s="1"/>
  <c r="F661" i="6"/>
  <c r="D662" i="6"/>
  <c r="E662" i="6"/>
  <c r="F662" i="6"/>
  <c r="D663" i="6"/>
  <c r="E663" i="6"/>
  <c r="G663" i="6" s="1"/>
  <c r="F663" i="6"/>
  <c r="D664" i="6"/>
  <c r="E664" i="6"/>
  <c r="G664" i="6" s="1"/>
  <c r="F664" i="6"/>
  <c r="D665" i="6"/>
  <c r="E665" i="6"/>
  <c r="G665" i="6" s="1"/>
  <c r="F665" i="6"/>
  <c r="D666" i="6"/>
  <c r="E666" i="6"/>
  <c r="G666" i="6" s="1"/>
  <c r="F666" i="6"/>
  <c r="D667" i="6"/>
  <c r="E667" i="6"/>
  <c r="G667" i="6" s="1"/>
  <c r="F667" i="6"/>
  <c r="D668" i="6"/>
  <c r="E668" i="6"/>
  <c r="G668" i="6" s="1"/>
  <c r="F668" i="6"/>
  <c r="D669" i="6"/>
  <c r="E669" i="6"/>
  <c r="G669" i="6" s="1"/>
  <c r="F669" i="6"/>
  <c r="D670" i="6"/>
  <c r="E670" i="6"/>
  <c r="G670" i="6" s="1"/>
  <c r="F670" i="6"/>
  <c r="D671" i="6"/>
  <c r="E671" i="6"/>
  <c r="F671" i="6"/>
  <c r="D672" i="6"/>
  <c r="E672" i="6"/>
  <c r="F672" i="6"/>
  <c r="D673" i="6"/>
  <c r="E673" i="6"/>
  <c r="G673" i="6" s="1"/>
  <c r="F673" i="6"/>
  <c r="D674" i="6"/>
  <c r="E674" i="6"/>
  <c r="G674" i="6" s="1"/>
  <c r="F674" i="6"/>
  <c r="D675" i="6"/>
  <c r="E675" i="6"/>
  <c r="G675" i="6" s="1"/>
  <c r="F675" i="6"/>
  <c r="D676" i="6"/>
  <c r="E676" i="6"/>
  <c r="G676" i="6" s="1"/>
  <c r="F676" i="6"/>
  <c r="D677" i="6"/>
  <c r="E677" i="6"/>
  <c r="G677" i="6" s="1"/>
  <c r="F677" i="6"/>
  <c r="D678" i="6"/>
  <c r="E678" i="6"/>
  <c r="G678" i="6" s="1"/>
  <c r="F678" i="6"/>
  <c r="D679" i="6"/>
  <c r="E679" i="6"/>
  <c r="G679" i="6" s="1"/>
  <c r="F679" i="6"/>
  <c r="D680" i="6"/>
  <c r="E680" i="6"/>
  <c r="F680" i="6"/>
  <c r="D681" i="6"/>
  <c r="E681" i="6"/>
  <c r="G681" i="6" s="1"/>
  <c r="F681" i="6"/>
  <c r="D682" i="6"/>
  <c r="E682" i="6"/>
  <c r="G682" i="6" s="1"/>
  <c r="F682" i="6"/>
  <c r="D683" i="6"/>
  <c r="E683" i="6"/>
  <c r="G683" i="6" s="1"/>
  <c r="F683" i="6"/>
  <c r="D684" i="6"/>
  <c r="E684" i="6"/>
  <c r="G684" i="6" s="1"/>
  <c r="F684" i="6"/>
  <c r="D685" i="6"/>
  <c r="E685" i="6"/>
  <c r="G685" i="6" s="1"/>
  <c r="F685" i="6"/>
  <c r="D686" i="6"/>
  <c r="E686" i="6"/>
  <c r="G686" i="6" s="1"/>
  <c r="F686" i="6"/>
  <c r="D687" i="6"/>
  <c r="E687" i="6"/>
  <c r="G687" i="6" s="1"/>
  <c r="F687" i="6"/>
  <c r="D688" i="6"/>
  <c r="E688" i="6"/>
  <c r="G688" i="6" s="1"/>
  <c r="F688" i="6"/>
  <c r="D689" i="6"/>
  <c r="E689" i="6"/>
  <c r="G689" i="6" s="1"/>
  <c r="F689" i="6"/>
  <c r="D690" i="6"/>
  <c r="E690" i="6"/>
  <c r="G690" i="6" s="1"/>
  <c r="F690" i="6"/>
  <c r="D691" i="6"/>
  <c r="E691" i="6"/>
  <c r="G691" i="6" s="1"/>
  <c r="F691" i="6"/>
  <c r="D692" i="6"/>
  <c r="E692" i="6"/>
  <c r="G692" i="6" s="1"/>
  <c r="F692" i="6"/>
  <c r="D693" i="6"/>
  <c r="E693" i="6"/>
  <c r="G693" i="6" s="1"/>
  <c r="F693" i="6"/>
  <c r="D694" i="6"/>
  <c r="E694" i="6"/>
  <c r="G694" i="6" s="1"/>
  <c r="F694" i="6"/>
  <c r="D695" i="6"/>
  <c r="E695" i="6"/>
  <c r="G695" i="6" s="1"/>
  <c r="F695" i="6"/>
  <c r="D696" i="6"/>
  <c r="E696" i="6"/>
  <c r="F696" i="6"/>
  <c r="D697" i="6"/>
  <c r="E697" i="6"/>
  <c r="G697" i="6" s="1"/>
  <c r="F697" i="6"/>
  <c r="D698" i="6"/>
  <c r="E698" i="6"/>
  <c r="G698" i="6" s="1"/>
  <c r="F698" i="6"/>
  <c r="D699" i="6"/>
  <c r="E699" i="6"/>
  <c r="G699" i="6" s="1"/>
  <c r="F699" i="6"/>
  <c r="D700" i="6"/>
  <c r="E700" i="6"/>
  <c r="F700" i="6"/>
  <c r="D701" i="6"/>
  <c r="E701" i="6"/>
  <c r="G701" i="6" s="1"/>
  <c r="F701" i="6"/>
  <c r="D702" i="6"/>
  <c r="E702" i="6"/>
  <c r="G702" i="6" s="1"/>
  <c r="F702" i="6"/>
  <c r="D703" i="6"/>
  <c r="E703" i="6"/>
  <c r="G703" i="6" s="1"/>
  <c r="F703" i="6"/>
  <c r="D704" i="6"/>
  <c r="E704" i="6"/>
  <c r="G704" i="6" s="1"/>
  <c r="F704" i="6"/>
  <c r="D705" i="6"/>
  <c r="E705" i="6"/>
  <c r="G705" i="6" s="1"/>
  <c r="F705" i="6"/>
  <c r="D706" i="6"/>
  <c r="E706" i="6"/>
  <c r="G706" i="6" s="1"/>
  <c r="F706" i="6"/>
  <c r="D707" i="6"/>
  <c r="E707" i="6"/>
  <c r="G707" i="6" s="1"/>
  <c r="F707" i="6"/>
  <c r="D708" i="6"/>
  <c r="E708" i="6"/>
  <c r="G708" i="6" s="1"/>
  <c r="F708" i="6"/>
  <c r="D709" i="6"/>
  <c r="E709" i="6"/>
  <c r="G709" i="6" s="1"/>
  <c r="F709" i="6"/>
  <c r="D710" i="6"/>
  <c r="E710" i="6"/>
  <c r="F710" i="6"/>
  <c r="D711" i="6"/>
  <c r="E711" i="6"/>
  <c r="G711" i="6" s="1"/>
  <c r="F711" i="6"/>
  <c r="D712" i="6"/>
  <c r="E712" i="6"/>
  <c r="G712" i="6" s="1"/>
  <c r="F712" i="6"/>
  <c r="D713" i="6"/>
  <c r="E713" i="6"/>
  <c r="G713" i="6" s="1"/>
  <c r="F713" i="6"/>
  <c r="D714" i="6"/>
  <c r="E714" i="6"/>
  <c r="G714" i="6" s="1"/>
  <c r="F714" i="6"/>
  <c r="D715" i="6"/>
  <c r="E715" i="6"/>
  <c r="G715" i="6" s="1"/>
  <c r="F715" i="6"/>
  <c r="D716" i="6"/>
  <c r="E716" i="6"/>
  <c r="G716" i="6" s="1"/>
  <c r="F716" i="6"/>
  <c r="D717" i="6"/>
  <c r="E717" i="6"/>
  <c r="G717" i="6" s="1"/>
  <c r="F717" i="6"/>
  <c r="D718" i="6"/>
  <c r="E718" i="6"/>
  <c r="G718" i="6" s="1"/>
  <c r="F718" i="6"/>
  <c r="D719" i="6"/>
  <c r="E719" i="6"/>
  <c r="G719" i="6" s="1"/>
  <c r="F719" i="6"/>
  <c r="D720" i="6"/>
  <c r="E720" i="6"/>
  <c r="F720" i="6"/>
  <c r="D721" i="6"/>
  <c r="E721" i="6"/>
  <c r="G721" i="6" s="1"/>
  <c r="F721" i="6"/>
  <c r="D722" i="6"/>
  <c r="E722" i="6"/>
  <c r="G722" i="6" s="1"/>
  <c r="F722" i="6"/>
  <c r="D723" i="6"/>
  <c r="E723" i="6"/>
  <c r="G723" i="6" s="1"/>
  <c r="F723" i="6"/>
  <c r="D724" i="6"/>
  <c r="E724" i="6"/>
  <c r="G724" i="6" s="1"/>
  <c r="F724" i="6"/>
  <c r="D725" i="6"/>
  <c r="E725" i="6"/>
  <c r="G725" i="6" s="1"/>
  <c r="F725" i="6"/>
  <c r="D726" i="6"/>
  <c r="E726" i="6"/>
  <c r="G726" i="6" s="1"/>
  <c r="F726" i="6"/>
  <c r="D727" i="6"/>
  <c r="E727" i="6"/>
  <c r="G727" i="6" s="1"/>
  <c r="F727" i="6"/>
  <c r="D728" i="6"/>
  <c r="E728" i="6"/>
  <c r="G728" i="6" s="1"/>
  <c r="F728" i="6"/>
  <c r="D729" i="6"/>
  <c r="E729" i="6"/>
  <c r="G729" i="6" s="1"/>
  <c r="F729" i="6"/>
  <c r="D730" i="6"/>
  <c r="E730" i="6"/>
  <c r="G730" i="6" s="1"/>
  <c r="F730" i="6"/>
  <c r="D731" i="6"/>
  <c r="E731" i="6"/>
  <c r="G731" i="6" s="1"/>
  <c r="F731" i="6"/>
  <c r="D732" i="6"/>
  <c r="E732" i="6"/>
  <c r="G732" i="6" s="1"/>
  <c r="F732" i="6"/>
  <c r="D733" i="6"/>
  <c r="E733" i="6"/>
  <c r="G733" i="6" s="1"/>
  <c r="F733" i="6"/>
  <c r="D734" i="6"/>
  <c r="E734" i="6"/>
  <c r="G734" i="6" s="1"/>
  <c r="F734" i="6"/>
  <c r="D735" i="6"/>
  <c r="E735" i="6"/>
  <c r="G735" i="6" s="1"/>
  <c r="F735" i="6"/>
  <c r="D736" i="6"/>
  <c r="E736" i="6"/>
  <c r="G736" i="6" s="1"/>
  <c r="F736" i="6"/>
  <c r="D737" i="6"/>
  <c r="E737" i="6"/>
  <c r="G737" i="6" s="1"/>
  <c r="F737" i="6"/>
  <c r="D738" i="6"/>
  <c r="E738" i="6"/>
  <c r="G738" i="6" s="1"/>
  <c r="F738" i="6"/>
  <c r="D739" i="6"/>
  <c r="E739" i="6"/>
  <c r="G739" i="6" s="1"/>
  <c r="F739" i="6"/>
  <c r="D740" i="6"/>
  <c r="E740" i="6"/>
  <c r="G740" i="6" s="1"/>
  <c r="F740" i="6"/>
  <c r="D741" i="6"/>
  <c r="E741" i="6"/>
  <c r="F741" i="6"/>
  <c r="D742" i="6"/>
  <c r="E742" i="6"/>
  <c r="G742" i="6" s="1"/>
  <c r="F742" i="6"/>
  <c r="D743" i="6"/>
  <c r="E743" i="6"/>
  <c r="G743" i="6" s="1"/>
  <c r="F743" i="6"/>
  <c r="D744" i="6"/>
  <c r="E744" i="6"/>
  <c r="G744" i="6" s="1"/>
  <c r="F744" i="6"/>
  <c r="D745" i="6"/>
  <c r="E745" i="6"/>
  <c r="G745" i="6" s="1"/>
  <c r="F745" i="6"/>
  <c r="D746" i="6"/>
  <c r="E746" i="6"/>
  <c r="G746" i="6" s="1"/>
  <c r="F746" i="6"/>
  <c r="D747" i="6"/>
  <c r="E747" i="6"/>
  <c r="G747" i="6" s="1"/>
  <c r="F747" i="6"/>
  <c r="D748" i="6"/>
  <c r="E748" i="6"/>
  <c r="F748" i="6"/>
  <c r="D749" i="6"/>
  <c r="E749" i="6"/>
  <c r="G749" i="6" s="1"/>
  <c r="F749" i="6"/>
  <c r="D750" i="6"/>
  <c r="E750" i="6"/>
  <c r="G750" i="6" s="1"/>
  <c r="F750" i="6"/>
  <c r="D751" i="6"/>
  <c r="E751" i="6"/>
  <c r="G751" i="6" s="1"/>
  <c r="F751" i="6"/>
  <c r="D752" i="6"/>
  <c r="E752" i="6"/>
  <c r="G752" i="6" s="1"/>
  <c r="F752" i="6"/>
  <c r="D753" i="6"/>
  <c r="E753" i="6"/>
  <c r="G753" i="6" s="1"/>
  <c r="F753" i="6"/>
  <c r="D754" i="6"/>
  <c r="E754" i="6"/>
  <c r="G754" i="6" s="1"/>
  <c r="F754" i="6"/>
  <c r="D755" i="6"/>
  <c r="E755" i="6"/>
  <c r="F755" i="6"/>
  <c r="D756" i="6"/>
  <c r="E756" i="6"/>
  <c r="G756" i="6" s="1"/>
  <c r="F756" i="6"/>
  <c r="D757" i="6"/>
  <c r="E757" i="6"/>
  <c r="F757" i="6"/>
  <c r="D758" i="6"/>
  <c r="E758" i="6"/>
  <c r="G758" i="6" s="1"/>
  <c r="F758" i="6"/>
  <c r="D759" i="6"/>
  <c r="E759" i="6"/>
  <c r="G759" i="6" s="1"/>
  <c r="F759" i="6"/>
  <c r="D760" i="6"/>
  <c r="E760" i="6"/>
  <c r="G760" i="6" s="1"/>
  <c r="F760" i="6"/>
  <c r="D761" i="6"/>
  <c r="E761" i="6"/>
  <c r="G761" i="6" s="1"/>
  <c r="F761" i="6"/>
  <c r="D762" i="6"/>
  <c r="E762" i="6"/>
  <c r="G762" i="6" s="1"/>
  <c r="F762" i="6"/>
  <c r="D763" i="6"/>
  <c r="E763" i="6"/>
  <c r="G763" i="6" s="1"/>
  <c r="F763" i="6"/>
  <c r="D764" i="6"/>
  <c r="E764" i="6"/>
  <c r="G764" i="6" s="1"/>
  <c r="F764" i="6"/>
  <c r="D765" i="6"/>
  <c r="E765" i="6"/>
  <c r="G765" i="6" s="1"/>
  <c r="F765" i="6"/>
  <c r="D766" i="6"/>
  <c r="E766" i="6"/>
  <c r="G766" i="6" s="1"/>
  <c r="F766" i="6"/>
  <c r="D767" i="6"/>
  <c r="E767" i="6"/>
  <c r="G767" i="6" s="1"/>
  <c r="F767" i="6"/>
  <c r="D768" i="6"/>
  <c r="E768" i="6"/>
  <c r="G768" i="6" s="1"/>
  <c r="F768" i="6"/>
  <c r="D769" i="6"/>
  <c r="E769" i="6"/>
  <c r="G769" i="6" s="1"/>
  <c r="F769" i="6"/>
  <c r="D770" i="6"/>
  <c r="E770" i="6"/>
  <c r="G770" i="6" s="1"/>
  <c r="F770" i="6"/>
  <c r="D771" i="6"/>
  <c r="E771" i="6"/>
  <c r="G771" i="6" s="1"/>
  <c r="F771" i="6"/>
  <c r="D772" i="6"/>
  <c r="E772" i="6"/>
  <c r="G772" i="6" s="1"/>
  <c r="F772" i="6"/>
  <c r="D773" i="6"/>
  <c r="E773" i="6"/>
  <c r="G773" i="6" s="1"/>
  <c r="F773" i="6"/>
  <c r="D774" i="6"/>
  <c r="E774" i="6"/>
  <c r="F774" i="6"/>
  <c r="D775" i="6"/>
  <c r="E775" i="6"/>
  <c r="G775" i="6" s="1"/>
  <c r="F775" i="6"/>
  <c r="D776" i="6"/>
  <c r="E776" i="6"/>
  <c r="G776" i="6" s="1"/>
  <c r="F776" i="6"/>
  <c r="D777" i="6"/>
  <c r="E777" i="6"/>
  <c r="G777" i="6" s="1"/>
  <c r="F777" i="6"/>
  <c r="D778" i="6"/>
  <c r="E778" i="6"/>
  <c r="F778" i="6"/>
  <c r="D779" i="6"/>
  <c r="E779" i="6"/>
  <c r="G779" i="6" s="1"/>
  <c r="F779" i="6"/>
  <c r="D780" i="6"/>
  <c r="E780" i="6"/>
  <c r="G780" i="6" s="1"/>
  <c r="F780" i="6"/>
  <c r="D781" i="6"/>
  <c r="E781" i="6"/>
  <c r="G781" i="6" s="1"/>
  <c r="F781" i="6"/>
  <c r="D782" i="6"/>
  <c r="E782" i="6"/>
  <c r="G782" i="6" s="1"/>
  <c r="F782" i="6"/>
  <c r="D783" i="6"/>
  <c r="E783" i="6"/>
  <c r="G783" i="6" s="1"/>
  <c r="F783" i="6"/>
  <c r="D784" i="6"/>
  <c r="E784" i="6"/>
  <c r="F784" i="6"/>
  <c r="D785" i="6"/>
  <c r="E785" i="6"/>
  <c r="G785" i="6" s="1"/>
  <c r="F785" i="6"/>
  <c r="D786" i="6"/>
  <c r="E786" i="6"/>
  <c r="G786" i="6" s="1"/>
  <c r="F786" i="6"/>
  <c r="D787" i="6"/>
  <c r="E787" i="6"/>
  <c r="G787" i="6" s="1"/>
  <c r="F787" i="6"/>
  <c r="D788" i="6"/>
  <c r="E788" i="6"/>
  <c r="G788" i="6" s="1"/>
  <c r="F788" i="6"/>
  <c r="D789" i="6"/>
  <c r="E789" i="6"/>
  <c r="G789" i="6" s="1"/>
  <c r="F789" i="6"/>
  <c r="D790" i="6"/>
  <c r="E790" i="6"/>
  <c r="G790" i="6" s="1"/>
  <c r="F790" i="6"/>
  <c r="D791" i="6"/>
  <c r="E791" i="6"/>
  <c r="G791" i="6" s="1"/>
  <c r="F791" i="6"/>
  <c r="D792" i="6"/>
  <c r="E792" i="6"/>
  <c r="G792" i="6" s="1"/>
  <c r="F792" i="6"/>
  <c r="D793" i="6"/>
  <c r="E793" i="6"/>
  <c r="G793" i="6" s="1"/>
  <c r="F793" i="6"/>
  <c r="D794" i="6"/>
  <c r="E794" i="6"/>
  <c r="G794" i="6" s="1"/>
  <c r="F794" i="6"/>
  <c r="D795" i="6"/>
  <c r="E795" i="6"/>
  <c r="G795" i="6" s="1"/>
  <c r="F795" i="6"/>
  <c r="D796" i="6"/>
  <c r="E796" i="6"/>
  <c r="G796" i="6" s="1"/>
  <c r="F796" i="6"/>
  <c r="D797" i="6"/>
  <c r="E797" i="6"/>
  <c r="G797" i="6" s="1"/>
  <c r="F797" i="6"/>
  <c r="D798" i="6"/>
  <c r="E798" i="6"/>
  <c r="G798" i="6" s="1"/>
  <c r="F798" i="6"/>
  <c r="D799" i="6"/>
  <c r="E799" i="6"/>
  <c r="G799" i="6" s="1"/>
  <c r="F799" i="6"/>
  <c r="D800" i="6"/>
  <c r="E800" i="6"/>
  <c r="G800" i="6" s="1"/>
  <c r="F800" i="6"/>
  <c r="D801" i="6"/>
  <c r="E801" i="6"/>
  <c r="G801" i="6" s="1"/>
  <c r="F801" i="6"/>
  <c r="D802" i="6"/>
  <c r="E802" i="6"/>
  <c r="F802" i="6"/>
  <c r="D803" i="6"/>
  <c r="E803" i="6"/>
  <c r="G803" i="6" s="1"/>
  <c r="F803" i="6"/>
  <c r="D804" i="6"/>
  <c r="E804" i="6"/>
  <c r="G804" i="6" s="1"/>
  <c r="F804" i="6"/>
  <c r="D805" i="6"/>
  <c r="E805" i="6"/>
  <c r="G805" i="6" s="1"/>
  <c r="F805" i="6"/>
  <c r="D806" i="6"/>
  <c r="E806" i="6"/>
  <c r="G806" i="6" s="1"/>
  <c r="F806" i="6"/>
  <c r="D807" i="6"/>
  <c r="E807" i="6"/>
  <c r="G807" i="6" s="1"/>
  <c r="F807" i="6"/>
  <c r="D808" i="6"/>
  <c r="E808" i="6"/>
  <c r="G808" i="6" s="1"/>
  <c r="F808" i="6"/>
  <c r="D809" i="6"/>
  <c r="E809" i="6"/>
  <c r="G809" i="6" s="1"/>
  <c r="F809" i="6"/>
  <c r="D810" i="6"/>
  <c r="E810" i="6"/>
  <c r="G810" i="6" s="1"/>
  <c r="F810" i="6"/>
  <c r="D811" i="6"/>
  <c r="E811" i="6"/>
  <c r="G811" i="6" s="1"/>
  <c r="F811" i="6"/>
  <c r="D812" i="6"/>
  <c r="E812" i="6"/>
  <c r="G812" i="6" s="1"/>
  <c r="F812" i="6"/>
  <c r="D813" i="6"/>
  <c r="E813" i="6"/>
  <c r="G813" i="6" s="1"/>
  <c r="F813" i="6"/>
  <c r="D814" i="6"/>
  <c r="E814" i="6"/>
  <c r="G814" i="6" s="1"/>
  <c r="F814" i="6"/>
  <c r="D815" i="6"/>
  <c r="E815" i="6"/>
  <c r="G815" i="6" s="1"/>
  <c r="F815" i="6"/>
  <c r="D816" i="6"/>
  <c r="E816" i="6"/>
  <c r="G816" i="6" s="1"/>
  <c r="F816" i="6"/>
  <c r="D817" i="6"/>
  <c r="E817" i="6"/>
  <c r="G817" i="6" s="1"/>
  <c r="F817" i="6"/>
  <c r="D818" i="6"/>
  <c r="E818" i="6"/>
  <c r="G818" i="6" s="1"/>
  <c r="F818" i="6"/>
  <c r="D819" i="6"/>
  <c r="E819" i="6"/>
  <c r="G819" i="6" s="1"/>
  <c r="F819" i="6"/>
  <c r="D820" i="6"/>
  <c r="E820" i="6"/>
  <c r="G820" i="6" s="1"/>
  <c r="F820" i="6"/>
  <c r="D821" i="6"/>
  <c r="E821" i="6"/>
  <c r="G821" i="6" s="1"/>
  <c r="F821" i="6"/>
  <c r="D822" i="6"/>
  <c r="E822" i="6"/>
  <c r="G822" i="6" s="1"/>
  <c r="F822" i="6"/>
  <c r="D823" i="6"/>
  <c r="E823" i="6"/>
  <c r="G823" i="6" s="1"/>
  <c r="F823" i="6"/>
  <c r="D824" i="6"/>
  <c r="E824" i="6"/>
  <c r="G824" i="6" s="1"/>
  <c r="F824" i="6"/>
  <c r="D825" i="6"/>
  <c r="E825" i="6"/>
  <c r="G825" i="6" s="1"/>
  <c r="F825" i="6"/>
  <c r="D826" i="6"/>
  <c r="E826" i="6"/>
  <c r="G826" i="6" s="1"/>
  <c r="F826" i="6"/>
  <c r="D827" i="6"/>
  <c r="E827" i="6"/>
  <c r="G827" i="6" s="1"/>
  <c r="F827" i="6"/>
  <c r="D828" i="6"/>
  <c r="E828" i="6"/>
  <c r="F828" i="6"/>
  <c r="D829" i="6"/>
  <c r="E829" i="6"/>
  <c r="G829" i="6" s="1"/>
  <c r="F829" i="6"/>
  <c r="D830" i="6"/>
  <c r="E830" i="6"/>
  <c r="G830" i="6" s="1"/>
  <c r="F830" i="6"/>
  <c r="D831" i="6"/>
  <c r="E831" i="6"/>
  <c r="G831" i="6" s="1"/>
  <c r="F831" i="6"/>
  <c r="D832" i="6"/>
  <c r="E832" i="6"/>
  <c r="G832" i="6" s="1"/>
  <c r="F832" i="6"/>
  <c r="D833" i="6"/>
  <c r="E833" i="6"/>
  <c r="G833" i="6" s="1"/>
  <c r="F833" i="6"/>
  <c r="D834" i="6"/>
  <c r="E834" i="6"/>
  <c r="G834" i="6" s="1"/>
  <c r="F834" i="6"/>
  <c r="D835" i="6"/>
  <c r="E835" i="6"/>
  <c r="G835" i="6" s="1"/>
  <c r="F835" i="6"/>
  <c r="D836" i="6"/>
  <c r="E836" i="6"/>
  <c r="G836" i="6" s="1"/>
  <c r="F836" i="6"/>
  <c r="D837" i="6"/>
  <c r="E837" i="6"/>
  <c r="G837" i="6" s="1"/>
  <c r="F837" i="6"/>
  <c r="D838" i="6"/>
  <c r="E838" i="6"/>
  <c r="G838" i="6" s="1"/>
  <c r="F838" i="6"/>
  <c r="D839" i="6"/>
  <c r="E839" i="6"/>
  <c r="G839" i="6" s="1"/>
  <c r="F839" i="6"/>
  <c r="D840" i="6"/>
  <c r="E840" i="6"/>
  <c r="G840" i="6" s="1"/>
  <c r="F840" i="6"/>
  <c r="D841" i="6"/>
  <c r="E841" i="6"/>
  <c r="G841" i="6" s="1"/>
  <c r="F841" i="6"/>
  <c r="D842" i="6"/>
  <c r="E842" i="6"/>
  <c r="F842" i="6"/>
  <c r="D843" i="6"/>
  <c r="E843" i="6"/>
  <c r="G843" i="6" s="1"/>
  <c r="F843" i="6"/>
  <c r="D844" i="6"/>
  <c r="E844" i="6"/>
  <c r="G844" i="6" s="1"/>
  <c r="F844" i="6"/>
  <c r="D845" i="6"/>
  <c r="E845" i="6"/>
  <c r="G845" i="6" s="1"/>
  <c r="F845" i="6"/>
  <c r="D846" i="6"/>
  <c r="E846" i="6"/>
  <c r="G846" i="6" s="1"/>
  <c r="F846" i="6"/>
  <c r="D847" i="6"/>
  <c r="E847" i="6"/>
  <c r="G847" i="6" s="1"/>
  <c r="F847" i="6"/>
  <c r="D848" i="6"/>
  <c r="E848" i="6"/>
  <c r="G848" i="6" s="1"/>
  <c r="F848" i="6"/>
  <c r="D849" i="6"/>
  <c r="E849" i="6"/>
  <c r="G849" i="6" s="1"/>
  <c r="F849" i="6"/>
  <c r="D850" i="6"/>
  <c r="E850" i="6"/>
  <c r="G850" i="6" s="1"/>
  <c r="F850" i="6"/>
  <c r="D851" i="6"/>
  <c r="E851" i="6"/>
  <c r="G851" i="6" s="1"/>
  <c r="F851" i="6"/>
  <c r="D852" i="6"/>
  <c r="E852" i="6"/>
  <c r="G852" i="6" s="1"/>
  <c r="F852" i="6"/>
  <c r="D853" i="6"/>
  <c r="E853" i="6"/>
  <c r="G853" i="6" s="1"/>
  <c r="F853" i="6"/>
  <c r="D854" i="6"/>
  <c r="E854" i="6"/>
  <c r="G854" i="6" s="1"/>
  <c r="F854" i="6"/>
  <c r="D855" i="6"/>
  <c r="E855" i="6"/>
  <c r="G855" i="6" s="1"/>
  <c r="F855" i="6"/>
  <c r="D856" i="6"/>
  <c r="E856" i="6"/>
  <c r="G856" i="6" s="1"/>
  <c r="F856" i="6"/>
  <c r="D857" i="6"/>
  <c r="E857" i="6"/>
  <c r="F857" i="6"/>
  <c r="D858" i="6"/>
  <c r="E858" i="6"/>
  <c r="G858" i="6" s="1"/>
  <c r="F858" i="6"/>
  <c r="D859" i="6"/>
  <c r="E859" i="6"/>
  <c r="G859" i="6" s="1"/>
  <c r="F859" i="6"/>
  <c r="D860" i="6"/>
  <c r="E860" i="6"/>
  <c r="G860" i="6" s="1"/>
  <c r="F860" i="6"/>
  <c r="D861" i="6"/>
  <c r="E861" i="6"/>
  <c r="G861" i="6" s="1"/>
  <c r="F861" i="6"/>
  <c r="D862" i="6"/>
  <c r="E862" i="6"/>
  <c r="F862" i="6"/>
  <c r="D863" i="6"/>
  <c r="E863" i="6"/>
  <c r="G863" i="6" s="1"/>
  <c r="F863" i="6"/>
  <c r="D864" i="6"/>
  <c r="E864" i="6"/>
  <c r="G864" i="6" s="1"/>
  <c r="F864" i="6"/>
  <c r="D865" i="6"/>
  <c r="E865" i="6"/>
  <c r="G865" i="6" s="1"/>
  <c r="F865" i="6"/>
  <c r="D866" i="6"/>
  <c r="E866" i="6"/>
  <c r="G866" i="6" s="1"/>
  <c r="F866" i="6"/>
  <c r="D867" i="6"/>
  <c r="E867" i="6"/>
  <c r="G867" i="6" s="1"/>
  <c r="F867" i="6"/>
  <c r="D868" i="6"/>
  <c r="E868" i="6"/>
  <c r="G868" i="6" s="1"/>
  <c r="F868" i="6"/>
  <c r="D869" i="6"/>
  <c r="E869" i="6"/>
  <c r="F869" i="6"/>
  <c r="D870" i="6"/>
  <c r="E870" i="6"/>
  <c r="G870" i="6" s="1"/>
  <c r="F870" i="6"/>
  <c r="D871" i="6"/>
  <c r="E871" i="6"/>
  <c r="G871" i="6" s="1"/>
  <c r="F871" i="6"/>
  <c r="D872" i="6"/>
  <c r="E872" i="6"/>
  <c r="F872" i="6"/>
  <c r="D873" i="6"/>
  <c r="E873" i="6"/>
  <c r="G873" i="6" s="1"/>
  <c r="F873" i="6"/>
  <c r="D874" i="6"/>
  <c r="E874" i="6"/>
  <c r="G874" i="6" s="1"/>
  <c r="F874" i="6"/>
  <c r="D875" i="6"/>
  <c r="E875" i="6"/>
  <c r="G875" i="6" s="1"/>
  <c r="F875" i="6"/>
  <c r="D876" i="6"/>
  <c r="E876" i="6"/>
  <c r="G876" i="6" s="1"/>
  <c r="F876" i="6"/>
  <c r="D877" i="6"/>
  <c r="E877" i="6"/>
  <c r="G877" i="6" s="1"/>
  <c r="F877" i="6"/>
  <c r="D878" i="6"/>
  <c r="E878" i="6"/>
  <c r="G878" i="6" s="1"/>
  <c r="F878" i="6"/>
  <c r="D879" i="6"/>
  <c r="E879" i="6"/>
  <c r="G879" i="6" s="1"/>
  <c r="F879" i="6"/>
  <c r="D880" i="6"/>
  <c r="E880" i="6"/>
  <c r="G880" i="6" s="1"/>
  <c r="F880" i="6"/>
  <c r="D881" i="6"/>
  <c r="E881" i="6"/>
  <c r="F881" i="6"/>
  <c r="D882" i="6"/>
  <c r="E882" i="6"/>
  <c r="G882" i="6" s="1"/>
  <c r="F882" i="6"/>
  <c r="D883" i="6"/>
  <c r="E883" i="6"/>
  <c r="G883" i="6" s="1"/>
  <c r="F883" i="6"/>
  <c r="D884" i="6"/>
  <c r="E884" i="6"/>
  <c r="G884" i="6" s="1"/>
  <c r="F884" i="6"/>
  <c r="D885" i="6"/>
  <c r="E885" i="6"/>
  <c r="G885" i="6" s="1"/>
  <c r="F885" i="6"/>
  <c r="D886" i="6"/>
  <c r="E886" i="6"/>
  <c r="G886" i="6" s="1"/>
  <c r="F886" i="6"/>
  <c r="D887" i="6"/>
  <c r="E887" i="6"/>
  <c r="G887" i="6" s="1"/>
  <c r="F887" i="6"/>
  <c r="D888" i="6"/>
  <c r="E888" i="6"/>
  <c r="G888" i="6" s="1"/>
  <c r="F888" i="6"/>
  <c r="D889" i="6"/>
  <c r="E889" i="6"/>
  <c r="F889" i="6"/>
  <c r="D890" i="6"/>
  <c r="E890" i="6"/>
  <c r="G890" i="6" s="1"/>
  <c r="F890" i="6"/>
  <c r="D891" i="6"/>
  <c r="E891" i="6"/>
  <c r="G891" i="6" s="1"/>
  <c r="F891" i="6"/>
  <c r="D892" i="6"/>
  <c r="E892" i="6"/>
  <c r="G892" i="6" s="1"/>
  <c r="F892" i="6"/>
  <c r="D893" i="6"/>
  <c r="E893" i="6"/>
  <c r="G893" i="6" s="1"/>
  <c r="F893" i="6"/>
  <c r="D894" i="6"/>
  <c r="E894" i="6"/>
  <c r="G894" i="6" s="1"/>
  <c r="F894" i="6"/>
  <c r="D895" i="6"/>
  <c r="E895" i="6"/>
  <c r="G895" i="6" s="1"/>
  <c r="F895" i="6"/>
  <c r="D896" i="6"/>
  <c r="E896" i="6"/>
  <c r="G896" i="6" s="1"/>
  <c r="F896" i="6"/>
  <c r="D897" i="6"/>
  <c r="E897" i="6"/>
  <c r="G897" i="6" s="1"/>
  <c r="F897" i="6"/>
  <c r="D898" i="6"/>
  <c r="E898" i="6"/>
  <c r="G898" i="6" s="1"/>
  <c r="F898" i="6"/>
  <c r="D899" i="6"/>
  <c r="E899" i="6"/>
  <c r="G899" i="6" s="1"/>
  <c r="F899" i="6"/>
  <c r="D900" i="6"/>
  <c r="E900" i="6"/>
  <c r="G900" i="6" s="1"/>
  <c r="F900" i="6"/>
  <c r="D901" i="6"/>
  <c r="E901" i="6"/>
  <c r="G901" i="6" s="1"/>
  <c r="F901" i="6"/>
  <c r="D902" i="6"/>
  <c r="E902" i="6"/>
  <c r="G902" i="6" s="1"/>
  <c r="F902" i="6"/>
  <c r="D903" i="6"/>
  <c r="E903" i="6"/>
  <c r="G903" i="6" s="1"/>
  <c r="F903" i="6"/>
  <c r="D904" i="6"/>
  <c r="E904" i="6"/>
  <c r="G904" i="6" s="1"/>
  <c r="F904" i="6"/>
  <c r="D905" i="6"/>
  <c r="E905" i="6"/>
  <c r="F905" i="6"/>
  <c r="D906" i="6"/>
  <c r="E906" i="6"/>
  <c r="G906" i="6" s="1"/>
  <c r="F906" i="6"/>
  <c r="D907" i="6"/>
  <c r="E907" i="6"/>
  <c r="G907" i="6" s="1"/>
  <c r="F907" i="6"/>
  <c r="D908" i="6"/>
  <c r="E908" i="6"/>
  <c r="G908" i="6" s="1"/>
  <c r="F908" i="6"/>
  <c r="D909" i="6"/>
  <c r="E909" i="6"/>
  <c r="G909" i="6" s="1"/>
  <c r="F909" i="6"/>
  <c r="D910" i="6"/>
  <c r="E910" i="6"/>
  <c r="G910" i="6" s="1"/>
  <c r="F910" i="6"/>
  <c r="D911" i="6"/>
  <c r="E911" i="6"/>
  <c r="G911" i="6" s="1"/>
  <c r="F911" i="6"/>
  <c r="D912" i="6"/>
  <c r="E912" i="6"/>
  <c r="G912" i="6" s="1"/>
  <c r="F912" i="6"/>
  <c r="D913" i="6"/>
  <c r="E913" i="6"/>
  <c r="G913" i="6" s="1"/>
  <c r="F913" i="6"/>
  <c r="D914" i="6"/>
  <c r="E914" i="6"/>
  <c r="G914" i="6" s="1"/>
  <c r="F914" i="6"/>
  <c r="D915" i="6"/>
  <c r="E915" i="6"/>
  <c r="G915" i="6" s="1"/>
  <c r="F915" i="6"/>
  <c r="D916" i="6"/>
  <c r="E916" i="6"/>
  <c r="G916" i="6" s="1"/>
  <c r="F916" i="6"/>
  <c r="D917" i="6"/>
  <c r="E917" i="6"/>
  <c r="G917" i="6" s="1"/>
  <c r="F917" i="6"/>
  <c r="D918" i="6"/>
  <c r="E918" i="6"/>
  <c r="F918" i="6"/>
  <c r="D919" i="6"/>
  <c r="E919" i="6"/>
  <c r="G919" i="6" s="1"/>
  <c r="F919" i="6"/>
  <c r="D920" i="6"/>
  <c r="E920" i="6"/>
  <c r="G920" i="6" s="1"/>
  <c r="F920" i="6"/>
  <c r="D921" i="6"/>
  <c r="E921" i="6"/>
  <c r="G921" i="6" s="1"/>
  <c r="F921" i="6"/>
  <c r="D922" i="6"/>
  <c r="E922" i="6"/>
  <c r="G922" i="6" s="1"/>
  <c r="F922" i="6"/>
  <c r="D923" i="6"/>
  <c r="E923" i="6"/>
  <c r="G923" i="6" s="1"/>
  <c r="F923" i="6"/>
  <c r="D924" i="6"/>
  <c r="E924" i="6"/>
  <c r="G924" i="6" s="1"/>
  <c r="F924" i="6"/>
  <c r="D925" i="6"/>
  <c r="E925" i="6"/>
  <c r="G925" i="6" s="1"/>
  <c r="F925" i="6"/>
  <c r="D926" i="6"/>
  <c r="E926" i="6"/>
  <c r="F926" i="6"/>
  <c r="D927" i="6"/>
  <c r="E927" i="6"/>
  <c r="G927" i="6" s="1"/>
  <c r="F927" i="6"/>
  <c r="D928" i="6"/>
  <c r="E928" i="6"/>
  <c r="G928" i="6" s="1"/>
  <c r="F928" i="6"/>
  <c r="D929" i="6"/>
  <c r="E929" i="6"/>
  <c r="G929" i="6" s="1"/>
  <c r="F929" i="6"/>
  <c r="D930" i="6"/>
  <c r="E930" i="6"/>
  <c r="G930" i="6" s="1"/>
  <c r="F930" i="6"/>
  <c r="D931" i="6"/>
  <c r="E931" i="6"/>
  <c r="G931" i="6" s="1"/>
  <c r="F931" i="6"/>
  <c r="D932" i="6"/>
  <c r="E932" i="6"/>
  <c r="G932" i="6" s="1"/>
  <c r="F932" i="6"/>
  <c r="D933" i="6"/>
  <c r="E933" i="6"/>
  <c r="G933" i="6" s="1"/>
  <c r="F933" i="6"/>
  <c r="D934" i="6"/>
  <c r="E934" i="6"/>
  <c r="G934" i="6" s="1"/>
  <c r="F934" i="6"/>
  <c r="D935" i="6"/>
  <c r="E935" i="6"/>
  <c r="G935" i="6" s="1"/>
  <c r="F935" i="6"/>
  <c r="D936" i="6"/>
  <c r="E936" i="6"/>
  <c r="G936" i="6" s="1"/>
  <c r="F936" i="6"/>
  <c r="D937" i="6"/>
  <c r="E937" i="6"/>
  <c r="G937" i="6" s="1"/>
  <c r="F937" i="6"/>
  <c r="D938" i="6"/>
  <c r="E938" i="6"/>
  <c r="G938" i="6" s="1"/>
  <c r="F938" i="6"/>
  <c r="D939" i="6"/>
  <c r="E939" i="6"/>
  <c r="F939" i="6"/>
  <c r="D940" i="6"/>
  <c r="E940" i="6"/>
  <c r="G940" i="6" s="1"/>
  <c r="F940" i="6"/>
  <c r="D941" i="6"/>
  <c r="E941" i="6"/>
  <c r="G941" i="6" s="1"/>
  <c r="F941" i="6"/>
  <c r="D942" i="6"/>
  <c r="E942" i="6"/>
  <c r="F942" i="6"/>
  <c r="D943" i="6"/>
  <c r="E943" i="6"/>
  <c r="G943" i="6" s="1"/>
  <c r="F943" i="6"/>
  <c r="D944" i="6"/>
  <c r="E944" i="6"/>
  <c r="F944" i="6"/>
  <c r="D945" i="6"/>
  <c r="E945" i="6"/>
  <c r="G945" i="6" s="1"/>
  <c r="F945" i="6"/>
  <c r="D946" i="6"/>
  <c r="E946" i="6"/>
  <c r="G946" i="6" s="1"/>
  <c r="F946" i="6"/>
  <c r="D947" i="6"/>
  <c r="E947" i="6"/>
  <c r="G947" i="6" s="1"/>
  <c r="F947" i="6"/>
  <c r="D948" i="6"/>
  <c r="E948" i="6"/>
  <c r="G948" i="6" s="1"/>
  <c r="F948" i="6"/>
  <c r="D949" i="6"/>
  <c r="E949" i="6"/>
  <c r="G949" i="6" s="1"/>
  <c r="F949" i="6"/>
  <c r="D950" i="6"/>
  <c r="E950" i="6"/>
  <c r="G950" i="6" s="1"/>
  <c r="F950" i="6"/>
  <c r="D951" i="6"/>
  <c r="E951" i="6"/>
  <c r="G951" i="6" s="1"/>
  <c r="F951" i="6"/>
  <c r="D952" i="6"/>
  <c r="E952" i="6"/>
  <c r="F952" i="6"/>
  <c r="D953" i="6"/>
  <c r="E953" i="6"/>
  <c r="G953" i="6" s="1"/>
  <c r="F953" i="6"/>
  <c r="D954" i="6"/>
  <c r="E954" i="6"/>
  <c r="G954" i="6" s="1"/>
  <c r="F954" i="6"/>
  <c r="D955" i="6"/>
  <c r="E955" i="6"/>
  <c r="F955" i="6"/>
  <c r="D956" i="6"/>
  <c r="E956" i="6"/>
  <c r="G956" i="6" s="1"/>
  <c r="F956" i="6"/>
  <c r="D957" i="6"/>
  <c r="E957" i="6"/>
  <c r="F957" i="6"/>
  <c r="D958" i="6"/>
  <c r="E958" i="6"/>
  <c r="G958" i="6" s="1"/>
  <c r="F958" i="6"/>
  <c r="D959" i="6"/>
  <c r="E959" i="6"/>
  <c r="G959" i="6" s="1"/>
  <c r="F959" i="6"/>
  <c r="D960" i="6"/>
  <c r="E960" i="6"/>
  <c r="G960" i="6" s="1"/>
  <c r="F960" i="6"/>
  <c r="D961" i="6"/>
  <c r="E961" i="6"/>
  <c r="G961" i="6" s="1"/>
  <c r="F961" i="6"/>
  <c r="D962" i="6"/>
  <c r="E962" i="6"/>
  <c r="G962" i="6" s="1"/>
  <c r="F962" i="6"/>
  <c r="D963" i="6"/>
  <c r="E963" i="6"/>
  <c r="G963" i="6" s="1"/>
  <c r="F963" i="6"/>
  <c r="D964" i="6"/>
  <c r="E964" i="6"/>
  <c r="G964" i="6" s="1"/>
  <c r="F964" i="6"/>
  <c r="D965" i="6"/>
  <c r="E965" i="6"/>
  <c r="G965" i="6" s="1"/>
  <c r="F965" i="6"/>
  <c r="D966" i="6"/>
  <c r="E966" i="6"/>
  <c r="G966" i="6" s="1"/>
  <c r="F966" i="6"/>
  <c r="D967" i="6"/>
  <c r="E967" i="6"/>
  <c r="G967" i="6" s="1"/>
  <c r="F967" i="6"/>
  <c r="D968" i="6"/>
  <c r="E968" i="6"/>
  <c r="G968" i="6" s="1"/>
  <c r="F968" i="6"/>
  <c r="D969" i="6"/>
  <c r="E969" i="6"/>
  <c r="G969" i="6" s="1"/>
  <c r="F969" i="6"/>
  <c r="D970" i="6"/>
  <c r="E970" i="6"/>
  <c r="G970" i="6" s="1"/>
  <c r="F970" i="6"/>
  <c r="D971" i="6"/>
  <c r="E971" i="6"/>
  <c r="G971" i="6" s="1"/>
  <c r="F971" i="6"/>
  <c r="D972" i="6"/>
  <c r="E972" i="6"/>
  <c r="G972" i="6" s="1"/>
  <c r="F972" i="6"/>
  <c r="D973" i="6"/>
  <c r="E973" i="6"/>
  <c r="G973" i="6" s="1"/>
  <c r="F973" i="6"/>
  <c r="D974" i="6"/>
  <c r="E974" i="6"/>
  <c r="G974" i="6" s="1"/>
  <c r="F974" i="6"/>
  <c r="D975" i="6"/>
  <c r="E975" i="6"/>
  <c r="G975" i="6" s="1"/>
  <c r="F975" i="6"/>
  <c r="D976" i="6"/>
  <c r="E976" i="6"/>
  <c r="G976" i="6" s="1"/>
  <c r="F976" i="6"/>
  <c r="D977" i="6"/>
  <c r="E977" i="6"/>
  <c r="F977" i="6"/>
  <c r="D978" i="6"/>
  <c r="E978" i="6"/>
  <c r="G978" i="6" s="1"/>
  <c r="F978" i="6"/>
  <c r="D979" i="6"/>
  <c r="E979" i="6"/>
  <c r="G979" i="6" s="1"/>
  <c r="F979" i="6"/>
  <c r="D980" i="6"/>
  <c r="E980" i="6"/>
  <c r="G980" i="6" s="1"/>
  <c r="F980" i="6"/>
  <c r="D981" i="6"/>
  <c r="E981" i="6"/>
  <c r="G981" i="6" s="1"/>
  <c r="F981" i="6"/>
  <c r="D982" i="6"/>
  <c r="E982" i="6"/>
  <c r="G982" i="6" s="1"/>
  <c r="F982" i="6"/>
  <c r="D983" i="6"/>
  <c r="E983" i="6"/>
  <c r="G983" i="6" s="1"/>
  <c r="F983" i="6"/>
  <c r="D984" i="6"/>
  <c r="E984" i="6"/>
  <c r="G984" i="6" s="1"/>
  <c r="F984" i="6"/>
  <c r="D985" i="6"/>
  <c r="E985" i="6"/>
  <c r="G985" i="6" s="1"/>
  <c r="F985" i="6"/>
  <c r="D986" i="6"/>
  <c r="E986" i="6"/>
  <c r="G986" i="6" s="1"/>
  <c r="F986" i="6"/>
  <c r="D987" i="6"/>
  <c r="E987" i="6"/>
  <c r="G987" i="6" s="1"/>
  <c r="F987" i="6"/>
  <c r="D988" i="6"/>
  <c r="E988" i="6"/>
  <c r="G988" i="6" s="1"/>
  <c r="F988" i="6"/>
  <c r="D989" i="6"/>
  <c r="E989" i="6"/>
  <c r="G989" i="6" s="1"/>
  <c r="F989" i="6"/>
  <c r="D990" i="6"/>
  <c r="E990" i="6"/>
  <c r="G990" i="6" s="1"/>
  <c r="F990" i="6"/>
  <c r="D991" i="6"/>
  <c r="E991" i="6"/>
  <c r="G991" i="6" s="1"/>
  <c r="F991" i="6"/>
  <c r="D992" i="6"/>
  <c r="E992" i="6"/>
  <c r="G992" i="6" s="1"/>
  <c r="F992" i="6"/>
  <c r="D993" i="6"/>
  <c r="E993" i="6"/>
  <c r="G993" i="6" s="1"/>
  <c r="F993" i="6"/>
  <c r="D994" i="6"/>
  <c r="E994" i="6"/>
  <c r="G994" i="6" s="1"/>
  <c r="F994" i="6"/>
  <c r="D995" i="6"/>
  <c r="E995" i="6"/>
  <c r="G995" i="6" s="1"/>
  <c r="F995" i="6"/>
  <c r="D996" i="6"/>
  <c r="E996" i="6"/>
  <c r="G996" i="6" s="1"/>
  <c r="F996" i="6"/>
  <c r="D997" i="6"/>
  <c r="E997" i="6"/>
  <c r="G997" i="6" s="1"/>
  <c r="F997" i="6"/>
  <c r="D998" i="6"/>
  <c r="E998" i="6"/>
  <c r="G998" i="6" s="1"/>
  <c r="F998" i="6"/>
  <c r="D999" i="6"/>
  <c r="E999" i="6"/>
  <c r="G999" i="6" s="1"/>
  <c r="F999" i="6"/>
  <c r="D1000" i="6"/>
  <c r="E1000" i="6"/>
  <c r="G1000" i="6" s="1"/>
  <c r="F1000" i="6"/>
  <c r="D1001" i="6"/>
  <c r="E1001" i="6"/>
  <c r="G1001" i="6" s="1"/>
  <c r="F1001" i="6"/>
  <c r="D1002" i="6"/>
  <c r="E1002" i="6"/>
  <c r="G1002" i="6" s="1"/>
  <c r="F1002" i="6"/>
  <c r="D1003" i="6"/>
  <c r="E1003" i="6"/>
  <c r="F1003" i="6"/>
  <c r="D1004" i="6"/>
  <c r="E1004" i="6"/>
  <c r="G1004" i="6" s="1"/>
  <c r="F1004" i="6"/>
  <c r="D1005" i="6"/>
  <c r="E1005" i="6"/>
  <c r="F1005" i="6"/>
  <c r="D1006" i="6"/>
  <c r="E1006" i="6"/>
  <c r="F1006" i="6"/>
  <c r="D1007" i="6"/>
  <c r="E1007" i="6"/>
  <c r="G1007" i="6" s="1"/>
  <c r="F1007" i="6"/>
  <c r="D1008" i="6"/>
  <c r="E1008" i="6"/>
  <c r="F1008" i="6"/>
  <c r="D1009" i="6"/>
  <c r="E1009" i="6"/>
  <c r="G1009" i="6" s="1"/>
  <c r="F1009" i="6"/>
  <c r="D1010" i="6"/>
  <c r="E1010" i="6"/>
  <c r="G1010" i="6" s="1"/>
  <c r="F1010" i="6"/>
  <c r="D1011" i="6"/>
  <c r="E1011" i="6"/>
  <c r="G1011" i="6" s="1"/>
  <c r="F1011" i="6"/>
  <c r="D1012" i="6"/>
  <c r="E1012" i="6"/>
  <c r="G1012" i="6" s="1"/>
  <c r="F1012" i="6"/>
  <c r="D1013" i="6"/>
  <c r="E1013" i="6"/>
  <c r="F1013" i="6"/>
  <c r="D1014" i="6"/>
  <c r="E1014" i="6"/>
  <c r="G1014" i="6" s="1"/>
  <c r="F1014" i="6"/>
  <c r="D1015" i="6"/>
  <c r="E1015" i="6"/>
  <c r="G1015" i="6" s="1"/>
  <c r="F1015" i="6"/>
  <c r="D1016" i="6"/>
  <c r="E1016" i="6"/>
  <c r="G1016" i="6" s="1"/>
  <c r="F1016" i="6"/>
  <c r="D1017" i="6"/>
  <c r="E1017" i="6"/>
  <c r="G1017" i="6" s="1"/>
  <c r="F1017" i="6"/>
  <c r="D1018" i="6"/>
  <c r="E1018" i="6"/>
  <c r="G1018" i="6" s="1"/>
  <c r="F1018" i="6"/>
  <c r="D1019" i="6"/>
  <c r="E1019" i="6"/>
  <c r="G1019" i="6" s="1"/>
  <c r="F1019" i="6"/>
  <c r="D1020" i="6"/>
  <c r="E1020" i="6"/>
  <c r="G1020" i="6" s="1"/>
  <c r="F1020" i="6"/>
  <c r="D1021" i="6"/>
  <c r="E1021" i="6"/>
  <c r="F1021" i="6"/>
  <c r="D1022" i="6"/>
  <c r="E1022" i="6"/>
  <c r="G1022" i="6" s="1"/>
  <c r="F1022" i="6"/>
  <c r="D1023" i="6"/>
  <c r="E1023" i="6"/>
  <c r="G1023" i="6" s="1"/>
  <c r="F1023" i="6"/>
  <c r="D1024" i="6"/>
  <c r="E1024" i="6"/>
  <c r="G1024" i="6" s="1"/>
  <c r="F1024" i="6"/>
  <c r="D1025" i="6"/>
  <c r="E1025" i="6"/>
  <c r="F1025" i="6"/>
  <c r="D1026" i="6"/>
  <c r="E1026" i="6"/>
  <c r="F1026" i="6"/>
  <c r="D1027" i="6"/>
  <c r="E1027" i="6"/>
  <c r="G1027" i="6" s="1"/>
  <c r="F1027" i="6"/>
  <c r="D1028" i="6"/>
  <c r="E1028" i="6"/>
  <c r="G1028" i="6" s="1"/>
  <c r="F1028" i="6"/>
  <c r="D1029" i="6"/>
  <c r="E1029" i="6"/>
  <c r="G1029" i="6" s="1"/>
  <c r="F1029" i="6"/>
  <c r="D1030" i="6"/>
  <c r="E1030" i="6"/>
  <c r="G1030" i="6" s="1"/>
  <c r="F1030" i="6"/>
  <c r="D1031" i="6"/>
  <c r="E1031" i="6"/>
  <c r="G1031" i="6" s="1"/>
  <c r="F1031" i="6"/>
  <c r="D1032" i="6"/>
  <c r="E1032" i="6"/>
  <c r="G1032" i="6" s="1"/>
  <c r="F1032" i="6"/>
  <c r="D1033" i="6"/>
  <c r="E1033" i="6"/>
  <c r="G1033" i="6" s="1"/>
  <c r="F1033" i="6"/>
  <c r="D1034" i="6"/>
  <c r="E1034" i="6"/>
  <c r="G1034" i="6" s="1"/>
  <c r="F1034" i="6"/>
  <c r="D1035" i="6"/>
  <c r="E1035" i="6"/>
  <c r="G1035" i="6" s="1"/>
  <c r="F1035" i="6"/>
  <c r="D1036" i="6"/>
  <c r="E1036" i="6"/>
  <c r="G1036" i="6" s="1"/>
  <c r="F1036" i="6"/>
  <c r="D1037" i="6"/>
  <c r="E1037" i="6"/>
  <c r="G1037" i="6" s="1"/>
  <c r="F1037" i="6"/>
  <c r="D1038" i="6"/>
  <c r="E1038" i="6"/>
  <c r="G1038" i="6" s="1"/>
  <c r="F1038" i="6"/>
  <c r="D1039" i="6"/>
  <c r="E1039" i="6"/>
  <c r="G1039" i="6" s="1"/>
  <c r="F1039" i="6"/>
  <c r="D1040" i="6"/>
  <c r="E1040" i="6"/>
  <c r="G1040" i="6" s="1"/>
  <c r="F1040" i="6"/>
  <c r="D1041" i="6"/>
  <c r="E1041" i="6"/>
  <c r="G1041" i="6" s="1"/>
  <c r="F1041" i="6"/>
  <c r="D1042" i="6"/>
  <c r="E1042" i="6"/>
  <c r="G1042" i="6" s="1"/>
  <c r="F1042" i="6"/>
  <c r="D1043" i="6"/>
  <c r="E1043" i="6"/>
  <c r="G1043" i="6" s="1"/>
  <c r="F1043" i="6"/>
  <c r="D1044" i="6"/>
  <c r="E1044" i="6"/>
  <c r="G1044" i="6" s="1"/>
  <c r="F1044" i="6"/>
  <c r="D1045" i="6"/>
  <c r="E1045" i="6"/>
  <c r="G1045" i="6" s="1"/>
  <c r="F1045" i="6"/>
  <c r="D1046" i="6"/>
  <c r="E1046" i="6"/>
  <c r="G1046" i="6" s="1"/>
  <c r="F1046" i="6"/>
  <c r="D1047" i="6"/>
  <c r="E1047" i="6"/>
  <c r="G1047" i="6" s="1"/>
  <c r="F1047" i="6"/>
  <c r="D1048" i="6"/>
  <c r="E1048" i="6"/>
  <c r="G1048" i="6" s="1"/>
  <c r="F1048" i="6"/>
  <c r="D1049" i="6"/>
  <c r="E1049" i="6"/>
  <c r="G1049" i="6" s="1"/>
  <c r="F1049" i="6"/>
  <c r="D1050" i="6"/>
  <c r="E1050" i="6"/>
  <c r="G1050" i="6" s="1"/>
  <c r="F1050" i="6"/>
  <c r="D1051" i="6"/>
  <c r="E1051" i="6"/>
  <c r="G1051" i="6" s="1"/>
  <c r="F1051" i="6"/>
  <c r="D1052" i="6"/>
  <c r="E1052" i="6"/>
  <c r="G1052" i="6" s="1"/>
  <c r="F1052" i="6"/>
  <c r="D1053" i="6"/>
  <c r="E1053" i="6"/>
  <c r="G1053" i="6" s="1"/>
  <c r="F1053" i="6"/>
  <c r="D1054" i="6"/>
  <c r="E1054" i="6"/>
  <c r="G1054" i="6" s="1"/>
  <c r="F1054" i="6"/>
  <c r="D1055" i="6"/>
  <c r="E1055" i="6"/>
  <c r="G1055" i="6" s="1"/>
  <c r="F1055" i="6"/>
  <c r="D1056" i="6"/>
  <c r="E1056" i="6"/>
  <c r="G1056" i="6" s="1"/>
  <c r="F1056" i="6"/>
  <c r="D1057" i="6"/>
  <c r="E1057" i="6"/>
  <c r="G1057" i="6" s="1"/>
  <c r="F1057" i="6"/>
  <c r="D1058" i="6"/>
  <c r="E1058" i="6"/>
  <c r="G1058" i="6" s="1"/>
  <c r="F1058" i="6"/>
  <c r="D1059" i="6"/>
  <c r="E1059" i="6"/>
  <c r="G1059" i="6" s="1"/>
  <c r="F1059" i="6"/>
  <c r="D1060" i="6"/>
  <c r="E1060" i="6"/>
  <c r="G1060" i="6" s="1"/>
  <c r="F1060" i="6"/>
  <c r="D1061" i="6"/>
  <c r="E1061" i="6"/>
  <c r="F1061" i="6"/>
  <c r="D1062" i="6"/>
  <c r="E1062" i="6"/>
  <c r="G1062" i="6" s="1"/>
  <c r="F1062" i="6"/>
  <c r="D1063" i="6"/>
  <c r="E1063" i="6"/>
  <c r="G1063" i="6" s="1"/>
  <c r="F1063" i="6"/>
  <c r="D1064" i="6"/>
  <c r="E1064" i="6"/>
  <c r="G1064" i="6" s="1"/>
  <c r="F1064" i="6"/>
  <c r="D1065" i="6"/>
  <c r="E1065" i="6"/>
  <c r="G1065" i="6" s="1"/>
  <c r="F1065" i="6"/>
  <c r="D1066" i="6"/>
  <c r="E1066" i="6"/>
  <c r="G1066" i="6" s="1"/>
  <c r="F1066" i="6"/>
  <c r="D1067" i="6"/>
  <c r="E1067" i="6"/>
  <c r="G1067" i="6" s="1"/>
  <c r="F1067" i="6"/>
  <c r="D1068" i="6"/>
  <c r="E1068" i="6"/>
  <c r="G1068" i="6" s="1"/>
  <c r="F1068" i="6"/>
  <c r="D1069" i="6"/>
  <c r="E1069" i="6"/>
  <c r="G1069" i="6" s="1"/>
  <c r="F1069" i="6"/>
  <c r="D1070" i="6"/>
  <c r="E1070" i="6"/>
  <c r="G1070" i="6" s="1"/>
  <c r="F1070" i="6"/>
  <c r="D1071" i="6"/>
  <c r="E1071" i="6"/>
  <c r="G1071" i="6" s="1"/>
  <c r="F1071" i="6"/>
  <c r="D1072" i="6"/>
  <c r="E1072" i="6"/>
  <c r="G1072" i="6" s="1"/>
  <c r="F1072" i="6"/>
  <c r="D1073" i="6"/>
  <c r="E1073" i="6"/>
  <c r="G1073" i="6" s="1"/>
  <c r="F1073" i="6"/>
  <c r="D1074" i="6"/>
  <c r="E1074" i="6"/>
  <c r="G1074" i="6" s="1"/>
  <c r="F1074" i="6"/>
  <c r="D1075" i="6"/>
  <c r="E1075" i="6"/>
  <c r="G1075" i="6" s="1"/>
  <c r="F1075" i="6"/>
  <c r="D1076" i="6"/>
  <c r="E1076" i="6"/>
  <c r="G1076" i="6" s="1"/>
  <c r="F1076" i="6"/>
  <c r="D1077" i="6"/>
  <c r="E1077" i="6"/>
  <c r="G1077" i="6" s="1"/>
  <c r="F1077" i="6"/>
  <c r="D1078" i="6"/>
  <c r="E1078" i="6"/>
  <c r="G1078" i="6" s="1"/>
  <c r="F1078" i="6"/>
  <c r="D1079" i="6"/>
  <c r="E1079" i="6"/>
  <c r="G1079" i="6" s="1"/>
  <c r="F1079" i="6"/>
  <c r="D1080" i="6"/>
  <c r="E1080" i="6"/>
  <c r="G1080" i="6" s="1"/>
  <c r="F1080" i="6"/>
  <c r="D1081" i="6"/>
  <c r="E1081" i="6"/>
  <c r="F1081" i="6"/>
  <c r="D1082" i="6"/>
  <c r="E1082" i="6"/>
  <c r="F1082" i="6"/>
  <c r="D1083" i="6"/>
  <c r="E1083" i="6"/>
  <c r="G1083" i="6" s="1"/>
  <c r="F1083" i="6"/>
  <c r="D1084" i="6"/>
  <c r="E1084" i="6"/>
  <c r="G1084" i="6" s="1"/>
  <c r="F1084" i="6"/>
  <c r="D1085" i="6"/>
  <c r="E1085" i="6"/>
  <c r="G1085" i="6" s="1"/>
  <c r="F1085" i="6"/>
  <c r="D1086" i="6"/>
  <c r="E1086" i="6"/>
  <c r="G1086" i="6" s="1"/>
  <c r="F1086" i="6"/>
  <c r="D1087" i="6"/>
  <c r="E1087" i="6"/>
  <c r="G1087" i="6" s="1"/>
  <c r="F1087" i="6"/>
  <c r="D1088" i="6"/>
  <c r="E1088" i="6"/>
  <c r="G1088" i="6" s="1"/>
  <c r="F1088" i="6"/>
  <c r="D1089" i="6"/>
  <c r="E1089" i="6"/>
  <c r="G1089" i="6" s="1"/>
  <c r="F1089" i="6"/>
  <c r="D1090" i="6"/>
  <c r="E1090" i="6"/>
  <c r="G1090" i="6" s="1"/>
  <c r="F1090" i="6"/>
  <c r="D1091" i="6"/>
  <c r="E1091" i="6"/>
  <c r="F1091" i="6"/>
  <c r="D1092" i="6"/>
  <c r="E1092" i="6"/>
  <c r="G1092" i="6" s="1"/>
  <c r="F1092" i="6"/>
  <c r="D1093" i="6"/>
  <c r="E1093" i="6"/>
  <c r="G1093" i="6" s="1"/>
  <c r="F1093" i="6"/>
  <c r="D1094" i="6"/>
  <c r="E1094" i="6"/>
  <c r="G1094" i="6" s="1"/>
  <c r="F1094" i="6"/>
  <c r="D1095" i="6"/>
  <c r="E1095" i="6"/>
  <c r="G1095" i="6" s="1"/>
  <c r="F1095" i="6"/>
  <c r="D1096" i="6"/>
  <c r="E1096" i="6"/>
  <c r="G1096" i="6" s="1"/>
  <c r="F1096" i="6"/>
  <c r="D1097" i="6"/>
  <c r="E1097" i="6"/>
  <c r="G1097" i="6" s="1"/>
  <c r="F1097" i="6"/>
  <c r="D1098" i="6"/>
  <c r="E1098" i="6"/>
  <c r="G1098" i="6" s="1"/>
  <c r="F1098" i="6"/>
  <c r="D1099" i="6"/>
  <c r="E1099" i="6"/>
  <c r="G1099" i="6" s="1"/>
  <c r="F1099" i="6"/>
  <c r="D1100" i="6"/>
  <c r="E1100" i="6"/>
  <c r="F1100" i="6"/>
  <c r="D1101" i="6"/>
  <c r="E1101" i="6"/>
  <c r="G1101" i="6" s="1"/>
  <c r="F1101" i="6"/>
  <c r="D1102" i="6"/>
  <c r="E1102" i="6"/>
  <c r="G1102" i="6" s="1"/>
  <c r="F1102" i="6"/>
  <c r="D1103" i="6"/>
  <c r="E1103" i="6"/>
  <c r="G1103" i="6" s="1"/>
  <c r="F1103" i="6"/>
  <c r="D1104" i="6"/>
  <c r="E1104" i="6"/>
  <c r="G1104" i="6" s="1"/>
  <c r="F1104" i="6"/>
  <c r="D1105" i="6"/>
  <c r="E1105" i="6"/>
  <c r="G1105" i="6" s="1"/>
  <c r="F1105" i="6"/>
  <c r="D1106" i="6"/>
  <c r="E1106" i="6"/>
  <c r="G1106" i="6" s="1"/>
  <c r="F1106" i="6"/>
  <c r="D1107" i="6"/>
  <c r="E1107" i="6"/>
  <c r="G1107" i="6" s="1"/>
  <c r="F1107" i="6"/>
  <c r="D1108" i="6"/>
  <c r="E1108" i="6"/>
  <c r="F1108" i="6"/>
  <c r="D1109" i="6"/>
  <c r="E1109" i="6"/>
  <c r="G1109" i="6" s="1"/>
  <c r="F1109" i="6"/>
  <c r="D1110" i="6"/>
  <c r="E1110" i="6"/>
  <c r="G1110" i="6" s="1"/>
  <c r="F1110" i="6"/>
  <c r="D1111" i="6"/>
  <c r="E1111" i="6"/>
  <c r="G1111" i="6" s="1"/>
  <c r="F1111" i="6"/>
  <c r="D1112" i="6"/>
  <c r="E1112" i="6"/>
  <c r="G1112" i="6" s="1"/>
  <c r="F1112" i="6"/>
  <c r="D1113" i="6"/>
  <c r="E1113" i="6"/>
  <c r="G1113" i="6" s="1"/>
  <c r="F1113" i="6"/>
  <c r="D1114" i="6"/>
  <c r="E1114" i="6"/>
  <c r="G1114" i="6" s="1"/>
  <c r="F1114" i="6"/>
  <c r="D1115" i="6"/>
  <c r="E1115" i="6"/>
  <c r="G1115" i="6" s="1"/>
  <c r="F1115" i="6"/>
  <c r="D1116" i="6"/>
  <c r="E1116" i="6"/>
  <c r="G1116" i="6" s="1"/>
  <c r="F1116" i="6"/>
  <c r="D1117" i="6"/>
  <c r="E1117" i="6"/>
  <c r="G1117" i="6" s="1"/>
  <c r="F1117" i="6"/>
  <c r="D1118" i="6"/>
  <c r="E1118" i="6"/>
  <c r="F1118" i="6"/>
  <c r="D1119" i="6"/>
  <c r="E1119" i="6"/>
  <c r="G1119" i="6" s="1"/>
  <c r="F1119" i="6"/>
  <c r="D1120" i="6"/>
  <c r="E1120" i="6"/>
  <c r="G1120" i="6" s="1"/>
  <c r="F1120" i="6"/>
  <c r="D1121" i="6"/>
  <c r="E1121" i="6"/>
  <c r="G1121" i="6" s="1"/>
  <c r="F1121" i="6"/>
  <c r="D1122" i="6"/>
  <c r="E1122" i="6"/>
  <c r="G1122" i="6" s="1"/>
  <c r="F1122" i="6"/>
  <c r="D1123" i="6"/>
  <c r="E1123" i="6"/>
  <c r="G1123" i="6" s="1"/>
  <c r="F1123" i="6"/>
  <c r="D1124" i="6"/>
  <c r="E1124" i="6"/>
  <c r="G1124" i="6" s="1"/>
  <c r="F1124" i="6"/>
  <c r="D1125" i="6"/>
  <c r="E1125" i="6"/>
  <c r="G1125" i="6" s="1"/>
  <c r="F1125" i="6"/>
  <c r="D1126" i="6"/>
  <c r="E1126" i="6"/>
  <c r="G1126" i="6" s="1"/>
  <c r="F1126" i="6"/>
  <c r="D1127" i="6"/>
  <c r="E1127" i="6"/>
  <c r="G1127" i="6" s="1"/>
  <c r="F1127" i="6"/>
  <c r="D1128" i="6"/>
  <c r="E1128" i="6"/>
  <c r="G1128" i="6" s="1"/>
  <c r="F1128" i="6"/>
  <c r="D1129" i="6"/>
  <c r="E1129" i="6"/>
  <c r="G1129" i="6" s="1"/>
  <c r="F1129" i="6"/>
  <c r="D1130" i="6"/>
  <c r="E1130" i="6"/>
  <c r="G1130" i="6" s="1"/>
  <c r="F1130" i="6"/>
  <c r="D1131" i="6"/>
  <c r="E1131" i="6"/>
  <c r="G1131" i="6" s="1"/>
  <c r="F1131" i="6"/>
  <c r="D1132" i="6"/>
  <c r="E1132" i="6"/>
  <c r="G1132" i="6" s="1"/>
  <c r="F1132" i="6"/>
  <c r="D1133" i="6"/>
  <c r="E1133" i="6"/>
  <c r="G1133" i="6" s="1"/>
  <c r="F1133" i="6"/>
  <c r="D1134" i="6"/>
  <c r="E1134" i="6"/>
  <c r="F1134" i="6"/>
  <c r="D1135" i="6"/>
  <c r="E1135" i="6"/>
  <c r="G1135" i="6" s="1"/>
  <c r="F1135" i="6"/>
  <c r="D1136" i="6"/>
  <c r="E1136" i="6"/>
  <c r="G1136" i="6" s="1"/>
  <c r="F1136" i="6"/>
  <c r="D1137" i="6"/>
  <c r="E1137" i="6"/>
  <c r="G1137" i="6" s="1"/>
  <c r="F1137" i="6"/>
  <c r="D1138" i="6"/>
  <c r="E1138" i="6"/>
  <c r="G1138" i="6" s="1"/>
  <c r="F1138" i="6"/>
  <c r="D1139" i="6"/>
  <c r="E1139" i="6"/>
  <c r="G1139" i="6" s="1"/>
  <c r="F1139" i="6"/>
  <c r="D1140" i="6"/>
  <c r="E1140" i="6"/>
  <c r="G1140" i="6" s="1"/>
  <c r="F1140" i="6"/>
  <c r="D1141" i="6"/>
  <c r="E1141" i="6"/>
  <c r="G1141" i="6" s="1"/>
  <c r="F1141" i="6"/>
  <c r="D1142" i="6"/>
  <c r="E1142" i="6"/>
  <c r="G1142" i="6" s="1"/>
  <c r="F1142" i="6"/>
  <c r="D1143" i="6"/>
  <c r="E1143" i="6"/>
  <c r="G1143" i="6" s="1"/>
  <c r="F1143" i="6"/>
  <c r="D1144" i="6"/>
  <c r="E1144" i="6"/>
  <c r="G1144" i="6" s="1"/>
  <c r="F1144" i="6"/>
  <c r="D1145" i="6"/>
  <c r="E1145" i="6"/>
  <c r="G1145" i="6" s="1"/>
  <c r="F1145" i="6"/>
  <c r="D1146" i="6"/>
  <c r="E1146" i="6"/>
  <c r="G1146" i="6" s="1"/>
  <c r="F1146" i="6"/>
  <c r="D1147" i="6"/>
  <c r="E1147" i="6"/>
  <c r="G1147" i="6" s="1"/>
  <c r="F1147" i="6"/>
  <c r="D1148" i="6"/>
  <c r="E1148" i="6"/>
  <c r="G1148" i="6" s="1"/>
  <c r="F1148" i="6"/>
  <c r="D1149" i="6"/>
  <c r="E1149" i="6"/>
  <c r="G1149" i="6" s="1"/>
  <c r="F1149" i="6"/>
  <c r="D1150" i="6"/>
  <c r="E1150" i="6"/>
  <c r="G1150" i="6" s="1"/>
  <c r="F1150" i="6"/>
  <c r="D1151" i="6"/>
  <c r="E1151" i="6"/>
  <c r="G1151" i="6" s="1"/>
  <c r="F1151" i="6"/>
  <c r="D1152" i="6"/>
  <c r="E1152" i="6"/>
  <c r="G1152" i="6" s="1"/>
  <c r="F1152" i="6"/>
  <c r="D1153" i="6"/>
  <c r="E1153" i="6"/>
  <c r="G1153" i="6" s="1"/>
  <c r="F1153" i="6"/>
  <c r="D1154" i="6"/>
  <c r="E1154" i="6"/>
  <c r="G1154" i="6" s="1"/>
  <c r="F1154" i="6"/>
  <c r="D1155" i="6"/>
  <c r="E1155" i="6"/>
  <c r="G1155" i="6" s="1"/>
  <c r="F1155" i="6"/>
  <c r="D1156" i="6"/>
  <c r="E1156" i="6"/>
  <c r="G1156" i="6" s="1"/>
  <c r="F1156" i="6"/>
  <c r="D1157" i="6"/>
  <c r="E1157" i="6"/>
  <c r="G1157" i="6" s="1"/>
  <c r="F1157" i="6"/>
  <c r="D1158" i="6"/>
  <c r="E1158" i="6"/>
  <c r="G1158" i="6" s="1"/>
  <c r="F1158" i="6"/>
  <c r="D1159" i="6"/>
  <c r="E1159" i="6"/>
  <c r="G1159" i="6" s="1"/>
  <c r="F1159" i="6"/>
  <c r="D1160" i="6"/>
  <c r="E1160" i="6"/>
  <c r="G1160" i="6" s="1"/>
  <c r="F1160" i="6"/>
  <c r="D1161" i="6"/>
  <c r="E1161" i="6"/>
  <c r="G1161" i="6" s="1"/>
  <c r="F1161" i="6"/>
  <c r="D1162" i="6"/>
  <c r="E1162" i="6"/>
  <c r="G1162" i="6" s="1"/>
  <c r="F1162" i="6"/>
  <c r="D1163" i="6"/>
  <c r="E1163" i="6"/>
  <c r="G1163" i="6" s="1"/>
  <c r="F1163" i="6"/>
  <c r="D1164" i="6"/>
  <c r="E1164" i="6"/>
  <c r="G1164" i="6" s="1"/>
  <c r="F1164" i="6"/>
  <c r="D1165" i="6"/>
  <c r="E1165" i="6"/>
  <c r="G1165" i="6" s="1"/>
  <c r="F1165" i="6"/>
  <c r="D1166" i="6"/>
  <c r="E1166" i="6"/>
  <c r="G1166" i="6" s="1"/>
  <c r="F1166" i="6"/>
  <c r="D1167" i="6"/>
  <c r="E1167" i="6"/>
  <c r="G1167" i="6" s="1"/>
  <c r="F1167" i="6"/>
  <c r="D1168" i="6"/>
  <c r="E1168" i="6"/>
  <c r="G1168" i="6" s="1"/>
  <c r="F1168" i="6"/>
  <c r="D1169" i="6"/>
  <c r="E1169" i="6"/>
  <c r="G1169" i="6" s="1"/>
  <c r="F1169" i="6"/>
  <c r="D1170" i="6"/>
  <c r="E1170" i="6"/>
  <c r="G1170" i="6" s="1"/>
  <c r="F1170" i="6"/>
  <c r="D1171" i="6"/>
  <c r="E1171" i="6"/>
  <c r="G1171" i="6" s="1"/>
  <c r="F1171" i="6"/>
  <c r="D1172" i="6"/>
  <c r="E1172" i="6"/>
  <c r="G1172" i="6" s="1"/>
  <c r="F1172" i="6"/>
  <c r="D1173" i="6"/>
  <c r="E1173" i="6"/>
  <c r="G1173" i="6" s="1"/>
  <c r="F1173" i="6"/>
  <c r="D1174" i="6"/>
  <c r="E1174" i="6"/>
  <c r="G1174" i="6" s="1"/>
  <c r="F1174" i="6"/>
  <c r="D1175" i="6"/>
  <c r="E1175" i="6"/>
  <c r="G1175" i="6" s="1"/>
  <c r="F1175" i="6"/>
  <c r="D1176" i="6"/>
  <c r="E1176" i="6"/>
  <c r="G1176" i="6" s="1"/>
  <c r="F1176" i="6"/>
  <c r="D1177" i="6"/>
  <c r="E1177" i="6"/>
  <c r="G1177" i="6" s="1"/>
  <c r="F1177" i="6"/>
  <c r="D1178" i="6"/>
  <c r="E1178" i="6"/>
  <c r="G1178" i="6" s="1"/>
  <c r="F1178" i="6"/>
  <c r="D1179" i="6"/>
  <c r="E1179" i="6"/>
  <c r="G1179" i="6" s="1"/>
  <c r="F1179" i="6"/>
  <c r="D1180" i="6"/>
  <c r="E1180" i="6"/>
  <c r="G1180" i="6" s="1"/>
  <c r="F1180" i="6"/>
  <c r="D1181" i="6"/>
  <c r="E1181" i="6"/>
  <c r="G1181" i="6" s="1"/>
  <c r="F1181" i="6"/>
  <c r="D1182" i="6"/>
  <c r="E1182" i="6"/>
  <c r="F1182" i="6"/>
  <c r="D1183" i="6"/>
  <c r="E1183" i="6"/>
  <c r="G1183" i="6" s="1"/>
  <c r="F1183" i="6"/>
  <c r="D1184" i="6"/>
  <c r="E1184" i="6"/>
  <c r="G1184" i="6" s="1"/>
  <c r="F1184" i="6"/>
  <c r="D1185" i="6"/>
  <c r="E1185" i="6"/>
  <c r="G1185" i="6" s="1"/>
  <c r="F1185" i="6"/>
  <c r="D1186" i="6"/>
  <c r="E1186" i="6"/>
  <c r="G1186" i="6" s="1"/>
  <c r="F1186" i="6"/>
  <c r="D1187" i="6"/>
  <c r="E1187" i="6"/>
  <c r="G1187" i="6" s="1"/>
  <c r="F1187" i="6"/>
  <c r="D1188" i="6"/>
  <c r="E1188" i="6"/>
  <c r="G1188" i="6" s="1"/>
  <c r="F1188" i="6"/>
  <c r="D1189" i="6"/>
  <c r="E1189" i="6"/>
  <c r="G1189" i="6" s="1"/>
  <c r="F1189" i="6"/>
  <c r="D1190" i="6"/>
  <c r="E1190" i="6"/>
  <c r="G1190" i="6" s="1"/>
  <c r="F1190" i="6"/>
  <c r="D1191" i="6"/>
  <c r="E1191" i="6"/>
  <c r="G1191" i="6" s="1"/>
  <c r="F1191" i="6"/>
  <c r="D1192" i="6"/>
  <c r="E1192" i="6"/>
  <c r="G1192" i="6" s="1"/>
  <c r="F1192" i="6"/>
  <c r="D1193" i="6"/>
  <c r="E1193" i="6"/>
  <c r="G1193" i="6" s="1"/>
  <c r="F1193" i="6"/>
  <c r="D1194" i="6"/>
  <c r="E1194" i="6"/>
  <c r="G1194" i="6" s="1"/>
  <c r="F1194" i="6"/>
  <c r="D1195" i="6"/>
  <c r="E1195" i="6"/>
  <c r="G1195" i="6" s="1"/>
  <c r="F1195" i="6"/>
  <c r="D1196" i="6"/>
  <c r="E1196" i="6"/>
  <c r="G1196" i="6" s="1"/>
  <c r="F1196" i="6"/>
  <c r="D1197" i="6"/>
  <c r="E1197" i="6"/>
  <c r="G1197" i="6" s="1"/>
  <c r="F1197" i="6"/>
  <c r="D1198" i="6"/>
  <c r="E1198" i="6"/>
  <c r="G1198" i="6" s="1"/>
  <c r="F1198" i="6"/>
  <c r="D1199" i="6"/>
  <c r="E1199" i="6"/>
  <c r="G1199" i="6" s="1"/>
  <c r="F1199" i="6"/>
  <c r="D1200" i="6"/>
  <c r="E1200" i="6"/>
  <c r="G1200" i="6" s="1"/>
  <c r="F1200" i="6"/>
  <c r="D1201" i="6"/>
  <c r="E1201" i="6"/>
  <c r="G1201" i="6" s="1"/>
  <c r="F1201" i="6"/>
  <c r="D1202" i="6"/>
  <c r="E1202" i="6"/>
  <c r="G1202" i="6" s="1"/>
  <c r="F1202" i="6"/>
  <c r="D1203" i="6"/>
  <c r="E1203" i="6"/>
  <c r="G1203" i="6" s="1"/>
  <c r="F1203" i="6"/>
  <c r="D1204" i="6"/>
  <c r="E1204" i="6"/>
  <c r="G1204" i="6" s="1"/>
  <c r="F1204" i="6"/>
  <c r="D1205" i="6"/>
  <c r="E1205" i="6"/>
  <c r="G1205" i="6" s="1"/>
  <c r="F1205" i="6"/>
  <c r="D1206" i="6"/>
  <c r="E1206" i="6"/>
  <c r="G1206" i="6" s="1"/>
  <c r="F1206" i="6"/>
  <c r="D1207" i="6"/>
  <c r="E1207" i="6"/>
  <c r="G1207" i="6" s="1"/>
  <c r="F1207" i="6"/>
  <c r="D1208" i="6"/>
  <c r="E1208" i="6"/>
  <c r="G1208" i="6" s="1"/>
  <c r="F1208" i="6"/>
  <c r="D1209" i="6"/>
  <c r="E1209" i="6"/>
  <c r="G1209" i="6" s="1"/>
  <c r="F1209" i="6"/>
  <c r="D1210" i="6"/>
  <c r="E1210" i="6"/>
  <c r="G1210" i="6" s="1"/>
  <c r="F1210" i="6"/>
  <c r="D1211" i="6"/>
  <c r="E1211" i="6"/>
  <c r="G1211" i="6" s="1"/>
  <c r="F1211" i="6"/>
  <c r="D1212" i="6"/>
  <c r="E1212" i="6"/>
  <c r="G1212" i="6" s="1"/>
  <c r="F1212" i="6"/>
  <c r="D1213" i="6"/>
  <c r="E1213" i="6"/>
  <c r="F1213" i="6"/>
  <c r="D1214" i="6"/>
  <c r="E1214" i="6"/>
  <c r="G1214" i="6" s="1"/>
  <c r="F1214" i="6"/>
  <c r="D1215" i="6"/>
  <c r="E1215" i="6"/>
  <c r="G1215" i="6" s="1"/>
  <c r="F1215" i="6"/>
  <c r="D1216" i="6"/>
  <c r="E1216" i="6"/>
  <c r="G1216" i="6" s="1"/>
  <c r="F1216" i="6"/>
  <c r="D1217" i="6"/>
  <c r="E1217" i="6"/>
  <c r="G1217" i="6" s="1"/>
  <c r="F1217" i="6"/>
  <c r="D1218" i="6"/>
  <c r="E1218" i="6"/>
  <c r="G1218" i="6" s="1"/>
  <c r="F1218" i="6"/>
  <c r="D1219" i="6"/>
  <c r="E1219" i="6"/>
  <c r="G1219" i="6" s="1"/>
  <c r="F1219" i="6"/>
  <c r="D1220" i="6"/>
  <c r="E1220" i="6"/>
  <c r="G1220" i="6" s="1"/>
  <c r="F1220" i="6"/>
  <c r="D1221" i="6"/>
  <c r="E1221" i="6"/>
  <c r="G1221" i="6" s="1"/>
  <c r="F1221" i="6"/>
  <c r="D1222" i="6"/>
  <c r="E1222" i="6"/>
  <c r="G1222" i="6" s="1"/>
  <c r="F1222" i="6"/>
  <c r="D1223" i="6"/>
  <c r="E1223" i="6"/>
  <c r="G1223" i="6" s="1"/>
  <c r="F1223" i="6"/>
  <c r="D1224" i="6"/>
  <c r="E1224" i="6"/>
  <c r="G1224" i="6" s="1"/>
  <c r="F1224" i="6"/>
  <c r="D1225" i="6"/>
  <c r="E1225" i="6"/>
  <c r="G1225" i="6" s="1"/>
  <c r="F1225" i="6"/>
  <c r="D1226" i="6"/>
  <c r="E1226" i="6"/>
  <c r="G1226" i="6" s="1"/>
  <c r="F1226" i="6"/>
  <c r="D1227" i="6"/>
  <c r="E1227" i="6"/>
  <c r="G1227" i="6" s="1"/>
  <c r="F1227" i="6"/>
  <c r="D1228" i="6"/>
  <c r="E1228" i="6"/>
  <c r="G1228" i="6" s="1"/>
  <c r="F1228" i="6"/>
  <c r="D1229" i="6"/>
  <c r="E1229" i="6"/>
  <c r="G1229" i="6" s="1"/>
  <c r="F1229" i="6"/>
  <c r="D1230" i="6"/>
  <c r="E1230" i="6"/>
  <c r="G1230" i="6" s="1"/>
  <c r="F1230" i="6"/>
  <c r="D1231" i="6"/>
  <c r="E1231" i="6"/>
  <c r="G1231" i="6" s="1"/>
  <c r="F1231" i="6"/>
  <c r="D1232" i="6"/>
  <c r="E1232" i="6"/>
  <c r="G1232" i="6" s="1"/>
  <c r="F1232" i="6"/>
  <c r="D1233" i="6"/>
  <c r="E1233" i="6"/>
  <c r="G1233" i="6" s="1"/>
  <c r="F1233" i="6"/>
  <c r="D1234" i="6"/>
  <c r="E1234" i="6"/>
  <c r="G1234" i="6" s="1"/>
  <c r="F1234" i="6"/>
  <c r="D1235" i="6"/>
  <c r="E1235" i="6"/>
  <c r="G1235" i="6" s="1"/>
  <c r="F1235" i="6"/>
  <c r="D1236" i="6"/>
  <c r="E1236" i="6"/>
  <c r="G1236" i="6" s="1"/>
  <c r="F1236" i="6"/>
  <c r="D1237" i="6"/>
  <c r="E1237" i="6"/>
  <c r="G1237" i="6" s="1"/>
  <c r="F1237" i="6"/>
  <c r="D1238" i="6"/>
  <c r="E1238" i="6"/>
  <c r="G1238" i="6" s="1"/>
  <c r="F1238" i="6"/>
  <c r="D1239" i="6"/>
  <c r="E1239" i="6"/>
  <c r="G1239" i="6" s="1"/>
  <c r="F1239" i="6"/>
  <c r="D1240" i="6"/>
  <c r="E1240" i="6"/>
  <c r="G1240" i="6" s="1"/>
  <c r="F1240" i="6"/>
  <c r="D1241" i="6"/>
  <c r="E1241" i="6"/>
  <c r="G1241" i="6" s="1"/>
  <c r="F1241" i="6"/>
  <c r="D1242" i="6"/>
  <c r="E1242" i="6"/>
  <c r="G1242" i="6" s="1"/>
  <c r="F1242" i="6"/>
  <c r="D1243" i="6"/>
  <c r="E1243" i="6"/>
  <c r="G1243" i="6" s="1"/>
  <c r="F1243" i="6"/>
  <c r="D1244" i="6"/>
  <c r="E1244" i="6"/>
  <c r="G1244" i="6" s="1"/>
  <c r="F1244" i="6"/>
  <c r="D1245" i="6"/>
  <c r="E1245" i="6"/>
  <c r="G1245" i="6" s="1"/>
  <c r="F1245" i="6"/>
  <c r="D1246" i="6"/>
  <c r="E1246" i="6"/>
  <c r="G1246" i="6" s="1"/>
  <c r="F1246" i="6"/>
  <c r="D1247" i="6"/>
  <c r="E1247" i="6"/>
  <c r="G1247" i="6" s="1"/>
  <c r="F1247" i="6"/>
  <c r="D1248" i="6"/>
  <c r="E1248" i="6"/>
  <c r="G1248" i="6" s="1"/>
  <c r="F1248" i="6"/>
  <c r="D1249" i="6"/>
  <c r="E1249" i="6"/>
  <c r="G1249" i="6" s="1"/>
  <c r="F1249" i="6"/>
  <c r="D1250" i="6"/>
  <c r="E1250" i="6"/>
  <c r="G1250" i="6" s="1"/>
  <c r="F1250" i="6"/>
  <c r="D1251" i="6"/>
  <c r="E1251" i="6"/>
  <c r="G1251" i="6" s="1"/>
  <c r="F1251" i="6"/>
  <c r="D1252" i="6"/>
  <c r="E1252" i="6"/>
  <c r="G1252" i="6" s="1"/>
  <c r="F1252" i="6"/>
  <c r="D1253" i="6"/>
  <c r="E1253" i="6"/>
  <c r="G1253" i="6" s="1"/>
  <c r="F1253" i="6"/>
  <c r="D1254" i="6"/>
  <c r="E1254" i="6"/>
  <c r="G1254" i="6" s="1"/>
  <c r="F1254" i="6"/>
  <c r="D1255" i="6"/>
  <c r="E1255" i="6"/>
  <c r="G1255" i="6" s="1"/>
  <c r="F1255" i="6"/>
  <c r="D1256" i="6"/>
  <c r="E1256" i="6"/>
  <c r="G1256" i="6" s="1"/>
  <c r="F1256" i="6"/>
  <c r="D1257" i="6"/>
  <c r="E1257" i="6"/>
  <c r="G1257" i="6" s="1"/>
  <c r="F1257" i="6"/>
  <c r="D1258" i="6"/>
  <c r="E1258" i="6"/>
  <c r="G1258" i="6" s="1"/>
  <c r="F1258" i="6"/>
  <c r="D1259" i="6"/>
  <c r="E1259" i="6"/>
  <c r="G1259" i="6" s="1"/>
  <c r="F1259" i="6"/>
  <c r="D1260" i="6"/>
  <c r="E1260" i="6"/>
  <c r="G1260" i="6" s="1"/>
  <c r="F1260" i="6"/>
  <c r="D1261" i="6"/>
  <c r="E1261" i="6"/>
  <c r="G1261" i="6" s="1"/>
  <c r="F1261" i="6"/>
  <c r="D1262" i="6"/>
  <c r="E1262" i="6"/>
  <c r="G1262" i="6" s="1"/>
  <c r="F1262" i="6"/>
  <c r="D1263" i="6"/>
  <c r="E1263" i="6"/>
  <c r="G1263" i="6" s="1"/>
  <c r="F1263" i="6"/>
  <c r="D1264" i="6"/>
  <c r="E1264" i="6"/>
  <c r="G1264" i="6" s="1"/>
  <c r="F1264" i="6"/>
  <c r="D1265" i="6"/>
  <c r="E1265" i="6"/>
  <c r="G1265" i="6" s="1"/>
  <c r="F1265" i="6"/>
  <c r="D1266" i="6"/>
  <c r="E1266" i="6"/>
  <c r="F1266" i="6"/>
  <c r="D1267" i="6"/>
  <c r="E1267" i="6"/>
  <c r="G1267" i="6" s="1"/>
  <c r="F1267" i="6"/>
  <c r="D1268" i="6"/>
  <c r="E1268" i="6"/>
  <c r="G1268" i="6" s="1"/>
  <c r="F1268" i="6"/>
  <c r="D1269" i="6"/>
  <c r="E1269" i="6"/>
  <c r="G1269" i="6" s="1"/>
  <c r="F1269" i="6"/>
  <c r="D1270" i="6"/>
  <c r="E1270" i="6"/>
  <c r="G1270" i="6" s="1"/>
  <c r="F1270" i="6"/>
  <c r="D1271" i="6"/>
  <c r="E1271" i="6"/>
  <c r="G1271" i="6" s="1"/>
  <c r="F1271" i="6"/>
  <c r="D1272" i="6"/>
  <c r="E1272" i="6"/>
  <c r="G1272" i="6" s="1"/>
  <c r="F1272" i="6"/>
  <c r="D1273" i="6"/>
  <c r="E1273" i="6"/>
  <c r="G1273" i="6" s="1"/>
  <c r="F1273" i="6"/>
  <c r="D1274" i="6"/>
  <c r="E1274" i="6"/>
  <c r="G1274" i="6" s="1"/>
  <c r="F1274" i="6"/>
  <c r="D1275" i="6"/>
  <c r="E1275" i="6"/>
  <c r="G1275" i="6" s="1"/>
  <c r="F1275" i="6"/>
  <c r="D1276" i="6"/>
  <c r="E1276" i="6"/>
  <c r="G1276" i="6" s="1"/>
  <c r="F1276" i="6"/>
  <c r="D1277" i="6"/>
  <c r="E1277" i="6"/>
  <c r="G1277" i="6" s="1"/>
  <c r="F1277" i="6"/>
  <c r="D1278" i="6"/>
  <c r="E1278" i="6"/>
  <c r="G1278" i="6" s="1"/>
  <c r="F1278" i="6"/>
  <c r="D1279" i="6"/>
  <c r="E1279" i="6"/>
  <c r="G1279" i="6" s="1"/>
  <c r="F1279" i="6"/>
  <c r="D1280" i="6"/>
  <c r="E1280" i="6"/>
  <c r="G1280" i="6" s="1"/>
  <c r="F1280" i="6"/>
  <c r="D1281" i="6"/>
  <c r="E1281" i="6"/>
  <c r="G1281" i="6" s="1"/>
  <c r="F1281" i="6"/>
  <c r="D1282" i="6"/>
  <c r="E1282" i="6"/>
  <c r="G1282" i="6" s="1"/>
  <c r="F1282" i="6"/>
  <c r="D1283" i="6"/>
  <c r="E1283" i="6"/>
  <c r="G1283" i="6" s="1"/>
  <c r="F1283" i="6"/>
  <c r="D1284" i="6"/>
  <c r="E1284" i="6"/>
  <c r="G1284" i="6" s="1"/>
  <c r="F1284" i="6"/>
  <c r="D1285" i="6"/>
  <c r="E1285" i="6"/>
  <c r="G1285" i="6" s="1"/>
  <c r="F1285" i="6"/>
  <c r="D1286" i="6"/>
  <c r="E1286" i="6"/>
  <c r="G1286" i="6" s="1"/>
  <c r="F1286" i="6"/>
  <c r="D1287" i="6"/>
  <c r="E1287" i="6"/>
  <c r="G1287" i="6" s="1"/>
  <c r="F1287" i="6"/>
  <c r="D1288" i="6"/>
  <c r="E1288" i="6"/>
  <c r="G1288" i="6" s="1"/>
  <c r="F1288" i="6"/>
  <c r="D1289" i="6"/>
  <c r="E1289" i="6"/>
  <c r="G1289" i="6" s="1"/>
  <c r="F1289" i="6"/>
  <c r="D1290" i="6"/>
  <c r="E1290" i="6"/>
  <c r="G1290" i="6" s="1"/>
  <c r="F1290" i="6"/>
  <c r="D1291" i="6"/>
  <c r="E1291" i="6"/>
  <c r="G1291" i="6" s="1"/>
  <c r="F1291" i="6"/>
  <c r="D1292" i="6"/>
  <c r="E1292" i="6"/>
  <c r="G1292" i="6" s="1"/>
  <c r="F1292" i="6"/>
  <c r="D1293" i="6"/>
  <c r="E1293" i="6"/>
  <c r="G1293" i="6" s="1"/>
  <c r="F1293" i="6"/>
  <c r="D1294" i="6"/>
  <c r="E1294" i="6"/>
  <c r="G1294" i="6" s="1"/>
  <c r="F1294" i="6"/>
  <c r="D1295" i="6"/>
  <c r="E1295" i="6"/>
  <c r="G1295" i="6" s="1"/>
  <c r="F1295" i="6"/>
  <c r="D1296" i="6"/>
  <c r="E1296" i="6"/>
  <c r="G1296" i="6" s="1"/>
  <c r="F1296" i="6"/>
  <c r="D1297" i="6"/>
  <c r="E1297" i="6"/>
  <c r="G1297" i="6" s="1"/>
  <c r="F1297" i="6"/>
  <c r="D1298" i="6"/>
  <c r="E1298" i="6"/>
  <c r="G1298" i="6" s="1"/>
  <c r="F1298" i="6"/>
  <c r="D1299" i="6"/>
  <c r="E1299" i="6"/>
  <c r="G1299" i="6" s="1"/>
  <c r="F1299" i="6"/>
  <c r="D1300" i="6"/>
  <c r="E1300" i="6"/>
  <c r="G1300" i="6" s="1"/>
  <c r="F1300" i="6"/>
  <c r="D1301" i="6"/>
  <c r="E1301" i="6"/>
  <c r="G1301" i="6" s="1"/>
  <c r="F1301" i="6"/>
  <c r="D1302" i="6"/>
  <c r="E1302" i="6"/>
  <c r="G1302" i="6" s="1"/>
  <c r="F1302" i="6"/>
  <c r="D1303" i="6"/>
  <c r="E1303" i="6"/>
  <c r="G1303" i="6" s="1"/>
  <c r="F1303" i="6"/>
  <c r="D1304" i="6"/>
  <c r="E1304" i="6"/>
  <c r="G1304" i="6" s="1"/>
  <c r="F1304" i="6"/>
  <c r="D1305" i="6"/>
  <c r="E1305" i="6"/>
  <c r="G1305" i="6" s="1"/>
  <c r="F1305" i="6"/>
  <c r="D1306" i="6"/>
  <c r="E1306" i="6"/>
  <c r="G1306" i="6" s="1"/>
  <c r="F1306" i="6"/>
  <c r="D1307" i="6"/>
  <c r="E1307" i="6"/>
  <c r="G1307" i="6" s="1"/>
  <c r="F1307" i="6"/>
  <c r="D1308" i="6"/>
  <c r="E1308" i="6"/>
  <c r="G1308" i="6" s="1"/>
  <c r="F1308" i="6"/>
  <c r="D1309" i="6"/>
  <c r="E1309" i="6"/>
  <c r="G1309" i="6" s="1"/>
  <c r="F1309" i="6"/>
  <c r="D1310" i="6"/>
  <c r="E1310" i="6"/>
  <c r="G1310" i="6" s="1"/>
  <c r="F1310" i="6"/>
  <c r="D1311" i="6"/>
  <c r="E1311" i="6"/>
  <c r="G1311" i="6" s="1"/>
  <c r="F1311" i="6"/>
  <c r="D1312" i="6"/>
  <c r="E1312" i="6"/>
  <c r="G1312" i="6" s="1"/>
  <c r="F1312" i="6"/>
  <c r="D1313" i="6"/>
  <c r="E1313" i="6"/>
  <c r="G1313" i="6" s="1"/>
  <c r="F1313" i="6"/>
  <c r="D1314" i="6"/>
  <c r="E1314" i="6"/>
  <c r="G1314" i="6" s="1"/>
  <c r="F1314" i="6"/>
  <c r="D1315" i="6"/>
  <c r="E1315" i="6"/>
  <c r="G1315" i="6" s="1"/>
  <c r="F1315" i="6"/>
  <c r="D1316" i="6"/>
  <c r="E1316" i="6"/>
  <c r="G1316" i="6" s="1"/>
  <c r="F1316" i="6"/>
  <c r="D1317" i="6"/>
  <c r="E1317" i="6"/>
  <c r="G1317" i="6" s="1"/>
  <c r="F1317" i="6"/>
  <c r="D1318" i="6"/>
  <c r="E1318" i="6"/>
  <c r="G1318" i="6" s="1"/>
  <c r="F1318" i="6"/>
  <c r="D1319" i="6"/>
  <c r="E1319" i="6"/>
  <c r="G1319" i="6" s="1"/>
  <c r="F1319" i="6"/>
  <c r="D1320" i="6"/>
  <c r="E1320" i="6"/>
  <c r="G1320" i="6" s="1"/>
  <c r="F1320" i="6"/>
  <c r="D1321" i="6"/>
  <c r="E1321" i="6"/>
  <c r="G1321" i="6" s="1"/>
  <c r="F1321" i="6"/>
  <c r="D1322" i="6"/>
  <c r="E1322" i="6"/>
  <c r="F1322" i="6"/>
  <c r="D1323" i="6"/>
  <c r="E1323" i="6"/>
  <c r="G1323" i="6" s="1"/>
  <c r="F1323" i="6"/>
  <c r="D1324" i="6"/>
  <c r="E1324" i="6"/>
  <c r="G1324" i="6" s="1"/>
  <c r="F1324" i="6"/>
  <c r="D1325" i="6"/>
  <c r="E1325" i="6"/>
  <c r="G1325" i="6" s="1"/>
  <c r="F1325" i="6"/>
  <c r="D1326" i="6"/>
  <c r="E1326" i="6"/>
  <c r="G1326" i="6" s="1"/>
  <c r="F1326" i="6"/>
  <c r="D1327" i="6"/>
  <c r="E1327" i="6"/>
  <c r="G1327" i="6" s="1"/>
  <c r="F1327" i="6"/>
  <c r="D1328" i="6"/>
  <c r="E1328" i="6"/>
  <c r="F1328" i="6"/>
  <c r="D1329" i="6"/>
  <c r="E1329" i="6"/>
  <c r="G1329" i="6" s="1"/>
  <c r="F1329" i="6"/>
  <c r="D1330" i="6"/>
  <c r="E1330" i="6"/>
  <c r="G1330" i="6" s="1"/>
  <c r="F1330" i="6"/>
  <c r="D1331" i="6"/>
  <c r="E1331" i="6"/>
  <c r="G1331" i="6" s="1"/>
  <c r="F1331" i="6"/>
  <c r="D1332" i="6"/>
  <c r="E1332" i="6"/>
  <c r="G1332" i="6" s="1"/>
  <c r="F1332" i="6"/>
  <c r="D1333" i="6"/>
  <c r="E1333" i="6"/>
  <c r="G1333" i="6" s="1"/>
  <c r="F1333" i="6"/>
  <c r="D1334" i="6"/>
  <c r="E1334" i="6"/>
  <c r="G1334" i="6" s="1"/>
  <c r="F1334" i="6"/>
  <c r="D1335" i="6"/>
  <c r="E1335" i="6"/>
  <c r="G1335" i="6" s="1"/>
  <c r="F1335" i="6"/>
  <c r="D1336" i="6"/>
  <c r="E1336" i="6"/>
  <c r="G1336" i="6" s="1"/>
  <c r="F1336" i="6"/>
  <c r="H1336" i="6" s="1"/>
  <c r="D1337" i="6"/>
  <c r="E1337" i="6"/>
  <c r="G1337" i="6" s="1"/>
  <c r="F1337" i="6"/>
  <c r="D1338" i="6"/>
  <c r="E1338" i="6"/>
  <c r="G1338" i="6" s="1"/>
  <c r="F1338" i="6"/>
  <c r="D1339" i="6"/>
  <c r="E1339" i="6"/>
  <c r="G1339" i="6" s="1"/>
  <c r="F1339" i="6"/>
  <c r="D1340" i="6"/>
  <c r="E1340" i="6"/>
  <c r="G1340" i="6" s="1"/>
  <c r="F1340" i="6"/>
  <c r="D1341" i="6"/>
  <c r="E1341" i="6"/>
  <c r="G1341" i="6" s="1"/>
  <c r="F1341" i="6"/>
  <c r="H1341" i="6" s="1"/>
  <c r="D1342" i="6"/>
  <c r="E1342" i="6"/>
  <c r="G1342" i="6" s="1"/>
  <c r="F1342" i="6"/>
  <c r="D1343" i="6"/>
  <c r="E1343" i="6"/>
  <c r="G1343" i="6" s="1"/>
  <c r="F1343" i="6"/>
  <c r="D1344" i="6"/>
  <c r="E1344" i="6"/>
  <c r="G1344" i="6" s="1"/>
  <c r="F1344" i="6"/>
  <c r="D1345" i="6"/>
  <c r="E1345" i="6"/>
  <c r="G1345" i="6" s="1"/>
  <c r="F1345" i="6"/>
  <c r="D1346" i="6"/>
  <c r="E1346" i="6"/>
  <c r="G1346" i="6" s="1"/>
  <c r="F1346" i="6"/>
  <c r="D1347" i="6"/>
  <c r="E1347" i="6"/>
  <c r="G1347" i="6" s="1"/>
  <c r="F1347" i="6"/>
  <c r="D1348" i="6"/>
  <c r="E1348" i="6"/>
  <c r="F1348" i="6"/>
  <c r="D1349" i="6"/>
  <c r="E1349" i="6"/>
  <c r="G1349" i="6" s="1"/>
  <c r="F1349" i="6"/>
  <c r="D1350" i="6"/>
  <c r="E1350" i="6"/>
  <c r="G1350" i="6" s="1"/>
  <c r="F1350" i="6"/>
  <c r="D1351" i="6"/>
  <c r="E1351" i="6"/>
  <c r="G1351" i="6" s="1"/>
  <c r="F1351" i="6"/>
  <c r="D1352" i="6"/>
  <c r="E1352" i="6"/>
  <c r="G1352" i="6" s="1"/>
  <c r="F1352" i="6"/>
  <c r="D1353" i="6"/>
  <c r="E1353" i="6"/>
  <c r="F1353" i="6"/>
  <c r="D1354" i="6"/>
  <c r="E1354" i="6"/>
  <c r="G1354" i="6" s="1"/>
  <c r="F1354" i="6"/>
  <c r="D1355" i="6"/>
  <c r="E1355" i="6"/>
  <c r="G1355" i="6" s="1"/>
  <c r="F1355" i="6"/>
  <c r="D1356" i="6"/>
  <c r="E1356" i="6"/>
  <c r="G1356" i="6" s="1"/>
  <c r="F1356" i="6"/>
  <c r="D1357" i="6"/>
  <c r="E1357" i="6"/>
  <c r="G1357" i="6" s="1"/>
  <c r="F1357" i="6"/>
  <c r="D1358" i="6"/>
  <c r="E1358" i="6"/>
  <c r="G1358" i="6" s="1"/>
  <c r="F1358" i="6"/>
  <c r="D1359" i="6"/>
  <c r="E1359" i="6"/>
  <c r="G1359" i="6" s="1"/>
  <c r="F1359" i="6"/>
  <c r="D1360" i="6"/>
  <c r="E1360" i="6"/>
  <c r="G1360" i="6" s="1"/>
  <c r="F1360" i="6"/>
  <c r="D1361" i="6"/>
  <c r="E1361" i="6"/>
  <c r="G1361" i="6" s="1"/>
  <c r="F1361" i="6"/>
  <c r="D1362" i="6"/>
  <c r="E1362" i="6"/>
  <c r="G1362" i="6" s="1"/>
  <c r="F1362" i="6"/>
  <c r="D1363" i="6"/>
  <c r="E1363" i="6"/>
  <c r="G1363" i="6" s="1"/>
  <c r="F1363" i="6"/>
  <c r="D1364" i="6"/>
  <c r="E1364" i="6"/>
  <c r="G1364" i="6" s="1"/>
  <c r="F1364" i="6"/>
  <c r="D1365" i="6"/>
  <c r="E1365" i="6"/>
  <c r="G1365" i="6" s="1"/>
  <c r="F1365" i="6"/>
  <c r="D1366" i="6"/>
  <c r="E1366" i="6"/>
  <c r="G1366" i="6" s="1"/>
  <c r="F1366" i="6"/>
  <c r="D1367" i="6"/>
  <c r="E1367" i="6"/>
  <c r="G1367" i="6" s="1"/>
  <c r="F1367" i="6"/>
  <c r="D1368" i="6"/>
  <c r="E1368" i="6"/>
  <c r="G1368" i="6" s="1"/>
  <c r="F1368" i="6"/>
  <c r="D1369" i="6"/>
  <c r="E1369" i="6"/>
  <c r="G1369" i="6" s="1"/>
  <c r="F1369" i="6"/>
  <c r="D1370" i="6"/>
  <c r="E1370" i="6"/>
  <c r="G1370" i="6" s="1"/>
  <c r="F1370" i="6"/>
  <c r="D1371" i="6"/>
  <c r="E1371" i="6"/>
  <c r="G1371" i="6" s="1"/>
  <c r="F1371" i="6"/>
  <c r="D1372" i="6"/>
  <c r="E1372" i="6"/>
  <c r="G1372" i="6" s="1"/>
  <c r="F1372" i="6"/>
  <c r="D1373" i="6"/>
  <c r="E1373" i="6"/>
  <c r="G1373" i="6" s="1"/>
  <c r="F1373" i="6"/>
  <c r="D1374" i="6"/>
  <c r="E1374" i="6"/>
  <c r="G1374" i="6" s="1"/>
  <c r="F1374" i="6"/>
  <c r="D1375" i="6"/>
  <c r="E1375" i="6"/>
  <c r="G1375" i="6" s="1"/>
  <c r="F1375" i="6"/>
  <c r="D1376" i="6"/>
  <c r="E1376" i="6"/>
  <c r="F1376" i="6"/>
  <c r="D1377" i="6"/>
  <c r="E1377" i="6"/>
  <c r="G1377" i="6" s="1"/>
  <c r="F1377" i="6"/>
  <c r="D1378" i="6"/>
  <c r="E1378" i="6"/>
  <c r="G1378" i="6" s="1"/>
  <c r="F1378" i="6"/>
  <c r="D1379" i="6"/>
  <c r="E1379" i="6"/>
  <c r="F1379" i="6"/>
  <c r="D1380" i="6"/>
  <c r="E1380" i="6"/>
  <c r="G1380" i="6" s="1"/>
  <c r="F1380" i="6"/>
  <c r="D1381" i="6"/>
  <c r="E1381" i="6"/>
  <c r="G1381" i="6" s="1"/>
  <c r="F1381" i="6"/>
  <c r="H1381" i="6" s="1"/>
  <c r="D1382" i="6"/>
  <c r="E1382" i="6"/>
  <c r="G1382" i="6" s="1"/>
  <c r="F1382" i="6"/>
  <c r="D1383" i="6"/>
  <c r="E1383" i="6"/>
  <c r="G1383" i="6" s="1"/>
  <c r="F1383" i="6"/>
  <c r="D1384" i="6"/>
  <c r="E1384" i="6"/>
  <c r="G1384" i="6" s="1"/>
  <c r="F1384" i="6"/>
  <c r="D1385" i="6"/>
  <c r="E1385" i="6"/>
  <c r="G1385" i="6" s="1"/>
  <c r="F1385" i="6"/>
  <c r="D1386" i="6"/>
  <c r="E1386" i="6"/>
  <c r="G1386" i="6" s="1"/>
  <c r="F1386" i="6"/>
  <c r="D1387" i="6"/>
  <c r="E1387" i="6"/>
  <c r="G1387" i="6" s="1"/>
  <c r="F1387" i="6"/>
  <c r="D1388" i="6"/>
  <c r="E1388" i="6"/>
  <c r="G1388" i="6" s="1"/>
  <c r="F1388" i="6"/>
  <c r="D1389" i="6"/>
  <c r="E1389" i="6"/>
  <c r="G1389" i="6" s="1"/>
  <c r="F1389" i="6"/>
  <c r="D1390" i="6"/>
  <c r="E1390" i="6"/>
  <c r="G1390" i="6" s="1"/>
  <c r="F1390" i="6"/>
  <c r="D1391" i="6"/>
  <c r="E1391" i="6"/>
  <c r="F1391" i="6"/>
  <c r="D1392" i="6"/>
  <c r="E1392" i="6"/>
  <c r="G1392" i="6" s="1"/>
  <c r="F1392" i="6"/>
  <c r="D1393" i="6"/>
  <c r="E1393" i="6"/>
  <c r="G1393" i="6" s="1"/>
  <c r="F1393" i="6"/>
  <c r="D1394" i="6"/>
  <c r="E1394" i="6"/>
  <c r="G1394" i="6" s="1"/>
  <c r="F1394" i="6"/>
  <c r="D1395" i="6"/>
  <c r="E1395" i="6"/>
  <c r="G1395" i="6" s="1"/>
  <c r="F1395" i="6"/>
  <c r="D1396" i="6"/>
  <c r="E1396" i="6"/>
  <c r="F1396" i="6"/>
  <c r="D1397" i="6"/>
  <c r="E1397" i="6"/>
  <c r="G1397" i="6" s="1"/>
  <c r="F1397" i="6"/>
  <c r="D1398" i="6"/>
  <c r="E1398" i="6"/>
  <c r="G1398" i="6" s="1"/>
  <c r="F1398" i="6"/>
  <c r="D1399" i="6"/>
  <c r="E1399" i="6"/>
  <c r="G1399" i="6" s="1"/>
  <c r="F1399" i="6"/>
  <c r="D1400" i="6"/>
  <c r="E1400" i="6"/>
  <c r="F1400" i="6"/>
  <c r="D1401" i="6"/>
  <c r="E1401" i="6"/>
  <c r="G1401" i="6" s="1"/>
  <c r="F1401" i="6"/>
  <c r="D1402" i="6"/>
  <c r="E1402" i="6"/>
  <c r="G1402" i="6" s="1"/>
  <c r="F1402" i="6"/>
  <c r="D1403" i="6"/>
  <c r="E1403" i="6"/>
  <c r="G1403" i="6" s="1"/>
  <c r="F1403" i="6"/>
  <c r="D1404" i="6"/>
  <c r="E1404" i="6"/>
  <c r="G1404" i="6" s="1"/>
  <c r="F1404" i="6"/>
  <c r="D1405" i="6"/>
  <c r="E1405" i="6"/>
  <c r="G1405" i="6" s="1"/>
  <c r="F1405" i="6"/>
  <c r="D1406" i="6"/>
  <c r="E1406" i="6"/>
  <c r="G1406" i="6" s="1"/>
  <c r="F1406" i="6"/>
  <c r="D1407" i="6"/>
  <c r="E1407" i="6"/>
  <c r="G1407" i="6" s="1"/>
  <c r="F1407" i="6"/>
  <c r="D1408" i="6"/>
  <c r="E1408" i="6"/>
  <c r="G1408" i="6" s="1"/>
  <c r="F1408" i="6"/>
  <c r="D1409" i="6"/>
  <c r="E1409" i="6"/>
  <c r="G1409" i="6" s="1"/>
  <c r="F1409" i="6"/>
  <c r="D1410" i="6"/>
  <c r="E1410" i="6"/>
  <c r="G1410" i="6" s="1"/>
  <c r="F1410" i="6"/>
  <c r="D1411" i="6"/>
  <c r="E1411" i="6"/>
  <c r="G1411" i="6" s="1"/>
  <c r="F1411" i="6"/>
  <c r="D1412" i="6"/>
  <c r="E1412" i="6"/>
  <c r="G1412" i="6" s="1"/>
  <c r="F1412" i="6"/>
  <c r="D1413" i="6"/>
  <c r="E1413" i="6"/>
  <c r="F1413" i="6"/>
  <c r="D1414" i="6"/>
  <c r="E1414" i="6"/>
  <c r="G1414" i="6" s="1"/>
  <c r="F1414" i="6"/>
  <c r="D1415" i="6"/>
  <c r="E1415" i="6"/>
  <c r="G1415" i="6" s="1"/>
  <c r="F1415" i="6"/>
  <c r="D1416" i="6"/>
  <c r="E1416" i="6"/>
  <c r="G1416" i="6" s="1"/>
  <c r="F1416" i="6"/>
  <c r="D1417" i="6"/>
  <c r="E1417" i="6"/>
  <c r="G1417" i="6" s="1"/>
  <c r="F1417" i="6"/>
  <c r="D1418" i="6"/>
  <c r="E1418" i="6"/>
  <c r="G1418" i="6" s="1"/>
  <c r="F1418" i="6"/>
  <c r="D1419" i="6"/>
  <c r="E1419" i="6"/>
  <c r="G1419" i="6" s="1"/>
  <c r="F1419" i="6"/>
  <c r="D1420" i="6"/>
  <c r="E1420" i="6"/>
  <c r="G1420" i="6" s="1"/>
  <c r="F1420" i="6"/>
  <c r="D1421" i="6"/>
  <c r="E1421" i="6"/>
  <c r="G1421" i="6" s="1"/>
  <c r="F1421" i="6"/>
  <c r="D1422" i="6"/>
  <c r="E1422" i="6"/>
  <c r="G1422" i="6" s="1"/>
  <c r="F1422" i="6"/>
  <c r="D1423" i="6"/>
  <c r="E1423" i="6"/>
  <c r="G1423" i="6" s="1"/>
  <c r="F1423" i="6"/>
  <c r="D1424" i="6"/>
  <c r="E1424" i="6"/>
  <c r="G1424" i="6" s="1"/>
  <c r="F1424" i="6"/>
  <c r="D1425" i="6"/>
  <c r="E1425" i="6"/>
  <c r="G1425" i="6" s="1"/>
  <c r="F1425" i="6"/>
  <c r="H1425" i="6" s="1"/>
  <c r="D1426" i="6"/>
  <c r="E1426" i="6"/>
  <c r="G1426" i="6" s="1"/>
  <c r="F1426" i="6"/>
  <c r="D1427" i="6"/>
  <c r="E1427" i="6"/>
  <c r="G1427" i="6" s="1"/>
  <c r="F1427" i="6"/>
  <c r="D1428" i="6"/>
  <c r="E1428" i="6"/>
  <c r="G1428" i="6" s="1"/>
  <c r="F1428" i="6"/>
  <c r="D1429" i="6"/>
  <c r="E1429" i="6"/>
  <c r="G1429" i="6" s="1"/>
  <c r="F1429" i="6"/>
  <c r="D1430" i="6"/>
  <c r="E1430" i="6"/>
  <c r="G1430" i="6" s="1"/>
  <c r="F1430" i="6"/>
  <c r="D1431" i="6"/>
  <c r="E1431" i="6"/>
  <c r="G1431" i="6" s="1"/>
  <c r="F1431" i="6"/>
  <c r="D1432" i="6"/>
  <c r="E1432" i="6"/>
  <c r="G1432" i="6" s="1"/>
  <c r="F1432" i="6"/>
  <c r="D1433" i="6"/>
  <c r="E1433" i="6"/>
  <c r="G1433" i="6" s="1"/>
  <c r="F1433" i="6"/>
  <c r="D1434" i="6"/>
  <c r="E1434" i="6"/>
  <c r="G1434" i="6" s="1"/>
  <c r="F1434" i="6"/>
  <c r="D1435" i="6"/>
  <c r="E1435" i="6"/>
  <c r="G1435" i="6" s="1"/>
  <c r="F1435" i="6"/>
  <c r="D1436" i="6"/>
  <c r="E1436" i="6"/>
  <c r="G1436" i="6" s="1"/>
  <c r="F1436" i="6"/>
  <c r="D1437" i="6"/>
  <c r="E1437" i="6"/>
  <c r="G1437" i="6" s="1"/>
  <c r="F1437" i="6"/>
  <c r="D1438" i="6"/>
  <c r="E1438" i="6"/>
  <c r="F1438" i="6"/>
  <c r="D1439" i="6"/>
  <c r="E1439" i="6"/>
  <c r="G1439" i="6" s="1"/>
  <c r="F1439" i="6"/>
  <c r="D1440" i="6"/>
  <c r="E1440" i="6"/>
  <c r="G1440" i="6" s="1"/>
  <c r="F1440" i="6"/>
  <c r="D1441" i="6"/>
  <c r="E1441" i="6"/>
  <c r="G1441" i="6" s="1"/>
  <c r="F1441" i="6"/>
  <c r="D1442" i="6"/>
  <c r="E1442" i="6"/>
  <c r="G1442" i="6" s="1"/>
  <c r="F1442" i="6"/>
  <c r="D1443" i="6"/>
  <c r="E1443" i="6"/>
  <c r="G1443" i="6" s="1"/>
  <c r="F1443" i="6"/>
  <c r="D1444" i="6"/>
  <c r="E1444" i="6"/>
  <c r="G1444" i="6" s="1"/>
  <c r="F1444" i="6"/>
  <c r="D1445" i="6"/>
  <c r="E1445" i="6"/>
  <c r="G1445" i="6" s="1"/>
  <c r="F1445" i="6"/>
  <c r="D1446" i="6"/>
  <c r="E1446" i="6"/>
  <c r="G1446" i="6" s="1"/>
  <c r="F1446" i="6"/>
  <c r="D1447" i="6"/>
  <c r="E1447" i="6"/>
  <c r="G1447" i="6" s="1"/>
  <c r="F1447" i="6"/>
  <c r="D1448" i="6"/>
  <c r="E1448" i="6"/>
  <c r="G1448" i="6" s="1"/>
  <c r="F1448" i="6"/>
  <c r="D1449" i="6"/>
  <c r="E1449" i="6"/>
  <c r="G1449" i="6" s="1"/>
  <c r="F1449" i="6"/>
  <c r="D1450" i="6"/>
  <c r="E1450" i="6"/>
  <c r="G1450" i="6" s="1"/>
  <c r="F1450" i="6"/>
  <c r="D1451" i="6"/>
  <c r="E1451" i="6"/>
  <c r="G1451" i="6" s="1"/>
  <c r="F1451" i="6"/>
  <c r="D1452" i="6"/>
  <c r="E1452" i="6"/>
  <c r="G1452" i="6" s="1"/>
  <c r="F1452" i="6"/>
  <c r="D1453" i="6"/>
  <c r="E1453" i="6"/>
  <c r="G1453" i="6" s="1"/>
  <c r="F1453" i="6"/>
  <c r="D1454" i="6"/>
  <c r="E1454" i="6"/>
  <c r="G1454" i="6" s="1"/>
  <c r="F1454" i="6"/>
  <c r="D1455" i="6"/>
  <c r="E1455" i="6"/>
  <c r="G1455" i="6" s="1"/>
  <c r="F1455" i="6"/>
  <c r="D1456" i="6"/>
  <c r="E1456" i="6"/>
  <c r="F1456" i="6"/>
  <c r="D1457" i="6"/>
  <c r="E1457" i="6"/>
  <c r="G1457" i="6" s="1"/>
  <c r="F1457" i="6"/>
  <c r="D1458" i="6"/>
  <c r="E1458" i="6"/>
  <c r="G1458" i="6" s="1"/>
  <c r="F1458" i="6"/>
  <c r="D1459" i="6"/>
  <c r="E1459" i="6"/>
  <c r="G1459" i="6" s="1"/>
  <c r="F1459" i="6"/>
  <c r="D1460" i="6"/>
  <c r="E1460" i="6"/>
  <c r="G1460" i="6" s="1"/>
  <c r="F1460" i="6"/>
  <c r="D1461" i="6"/>
  <c r="E1461" i="6"/>
  <c r="G1461" i="6" s="1"/>
  <c r="F1461" i="6"/>
  <c r="D1462" i="6"/>
  <c r="E1462" i="6"/>
  <c r="G1462" i="6" s="1"/>
  <c r="F1462" i="6"/>
  <c r="D1463" i="6"/>
  <c r="E1463" i="6"/>
  <c r="G1463" i="6" s="1"/>
  <c r="F1463" i="6"/>
  <c r="D1464" i="6"/>
  <c r="E1464" i="6"/>
  <c r="G1464" i="6" s="1"/>
  <c r="F1464" i="6"/>
  <c r="D1465" i="6"/>
  <c r="E1465" i="6"/>
  <c r="G1465" i="6" s="1"/>
  <c r="F1465" i="6"/>
  <c r="D1466" i="6"/>
  <c r="E1466" i="6"/>
  <c r="G1466" i="6" s="1"/>
  <c r="F1466" i="6"/>
  <c r="D1467" i="6"/>
  <c r="E1467" i="6"/>
  <c r="G1467" i="6" s="1"/>
  <c r="F1467" i="6"/>
  <c r="D1468" i="6"/>
  <c r="E1468" i="6"/>
  <c r="G1468" i="6" s="1"/>
  <c r="F1468" i="6"/>
  <c r="D1469" i="6"/>
  <c r="E1469" i="6"/>
  <c r="G1469" i="6" s="1"/>
  <c r="F1469" i="6"/>
  <c r="D1470" i="6"/>
  <c r="E1470" i="6"/>
  <c r="G1470" i="6" s="1"/>
  <c r="F1470" i="6"/>
  <c r="D1471" i="6"/>
  <c r="E1471" i="6"/>
  <c r="G1471" i="6" s="1"/>
  <c r="F1471" i="6"/>
  <c r="D1472" i="6"/>
  <c r="E1472" i="6"/>
  <c r="G1472" i="6" s="1"/>
  <c r="F1472" i="6"/>
  <c r="D1473" i="6"/>
  <c r="E1473" i="6"/>
  <c r="G1473" i="6" s="1"/>
  <c r="F1473" i="6"/>
  <c r="D1474" i="6"/>
  <c r="E1474" i="6"/>
  <c r="G1474" i="6" s="1"/>
  <c r="F1474" i="6"/>
  <c r="D1475" i="6"/>
  <c r="E1475" i="6"/>
  <c r="G1475" i="6" s="1"/>
  <c r="F1475" i="6"/>
  <c r="D1476" i="6"/>
  <c r="E1476" i="6"/>
  <c r="G1476" i="6" s="1"/>
  <c r="F1476" i="6"/>
  <c r="D1477" i="6"/>
  <c r="E1477" i="6"/>
  <c r="G1477" i="6" s="1"/>
  <c r="F1477" i="6"/>
  <c r="D1478" i="6"/>
  <c r="E1478" i="6"/>
  <c r="G1478" i="6" s="1"/>
  <c r="F1478" i="6"/>
  <c r="D1479" i="6"/>
  <c r="E1479" i="6"/>
  <c r="G1479" i="6" s="1"/>
  <c r="F1479" i="6"/>
  <c r="D1480" i="6"/>
  <c r="E1480" i="6"/>
  <c r="G1480" i="6" s="1"/>
  <c r="F1480" i="6"/>
  <c r="D1481" i="6"/>
  <c r="E1481" i="6"/>
  <c r="G1481" i="6" s="1"/>
  <c r="F1481" i="6"/>
  <c r="D1482" i="6"/>
  <c r="E1482" i="6"/>
  <c r="G1482" i="6" s="1"/>
  <c r="F1482" i="6"/>
  <c r="D1483" i="6"/>
  <c r="E1483" i="6"/>
  <c r="G1483" i="6" s="1"/>
  <c r="F1483" i="6"/>
  <c r="D1484" i="6"/>
  <c r="E1484" i="6"/>
  <c r="G1484" i="6" s="1"/>
  <c r="F1484" i="6"/>
  <c r="D1485" i="6"/>
  <c r="E1485" i="6"/>
  <c r="G1485" i="6" s="1"/>
  <c r="F1485" i="6"/>
  <c r="D1486" i="6"/>
  <c r="E1486" i="6"/>
  <c r="G1486" i="6" s="1"/>
  <c r="F1486" i="6"/>
  <c r="D1487" i="6"/>
  <c r="E1487" i="6"/>
  <c r="G1487" i="6" s="1"/>
  <c r="F1487" i="6"/>
  <c r="D1488" i="6"/>
  <c r="E1488" i="6"/>
  <c r="G1488" i="6" s="1"/>
  <c r="F1488" i="6"/>
  <c r="D1489" i="6"/>
  <c r="E1489" i="6"/>
  <c r="G1489" i="6" s="1"/>
  <c r="F1489" i="6"/>
  <c r="D1490" i="6"/>
  <c r="E1490" i="6"/>
  <c r="G1490" i="6" s="1"/>
  <c r="F1490" i="6"/>
  <c r="D1491" i="6"/>
  <c r="E1491" i="6"/>
  <c r="G1491" i="6" s="1"/>
  <c r="F1491" i="6"/>
  <c r="D1492" i="6"/>
  <c r="E1492" i="6"/>
  <c r="G1492" i="6" s="1"/>
  <c r="F1492" i="6"/>
  <c r="D1493" i="6"/>
  <c r="E1493" i="6"/>
  <c r="G1493" i="6" s="1"/>
  <c r="F1493" i="6"/>
  <c r="D1494" i="6"/>
  <c r="E1494" i="6"/>
  <c r="G1494" i="6" s="1"/>
  <c r="F1494" i="6"/>
  <c r="D1495" i="6"/>
  <c r="E1495" i="6"/>
  <c r="G1495" i="6" s="1"/>
  <c r="F1495" i="6"/>
  <c r="D1496" i="6"/>
  <c r="E1496" i="6"/>
  <c r="G1496" i="6" s="1"/>
  <c r="F1496" i="6"/>
  <c r="D1497" i="6"/>
  <c r="E1497" i="6"/>
  <c r="G1497" i="6" s="1"/>
  <c r="F1497" i="6"/>
  <c r="D1498" i="6"/>
  <c r="E1498" i="6"/>
  <c r="G1498" i="6" s="1"/>
  <c r="F1498" i="6"/>
  <c r="D1499" i="6"/>
  <c r="E1499" i="6"/>
  <c r="G1499" i="6" s="1"/>
  <c r="F1499" i="6"/>
  <c r="D1500" i="6"/>
  <c r="E1500" i="6"/>
  <c r="G1500" i="6" s="1"/>
  <c r="F1500" i="6"/>
  <c r="D1501" i="6"/>
  <c r="E1501" i="6"/>
  <c r="G1501" i="6" s="1"/>
  <c r="F1501" i="6"/>
  <c r="D1502" i="6"/>
  <c r="E1502" i="6"/>
  <c r="G1502" i="6" s="1"/>
  <c r="F1502" i="6"/>
  <c r="D1503" i="6"/>
  <c r="E1503" i="6"/>
  <c r="G1503" i="6" s="1"/>
  <c r="F1503" i="6"/>
  <c r="D1504" i="6"/>
  <c r="E1504" i="6"/>
  <c r="G1504" i="6" s="1"/>
  <c r="F1504" i="6"/>
  <c r="D1505" i="6"/>
  <c r="E1505" i="6"/>
  <c r="G1505" i="6" s="1"/>
  <c r="F1505" i="6"/>
  <c r="D1506" i="6"/>
  <c r="E1506" i="6"/>
  <c r="G1506" i="6" s="1"/>
  <c r="F1506" i="6"/>
  <c r="D1507" i="6"/>
  <c r="E1507" i="6"/>
  <c r="G1507" i="6" s="1"/>
  <c r="F1507" i="6"/>
  <c r="D1508" i="6"/>
  <c r="E1508" i="6"/>
  <c r="G1508" i="6" s="1"/>
  <c r="F1508" i="6"/>
  <c r="D1509" i="6"/>
  <c r="E1509" i="6"/>
  <c r="G1509" i="6" s="1"/>
  <c r="F1509" i="6"/>
  <c r="D1510" i="6"/>
  <c r="E1510" i="6"/>
  <c r="G1510" i="6" s="1"/>
  <c r="F1510" i="6"/>
  <c r="D1511" i="6"/>
  <c r="E1511" i="6"/>
  <c r="G1511" i="6" s="1"/>
  <c r="F1511" i="6"/>
  <c r="D1512" i="6"/>
  <c r="E1512" i="6"/>
  <c r="G1512" i="6" s="1"/>
  <c r="F1512" i="6"/>
  <c r="D1513" i="6"/>
  <c r="E1513" i="6"/>
  <c r="F1513" i="6"/>
  <c r="D1514" i="6"/>
  <c r="E1514" i="6"/>
  <c r="G1514" i="6" s="1"/>
  <c r="F1514" i="6"/>
  <c r="D1515" i="6"/>
  <c r="E1515" i="6"/>
  <c r="G1515" i="6" s="1"/>
  <c r="F1515" i="6"/>
  <c r="D1516" i="6"/>
  <c r="E1516" i="6"/>
  <c r="G1516" i="6" s="1"/>
  <c r="F1516" i="6"/>
  <c r="D1517" i="6"/>
  <c r="E1517" i="6"/>
  <c r="G1517" i="6" s="1"/>
  <c r="F1517" i="6"/>
  <c r="D1518" i="6"/>
  <c r="E1518" i="6"/>
  <c r="G1518" i="6" s="1"/>
  <c r="F1518" i="6"/>
  <c r="D1519" i="6"/>
  <c r="E1519" i="6"/>
  <c r="G1519" i="6" s="1"/>
  <c r="F1519" i="6"/>
  <c r="D1520" i="6"/>
  <c r="E1520" i="6"/>
  <c r="G1520" i="6" s="1"/>
  <c r="F1520" i="6"/>
  <c r="D1521" i="6"/>
  <c r="E1521" i="6"/>
  <c r="G1521" i="6" s="1"/>
  <c r="F1521" i="6"/>
  <c r="D1522" i="6"/>
  <c r="E1522" i="6"/>
  <c r="G1522" i="6" s="1"/>
  <c r="F1522" i="6"/>
  <c r="D1523" i="6"/>
  <c r="E1523" i="6"/>
  <c r="G1523" i="6" s="1"/>
  <c r="F1523" i="6"/>
  <c r="D1524" i="6"/>
  <c r="E1524" i="6"/>
  <c r="G1524" i="6" s="1"/>
  <c r="F1524" i="6"/>
  <c r="D1525" i="6"/>
  <c r="E1525" i="6"/>
  <c r="G1525" i="6" s="1"/>
  <c r="F1525" i="6"/>
  <c r="D1526" i="6"/>
  <c r="E1526" i="6"/>
  <c r="G1526" i="6" s="1"/>
  <c r="F1526" i="6"/>
  <c r="D1527" i="6"/>
  <c r="E1527" i="6"/>
  <c r="G1527" i="6" s="1"/>
  <c r="F1527" i="6"/>
  <c r="D1528" i="6"/>
  <c r="E1528" i="6"/>
  <c r="G1528" i="6" s="1"/>
  <c r="F1528" i="6"/>
  <c r="D1529" i="6"/>
  <c r="E1529" i="6"/>
  <c r="G1529" i="6" s="1"/>
  <c r="F1529" i="6"/>
  <c r="D1530" i="6"/>
  <c r="E1530" i="6"/>
  <c r="G1530" i="6" s="1"/>
  <c r="F1530" i="6"/>
  <c r="D1531" i="6"/>
  <c r="E1531" i="6"/>
  <c r="G1531" i="6" s="1"/>
  <c r="F1531" i="6"/>
  <c r="D1532" i="6"/>
  <c r="E1532" i="6"/>
  <c r="G1532" i="6" s="1"/>
  <c r="F1532" i="6"/>
  <c r="D1533" i="6"/>
  <c r="E1533" i="6"/>
  <c r="G1533" i="6" s="1"/>
  <c r="F1533" i="6"/>
  <c r="D1534" i="6"/>
  <c r="E1534" i="6"/>
  <c r="G1534" i="6" s="1"/>
  <c r="F1534" i="6"/>
  <c r="D1535" i="6"/>
  <c r="E1535" i="6"/>
  <c r="G1535" i="6" s="1"/>
  <c r="F1535" i="6"/>
  <c r="D1536" i="6"/>
  <c r="E1536" i="6"/>
  <c r="G1536" i="6" s="1"/>
  <c r="F1536" i="6"/>
  <c r="D1537" i="6"/>
  <c r="E1537" i="6"/>
  <c r="G1537" i="6" s="1"/>
  <c r="F1537" i="6"/>
  <c r="D1538" i="6"/>
  <c r="E1538" i="6"/>
  <c r="G1538" i="6" s="1"/>
  <c r="F1538" i="6"/>
  <c r="D1539" i="6"/>
  <c r="E1539" i="6"/>
  <c r="G1539" i="6" s="1"/>
  <c r="F1539" i="6"/>
  <c r="D1540" i="6"/>
  <c r="E1540" i="6"/>
  <c r="G1540" i="6" s="1"/>
  <c r="F1540" i="6"/>
  <c r="D1541" i="6"/>
  <c r="E1541" i="6"/>
  <c r="G1541" i="6" s="1"/>
  <c r="F1541" i="6"/>
  <c r="D1542" i="6"/>
  <c r="E1542" i="6"/>
  <c r="G1542" i="6" s="1"/>
  <c r="F1542" i="6"/>
  <c r="D1543" i="6"/>
  <c r="E1543" i="6"/>
  <c r="G1543" i="6" s="1"/>
  <c r="F1543" i="6"/>
  <c r="D1544" i="6"/>
  <c r="E1544" i="6"/>
  <c r="G1544" i="6" s="1"/>
  <c r="F1544" i="6"/>
  <c r="D1545" i="6"/>
  <c r="E1545" i="6"/>
  <c r="G1545" i="6" s="1"/>
  <c r="F1545" i="6"/>
  <c r="D1546" i="6"/>
  <c r="E1546" i="6"/>
  <c r="G1546" i="6" s="1"/>
  <c r="F1546" i="6"/>
  <c r="D1547" i="6"/>
  <c r="E1547" i="6"/>
  <c r="G1547" i="6" s="1"/>
  <c r="F1547" i="6"/>
  <c r="D1548" i="6"/>
  <c r="E1548" i="6"/>
  <c r="G1548" i="6" s="1"/>
  <c r="F1548" i="6"/>
  <c r="D1549" i="6"/>
  <c r="E1549" i="6"/>
  <c r="G1549" i="6" s="1"/>
  <c r="F1549" i="6"/>
  <c r="D1550" i="6"/>
  <c r="E1550" i="6"/>
  <c r="G1550" i="6" s="1"/>
  <c r="F1550" i="6"/>
  <c r="D1551" i="6"/>
  <c r="E1551" i="6"/>
  <c r="G1551" i="6" s="1"/>
  <c r="F1551" i="6"/>
  <c r="D1552" i="6"/>
  <c r="E1552" i="6"/>
  <c r="G1552" i="6" s="1"/>
  <c r="F1552" i="6"/>
  <c r="D1553" i="6"/>
  <c r="E1553" i="6"/>
  <c r="G1553" i="6" s="1"/>
  <c r="F1553" i="6"/>
  <c r="D1554" i="6"/>
  <c r="E1554" i="6"/>
  <c r="G1554" i="6" s="1"/>
  <c r="F1554" i="6"/>
  <c r="D1555" i="6"/>
  <c r="E1555" i="6"/>
  <c r="G1555" i="6" s="1"/>
  <c r="F1555" i="6"/>
  <c r="D1556" i="6"/>
  <c r="E1556" i="6"/>
  <c r="G1556" i="6" s="1"/>
  <c r="F1556" i="6"/>
  <c r="D1557" i="6"/>
  <c r="E1557" i="6"/>
  <c r="G1557" i="6" s="1"/>
  <c r="F1557" i="6"/>
  <c r="D1558" i="6"/>
  <c r="E1558" i="6"/>
  <c r="G1558" i="6" s="1"/>
  <c r="F1558" i="6"/>
  <c r="D1559" i="6"/>
  <c r="E1559" i="6"/>
  <c r="G1559" i="6" s="1"/>
  <c r="F1559" i="6"/>
  <c r="D1560" i="6"/>
  <c r="E1560" i="6"/>
  <c r="G1560" i="6" s="1"/>
  <c r="F1560" i="6"/>
  <c r="D1561" i="6"/>
  <c r="E1561" i="6"/>
  <c r="G1561" i="6" s="1"/>
  <c r="F1561" i="6"/>
  <c r="D1562" i="6"/>
  <c r="E1562" i="6"/>
  <c r="G1562" i="6" s="1"/>
  <c r="F1562" i="6"/>
  <c r="D1563" i="6"/>
  <c r="E1563" i="6"/>
  <c r="G1563" i="6" s="1"/>
  <c r="F1563" i="6"/>
  <c r="D1564" i="6"/>
  <c r="E1564" i="6"/>
  <c r="G1564" i="6" s="1"/>
  <c r="F1564" i="6"/>
  <c r="D1565" i="6"/>
  <c r="E1565" i="6"/>
  <c r="G1565" i="6" s="1"/>
  <c r="F1565" i="6"/>
  <c r="D1566" i="6"/>
  <c r="E1566" i="6"/>
  <c r="G1566" i="6" s="1"/>
  <c r="F1566" i="6"/>
  <c r="D1567" i="6"/>
  <c r="E1567" i="6"/>
  <c r="G1567" i="6" s="1"/>
  <c r="F1567" i="6"/>
  <c r="D1568" i="6"/>
  <c r="E1568" i="6"/>
  <c r="G1568" i="6" s="1"/>
  <c r="F1568" i="6"/>
  <c r="D1569" i="6"/>
  <c r="E1569" i="6"/>
  <c r="F1569" i="6"/>
  <c r="D1570" i="6"/>
  <c r="E1570" i="6"/>
  <c r="G1570" i="6" s="1"/>
  <c r="F1570" i="6"/>
  <c r="D1571" i="6"/>
  <c r="E1571" i="6"/>
  <c r="G1571" i="6" s="1"/>
  <c r="F1571" i="6"/>
  <c r="D1572" i="6"/>
  <c r="E1572" i="6"/>
  <c r="F1572" i="6"/>
  <c r="D1573" i="6"/>
  <c r="E1573" i="6"/>
  <c r="G1573" i="6" s="1"/>
  <c r="F1573" i="6"/>
  <c r="D1574" i="6"/>
  <c r="E1574" i="6"/>
  <c r="G1574" i="6" s="1"/>
  <c r="F1574" i="6"/>
  <c r="D1575" i="6"/>
  <c r="E1575" i="6"/>
  <c r="G1575" i="6" s="1"/>
  <c r="F1575" i="6"/>
  <c r="D1576" i="6"/>
  <c r="E1576" i="6"/>
  <c r="G1576" i="6" s="1"/>
  <c r="F1576" i="6"/>
  <c r="D1577" i="6"/>
  <c r="E1577" i="6"/>
  <c r="G1577" i="6" s="1"/>
  <c r="F1577" i="6"/>
  <c r="D1578" i="6"/>
  <c r="E1578" i="6"/>
  <c r="G1578" i="6" s="1"/>
  <c r="F1578" i="6"/>
  <c r="D1579" i="6"/>
  <c r="E1579" i="6"/>
  <c r="G1579" i="6" s="1"/>
  <c r="F1579" i="6"/>
  <c r="D1580" i="6"/>
  <c r="E1580" i="6"/>
  <c r="G1580" i="6" s="1"/>
  <c r="F1580" i="6"/>
  <c r="D1581" i="6"/>
  <c r="E1581" i="6"/>
  <c r="G1581" i="6" s="1"/>
  <c r="F1581" i="6"/>
  <c r="D1582" i="6"/>
  <c r="E1582" i="6"/>
  <c r="G1582" i="6" s="1"/>
  <c r="F1582" i="6"/>
  <c r="D1583" i="6"/>
  <c r="E1583" i="6"/>
  <c r="G1583" i="6" s="1"/>
  <c r="F1583" i="6"/>
  <c r="D1584" i="6"/>
  <c r="E1584" i="6"/>
  <c r="G1584" i="6" s="1"/>
  <c r="F1584" i="6"/>
  <c r="D1585" i="6"/>
  <c r="E1585" i="6"/>
  <c r="G1585" i="6" s="1"/>
  <c r="F1585" i="6"/>
  <c r="D1586" i="6"/>
  <c r="E1586" i="6"/>
  <c r="G1586" i="6" s="1"/>
  <c r="F1586" i="6"/>
  <c r="D1587" i="6"/>
  <c r="E1587" i="6"/>
  <c r="G1587" i="6" s="1"/>
  <c r="F1587" i="6"/>
  <c r="D1588" i="6"/>
  <c r="E1588" i="6"/>
  <c r="G1588" i="6" s="1"/>
  <c r="F1588" i="6"/>
  <c r="D1589" i="6"/>
  <c r="E1589" i="6"/>
  <c r="G1589" i="6" s="1"/>
  <c r="F1589" i="6"/>
  <c r="D1590" i="6"/>
  <c r="E1590" i="6"/>
  <c r="G1590" i="6" s="1"/>
  <c r="F1590" i="6"/>
  <c r="D1591" i="6"/>
  <c r="E1591" i="6"/>
  <c r="G1591" i="6" s="1"/>
  <c r="F1591" i="6"/>
  <c r="D1592" i="6"/>
  <c r="E1592" i="6"/>
  <c r="G1592" i="6" s="1"/>
  <c r="F1592" i="6"/>
  <c r="D1593" i="6"/>
  <c r="E1593" i="6"/>
  <c r="G1593" i="6" s="1"/>
  <c r="F1593" i="6"/>
  <c r="D1594" i="6"/>
  <c r="E1594" i="6"/>
  <c r="G1594" i="6" s="1"/>
  <c r="F1594" i="6"/>
  <c r="D1595" i="6"/>
  <c r="E1595" i="6"/>
  <c r="G1595" i="6" s="1"/>
  <c r="F1595" i="6"/>
  <c r="D1596" i="6"/>
  <c r="E1596" i="6"/>
  <c r="G1596" i="6" s="1"/>
  <c r="F1596" i="6"/>
  <c r="D1597" i="6"/>
  <c r="E1597" i="6"/>
  <c r="G1597" i="6" s="1"/>
  <c r="F1597" i="6"/>
  <c r="D1598" i="6"/>
  <c r="E1598" i="6"/>
  <c r="G1598" i="6" s="1"/>
  <c r="F1598" i="6"/>
  <c r="D1599" i="6"/>
  <c r="E1599" i="6"/>
  <c r="G1599" i="6" s="1"/>
  <c r="F1599" i="6"/>
  <c r="D1600" i="6"/>
  <c r="E1600" i="6"/>
  <c r="G1600" i="6" s="1"/>
  <c r="F1600" i="6"/>
  <c r="D1601" i="6"/>
  <c r="E1601" i="6"/>
  <c r="G1601" i="6" s="1"/>
  <c r="F1601" i="6"/>
  <c r="D1602" i="6"/>
  <c r="E1602" i="6"/>
  <c r="G1602" i="6" s="1"/>
  <c r="F1602" i="6"/>
  <c r="D1603" i="6"/>
  <c r="E1603" i="6"/>
  <c r="G1603" i="6" s="1"/>
  <c r="F1603" i="6"/>
  <c r="D1604" i="6"/>
  <c r="E1604" i="6"/>
  <c r="G1604" i="6" s="1"/>
  <c r="F1604" i="6"/>
  <c r="D1605" i="6"/>
  <c r="E1605" i="6"/>
  <c r="G1605" i="6" s="1"/>
  <c r="F1605" i="6"/>
  <c r="D1606" i="6"/>
  <c r="E1606" i="6"/>
  <c r="G1606" i="6" s="1"/>
  <c r="F1606" i="6"/>
  <c r="D1607" i="6"/>
  <c r="E1607" i="6"/>
  <c r="G1607" i="6" s="1"/>
  <c r="F1607" i="6"/>
  <c r="D1608" i="6"/>
  <c r="E1608" i="6"/>
  <c r="G1608" i="6" s="1"/>
  <c r="F1608" i="6"/>
  <c r="D1609" i="6"/>
  <c r="E1609" i="6"/>
  <c r="G1609" i="6" s="1"/>
  <c r="F1609" i="6"/>
  <c r="D1610" i="6"/>
  <c r="E1610" i="6"/>
  <c r="G1610" i="6" s="1"/>
  <c r="F1610" i="6"/>
  <c r="D1611" i="6"/>
  <c r="E1611" i="6"/>
  <c r="G1611" i="6" s="1"/>
  <c r="F1611" i="6"/>
  <c r="D1612" i="6"/>
  <c r="E1612" i="6"/>
  <c r="G1612" i="6" s="1"/>
  <c r="F1612" i="6"/>
  <c r="D1613" i="6"/>
  <c r="E1613" i="6"/>
  <c r="G1613" i="6" s="1"/>
  <c r="F1613" i="6"/>
  <c r="D1614" i="6"/>
  <c r="E1614" i="6"/>
  <c r="F1614" i="6"/>
  <c r="D1615" i="6"/>
  <c r="E1615" i="6"/>
  <c r="G1615" i="6" s="1"/>
  <c r="F1615" i="6"/>
  <c r="D1616" i="6"/>
  <c r="E1616" i="6"/>
  <c r="G1616" i="6" s="1"/>
  <c r="F1616" i="6"/>
  <c r="D1617" i="6"/>
  <c r="E1617" i="6"/>
  <c r="G1617" i="6" s="1"/>
  <c r="F1617" i="6"/>
  <c r="D1618" i="6"/>
  <c r="E1618" i="6"/>
  <c r="G1618" i="6" s="1"/>
  <c r="F1618" i="6"/>
  <c r="D1619" i="6"/>
  <c r="E1619" i="6"/>
  <c r="G1619" i="6" s="1"/>
  <c r="F1619" i="6"/>
  <c r="D1620" i="6"/>
  <c r="E1620" i="6"/>
  <c r="G1620" i="6" s="1"/>
  <c r="F1620" i="6"/>
  <c r="D1621" i="6"/>
  <c r="E1621" i="6"/>
  <c r="G1621" i="6" s="1"/>
  <c r="F1621" i="6"/>
  <c r="D1622" i="6"/>
  <c r="E1622" i="6"/>
  <c r="G1622" i="6" s="1"/>
  <c r="F1622" i="6"/>
  <c r="D1623" i="6"/>
  <c r="E1623" i="6"/>
  <c r="G1623" i="6" s="1"/>
  <c r="F1623" i="6"/>
  <c r="D1624" i="6"/>
  <c r="E1624" i="6"/>
  <c r="G1624" i="6" s="1"/>
  <c r="F1624" i="6"/>
  <c r="D1625" i="6"/>
  <c r="E1625" i="6"/>
  <c r="G1625" i="6" s="1"/>
  <c r="F1625" i="6"/>
  <c r="D1626" i="6"/>
  <c r="E1626" i="6"/>
  <c r="G1626" i="6" s="1"/>
  <c r="F1626" i="6"/>
  <c r="D1627" i="6"/>
  <c r="E1627" i="6"/>
  <c r="G1627" i="6" s="1"/>
  <c r="F1627" i="6"/>
  <c r="D1628" i="6"/>
  <c r="E1628" i="6"/>
  <c r="G1628" i="6" s="1"/>
  <c r="F1628" i="6"/>
  <c r="D1629" i="6"/>
  <c r="E1629" i="6"/>
  <c r="G1629" i="6" s="1"/>
  <c r="F1629" i="6"/>
  <c r="D1630" i="6"/>
  <c r="E1630" i="6"/>
  <c r="G1630" i="6" s="1"/>
  <c r="F1630" i="6"/>
  <c r="D1631" i="6"/>
  <c r="E1631" i="6"/>
  <c r="G1631" i="6" s="1"/>
  <c r="F1631" i="6"/>
  <c r="D1632" i="6"/>
  <c r="E1632" i="6"/>
  <c r="G1632" i="6" s="1"/>
  <c r="F1632" i="6"/>
  <c r="D1633" i="6"/>
  <c r="E1633" i="6"/>
  <c r="G1633" i="6" s="1"/>
  <c r="F1633" i="6"/>
  <c r="D1634" i="6"/>
  <c r="E1634" i="6"/>
  <c r="G1634" i="6" s="1"/>
  <c r="F1634" i="6"/>
  <c r="D1635" i="6"/>
  <c r="E1635" i="6"/>
  <c r="G1635" i="6" s="1"/>
  <c r="F1635" i="6"/>
  <c r="D1636" i="6"/>
  <c r="E1636" i="6"/>
  <c r="G1636" i="6" s="1"/>
  <c r="F1636" i="6"/>
  <c r="D1637" i="6"/>
  <c r="E1637" i="6"/>
  <c r="G1637" i="6" s="1"/>
  <c r="F1637" i="6"/>
  <c r="D1638" i="6"/>
  <c r="E1638" i="6"/>
  <c r="G1638" i="6" s="1"/>
  <c r="F1638" i="6"/>
  <c r="D1639" i="6"/>
  <c r="E1639" i="6"/>
  <c r="G1639" i="6" s="1"/>
  <c r="F1639" i="6"/>
  <c r="D1640" i="6"/>
  <c r="E1640" i="6"/>
  <c r="G1640" i="6" s="1"/>
  <c r="F1640" i="6"/>
  <c r="D1641" i="6"/>
  <c r="E1641" i="6"/>
  <c r="G1641" i="6" s="1"/>
  <c r="F1641" i="6"/>
  <c r="D1642" i="6"/>
  <c r="E1642" i="6"/>
  <c r="G1642" i="6" s="1"/>
  <c r="F1642" i="6"/>
  <c r="D1643" i="6"/>
  <c r="E1643" i="6"/>
  <c r="G1643" i="6" s="1"/>
  <c r="F1643" i="6"/>
  <c r="D1644" i="6"/>
  <c r="E1644" i="6"/>
  <c r="F1644" i="6"/>
  <c r="D1645" i="6"/>
  <c r="E1645" i="6"/>
  <c r="G1645" i="6" s="1"/>
  <c r="F1645" i="6"/>
  <c r="D1646" i="6"/>
  <c r="E1646" i="6"/>
  <c r="G1646" i="6" s="1"/>
  <c r="F1646" i="6"/>
  <c r="D1647" i="6"/>
  <c r="E1647" i="6"/>
  <c r="G1647" i="6" s="1"/>
  <c r="F1647" i="6"/>
  <c r="D1648" i="6"/>
  <c r="E1648" i="6"/>
  <c r="G1648" i="6" s="1"/>
  <c r="F1648" i="6"/>
  <c r="D1649" i="6"/>
  <c r="E1649" i="6"/>
  <c r="G1649" i="6" s="1"/>
  <c r="F1649" i="6"/>
  <c r="D1650" i="6"/>
  <c r="E1650" i="6"/>
  <c r="G1650" i="6" s="1"/>
  <c r="F1650" i="6"/>
  <c r="D1651" i="6"/>
  <c r="E1651" i="6"/>
  <c r="G1651" i="6" s="1"/>
  <c r="F1651" i="6"/>
  <c r="D1652" i="6"/>
  <c r="E1652" i="6"/>
  <c r="G1652" i="6" s="1"/>
  <c r="F1652" i="6"/>
  <c r="D1653" i="6"/>
  <c r="E1653" i="6"/>
  <c r="G1653" i="6" s="1"/>
  <c r="F1653" i="6"/>
  <c r="D1654" i="6"/>
  <c r="E1654" i="6"/>
  <c r="G1654" i="6" s="1"/>
  <c r="F1654" i="6"/>
  <c r="D1655" i="6"/>
  <c r="E1655" i="6"/>
  <c r="G1655" i="6" s="1"/>
  <c r="F1655" i="6"/>
  <c r="D1656" i="6"/>
  <c r="E1656" i="6"/>
  <c r="G1656" i="6" s="1"/>
  <c r="F1656" i="6"/>
  <c r="D1657" i="6"/>
  <c r="E1657" i="6"/>
  <c r="G1657" i="6" s="1"/>
  <c r="F1657" i="6"/>
  <c r="D1658" i="6"/>
  <c r="E1658" i="6"/>
  <c r="G1658" i="6" s="1"/>
  <c r="F1658" i="6"/>
  <c r="D1659" i="6"/>
  <c r="E1659" i="6"/>
  <c r="G1659" i="6" s="1"/>
  <c r="F1659" i="6"/>
  <c r="D1660" i="6"/>
  <c r="E1660" i="6"/>
  <c r="G1660" i="6" s="1"/>
  <c r="F1660" i="6"/>
  <c r="D1661" i="6"/>
  <c r="E1661" i="6"/>
  <c r="G1661" i="6" s="1"/>
  <c r="F1661" i="6"/>
  <c r="D1662" i="6"/>
  <c r="E1662" i="6"/>
  <c r="F1662" i="6"/>
  <c r="D1663" i="6"/>
  <c r="E1663" i="6"/>
  <c r="G1663" i="6" s="1"/>
  <c r="F1663" i="6"/>
  <c r="D1664" i="6"/>
  <c r="E1664" i="6"/>
  <c r="G1664" i="6" s="1"/>
  <c r="F1664" i="6"/>
  <c r="D1665" i="6"/>
  <c r="E1665" i="6"/>
  <c r="G1665" i="6" s="1"/>
  <c r="F1665" i="6"/>
  <c r="D1666" i="6"/>
  <c r="E1666" i="6"/>
  <c r="G1666" i="6" s="1"/>
  <c r="F1666" i="6"/>
  <c r="D1667" i="6"/>
  <c r="E1667" i="6"/>
  <c r="G1667" i="6" s="1"/>
  <c r="F1667" i="6"/>
  <c r="D1668" i="6"/>
  <c r="E1668" i="6"/>
  <c r="G1668" i="6" s="1"/>
  <c r="F1668" i="6"/>
  <c r="D1669" i="6"/>
  <c r="E1669" i="6"/>
  <c r="F1669" i="6"/>
  <c r="G1669" i="6"/>
  <c r="D1670" i="6"/>
  <c r="E1670" i="6"/>
  <c r="G1670" i="6" s="1"/>
  <c r="F1670" i="6"/>
  <c r="D1671" i="6"/>
  <c r="E1671" i="6"/>
  <c r="G1671" i="6" s="1"/>
  <c r="F1671" i="6"/>
  <c r="D1672" i="6"/>
  <c r="E1672" i="6"/>
  <c r="G1672" i="6" s="1"/>
  <c r="F1672" i="6"/>
  <c r="D1673" i="6"/>
  <c r="E1673" i="6"/>
  <c r="G1673" i="6" s="1"/>
  <c r="F1673" i="6"/>
  <c r="D1674" i="6"/>
  <c r="E1674" i="6"/>
  <c r="G1674" i="6" s="1"/>
  <c r="F1674" i="6"/>
  <c r="D1675" i="6"/>
  <c r="E1675" i="6"/>
  <c r="G1675" i="6" s="1"/>
  <c r="F1675" i="6"/>
  <c r="D1676" i="6"/>
  <c r="E1676" i="6"/>
  <c r="G1676" i="6" s="1"/>
  <c r="F1676" i="6"/>
  <c r="D1677" i="6"/>
  <c r="E1677" i="6"/>
  <c r="G1677" i="6" s="1"/>
  <c r="F1677" i="6"/>
  <c r="D1678" i="6"/>
  <c r="E1678" i="6"/>
  <c r="G1678" i="6" s="1"/>
  <c r="F1678" i="6"/>
  <c r="D1679" i="6"/>
  <c r="E1679" i="6"/>
  <c r="G1679" i="6" s="1"/>
  <c r="F1679" i="6"/>
  <c r="D1680" i="6"/>
  <c r="E1680" i="6"/>
  <c r="G1680" i="6" s="1"/>
  <c r="F1680" i="6"/>
  <c r="D1681" i="6"/>
  <c r="E1681" i="6"/>
  <c r="G1681" i="6" s="1"/>
  <c r="F1681" i="6"/>
  <c r="D1682" i="6"/>
  <c r="E1682" i="6"/>
  <c r="G1682" i="6" s="1"/>
  <c r="F1682" i="6"/>
  <c r="D1683" i="6"/>
  <c r="E1683" i="6"/>
  <c r="G1683" i="6" s="1"/>
  <c r="F1683" i="6"/>
  <c r="D1684" i="6"/>
  <c r="E1684" i="6"/>
  <c r="G1684" i="6" s="1"/>
  <c r="F1684" i="6"/>
  <c r="D1685" i="6"/>
  <c r="E1685" i="6"/>
  <c r="F1685" i="6"/>
  <c r="D1686" i="6"/>
  <c r="E1686" i="6"/>
  <c r="G1686" i="6" s="1"/>
  <c r="F1686" i="6"/>
  <c r="D1687" i="6"/>
  <c r="E1687" i="6"/>
  <c r="G1687" i="6" s="1"/>
  <c r="F1687" i="6"/>
  <c r="D1688" i="6"/>
  <c r="E1688" i="6"/>
  <c r="G1688" i="6" s="1"/>
  <c r="F1688" i="6"/>
  <c r="D1689" i="6"/>
  <c r="E1689" i="6"/>
  <c r="G1689" i="6" s="1"/>
  <c r="F1689" i="6"/>
  <c r="D1690" i="6"/>
  <c r="E1690" i="6"/>
  <c r="G1690" i="6" s="1"/>
  <c r="F1690" i="6"/>
  <c r="D1691" i="6"/>
  <c r="E1691" i="6"/>
  <c r="G1691" i="6" s="1"/>
  <c r="F1691" i="6"/>
  <c r="D1692" i="6"/>
  <c r="E1692" i="6"/>
  <c r="G1692" i="6" s="1"/>
  <c r="F1692" i="6"/>
  <c r="D1693" i="6"/>
  <c r="E1693" i="6"/>
  <c r="G1693" i="6" s="1"/>
  <c r="F1693" i="6"/>
  <c r="D1694" i="6"/>
  <c r="E1694" i="6"/>
  <c r="G1694" i="6" s="1"/>
  <c r="F1694" i="6"/>
  <c r="D1695" i="6"/>
  <c r="E1695" i="6"/>
  <c r="G1695" i="6" s="1"/>
  <c r="F1695" i="6"/>
  <c r="D1696" i="6"/>
  <c r="E1696" i="6"/>
  <c r="G1696" i="6" s="1"/>
  <c r="F1696" i="6"/>
  <c r="D1697" i="6"/>
  <c r="E1697" i="6"/>
  <c r="G1697" i="6" s="1"/>
  <c r="F1697" i="6"/>
  <c r="D1698" i="6"/>
  <c r="E1698" i="6"/>
  <c r="G1698" i="6" s="1"/>
  <c r="F1698" i="6"/>
  <c r="D1699" i="6"/>
  <c r="E1699" i="6"/>
  <c r="G1699" i="6" s="1"/>
  <c r="F1699" i="6"/>
  <c r="D1700" i="6"/>
  <c r="E1700" i="6"/>
  <c r="G1700" i="6" s="1"/>
  <c r="F1700" i="6"/>
  <c r="D1701" i="6"/>
  <c r="E1701" i="6"/>
  <c r="G1701" i="6" s="1"/>
  <c r="F1701" i="6"/>
  <c r="D1702" i="6"/>
  <c r="E1702" i="6"/>
  <c r="G1702" i="6" s="1"/>
  <c r="F1702" i="6"/>
  <c r="D1703" i="6"/>
  <c r="E1703" i="6"/>
  <c r="G1703" i="6" s="1"/>
  <c r="F1703" i="6"/>
  <c r="D1704" i="6"/>
  <c r="E1704" i="6"/>
  <c r="G1704" i="6" s="1"/>
  <c r="F1704" i="6"/>
  <c r="D1705" i="6"/>
  <c r="E1705" i="6"/>
  <c r="G1705" i="6" s="1"/>
  <c r="F1705" i="6"/>
  <c r="D1706" i="6"/>
  <c r="E1706" i="6"/>
  <c r="G1706" i="6" s="1"/>
  <c r="F1706" i="6"/>
  <c r="D1707" i="6"/>
  <c r="E1707" i="6"/>
  <c r="G1707" i="6" s="1"/>
  <c r="F1707" i="6"/>
  <c r="D1708" i="6"/>
  <c r="E1708" i="6"/>
  <c r="G1708" i="6" s="1"/>
  <c r="F1708" i="6"/>
  <c r="D1709" i="6"/>
  <c r="E1709" i="6"/>
  <c r="G1709" i="6" s="1"/>
  <c r="F1709" i="6"/>
  <c r="D1710" i="6"/>
  <c r="E1710" i="6"/>
  <c r="G1710" i="6" s="1"/>
  <c r="F1710" i="6"/>
  <c r="D1711" i="6"/>
  <c r="E1711" i="6"/>
  <c r="G1711" i="6" s="1"/>
  <c r="F1711" i="6"/>
  <c r="D1712" i="6"/>
  <c r="E1712" i="6"/>
  <c r="G1712" i="6" s="1"/>
  <c r="F1712" i="6"/>
  <c r="D1713" i="6"/>
  <c r="E1713" i="6"/>
  <c r="G1713" i="6" s="1"/>
  <c r="F1713" i="6"/>
  <c r="D1714" i="6"/>
  <c r="E1714" i="6"/>
  <c r="G1714" i="6" s="1"/>
  <c r="F1714" i="6"/>
  <c r="D1715" i="6"/>
  <c r="E1715" i="6"/>
  <c r="G1715" i="6" s="1"/>
  <c r="F1715" i="6"/>
  <c r="D1716" i="6"/>
  <c r="E1716" i="6"/>
  <c r="G1716" i="6" s="1"/>
  <c r="F1716" i="6"/>
  <c r="D1717" i="6"/>
  <c r="E1717" i="6"/>
  <c r="G1717" i="6" s="1"/>
  <c r="F1717" i="6"/>
  <c r="D1718" i="6"/>
  <c r="E1718" i="6"/>
  <c r="G1718" i="6" s="1"/>
  <c r="F1718" i="6"/>
  <c r="D1719" i="6"/>
  <c r="E1719" i="6"/>
  <c r="G1719" i="6" s="1"/>
  <c r="F1719" i="6"/>
  <c r="D1720" i="6"/>
  <c r="E1720" i="6"/>
  <c r="G1720" i="6" s="1"/>
  <c r="F1720" i="6"/>
  <c r="E2" i="6"/>
  <c r="D2" i="6"/>
  <c r="F2" i="6"/>
  <c r="D3" i="4"/>
  <c r="E3" i="4"/>
  <c r="G3" i="4" s="1"/>
  <c r="F3" i="4"/>
  <c r="D4" i="4"/>
  <c r="E4" i="4"/>
  <c r="G4" i="4" s="1"/>
  <c r="F4" i="4"/>
  <c r="D5" i="4"/>
  <c r="E5" i="4"/>
  <c r="G5" i="4" s="1"/>
  <c r="F5" i="4"/>
  <c r="D6" i="4"/>
  <c r="E6" i="4"/>
  <c r="F6" i="4"/>
  <c r="D7" i="4"/>
  <c r="E7" i="4"/>
  <c r="G7" i="4" s="1"/>
  <c r="F7" i="4"/>
  <c r="D8" i="4"/>
  <c r="E8" i="4"/>
  <c r="G8" i="4" s="1"/>
  <c r="F8" i="4"/>
  <c r="D9" i="4"/>
  <c r="E9" i="4"/>
  <c r="G9" i="4" s="1"/>
  <c r="F9" i="4"/>
  <c r="D10" i="4"/>
  <c r="E10" i="4"/>
  <c r="G10" i="4" s="1"/>
  <c r="F10" i="4"/>
  <c r="D11" i="4"/>
  <c r="E11" i="4"/>
  <c r="G11" i="4" s="1"/>
  <c r="F11" i="4"/>
  <c r="D12" i="4"/>
  <c r="E12" i="4"/>
  <c r="G12" i="4" s="1"/>
  <c r="F12" i="4"/>
  <c r="D13" i="4"/>
  <c r="E13" i="4"/>
  <c r="F13" i="4"/>
  <c r="D14" i="4"/>
  <c r="E14" i="4"/>
  <c r="G14" i="4" s="1"/>
  <c r="F14" i="4"/>
  <c r="D15" i="4"/>
  <c r="E15" i="4"/>
  <c r="G15" i="4" s="1"/>
  <c r="F15" i="4"/>
  <c r="D16" i="4"/>
  <c r="E16" i="4"/>
  <c r="G16" i="4" s="1"/>
  <c r="F16" i="4"/>
  <c r="D17" i="4"/>
  <c r="E17" i="4"/>
  <c r="G17" i="4" s="1"/>
  <c r="F17" i="4"/>
  <c r="D18" i="4"/>
  <c r="E18" i="4"/>
  <c r="G18" i="4" s="1"/>
  <c r="F18" i="4"/>
  <c r="D19" i="4"/>
  <c r="E19" i="4"/>
  <c r="G19" i="4" s="1"/>
  <c r="F19" i="4"/>
  <c r="D20" i="4"/>
  <c r="E20" i="4"/>
  <c r="G20" i="4" s="1"/>
  <c r="F20" i="4"/>
  <c r="D21" i="4"/>
  <c r="E21" i="4"/>
  <c r="G21" i="4" s="1"/>
  <c r="F21" i="4"/>
  <c r="D22" i="4"/>
  <c r="E22" i="4"/>
  <c r="G22" i="4" s="1"/>
  <c r="F22" i="4"/>
  <c r="D23" i="4"/>
  <c r="E23" i="4"/>
  <c r="G23" i="4" s="1"/>
  <c r="F23" i="4"/>
  <c r="D24" i="4"/>
  <c r="E24" i="4"/>
  <c r="G24" i="4" s="1"/>
  <c r="F24" i="4"/>
  <c r="D25" i="4"/>
  <c r="E25" i="4"/>
  <c r="F25" i="4"/>
  <c r="D26" i="4"/>
  <c r="E26" i="4"/>
  <c r="G26" i="4" s="1"/>
  <c r="F26" i="4"/>
  <c r="D27" i="4"/>
  <c r="E27" i="4"/>
  <c r="G27" i="4" s="1"/>
  <c r="F27" i="4"/>
  <c r="D28" i="4"/>
  <c r="E28" i="4"/>
  <c r="G28" i="4" s="1"/>
  <c r="F28" i="4"/>
  <c r="D29" i="4"/>
  <c r="E29" i="4"/>
  <c r="G29" i="4" s="1"/>
  <c r="F29" i="4"/>
  <c r="D30" i="4"/>
  <c r="E30" i="4"/>
  <c r="G30" i="4" s="1"/>
  <c r="F30" i="4"/>
  <c r="D31" i="4"/>
  <c r="E31" i="4"/>
  <c r="G31" i="4" s="1"/>
  <c r="F31" i="4"/>
  <c r="D32" i="4"/>
  <c r="E32" i="4"/>
  <c r="G32" i="4" s="1"/>
  <c r="F32" i="4"/>
  <c r="H32" i="4" s="1"/>
  <c r="D33" i="4"/>
  <c r="E33" i="4"/>
  <c r="G33" i="4" s="1"/>
  <c r="F33" i="4"/>
  <c r="D34" i="4"/>
  <c r="E34" i="4"/>
  <c r="F34" i="4"/>
  <c r="D35" i="4"/>
  <c r="E35" i="4"/>
  <c r="G35" i="4" s="1"/>
  <c r="F35" i="4"/>
  <c r="D36" i="4"/>
  <c r="E36" i="4"/>
  <c r="G36" i="4" s="1"/>
  <c r="F36" i="4"/>
  <c r="D37" i="4"/>
  <c r="E37" i="4"/>
  <c r="G37" i="4" s="1"/>
  <c r="F37" i="4"/>
  <c r="D38" i="4"/>
  <c r="E38" i="4"/>
  <c r="G38" i="4" s="1"/>
  <c r="F38" i="4"/>
  <c r="D39" i="4"/>
  <c r="E39" i="4"/>
  <c r="F39" i="4"/>
  <c r="D40" i="4"/>
  <c r="E40" i="4"/>
  <c r="G40" i="4" s="1"/>
  <c r="F40" i="4"/>
  <c r="D41" i="4"/>
  <c r="E41" i="4"/>
  <c r="G41" i="4" s="1"/>
  <c r="F41" i="4"/>
  <c r="D42" i="4"/>
  <c r="E42" i="4"/>
  <c r="G42" i="4" s="1"/>
  <c r="F42" i="4"/>
  <c r="D43" i="4"/>
  <c r="E43" i="4"/>
  <c r="G43" i="4" s="1"/>
  <c r="F43" i="4"/>
  <c r="D44" i="4"/>
  <c r="E44" i="4"/>
  <c r="G44" i="4" s="1"/>
  <c r="F44" i="4"/>
  <c r="D45" i="4"/>
  <c r="E45" i="4"/>
  <c r="G45" i="4" s="1"/>
  <c r="F45" i="4"/>
  <c r="D46" i="4"/>
  <c r="E46" i="4"/>
  <c r="G46" i="4" s="1"/>
  <c r="F46" i="4"/>
  <c r="D47" i="4"/>
  <c r="E47" i="4"/>
  <c r="G47" i="4" s="1"/>
  <c r="F47" i="4"/>
  <c r="D48" i="4"/>
  <c r="E48" i="4"/>
  <c r="G48" i="4" s="1"/>
  <c r="F48" i="4"/>
  <c r="D49" i="4"/>
  <c r="E49" i="4"/>
  <c r="G49" i="4" s="1"/>
  <c r="F49" i="4"/>
  <c r="D50" i="4"/>
  <c r="E50" i="4"/>
  <c r="G50" i="4" s="1"/>
  <c r="F50" i="4"/>
  <c r="D51" i="4"/>
  <c r="E51" i="4"/>
  <c r="G51" i="4" s="1"/>
  <c r="F51" i="4"/>
  <c r="D52" i="4"/>
  <c r="E52" i="4"/>
  <c r="G52" i="4" s="1"/>
  <c r="F52" i="4"/>
  <c r="D53" i="4"/>
  <c r="E53" i="4"/>
  <c r="G53" i="4" s="1"/>
  <c r="F53" i="4"/>
  <c r="D54" i="4"/>
  <c r="E54" i="4"/>
  <c r="G54" i="4" s="1"/>
  <c r="F54" i="4"/>
  <c r="D55" i="4"/>
  <c r="E55" i="4"/>
  <c r="G55" i="4" s="1"/>
  <c r="F55" i="4"/>
  <c r="D56" i="4"/>
  <c r="E56" i="4"/>
  <c r="G56" i="4" s="1"/>
  <c r="F56" i="4"/>
  <c r="D57" i="4"/>
  <c r="E57" i="4"/>
  <c r="G57" i="4" s="1"/>
  <c r="F57" i="4"/>
  <c r="D58" i="4"/>
  <c r="E58" i="4"/>
  <c r="G58" i="4" s="1"/>
  <c r="F58" i="4"/>
  <c r="D59" i="4"/>
  <c r="E59" i="4"/>
  <c r="G59" i="4" s="1"/>
  <c r="F59" i="4"/>
  <c r="D60" i="4"/>
  <c r="E60" i="4"/>
  <c r="G60" i="4" s="1"/>
  <c r="F60" i="4"/>
  <c r="D61" i="4"/>
  <c r="E61" i="4"/>
  <c r="F61" i="4"/>
  <c r="D62" i="4"/>
  <c r="E62" i="4"/>
  <c r="G62" i="4" s="1"/>
  <c r="F62" i="4"/>
  <c r="D63" i="4"/>
  <c r="E63" i="4"/>
  <c r="G63" i="4" s="1"/>
  <c r="F63" i="4"/>
  <c r="D64" i="4"/>
  <c r="E64" i="4"/>
  <c r="G64" i="4" s="1"/>
  <c r="F64" i="4"/>
  <c r="D65" i="4"/>
  <c r="E65" i="4"/>
  <c r="G65" i="4" s="1"/>
  <c r="F65" i="4"/>
  <c r="D66" i="4"/>
  <c r="E66" i="4"/>
  <c r="G66" i="4" s="1"/>
  <c r="F66" i="4"/>
  <c r="D67" i="4"/>
  <c r="E67" i="4"/>
  <c r="G67" i="4" s="1"/>
  <c r="F67" i="4"/>
  <c r="D68" i="4"/>
  <c r="E68" i="4"/>
  <c r="G68" i="4" s="1"/>
  <c r="F68" i="4"/>
  <c r="D69" i="4"/>
  <c r="E69" i="4"/>
  <c r="G69" i="4" s="1"/>
  <c r="F69" i="4"/>
  <c r="D70" i="4"/>
  <c r="E70" i="4"/>
  <c r="G70" i="4" s="1"/>
  <c r="F70" i="4"/>
  <c r="H70" i="4" s="1"/>
  <c r="D71" i="4"/>
  <c r="E71" i="4"/>
  <c r="G71" i="4" s="1"/>
  <c r="F71" i="4"/>
  <c r="D72" i="4"/>
  <c r="E72" i="4"/>
  <c r="F72" i="4"/>
  <c r="D73" i="4"/>
  <c r="E73" i="4"/>
  <c r="G73" i="4" s="1"/>
  <c r="F73" i="4"/>
  <c r="D74" i="4"/>
  <c r="E74" i="4"/>
  <c r="G74" i="4" s="1"/>
  <c r="F74" i="4"/>
  <c r="D75" i="4"/>
  <c r="E75" i="4"/>
  <c r="G75" i="4" s="1"/>
  <c r="F75" i="4"/>
  <c r="D76" i="4"/>
  <c r="E76" i="4"/>
  <c r="F76" i="4"/>
  <c r="D77" i="4"/>
  <c r="E77" i="4"/>
  <c r="G77" i="4" s="1"/>
  <c r="F77" i="4"/>
  <c r="D78" i="4"/>
  <c r="E78" i="4"/>
  <c r="G78" i="4" s="1"/>
  <c r="F78" i="4"/>
  <c r="D79" i="4"/>
  <c r="E79" i="4"/>
  <c r="G79" i="4" s="1"/>
  <c r="F79" i="4"/>
  <c r="D80" i="4"/>
  <c r="E80" i="4"/>
  <c r="G80" i="4" s="1"/>
  <c r="F80" i="4"/>
  <c r="D81" i="4"/>
  <c r="E81" i="4"/>
  <c r="G81" i="4" s="1"/>
  <c r="F81" i="4"/>
  <c r="D82" i="4"/>
  <c r="E82" i="4"/>
  <c r="G82" i="4" s="1"/>
  <c r="F82" i="4"/>
  <c r="D83" i="4"/>
  <c r="E83" i="4"/>
  <c r="G83" i="4" s="1"/>
  <c r="F83" i="4"/>
  <c r="D84" i="4"/>
  <c r="E84" i="4"/>
  <c r="G84" i="4" s="1"/>
  <c r="F84" i="4"/>
  <c r="D85" i="4"/>
  <c r="E85" i="4"/>
  <c r="G85" i="4" s="1"/>
  <c r="F85" i="4"/>
  <c r="D86" i="4"/>
  <c r="E86" i="4"/>
  <c r="G86" i="4" s="1"/>
  <c r="F86" i="4"/>
  <c r="D87" i="4"/>
  <c r="E87" i="4"/>
  <c r="G87" i="4" s="1"/>
  <c r="F87" i="4"/>
  <c r="D88" i="4"/>
  <c r="E88" i="4"/>
  <c r="G88" i="4" s="1"/>
  <c r="F88" i="4"/>
  <c r="D89" i="4"/>
  <c r="E89" i="4"/>
  <c r="F89" i="4"/>
  <c r="D90" i="4"/>
  <c r="E90" i="4"/>
  <c r="G90" i="4" s="1"/>
  <c r="F90" i="4"/>
  <c r="D91" i="4"/>
  <c r="E91" i="4"/>
  <c r="G91" i="4" s="1"/>
  <c r="F91" i="4"/>
  <c r="D92" i="4"/>
  <c r="E92" i="4"/>
  <c r="G92" i="4" s="1"/>
  <c r="F92" i="4"/>
  <c r="D93" i="4"/>
  <c r="E93" i="4"/>
  <c r="G93" i="4" s="1"/>
  <c r="F93" i="4"/>
  <c r="D94" i="4"/>
  <c r="E94" i="4"/>
  <c r="G94" i="4" s="1"/>
  <c r="F94" i="4"/>
  <c r="D95" i="4"/>
  <c r="E95" i="4"/>
  <c r="G95" i="4" s="1"/>
  <c r="F95" i="4"/>
  <c r="D96" i="4"/>
  <c r="E96" i="4"/>
  <c r="F96" i="4"/>
  <c r="D97" i="4"/>
  <c r="E97" i="4"/>
  <c r="G97" i="4" s="1"/>
  <c r="F97" i="4"/>
  <c r="D98" i="4"/>
  <c r="E98" i="4"/>
  <c r="F98" i="4"/>
  <c r="D99" i="4"/>
  <c r="E99" i="4"/>
  <c r="G99" i="4" s="1"/>
  <c r="F99" i="4"/>
  <c r="D100" i="4"/>
  <c r="E100" i="4"/>
  <c r="G100" i="4" s="1"/>
  <c r="F100" i="4"/>
  <c r="D101" i="4"/>
  <c r="E101" i="4"/>
  <c r="G101" i="4" s="1"/>
  <c r="F101" i="4"/>
  <c r="D102" i="4"/>
  <c r="E102" i="4"/>
  <c r="G102" i="4" s="1"/>
  <c r="F102" i="4"/>
  <c r="D103" i="4"/>
  <c r="E103" i="4"/>
  <c r="F103" i="4"/>
  <c r="D104" i="4"/>
  <c r="E104" i="4"/>
  <c r="F104" i="4"/>
  <c r="D105" i="4"/>
  <c r="E105" i="4"/>
  <c r="G105" i="4" s="1"/>
  <c r="F105" i="4"/>
  <c r="D106" i="4"/>
  <c r="E106" i="4"/>
  <c r="G106" i="4" s="1"/>
  <c r="F106" i="4"/>
  <c r="D107" i="4"/>
  <c r="E107" i="4"/>
  <c r="G107" i="4" s="1"/>
  <c r="F107" i="4"/>
  <c r="D108" i="4"/>
  <c r="E108" i="4"/>
  <c r="G108" i="4" s="1"/>
  <c r="F108" i="4"/>
  <c r="D109" i="4"/>
  <c r="E109" i="4"/>
  <c r="F109" i="4"/>
  <c r="D110" i="4"/>
  <c r="E110" i="4"/>
  <c r="G110" i="4" s="1"/>
  <c r="F110" i="4"/>
  <c r="D111" i="4"/>
  <c r="E111" i="4"/>
  <c r="G111" i="4" s="1"/>
  <c r="F111" i="4"/>
  <c r="D112" i="4"/>
  <c r="E112" i="4"/>
  <c r="F112" i="4"/>
  <c r="D113" i="4"/>
  <c r="E113" i="4"/>
  <c r="G113" i="4" s="1"/>
  <c r="F113" i="4"/>
  <c r="D114" i="4"/>
  <c r="E114" i="4"/>
  <c r="G114" i="4" s="1"/>
  <c r="F114" i="4"/>
  <c r="D115" i="4"/>
  <c r="E115" i="4"/>
  <c r="G115" i="4" s="1"/>
  <c r="F115" i="4"/>
  <c r="D116" i="4"/>
  <c r="E116" i="4"/>
  <c r="G116" i="4" s="1"/>
  <c r="F116" i="4"/>
  <c r="D117" i="4"/>
  <c r="E117" i="4"/>
  <c r="G117" i="4" s="1"/>
  <c r="F117" i="4"/>
  <c r="D118" i="4"/>
  <c r="E118" i="4"/>
  <c r="G118" i="4" s="1"/>
  <c r="F118" i="4"/>
  <c r="D119" i="4"/>
  <c r="E119" i="4"/>
  <c r="G119" i="4" s="1"/>
  <c r="F119" i="4"/>
  <c r="D120" i="4"/>
  <c r="E120" i="4"/>
  <c r="G120" i="4" s="1"/>
  <c r="F120" i="4"/>
  <c r="D121" i="4"/>
  <c r="E121" i="4"/>
  <c r="G121" i="4" s="1"/>
  <c r="F121" i="4"/>
  <c r="D122" i="4"/>
  <c r="E122" i="4"/>
  <c r="F122" i="4"/>
  <c r="D123" i="4"/>
  <c r="E123" i="4"/>
  <c r="G123" i="4" s="1"/>
  <c r="F123" i="4"/>
  <c r="D124" i="4"/>
  <c r="E124" i="4"/>
  <c r="G124" i="4" s="1"/>
  <c r="F124" i="4"/>
  <c r="D125" i="4"/>
  <c r="E125" i="4"/>
  <c r="G125" i="4" s="1"/>
  <c r="F125" i="4"/>
  <c r="D126" i="4"/>
  <c r="E126" i="4"/>
  <c r="G126" i="4" s="1"/>
  <c r="F126" i="4"/>
  <c r="D127" i="4"/>
  <c r="E127" i="4"/>
  <c r="G127" i="4" s="1"/>
  <c r="F127" i="4"/>
  <c r="D128" i="4"/>
  <c r="E128" i="4"/>
  <c r="G128" i="4" s="1"/>
  <c r="F128" i="4"/>
  <c r="D129" i="4"/>
  <c r="E129" i="4"/>
  <c r="G129" i="4" s="1"/>
  <c r="F129" i="4"/>
  <c r="D130" i="4"/>
  <c r="E130" i="4"/>
  <c r="G130" i="4" s="1"/>
  <c r="F130" i="4"/>
  <c r="D131" i="4"/>
  <c r="E131" i="4"/>
  <c r="G131" i="4" s="1"/>
  <c r="F131" i="4"/>
  <c r="D132" i="4"/>
  <c r="E132" i="4"/>
  <c r="G132" i="4" s="1"/>
  <c r="F132" i="4"/>
  <c r="D133" i="4"/>
  <c r="E133" i="4"/>
  <c r="G133" i="4" s="1"/>
  <c r="F133" i="4"/>
  <c r="D134" i="4"/>
  <c r="E134" i="4"/>
  <c r="G134" i="4" s="1"/>
  <c r="F134" i="4"/>
  <c r="D135" i="4"/>
  <c r="E135" i="4"/>
  <c r="G135" i="4" s="1"/>
  <c r="F135" i="4"/>
  <c r="D136" i="4"/>
  <c r="E136" i="4"/>
  <c r="G136" i="4" s="1"/>
  <c r="F136" i="4"/>
  <c r="D137" i="4"/>
  <c r="E137" i="4"/>
  <c r="G137" i="4" s="1"/>
  <c r="F137" i="4"/>
  <c r="D138" i="4"/>
  <c r="E138" i="4"/>
  <c r="G138" i="4" s="1"/>
  <c r="F138" i="4"/>
  <c r="D139" i="4"/>
  <c r="E139" i="4"/>
  <c r="G139" i="4" s="1"/>
  <c r="F139" i="4"/>
  <c r="D140" i="4"/>
  <c r="E140" i="4"/>
  <c r="G140" i="4" s="1"/>
  <c r="F140" i="4"/>
  <c r="D141" i="4"/>
  <c r="E141" i="4"/>
  <c r="F141" i="4"/>
  <c r="D142" i="4"/>
  <c r="E142" i="4"/>
  <c r="G142" i="4" s="1"/>
  <c r="F142" i="4"/>
  <c r="D143" i="4"/>
  <c r="E143" i="4"/>
  <c r="G143" i="4" s="1"/>
  <c r="F143" i="4"/>
  <c r="D144" i="4"/>
  <c r="E144" i="4"/>
  <c r="F144" i="4"/>
  <c r="D145" i="4"/>
  <c r="E145" i="4"/>
  <c r="G145" i="4" s="1"/>
  <c r="F145" i="4"/>
  <c r="D146" i="4"/>
  <c r="E146" i="4"/>
  <c r="G146" i="4" s="1"/>
  <c r="F146" i="4"/>
  <c r="D147" i="4"/>
  <c r="E147" i="4"/>
  <c r="G147" i="4" s="1"/>
  <c r="F147" i="4"/>
  <c r="D148" i="4"/>
  <c r="E148" i="4"/>
  <c r="G148" i="4" s="1"/>
  <c r="F148" i="4"/>
  <c r="D149" i="4"/>
  <c r="E149" i="4"/>
  <c r="G149" i="4" s="1"/>
  <c r="F149" i="4"/>
  <c r="D150" i="4"/>
  <c r="E150" i="4"/>
  <c r="G150" i="4" s="1"/>
  <c r="F150" i="4"/>
  <c r="D151" i="4"/>
  <c r="E151" i="4"/>
  <c r="G151" i="4" s="1"/>
  <c r="F151" i="4"/>
  <c r="D152" i="4"/>
  <c r="E152" i="4"/>
  <c r="G152" i="4" s="1"/>
  <c r="F152" i="4"/>
  <c r="D153" i="4"/>
  <c r="E153" i="4"/>
  <c r="G153" i="4" s="1"/>
  <c r="F153" i="4"/>
  <c r="D154" i="4"/>
  <c r="E154" i="4"/>
  <c r="G154" i="4" s="1"/>
  <c r="F154" i="4"/>
  <c r="D155" i="4"/>
  <c r="E155" i="4"/>
  <c r="G155" i="4" s="1"/>
  <c r="F155" i="4"/>
  <c r="D156" i="4"/>
  <c r="E156" i="4"/>
  <c r="G156" i="4" s="1"/>
  <c r="F156" i="4"/>
  <c r="D157" i="4"/>
  <c r="E157" i="4"/>
  <c r="G157" i="4" s="1"/>
  <c r="F157" i="4"/>
  <c r="D158" i="4"/>
  <c r="E158" i="4"/>
  <c r="G158" i="4" s="1"/>
  <c r="F158" i="4"/>
  <c r="D159" i="4"/>
  <c r="E159" i="4"/>
  <c r="G159" i="4" s="1"/>
  <c r="F159" i="4"/>
  <c r="D160" i="4"/>
  <c r="E160" i="4"/>
  <c r="G160" i="4" s="1"/>
  <c r="F160" i="4"/>
  <c r="D161" i="4"/>
  <c r="E161" i="4"/>
  <c r="G161" i="4" s="1"/>
  <c r="F161" i="4"/>
  <c r="D162" i="4"/>
  <c r="E162" i="4"/>
  <c r="G162" i="4" s="1"/>
  <c r="F162" i="4"/>
  <c r="D163" i="4"/>
  <c r="E163" i="4"/>
  <c r="G163" i="4" s="1"/>
  <c r="F163" i="4"/>
  <c r="D164" i="4"/>
  <c r="E164" i="4"/>
  <c r="G164" i="4" s="1"/>
  <c r="F164" i="4"/>
  <c r="D165" i="4"/>
  <c r="E165" i="4"/>
  <c r="F165" i="4"/>
  <c r="G165" i="4"/>
  <c r="D166" i="4"/>
  <c r="E166" i="4"/>
  <c r="G166" i="4" s="1"/>
  <c r="F166" i="4"/>
  <c r="D167" i="4"/>
  <c r="E167" i="4"/>
  <c r="G167" i="4" s="1"/>
  <c r="F167" i="4"/>
  <c r="D168" i="4"/>
  <c r="E168" i="4"/>
  <c r="G168" i="4" s="1"/>
  <c r="F168" i="4"/>
  <c r="D169" i="4"/>
  <c r="E169" i="4"/>
  <c r="G169" i="4" s="1"/>
  <c r="F169" i="4"/>
  <c r="D170" i="4"/>
  <c r="E170" i="4"/>
  <c r="G170" i="4" s="1"/>
  <c r="F170" i="4"/>
  <c r="D171" i="4"/>
  <c r="E171" i="4"/>
  <c r="G171" i="4" s="1"/>
  <c r="F171" i="4"/>
  <c r="D172" i="4"/>
  <c r="E172" i="4"/>
  <c r="F172" i="4"/>
  <c r="D173" i="4"/>
  <c r="E173" i="4"/>
  <c r="G173" i="4" s="1"/>
  <c r="F173" i="4"/>
  <c r="D174" i="4"/>
  <c r="E174" i="4"/>
  <c r="F174" i="4"/>
  <c r="G174" i="4"/>
  <c r="D175" i="4"/>
  <c r="E175" i="4"/>
  <c r="F175" i="4"/>
  <c r="D176" i="4"/>
  <c r="E176" i="4"/>
  <c r="G176" i="4" s="1"/>
  <c r="F176" i="4"/>
  <c r="D177" i="4"/>
  <c r="E177" i="4"/>
  <c r="G177" i="4" s="1"/>
  <c r="F177" i="4"/>
  <c r="D178" i="4"/>
  <c r="E178" i="4"/>
  <c r="G178" i="4" s="1"/>
  <c r="F178" i="4"/>
  <c r="D179" i="4"/>
  <c r="E179" i="4"/>
  <c r="F179" i="4"/>
  <c r="D180" i="4"/>
  <c r="E180" i="4"/>
  <c r="G180" i="4" s="1"/>
  <c r="F180" i="4"/>
  <c r="D181" i="4"/>
  <c r="E181" i="4"/>
  <c r="G181" i="4" s="1"/>
  <c r="F181" i="4"/>
  <c r="D182" i="4"/>
  <c r="E182" i="4"/>
  <c r="G182" i="4" s="1"/>
  <c r="F182" i="4"/>
  <c r="D183" i="4"/>
  <c r="E183" i="4"/>
  <c r="G183" i="4" s="1"/>
  <c r="F183" i="4"/>
  <c r="D184" i="4"/>
  <c r="E184" i="4"/>
  <c r="G184" i="4" s="1"/>
  <c r="F184" i="4"/>
  <c r="D185" i="4"/>
  <c r="E185" i="4"/>
  <c r="G185" i="4" s="1"/>
  <c r="F185" i="4"/>
  <c r="D186" i="4"/>
  <c r="E186" i="4"/>
  <c r="G186" i="4" s="1"/>
  <c r="F186" i="4"/>
  <c r="D187" i="4"/>
  <c r="E187" i="4"/>
  <c r="G187" i="4" s="1"/>
  <c r="F187" i="4"/>
  <c r="D188" i="4"/>
  <c r="E188" i="4"/>
  <c r="G188" i="4" s="1"/>
  <c r="F188" i="4"/>
  <c r="D189" i="4"/>
  <c r="E189" i="4"/>
  <c r="F189" i="4"/>
  <c r="D190" i="4"/>
  <c r="E190" i="4"/>
  <c r="G190" i="4" s="1"/>
  <c r="F190" i="4"/>
  <c r="D191" i="4"/>
  <c r="E191" i="4"/>
  <c r="G191" i="4" s="1"/>
  <c r="F191" i="4"/>
  <c r="D192" i="4"/>
  <c r="E192" i="4"/>
  <c r="G192" i="4" s="1"/>
  <c r="F192" i="4"/>
  <c r="D193" i="4"/>
  <c r="E193" i="4"/>
  <c r="G193" i="4" s="1"/>
  <c r="F193" i="4"/>
  <c r="D194" i="4"/>
  <c r="E194" i="4"/>
  <c r="G194" i="4" s="1"/>
  <c r="F194" i="4"/>
  <c r="D195" i="4"/>
  <c r="E195" i="4"/>
  <c r="G195" i="4" s="1"/>
  <c r="F195" i="4"/>
  <c r="D196" i="4"/>
  <c r="E196" i="4"/>
  <c r="G196" i="4" s="1"/>
  <c r="F196" i="4"/>
  <c r="D197" i="4"/>
  <c r="E197" i="4"/>
  <c r="G197" i="4" s="1"/>
  <c r="F197" i="4"/>
  <c r="D198" i="4"/>
  <c r="E198" i="4"/>
  <c r="G198" i="4" s="1"/>
  <c r="F198" i="4"/>
  <c r="D199" i="4"/>
  <c r="E199" i="4"/>
  <c r="G199" i="4" s="1"/>
  <c r="F199" i="4"/>
  <c r="D200" i="4"/>
  <c r="E200" i="4"/>
  <c r="G200" i="4" s="1"/>
  <c r="F200" i="4"/>
  <c r="D201" i="4"/>
  <c r="E201" i="4"/>
  <c r="G201" i="4" s="1"/>
  <c r="F201" i="4"/>
  <c r="D202" i="4"/>
  <c r="E202" i="4"/>
  <c r="G202" i="4" s="1"/>
  <c r="F202" i="4"/>
  <c r="D203" i="4"/>
  <c r="E203" i="4"/>
  <c r="G203" i="4" s="1"/>
  <c r="F203" i="4"/>
  <c r="D204" i="4"/>
  <c r="E204" i="4"/>
  <c r="G204" i="4" s="1"/>
  <c r="F204" i="4"/>
  <c r="D205" i="4"/>
  <c r="E205" i="4"/>
  <c r="G205" i="4" s="1"/>
  <c r="F205" i="4"/>
  <c r="D206" i="4"/>
  <c r="E206" i="4"/>
  <c r="G206" i="4" s="1"/>
  <c r="F206" i="4"/>
  <c r="D207" i="4"/>
  <c r="E207" i="4"/>
  <c r="G207" i="4" s="1"/>
  <c r="F207" i="4"/>
  <c r="D208" i="4"/>
  <c r="E208" i="4"/>
  <c r="F208" i="4"/>
  <c r="D209" i="4"/>
  <c r="E209" i="4"/>
  <c r="G209" i="4" s="1"/>
  <c r="F209" i="4"/>
  <c r="D210" i="4"/>
  <c r="E210" i="4"/>
  <c r="G210" i="4" s="1"/>
  <c r="F210" i="4"/>
  <c r="D211" i="4"/>
  <c r="E211" i="4"/>
  <c r="G211" i="4" s="1"/>
  <c r="F211" i="4"/>
  <c r="D212" i="4"/>
  <c r="E212" i="4"/>
  <c r="G212" i="4" s="1"/>
  <c r="F212" i="4"/>
  <c r="D213" i="4"/>
  <c r="E213" i="4"/>
  <c r="G213" i="4" s="1"/>
  <c r="F213" i="4"/>
  <c r="D214" i="4"/>
  <c r="E214" i="4"/>
  <c r="G214" i="4" s="1"/>
  <c r="F214" i="4"/>
  <c r="D215" i="4"/>
  <c r="E215" i="4"/>
  <c r="G215" i="4" s="1"/>
  <c r="F215" i="4"/>
  <c r="H215" i="4" s="1"/>
  <c r="D216" i="4"/>
  <c r="E216" i="4"/>
  <c r="G216" i="4" s="1"/>
  <c r="F216" i="4"/>
  <c r="D217" i="4"/>
  <c r="E217" i="4"/>
  <c r="G217" i="4" s="1"/>
  <c r="F217" i="4"/>
  <c r="D218" i="4"/>
  <c r="E218" i="4"/>
  <c r="G218" i="4" s="1"/>
  <c r="F218" i="4"/>
  <c r="D219" i="4"/>
  <c r="E219" i="4"/>
  <c r="G219" i="4" s="1"/>
  <c r="F219" i="4"/>
  <c r="D220" i="4"/>
  <c r="E220" i="4"/>
  <c r="F220" i="4"/>
  <c r="D221" i="4"/>
  <c r="E221" i="4"/>
  <c r="G221" i="4" s="1"/>
  <c r="F221" i="4"/>
  <c r="D222" i="4"/>
  <c r="E222" i="4"/>
  <c r="G222" i="4" s="1"/>
  <c r="F222" i="4"/>
  <c r="D223" i="4"/>
  <c r="E223" i="4"/>
  <c r="G223" i="4" s="1"/>
  <c r="F223" i="4"/>
  <c r="D224" i="4"/>
  <c r="E224" i="4"/>
  <c r="G224" i="4" s="1"/>
  <c r="F224" i="4"/>
  <c r="D225" i="4"/>
  <c r="E225" i="4"/>
  <c r="G225" i="4" s="1"/>
  <c r="F225" i="4"/>
  <c r="D226" i="4"/>
  <c r="E226" i="4"/>
  <c r="G226" i="4" s="1"/>
  <c r="F226" i="4"/>
  <c r="D227" i="4"/>
  <c r="E227" i="4"/>
  <c r="G227" i="4" s="1"/>
  <c r="F227" i="4"/>
  <c r="D228" i="4"/>
  <c r="E228" i="4"/>
  <c r="G228" i="4" s="1"/>
  <c r="F228" i="4"/>
  <c r="D229" i="4"/>
  <c r="E229" i="4"/>
  <c r="G229" i="4" s="1"/>
  <c r="F229" i="4"/>
  <c r="D230" i="4"/>
  <c r="E230" i="4"/>
  <c r="G230" i="4" s="1"/>
  <c r="F230" i="4"/>
  <c r="D231" i="4"/>
  <c r="E231" i="4"/>
  <c r="G231" i="4" s="1"/>
  <c r="F231" i="4"/>
  <c r="D232" i="4"/>
  <c r="E232" i="4"/>
  <c r="G232" i="4" s="1"/>
  <c r="F232" i="4"/>
  <c r="H232" i="4" s="1"/>
  <c r="D233" i="4"/>
  <c r="E233" i="4"/>
  <c r="G233" i="4" s="1"/>
  <c r="F233" i="4"/>
  <c r="D234" i="4"/>
  <c r="E234" i="4"/>
  <c r="G234" i="4" s="1"/>
  <c r="F234" i="4"/>
  <c r="D235" i="4"/>
  <c r="E235" i="4"/>
  <c r="G235" i="4" s="1"/>
  <c r="F235" i="4"/>
  <c r="D236" i="4"/>
  <c r="E236" i="4"/>
  <c r="G236" i="4" s="1"/>
  <c r="F236" i="4"/>
  <c r="D237" i="4"/>
  <c r="E237" i="4"/>
  <c r="G237" i="4" s="1"/>
  <c r="F237" i="4"/>
  <c r="D238" i="4"/>
  <c r="E238" i="4"/>
  <c r="G238" i="4" s="1"/>
  <c r="F238" i="4"/>
  <c r="D239" i="4"/>
  <c r="E239" i="4"/>
  <c r="G239" i="4" s="1"/>
  <c r="F239" i="4"/>
  <c r="D240" i="4"/>
  <c r="E240" i="4"/>
  <c r="G240" i="4" s="1"/>
  <c r="F240" i="4"/>
  <c r="D241" i="4"/>
  <c r="E241" i="4"/>
  <c r="G241" i="4" s="1"/>
  <c r="F241" i="4"/>
  <c r="D242" i="4"/>
  <c r="E242" i="4"/>
  <c r="G242" i="4" s="1"/>
  <c r="F242" i="4"/>
  <c r="D243" i="4"/>
  <c r="E243" i="4"/>
  <c r="G243" i="4" s="1"/>
  <c r="F243" i="4"/>
  <c r="D244" i="4"/>
  <c r="E244" i="4"/>
  <c r="G244" i="4" s="1"/>
  <c r="F244" i="4"/>
  <c r="D245" i="4"/>
  <c r="E245" i="4"/>
  <c r="G245" i="4" s="1"/>
  <c r="F245" i="4"/>
  <c r="D246" i="4"/>
  <c r="E246" i="4"/>
  <c r="G246" i="4" s="1"/>
  <c r="F246" i="4"/>
  <c r="D247" i="4"/>
  <c r="E247" i="4"/>
  <c r="G247" i="4" s="1"/>
  <c r="F247" i="4"/>
  <c r="D248" i="4"/>
  <c r="E248" i="4"/>
  <c r="G248" i="4" s="1"/>
  <c r="F248" i="4"/>
  <c r="D249" i="4"/>
  <c r="E249" i="4"/>
  <c r="G249" i="4" s="1"/>
  <c r="F249" i="4"/>
  <c r="D250" i="4"/>
  <c r="E250" i="4"/>
  <c r="G250" i="4" s="1"/>
  <c r="F250" i="4"/>
  <c r="D251" i="4"/>
  <c r="E251" i="4"/>
  <c r="G251" i="4" s="1"/>
  <c r="F251" i="4"/>
  <c r="D252" i="4"/>
  <c r="E252" i="4"/>
  <c r="G252" i="4" s="1"/>
  <c r="F252" i="4"/>
  <c r="D253" i="4"/>
  <c r="E253" i="4"/>
  <c r="G253" i="4" s="1"/>
  <c r="F253" i="4"/>
  <c r="D254" i="4"/>
  <c r="E254" i="4"/>
  <c r="G254" i="4" s="1"/>
  <c r="F254" i="4"/>
  <c r="D255" i="4"/>
  <c r="E255" i="4"/>
  <c r="G255" i="4" s="1"/>
  <c r="F255" i="4"/>
  <c r="H255" i="4" s="1"/>
  <c r="D256" i="4"/>
  <c r="E256" i="4"/>
  <c r="G256" i="4" s="1"/>
  <c r="F256" i="4"/>
  <c r="D257" i="4"/>
  <c r="E257" i="4"/>
  <c r="G257" i="4" s="1"/>
  <c r="F257" i="4"/>
  <c r="D258" i="4"/>
  <c r="E258" i="4"/>
  <c r="G258" i="4" s="1"/>
  <c r="F258" i="4"/>
  <c r="D259" i="4"/>
  <c r="E259" i="4"/>
  <c r="G259" i="4" s="1"/>
  <c r="F259" i="4"/>
  <c r="D260" i="4"/>
  <c r="E260" i="4"/>
  <c r="G260" i="4" s="1"/>
  <c r="F260" i="4"/>
  <c r="D261" i="4"/>
  <c r="E261" i="4"/>
  <c r="G261" i="4" s="1"/>
  <c r="F261" i="4"/>
  <c r="D262" i="4"/>
  <c r="E262" i="4"/>
  <c r="G262" i="4" s="1"/>
  <c r="F262" i="4"/>
  <c r="D263" i="4"/>
  <c r="E263" i="4"/>
  <c r="G263" i="4" s="1"/>
  <c r="F263" i="4"/>
  <c r="D264" i="4"/>
  <c r="E264" i="4"/>
  <c r="F264" i="4"/>
  <c r="D265" i="4"/>
  <c r="E265" i="4"/>
  <c r="G265" i="4" s="1"/>
  <c r="F265" i="4"/>
  <c r="D266" i="4"/>
  <c r="E266" i="4"/>
  <c r="G266" i="4" s="1"/>
  <c r="F266" i="4"/>
  <c r="D267" i="4"/>
  <c r="E267" i="4"/>
  <c r="G267" i="4" s="1"/>
  <c r="F267" i="4"/>
  <c r="D268" i="4"/>
  <c r="E268" i="4"/>
  <c r="F268" i="4"/>
  <c r="D269" i="4"/>
  <c r="E269" i="4"/>
  <c r="G269" i="4" s="1"/>
  <c r="F269" i="4"/>
  <c r="D270" i="4"/>
  <c r="E270" i="4"/>
  <c r="G270" i="4" s="1"/>
  <c r="F270" i="4"/>
  <c r="D271" i="4"/>
  <c r="E271" i="4"/>
  <c r="F271" i="4"/>
  <c r="D272" i="4"/>
  <c r="E272" i="4"/>
  <c r="G272" i="4" s="1"/>
  <c r="F272" i="4"/>
  <c r="D273" i="4"/>
  <c r="E273" i="4"/>
  <c r="F273" i="4"/>
  <c r="D274" i="4"/>
  <c r="E274" i="4"/>
  <c r="G274" i="4" s="1"/>
  <c r="F274" i="4"/>
  <c r="D275" i="4"/>
  <c r="E275" i="4"/>
  <c r="G275" i="4" s="1"/>
  <c r="F275" i="4"/>
  <c r="D276" i="4"/>
  <c r="E276" i="4"/>
  <c r="G276" i="4" s="1"/>
  <c r="F276" i="4"/>
  <c r="D277" i="4"/>
  <c r="E277" i="4"/>
  <c r="G277" i="4" s="1"/>
  <c r="F277" i="4"/>
  <c r="D278" i="4"/>
  <c r="E278" i="4"/>
  <c r="G278" i="4" s="1"/>
  <c r="F278" i="4"/>
  <c r="D279" i="4"/>
  <c r="E279" i="4"/>
  <c r="G279" i="4" s="1"/>
  <c r="F279" i="4"/>
  <c r="D280" i="4"/>
  <c r="E280" i="4"/>
  <c r="F280" i="4"/>
  <c r="D281" i="4"/>
  <c r="E281" i="4"/>
  <c r="G281" i="4" s="1"/>
  <c r="F281" i="4"/>
  <c r="D282" i="4"/>
  <c r="E282" i="4"/>
  <c r="G282" i="4" s="1"/>
  <c r="F282" i="4"/>
  <c r="D283" i="4"/>
  <c r="E283" i="4"/>
  <c r="G283" i="4" s="1"/>
  <c r="F283" i="4"/>
  <c r="D284" i="4"/>
  <c r="E284" i="4"/>
  <c r="F284" i="4"/>
  <c r="D285" i="4"/>
  <c r="E285" i="4"/>
  <c r="G285" i="4" s="1"/>
  <c r="F285" i="4"/>
  <c r="D286" i="4"/>
  <c r="E286" i="4"/>
  <c r="G286" i="4" s="1"/>
  <c r="F286" i="4"/>
  <c r="D287" i="4"/>
  <c r="E287" i="4"/>
  <c r="G287" i="4" s="1"/>
  <c r="F287" i="4"/>
  <c r="D288" i="4"/>
  <c r="E288" i="4"/>
  <c r="G288" i="4" s="1"/>
  <c r="F288" i="4"/>
  <c r="D289" i="4"/>
  <c r="E289" i="4"/>
  <c r="G289" i="4" s="1"/>
  <c r="F289" i="4"/>
  <c r="D290" i="4"/>
  <c r="E290" i="4"/>
  <c r="G290" i="4" s="1"/>
  <c r="F290" i="4"/>
  <c r="D291" i="4"/>
  <c r="E291" i="4"/>
  <c r="G291" i="4" s="1"/>
  <c r="F291" i="4"/>
  <c r="D292" i="4"/>
  <c r="E292" i="4"/>
  <c r="F292" i="4"/>
  <c r="D293" i="4"/>
  <c r="E293" i="4"/>
  <c r="G293" i="4" s="1"/>
  <c r="F293" i="4"/>
  <c r="D294" i="4"/>
  <c r="E294" i="4"/>
  <c r="G294" i="4" s="1"/>
  <c r="F294" i="4"/>
  <c r="D295" i="4"/>
  <c r="E295" i="4"/>
  <c r="G295" i="4" s="1"/>
  <c r="F295" i="4"/>
  <c r="D296" i="4"/>
  <c r="E296" i="4"/>
  <c r="G296" i="4" s="1"/>
  <c r="F296" i="4"/>
  <c r="D297" i="4"/>
  <c r="E297" i="4"/>
  <c r="G297" i="4" s="1"/>
  <c r="F297" i="4"/>
  <c r="D298" i="4"/>
  <c r="E298" i="4"/>
  <c r="F298" i="4"/>
  <c r="D299" i="4"/>
  <c r="E299" i="4"/>
  <c r="G299" i="4" s="1"/>
  <c r="F299" i="4"/>
  <c r="D300" i="4"/>
  <c r="E300" i="4"/>
  <c r="G300" i="4" s="1"/>
  <c r="F300" i="4"/>
  <c r="D301" i="4"/>
  <c r="E301" i="4"/>
  <c r="G301" i="4" s="1"/>
  <c r="F301" i="4"/>
  <c r="D302" i="4"/>
  <c r="E302" i="4"/>
  <c r="G302" i="4" s="1"/>
  <c r="F302" i="4"/>
  <c r="D303" i="4"/>
  <c r="E303" i="4"/>
  <c r="G303" i="4" s="1"/>
  <c r="F303" i="4"/>
  <c r="D304" i="4"/>
  <c r="E304" i="4"/>
  <c r="G304" i="4" s="1"/>
  <c r="F304" i="4"/>
  <c r="D305" i="4"/>
  <c r="E305" i="4"/>
  <c r="G305" i="4" s="1"/>
  <c r="F305" i="4"/>
  <c r="D306" i="4"/>
  <c r="E306" i="4"/>
  <c r="G306" i="4" s="1"/>
  <c r="F306" i="4"/>
  <c r="D307" i="4"/>
  <c r="E307" i="4"/>
  <c r="G307" i="4" s="1"/>
  <c r="F307" i="4"/>
  <c r="D308" i="4"/>
  <c r="E308" i="4"/>
  <c r="G308" i="4" s="1"/>
  <c r="F308" i="4"/>
  <c r="D309" i="4"/>
  <c r="E309" i="4"/>
  <c r="G309" i="4" s="1"/>
  <c r="F309" i="4"/>
  <c r="D310" i="4"/>
  <c r="E310" i="4"/>
  <c r="G310" i="4" s="1"/>
  <c r="F310" i="4"/>
  <c r="D311" i="4"/>
  <c r="E311" i="4"/>
  <c r="G311" i="4" s="1"/>
  <c r="F311" i="4"/>
  <c r="D312" i="4"/>
  <c r="E312" i="4"/>
  <c r="G312" i="4" s="1"/>
  <c r="F312" i="4"/>
  <c r="D313" i="4"/>
  <c r="E313" i="4"/>
  <c r="G313" i="4" s="1"/>
  <c r="F313" i="4"/>
  <c r="D314" i="4"/>
  <c r="E314" i="4"/>
  <c r="G314" i="4" s="1"/>
  <c r="F314" i="4"/>
  <c r="D315" i="4"/>
  <c r="E315" i="4"/>
  <c r="G315" i="4" s="1"/>
  <c r="F315" i="4"/>
  <c r="D316" i="4"/>
  <c r="E316" i="4"/>
  <c r="G316" i="4" s="1"/>
  <c r="F316" i="4"/>
  <c r="D317" i="4"/>
  <c r="E317" i="4"/>
  <c r="F317" i="4"/>
  <c r="D318" i="4"/>
  <c r="E318" i="4"/>
  <c r="G318" i="4" s="1"/>
  <c r="F318" i="4"/>
  <c r="D319" i="4"/>
  <c r="E319" i="4"/>
  <c r="G319" i="4" s="1"/>
  <c r="F319" i="4"/>
  <c r="D320" i="4"/>
  <c r="E320" i="4"/>
  <c r="G320" i="4" s="1"/>
  <c r="F320" i="4"/>
  <c r="D321" i="4"/>
  <c r="E321" i="4"/>
  <c r="G321" i="4" s="1"/>
  <c r="F321" i="4"/>
  <c r="D322" i="4"/>
  <c r="E322" i="4"/>
  <c r="G322" i="4" s="1"/>
  <c r="F322" i="4"/>
  <c r="D323" i="4"/>
  <c r="E323" i="4"/>
  <c r="G323" i="4" s="1"/>
  <c r="F323" i="4"/>
  <c r="D324" i="4"/>
  <c r="E324" i="4"/>
  <c r="G324" i="4" s="1"/>
  <c r="F324" i="4"/>
  <c r="D325" i="4"/>
  <c r="E325" i="4"/>
  <c r="G325" i="4" s="1"/>
  <c r="F325" i="4"/>
  <c r="D326" i="4"/>
  <c r="E326" i="4"/>
  <c r="G326" i="4" s="1"/>
  <c r="F326" i="4"/>
  <c r="D327" i="4"/>
  <c r="E327" i="4"/>
  <c r="G327" i="4" s="1"/>
  <c r="F327" i="4"/>
  <c r="D328" i="4"/>
  <c r="E328" i="4"/>
  <c r="G328" i="4" s="1"/>
  <c r="F328" i="4"/>
  <c r="D329" i="4"/>
  <c r="E329" i="4"/>
  <c r="G329" i="4" s="1"/>
  <c r="F329" i="4"/>
  <c r="D330" i="4"/>
  <c r="E330" i="4"/>
  <c r="F330" i="4"/>
  <c r="D331" i="4"/>
  <c r="E331" i="4"/>
  <c r="G331" i="4" s="1"/>
  <c r="F331" i="4"/>
  <c r="D332" i="4"/>
  <c r="E332" i="4"/>
  <c r="G332" i="4" s="1"/>
  <c r="F332" i="4"/>
  <c r="D333" i="4"/>
  <c r="E333" i="4"/>
  <c r="G333" i="4" s="1"/>
  <c r="F333" i="4"/>
  <c r="D334" i="4"/>
  <c r="E334" i="4"/>
  <c r="G334" i="4" s="1"/>
  <c r="F334" i="4"/>
  <c r="D335" i="4"/>
  <c r="E335" i="4"/>
  <c r="G335" i="4" s="1"/>
  <c r="F335" i="4"/>
  <c r="D336" i="4"/>
  <c r="E336" i="4"/>
  <c r="F336" i="4"/>
  <c r="D337" i="4"/>
  <c r="E337" i="4"/>
  <c r="G337" i="4" s="1"/>
  <c r="F337" i="4"/>
  <c r="D338" i="4"/>
  <c r="E338" i="4"/>
  <c r="G338" i="4" s="1"/>
  <c r="F338" i="4"/>
  <c r="D339" i="4"/>
  <c r="E339" i="4"/>
  <c r="G339" i="4" s="1"/>
  <c r="F339" i="4"/>
  <c r="D340" i="4"/>
  <c r="E340" i="4"/>
  <c r="G340" i="4" s="1"/>
  <c r="F340" i="4"/>
  <c r="D341" i="4"/>
  <c r="E341" i="4"/>
  <c r="G341" i="4" s="1"/>
  <c r="F341" i="4"/>
  <c r="D342" i="4"/>
  <c r="E342" i="4"/>
  <c r="G342" i="4" s="1"/>
  <c r="F342" i="4"/>
  <c r="D343" i="4"/>
  <c r="E343" i="4"/>
  <c r="G343" i="4" s="1"/>
  <c r="F343" i="4"/>
  <c r="D344" i="4"/>
  <c r="E344" i="4"/>
  <c r="G344" i="4" s="1"/>
  <c r="F344" i="4"/>
  <c r="D345" i="4"/>
  <c r="E345" i="4"/>
  <c r="G345" i="4" s="1"/>
  <c r="F345" i="4"/>
  <c r="D346" i="4"/>
  <c r="E346" i="4"/>
  <c r="G346" i="4" s="1"/>
  <c r="F346" i="4"/>
  <c r="D347" i="4"/>
  <c r="E347" i="4"/>
  <c r="G347" i="4" s="1"/>
  <c r="F347" i="4"/>
  <c r="D348" i="4"/>
  <c r="E348" i="4"/>
  <c r="G348" i="4" s="1"/>
  <c r="F348" i="4"/>
  <c r="D349" i="4"/>
  <c r="E349" i="4"/>
  <c r="G349" i="4" s="1"/>
  <c r="F349" i="4"/>
  <c r="D350" i="4"/>
  <c r="E350" i="4"/>
  <c r="G350" i="4" s="1"/>
  <c r="F350" i="4"/>
  <c r="D351" i="4"/>
  <c r="E351" i="4"/>
  <c r="G351" i="4" s="1"/>
  <c r="F351" i="4"/>
  <c r="D352" i="4"/>
  <c r="E352" i="4"/>
  <c r="G352" i="4" s="1"/>
  <c r="F352" i="4"/>
  <c r="D353" i="4"/>
  <c r="E353" i="4"/>
  <c r="G353" i="4" s="1"/>
  <c r="F353" i="4"/>
  <c r="D354" i="4"/>
  <c r="E354" i="4"/>
  <c r="G354" i="4" s="1"/>
  <c r="F354" i="4"/>
  <c r="D355" i="4"/>
  <c r="E355" i="4"/>
  <c r="F355" i="4"/>
  <c r="D356" i="4"/>
  <c r="E356" i="4"/>
  <c r="G356" i="4" s="1"/>
  <c r="F356" i="4"/>
  <c r="D357" i="4"/>
  <c r="E357" i="4"/>
  <c r="G357" i="4" s="1"/>
  <c r="F357" i="4"/>
  <c r="D358" i="4"/>
  <c r="E358" i="4"/>
  <c r="G358" i="4" s="1"/>
  <c r="F358" i="4"/>
  <c r="D359" i="4"/>
  <c r="E359" i="4"/>
  <c r="G359" i="4" s="1"/>
  <c r="F359" i="4"/>
  <c r="D360" i="4"/>
  <c r="E360" i="4"/>
  <c r="G360" i="4" s="1"/>
  <c r="F360" i="4"/>
  <c r="D361" i="4"/>
  <c r="E361" i="4"/>
  <c r="G361" i="4" s="1"/>
  <c r="F361" i="4"/>
  <c r="D362" i="4"/>
  <c r="E362" i="4"/>
  <c r="F362" i="4"/>
  <c r="D363" i="4"/>
  <c r="E363" i="4"/>
  <c r="G363" i="4" s="1"/>
  <c r="F363" i="4"/>
  <c r="D364" i="4"/>
  <c r="E364" i="4"/>
  <c r="G364" i="4" s="1"/>
  <c r="F364" i="4"/>
  <c r="D365" i="4"/>
  <c r="E365" i="4"/>
  <c r="G365" i="4" s="1"/>
  <c r="F365" i="4"/>
  <c r="D366" i="4"/>
  <c r="E366" i="4"/>
  <c r="G366" i="4" s="1"/>
  <c r="F366" i="4"/>
  <c r="D367" i="4"/>
  <c r="E367" i="4"/>
  <c r="G367" i="4" s="1"/>
  <c r="F367" i="4"/>
  <c r="H367" i="4" s="1"/>
  <c r="D368" i="4"/>
  <c r="E368" i="4"/>
  <c r="G368" i="4" s="1"/>
  <c r="F368" i="4"/>
  <c r="D369" i="4"/>
  <c r="E369" i="4"/>
  <c r="G369" i="4" s="1"/>
  <c r="F369" i="4"/>
  <c r="D370" i="4"/>
  <c r="E370" i="4"/>
  <c r="G370" i="4" s="1"/>
  <c r="F370" i="4"/>
  <c r="D371" i="4"/>
  <c r="E371" i="4"/>
  <c r="G371" i="4" s="1"/>
  <c r="F371" i="4"/>
  <c r="D372" i="4"/>
  <c r="E372" i="4"/>
  <c r="G372" i="4" s="1"/>
  <c r="F372" i="4"/>
  <c r="D373" i="4"/>
  <c r="E373" i="4"/>
  <c r="G373" i="4" s="1"/>
  <c r="F373" i="4"/>
  <c r="D374" i="4"/>
  <c r="E374" i="4"/>
  <c r="G374" i="4" s="1"/>
  <c r="F374" i="4"/>
  <c r="D375" i="4"/>
  <c r="E375" i="4"/>
  <c r="G375" i="4" s="1"/>
  <c r="F375" i="4"/>
  <c r="D376" i="4"/>
  <c r="E376" i="4"/>
  <c r="G376" i="4" s="1"/>
  <c r="F376" i="4"/>
  <c r="D377" i="4"/>
  <c r="E377" i="4"/>
  <c r="G377" i="4" s="1"/>
  <c r="F377" i="4"/>
  <c r="D378" i="4"/>
  <c r="E378" i="4"/>
  <c r="G378" i="4" s="1"/>
  <c r="F378" i="4"/>
  <c r="D379" i="4"/>
  <c r="E379" i="4"/>
  <c r="G379" i="4" s="1"/>
  <c r="F379" i="4"/>
  <c r="D380" i="4"/>
  <c r="E380" i="4"/>
  <c r="G380" i="4" s="1"/>
  <c r="F380" i="4"/>
  <c r="D381" i="4"/>
  <c r="E381" i="4"/>
  <c r="G381" i="4" s="1"/>
  <c r="F381" i="4"/>
  <c r="D382" i="4"/>
  <c r="E382" i="4"/>
  <c r="G382" i="4" s="1"/>
  <c r="F382" i="4"/>
  <c r="D383" i="4"/>
  <c r="E383" i="4"/>
  <c r="G383" i="4" s="1"/>
  <c r="F383" i="4"/>
  <c r="D384" i="4"/>
  <c r="E384" i="4"/>
  <c r="G384" i="4" s="1"/>
  <c r="F384" i="4"/>
  <c r="D385" i="4"/>
  <c r="E385" i="4"/>
  <c r="G385" i="4" s="1"/>
  <c r="F385" i="4"/>
  <c r="D386" i="4"/>
  <c r="E386" i="4"/>
  <c r="G386" i="4" s="1"/>
  <c r="F386" i="4"/>
  <c r="D387" i="4"/>
  <c r="E387" i="4"/>
  <c r="G387" i="4" s="1"/>
  <c r="F387" i="4"/>
  <c r="D388" i="4"/>
  <c r="E388" i="4"/>
  <c r="G388" i="4" s="1"/>
  <c r="F388" i="4"/>
  <c r="D389" i="4"/>
  <c r="E389" i="4"/>
  <c r="G389" i="4" s="1"/>
  <c r="F389" i="4"/>
  <c r="D390" i="4"/>
  <c r="E390" i="4"/>
  <c r="G390" i="4" s="1"/>
  <c r="F390" i="4"/>
  <c r="D391" i="4"/>
  <c r="E391" i="4"/>
  <c r="G391" i="4" s="1"/>
  <c r="F391" i="4"/>
  <c r="D392" i="4"/>
  <c r="E392" i="4"/>
  <c r="G392" i="4" s="1"/>
  <c r="F392" i="4"/>
  <c r="D393" i="4"/>
  <c r="E393" i="4"/>
  <c r="G393" i="4" s="1"/>
  <c r="F393" i="4"/>
  <c r="D394" i="4"/>
  <c r="E394" i="4"/>
  <c r="G394" i="4" s="1"/>
  <c r="F394" i="4"/>
  <c r="D395" i="4"/>
  <c r="E395" i="4"/>
  <c r="G395" i="4" s="1"/>
  <c r="F395" i="4"/>
  <c r="D396" i="4"/>
  <c r="E396" i="4"/>
  <c r="G396" i="4" s="1"/>
  <c r="F396" i="4"/>
  <c r="D397" i="4"/>
  <c r="E397" i="4"/>
  <c r="F397" i="4"/>
  <c r="D398" i="4"/>
  <c r="E398" i="4"/>
  <c r="G398" i="4" s="1"/>
  <c r="F398" i="4"/>
  <c r="D399" i="4"/>
  <c r="E399" i="4"/>
  <c r="G399" i="4" s="1"/>
  <c r="F399" i="4"/>
  <c r="D400" i="4"/>
  <c r="E400" i="4"/>
  <c r="G400" i="4" s="1"/>
  <c r="F400" i="4"/>
  <c r="D401" i="4"/>
  <c r="E401" i="4"/>
  <c r="G401" i="4" s="1"/>
  <c r="F401" i="4"/>
  <c r="D402" i="4"/>
  <c r="E402" i="4"/>
  <c r="G402" i="4" s="1"/>
  <c r="F402" i="4"/>
  <c r="D403" i="4"/>
  <c r="E403" i="4"/>
  <c r="G403" i="4" s="1"/>
  <c r="F403" i="4"/>
  <c r="D404" i="4"/>
  <c r="E404" i="4"/>
  <c r="G404" i="4" s="1"/>
  <c r="F404" i="4"/>
  <c r="D405" i="4"/>
  <c r="E405" i="4"/>
  <c r="G405" i="4" s="1"/>
  <c r="F405" i="4"/>
  <c r="D406" i="4"/>
  <c r="E406" i="4"/>
  <c r="G406" i="4" s="1"/>
  <c r="F406" i="4"/>
  <c r="D407" i="4"/>
  <c r="E407" i="4"/>
  <c r="G407" i="4" s="1"/>
  <c r="F407" i="4"/>
  <c r="D408" i="4"/>
  <c r="E408" i="4"/>
  <c r="G408" i="4" s="1"/>
  <c r="F408" i="4"/>
  <c r="D409" i="4"/>
  <c r="E409" i="4"/>
  <c r="G409" i="4" s="1"/>
  <c r="F409" i="4"/>
  <c r="D410" i="4"/>
  <c r="E410" i="4"/>
  <c r="G410" i="4" s="1"/>
  <c r="F410" i="4"/>
  <c r="D411" i="4"/>
  <c r="E411" i="4"/>
  <c r="G411" i="4" s="1"/>
  <c r="F411" i="4"/>
  <c r="D412" i="4"/>
  <c r="E412" i="4"/>
  <c r="G412" i="4" s="1"/>
  <c r="F412" i="4"/>
  <c r="D413" i="4"/>
  <c r="E413" i="4"/>
  <c r="G413" i="4" s="1"/>
  <c r="F413" i="4"/>
  <c r="D414" i="4"/>
  <c r="E414" i="4"/>
  <c r="G414" i="4" s="1"/>
  <c r="F414" i="4"/>
  <c r="D415" i="4"/>
  <c r="E415" i="4"/>
  <c r="G415" i="4" s="1"/>
  <c r="F415" i="4"/>
  <c r="D416" i="4"/>
  <c r="E416" i="4"/>
  <c r="G416" i="4" s="1"/>
  <c r="F416" i="4"/>
  <c r="D417" i="4"/>
  <c r="E417" i="4"/>
  <c r="G417" i="4" s="1"/>
  <c r="F417" i="4"/>
  <c r="D418" i="4"/>
  <c r="E418" i="4"/>
  <c r="F418" i="4"/>
  <c r="D419" i="4"/>
  <c r="E419" i="4"/>
  <c r="G419" i="4" s="1"/>
  <c r="F419" i="4"/>
  <c r="D420" i="4"/>
  <c r="E420" i="4"/>
  <c r="G420" i="4" s="1"/>
  <c r="F420" i="4"/>
  <c r="D421" i="4"/>
  <c r="E421" i="4"/>
  <c r="G421" i="4" s="1"/>
  <c r="F421" i="4"/>
  <c r="D422" i="4"/>
  <c r="E422" i="4"/>
  <c r="G422" i="4" s="1"/>
  <c r="F422" i="4"/>
  <c r="D423" i="4"/>
  <c r="E423" i="4"/>
  <c r="G423" i="4" s="1"/>
  <c r="F423" i="4"/>
  <c r="D424" i="4"/>
  <c r="E424" i="4"/>
  <c r="G424" i="4" s="1"/>
  <c r="F424" i="4"/>
  <c r="D425" i="4"/>
  <c r="E425" i="4"/>
  <c r="G425" i="4" s="1"/>
  <c r="F425" i="4"/>
  <c r="D426" i="4"/>
  <c r="E426" i="4"/>
  <c r="G426" i="4" s="1"/>
  <c r="F426" i="4"/>
  <c r="D427" i="4"/>
  <c r="E427" i="4"/>
  <c r="G427" i="4" s="1"/>
  <c r="F427" i="4"/>
  <c r="D428" i="4"/>
  <c r="E428" i="4"/>
  <c r="G428" i="4" s="1"/>
  <c r="F428" i="4"/>
  <c r="H428" i="4" s="1"/>
  <c r="D429" i="4"/>
  <c r="E429" i="4"/>
  <c r="F429" i="4"/>
  <c r="D430" i="4"/>
  <c r="E430" i="4"/>
  <c r="G430" i="4" s="1"/>
  <c r="F430" i="4"/>
  <c r="D431" i="4"/>
  <c r="E431" i="4"/>
  <c r="G431" i="4" s="1"/>
  <c r="F431" i="4"/>
  <c r="D432" i="4"/>
  <c r="E432" i="4"/>
  <c r="G432" i="4" s="1"/>
  <c r="F432" i="4"/>
  <c r="D433" i="4"/>
  <c r="E433" i="4"/>
  <c r="G433" i="4" s="1"/>
  <c r="F433" i="4"/>
  <c r="D434" i="4"/>
  <c r="E434" i="4"/>
  <c r="F434" i="4"/>
  <c r="D435" i="4"/>
  <c r="E435" i="4"/>
  <c r="G435" i="4" s="1"/>
  <c r="F435" i="4"/>
  <c r="D436" i="4"/>
  <c r="E436" i="4"/>
  <c r="F436" i="4"/>
  <c r="D437" i="4"/>
  <c r="E437" i="4"/>
  <c r="G437" i="4" s="1"/>
  <c r="F437" i="4"/>
  <c r="D438" i="4"/>
  <c r="E438" i="4"/>
  <c r="G438" i="4" s="1"/>
  <c r="F438" i="4"/>
  <c r="D439" i="4"/>
  <c r="E439" i="4"/>
  <c r="G439" i="4" s="1"/>
  <c r="F439" i="4"/>
  <c r="D440" i="4"/>
  <c r="E440" i="4"/>
  <c r="G440" i="4" s="1"/>
  <c r="F440" i="4"/>
  <c r="D441" i="4"/>
  <c r="E441" i="4"/>
  <c r="G441" i="4" s="1"/>
  <c r="F441" i="4"/>
  <c r="D442" i="4"/>
  <c r="E442" i="4"/>
  <c r="G442" i="4" s="1"/>
  <c r="F442" i="4"/>
  <c r="D443" i="4"/>
  <c r="E443" i="4"/>
  <c r="G443" i="4" s="1"/>
  <c r="F443" i="4"/>
  <c r="D444" i="4"/>
  <c r="E444" i="4"/>
  <c r="G444" i="4" s="1"/>
  <c r="F444" i="4"/>
  <c r="D445" i="4"/>
  <c r="E445" i="4"/>
  <c r="G445" i="4" s="1"/>
  <c r="F445" i="4"/>
  <c r="D446" i="4"/>
  <c r="E446" i="4"/>
  <c r="G446" i="4" s="1"/>
  <c r="F446" i="4"/>
  <c r="D447" i="4"/>
  <c r="E447" i="4"/>
  <c r="G447" i="4" s="1"/>
  <c r="F447" i="4"/>
  <c r="D448" i="4"/>
  <c r="E448" i="4"/>
  <c r="F448" i="4"/>
  <c r="D449" i="4"/>
  <c r="E449" i="4"/>
  <c r="F449" i="4"/>
  <c r="D450" i="4"/>
  <c r="E450" i="4"/>
  <c r="G450" i="4" s="1"/>
  <c r="F450" i="4"/>
  <c r="D451" i="4"/>
  <c r="E451" i="4"/>
  <c r="G451" i="4" s="1"/>
  <c r="F451" i="4"/>
  <c r="D452" i="4"/>
  <c r="E452" i="4"/>
  <c r="G452" i="4" s="1"/>
  <c r="F452" i="4"/>
  <c r="D453" i="4"/>
  <c r="E453" i="4"/>
  <c r="G453" i="4" s="1"/>
  <c r="F453" i="4"/>
  <c r="D454" i="4"/>
  <c r="E454" i="4"/>
  <c r="G454" i="4" s="1"/>
  <c r="F454" i="4"/>
  <c r="D455" i="4"/>
  <c r="E455" i="4"/>
  <c r="G455" i="4" s="1"/>
  <c r="F455" i="4"/>
  <c r="D456" i="4"/>
  <c r="E456" i="4"/>
  <c r="G456" i="4" s="1"/>
  <c r="F456" i="4"/>
  <c r="D457" i="4"/>
  <c r="E457" i="4"/>
  <c r="G457" i="4" s="1"/>
  <c r="F457" i="4"/>
  <c r="D458" i="4"/>
  <c r="E458" i="4"/>
  <c r="G458" i="4" s="1"/>
  <c r="F458" i="4"/>
  <c r="D459" i="4"/>
  <c r="E459" i="4"/>
  <c r="G459" i="4" s="1"/>
  <c r="F459" i="4"/>
  <c r="D460" i="4"/>
  <c r="E460" i="4"/>
  <c r="G460" i="4" s="1"/>
  <c r="F460" i="4"/>
  <c r="D461" i="4"/>
  <c r="E461" i="4"/>
  <c r="G461" i="4" s="1"/>
  <c r="F461" i="4"/>
  <c r="D462" i="4"/>
  <c r="E462" i="4"/>
  <c r="G462" i="4" s="1"/>
  <c r="F462" i="4"/>
  <c r="D463" i="4"/>
  <c r="E463" i="4"/>
  <c r="G463" i="4" s="1"/>
  <c r="F463" i="4"/>
  <c r="D464" i="4"/>
  <c r="E464" i="4"/>
  <c r="G464" i="4" s="1"/>
  <c r="F464" i="4"/>
  <c r="D465" i="4"/>
  <c r="E465" i="4"/>
  <c r="G465" i="4" s="1"/>
  <c r="F465" i="4"/>
  <c r="D466" i="4"/>
  <c r="E466" i="4"/>
  <c r="G466" i="4" s="1"/>
  <c r="F466" i="4"/>
  <c r="D467" i="4"/>
  <c r="E467" i="4"/>
  <c r="G467" i="4" s="1"/>
  <c r="F467" i="4"/>
  <c r="D468" i="4"/>
  <c r="E468" i="4"/>
  <c r="F468" i="4"/>
  <c r="D469" i="4"/>
  <c r="E469" i="4"/>
  <c r="G469" i="4" s="1"/>
  <c r="F469" i="4"/>
  <c r="D470" i="4"/>
  <c r="E470" i="4"/>
  <c r="G470" i="4" s="1"/>
  <c r="F470" i="4"/>
  <c r="D471" i="4"/>
  <c r="E471" i="4"/>
  <c r="G471" i="4" s="1"/>
  <c r="F471" i="4"/>
  <c r="D472" i="4"/>
  <c r="E472" i="4"/>
  <c r="G472" i="4" s="1"/>
  <c r="F472" i="4"/>
  <c r="D473" i="4"/>
  <c r="E473" i="4"/>
  <c r="G473" i="4" s="1"/>
  <c r="F473" i="4"/>
  <c r="D474" i="4"/>
  <c r="E474" i="4"/>
  <c r="G474" i="4" s="1"/>
  <c r="F474" i="4"/>
  <c r="D475" i="4"/>
  <c r="E475" i="4"/>
  <c r="G475" i="4" s="1"/>
  <c r="F475" i="4"/>
  <c r="D476" i="4"/>
  <c r="E476" i="4"/>
  <c r="G476" i="4" s="1"/>
  <c r="F476" i="4"/>
  <c r="D477" i="4"/>
  <c r="E477" i="4"/>
  <c r="G477" i="4" s="1"/>
  <c r="F477" i="4"/>
  <c r="D478" i="4"/>
  <c r="E478" i="4"/>
  <c r="G478" i="4" s="1"/>
  <c r="F478" i="4"/>
  <c r="D479" i="4"/>
  <c r="E479" i="4"/>
  <c r="G479" i="4" s="1"/>
  <c r="F479" i="4"/>
  <c r="D480" i="4"/>
  <c r="E480" i="4"/>
  <c r="G480" i="4" s="1"/>
  <c r="F480" i="4"/>
  <c r="D481" i="4"/>
  <c r="E481" i="4"/>
  <c r="G481" i="4" s="1"/>
  <c r="F481" i="4"/>
  <c r="D482" i="4"/>
  <c r="E482" i="4"/>
  <c r="G482" i="4" s="1"/>
  <c r="F482" i="4"/>
  <c r="D483" i="4"/>
  <c r="E483" i="4"/>
  <c r="G483" i="4" s="1"/>
  <c r="F483" i="4"/>
  <c r="D484" i="4"/>
  <c r="E484" i="4"/>
  <c r="G484" i="4" s="1"/>
  <c r="F484" i="4"/>
  <c r="D485" i="4"/>
  <c r="E485" i="4"/>
  <c r="G485" i="4" s="1"/>
  <c r="F485" i="4"/>
  <c r="D486" i="4"/>
  <c r="E486" i="4"/>
  <c r="G486" i="4" s="1"/>
  <c r="F486" i="4"/>
  <c r="D487" i="4"/>
  <c r="E487" i="4"/>
  <c r="G487" i="4" s="1"/>
  <c r="F487" i="4"/>
  <c r="D488" i="4"/>
  <c r="E488" i="4"/>
  <c r="F488" i="4"/>
  <c r="D489" i="4"/>
  <c r="E489" i="4"/>
  <c r="G489" i="4" s="1"/>
  <c r="F489" i="4"/>
  <c r="D490" i="4"/>
  <c r="E490" i="4"/>
  <c r="G490" i="4" s="1"/>
  <c r="F490" i="4"/>
  <c r="D491" i="4"/>
  <c r="E491" i="4"/>
  <c r="G491" i="4" s="1"/>
  <c r="F491" i="4"/>
  <c r="D492" i="4"/>
  <c r="E492" i="4"/>
  <c r="G492" i="4" s="1"/>
  <c r="F492" i="4"/>
  <c r="D493" i="4"/>
  <c r="E493" i="4"/>
  <c r="G493" i="4" s="1"/>
  <c r="F493" i="4"/>
  <c r="D494" i="4"/>
  <c r="E494" i="4"/>
  <c r="G494" i="4" s="1"/>
  <c r="F494" i="4"/>
  <c r="D495" i="4"/>
  <c r="E495" i="4"/>
  <c r="G495" i="4" s="1"/>
  <c r="F495" i="4"/>
  <c r="D496" i="4"/>
  <c r="E496" i="4"/>
  <c r="G496" i="4" s="1"/>
  <c r="F496" i="4"/>
  <c r="D497" i="4"/>
  <c r="E497" i="4"/>
  <c r="G497" i="4" s="1"/>
  <c r="F497" i="4"/>
  <c r="D498" i="4"/>
  <c r="E498" i="4"/>
  <c r="G498" i="4" s="1"/>
  <c r="F498" i="4"/>
  <c r="D499" i="4"/>
  <c r="E499" i="4"/>
  <c r="G499" i="4" s="1"/>
  <c r="F499" i="4"/>
  <c r="D500" i="4"/>
  <c r="E500" i="4"/>
  <c r="G500" i="4" s="1"/>
  <c r="F500" i="4"/>
  <c r="D501" i="4"/>
  <c r="E501" i="4"/>
  <c r="F501" i="4"/>
  <c r="D502" i="4"/>
  <c r="E502" i="4"/>
  <c r="G502" i="4" s="1"/>
  <c r="F502" i="4"/>
  <c r="D503" i="4"/>
  <c r="E503" i="4"/>
  <c r="G503" i="4" s="1"/>
  <c r="F503" i="4"/>
  <c r="D504" i="4"/>
  <c r="E504" i="4"/>
  <c r="G504" i="4" s="1"/>
  <c r="F504" i="4"/>
  <c r="D505" i="4"/>
  <c r="E505" i="4"/>
  <c r="G505" i="4" s="1"/>
  <c r="F505" i="4"/>
  <c r="D506" i="4"/>
  <c r="E506" i="4"/>
  <c r="G506" i="4" s="1"/>
  <c r="F506" i="4"/>
  <c r="D507" i="4"/>
  <c r="E507" i="4"/>
  <c r="G507" i="4" s="1"/>
  <c r="F507" i="4"/>
  <c r="D508" i="4"/>
  <c r="E508" i="4"/>
  <c r="G508" i="4" s="1"/>
  <c r="F508" i="4"/>
  <c r="D509" i="4"/>
  <c r="E509" i="4"/>
  <c r="G509" i="4" s="1"/>
  <c r="F509" i="4"/>
  <c r="D510" i="4"/>
  <c r="E510" i="4"/>
  <c r="G510" i="4" s="1"/>
  <c r="F510" i="4"/>
  <c r="D511" i="4"/>
  <c r="E511" i="4"/>
  <c r="G511" i="4" s="1"/>
  <c r="F511" i="4"/>
  <c r="D512" i="4"/>
  <c r="E512" i="4"/>
  <c r="G512" i="4" s="1"/>
  <c r="F512" i="4"/>
  <c r="D513" i="4"/>
  <c r="E513" i="4"/>
  <c r="G513" i="4" s="1"/>
  <c r="F513" i="4"/>
  <c r="D514" i="4"/>
  <c r="E514" i="4"/>
  <c r="G514" i="4" s="1"/>
  <c r="F514" i="4"/>
  <c r="D515" i="4"/>
  <c r="E515" i="4"/>
  <c r="G515" i="4" s="1"/>
  <c r="F515" i="4"/>
  <c r="D516" i="4"/>
  <c r="E516" i="4"/>
  <c r="G516" i="4" s="1"/>
  <c r="F516" i="4"/>
  <c r="D517" i="4"/>
  <c r="E517" i="4"/>
  <c r="F517" i="4"/>
  <c r="D518" i="4"/>
  <c r="E518" i="4"/>
  <c r="G518" i="4" s="1"/>
  <c r="F518" i="4"/>
  <c r="D519" i="4"/>
  <c r="E519" i="4"/>
  <c r="G519" i="4" s="1"/>
  <c r="F519" i="4"/>
  <c r="D520" i="4"/>
  <c r="E520" i="4"/>
  <c r="F520" i="4"/>
  <c r="D521" i="4"/>
  <c r="E521" i="4"/>
  <c r="G521" i="4" s="1"/>
  <c r="F521" i="4"/>
  <c r="D522" i="4"/>
  <c r="E522" i="4"/>
  <c r="G522" i="4" s="1"/>
  <c r="F522" i="4"/>
  <c r="D523" i="4"/>
  <c r="E523" i="4"/>
  <c r="G523" i="4" s="1"/>
  <c r="F523" i="4"/>
  <c r="D524" i="4"/>
  <c r="E524" i="4"/>
  <c r="G524" i="4" s="1"/>
  <c r="F524" i="4"/>
  <c r="D525" i="4"/>
  <c r="E525" i="4"/>
  <c r="G525" i="4" s="1"/>
  <c r="F525" i="4"/>
  <c r="D526" i="4"/>
  <c r="E526" i="4"/>
  <c r="G526" i="4" s="1"/>
  <c r="F526" i="4"/>
  <c r="D527" i="4"/>
  <c r="E527" i="4"/>
  <c r="G527" i="4" s="1"/>
  <c r="F527" i="4"/>
  <c r="H527" i="4" s="1"/>
  <c r="D528" i="4"/>
  <c r="E528" i="4"/>
  <c r="G528" i="4" s="1"/>
  <c r="F528" i="4"/>
  <c r="D529" i="4"/>
  <c r="E529" i="4"/>
  <c r="G529" i="4" s="1"/>
  <c r="F529" i="4"/>
  <c r="D530" i="4"/>
  <c r="E530" i="4"/>
  <c r="G530" i="4" s="1"/>
  <c r="F530" i="4"/>
  <c r="D531" i="4"/>
  <c r="E531" i="4"/>
  <c r="F531" i="4"/>
  <c r="D532" i="4"/>
  <c r="E532" i="4"/>
  <c r="G532" i="4" s="1"/>
  <c r="F532" i="4"/>
  <c r="D533" i="4"/>
  <c r="E533" i="4"/>
  <c r="G533" i="4" s="1"/>
  <c r="F533" i="4"/>
  <c r="D534" i="4"/>
  <c r="E534" i="4"/>
  <c r="F534" i="4"/>
  <c r="D535" i="4"/>
  <c r="E535" i="4"/>
  <c r="G535" i="4" s="1"/>
  <c r="F535" i="4"/>
  <c r="D536" i="4"/>
  <c r="E536" i="4"/>
  <c r="G536" i="4" s="1"/>
  <c r="F536" i="4"/>
  <c r="D537" i="4"/>
  <c r="E537" i="4"/>
  <c r="G537" i="4" s="1"/>
  <c r="F537" i="4"/>
  <c r="D538" i="4"/>
  <c r="E538" i="4"/>
  <c r="G538" i="4" s="1"/>
  <c r="F538" i="4"/>
  <c r="D539" i="4"/>
  <c r="E539" i="4"/>
  <c r="F539" i="4"/>
  <c r="D540" i="4"/>
  <c r="E540" i="4"/>
  <c r="G540" i="4" s="1"/>
  <c r="F540" i="4"/>
  <c r="D541" i="4"/>
  <c r="E541" i="4"/>
  <c r="G541" i="4" s="1"/>
  <c r="F541" i="4"/>
  <c r="D542" i="4"/>
  <c r="E542" i="4"/>
  <c r="G542" i="4" s="1"/>
  <c r="F542" i="4"/>
  <c r="D543" i="4"/>
  <c r="E543" i="4"/>
  <c r="G543" i="4" s="1"/>
  <c r="F543" i="4"/>
  <c r="D544" i="4"/>
  <c r="E544" i="4"/>
  <c r="G544" i="4" s="1"/>
  <c r="F544" i="4"/>
  <c r="D545" i="4"/>
  <c r="E545" i="4"/>
  <c r="G545" i="4" s="1"/>
  <c r="F545" i="4"/>
  <c r="D546" i="4"/>
  <c r="E546" i="4"/>
  <c r="G546" i="4" s="1"/>
  <c r="F546" i="4"/>
  <c r="D547" i="4"/>
  <c r="E547" i="4"/>
  <c r="F547" i="4"/>
  <c r="D548" i="4"/>
  <c r="E548" i="4"/>
  <c r="G548" i="4" s="1"/>
  <c r="F548" i="4"/>
  <c r="D549" i="4"/>
  <c r="E549" i="4"/>
  <c r="G549" i="4" s="1"/>
  <c r="F549" i="4"/>
  <c r="D550" i="4"/>
  <c r="E550" i="4"/>
  <c r="G550" i="4" s="1"/>
  <c r="F550" i="4"/>
  <c r="D551" i="4"/>
  <c r="E551" i="4"/>
  <c r="G551" i="4" s="1"/>
  <c r="F551" i="4"/>
  <c r="D552" i="4"/>
  <c r="E552" i="4"/>
  <c r="G552" i="4" s="1"/>
  <c r="F552" i="4"/>
  <c r="D553" i="4"/>
  <c r="E553" i="4"/>
  <c r="G553" i="4" s="1"/>
  <c r="F553" i="4"/>
  <c r="D554" i="4"/>
  <c r="E554" i="4"/>
  <c r="F554" i="4"/>
  <c r="D555" i="4"/>
  <c r="E555" i="4"/>
  <c r="G555" i="4" s="1"/>
  <c r="F555" i="4"/>
  <c r="D556" i="4"/>
  <c r="E556" i="4"/>
  <c r="G556" i="4" s="1"/>
  <c r="F556" i="4"/>
  <c r="D557" i="4"/>
  <c r="E557" i="4"/>
  <c r="G557" i="4" s="1"/>
  <c r="F557" i="4"/>
  <c r="D558" i="4"/>
  <c r="E558" i="4"/>
  <c r="G558" i="4" s="1"/>
  <c r="F558" i="4"/>
  <c r="D559" i="4"/>
  <c r="E559" i="4"/>
  <c r="G559" i="4" s="1"/>
  <c r="F559" i="4"/>
  <c r="D560" i="4"/>
  <c r="E560" i="4"/>
  <c r="G560" i="4" s="1"/>
  <c r="F560" i="4"/>
  <c r="D561" i="4"/>
  <c r="E561" i="4"/>
  <c r="F561" i="4"/>
  <c r="D562" i="4"/>
  <c r="E562" i="4"/>
  <c r="G562" i="4" s="1"/>
  <c r="F562" i="4"/>
  <c r="D563" i="4"/>
  <c r="E563" i="4"/>
  <c r="G563" i="4" s="1"/>
  <c r="F563" i="4"/>
  <c r="H563" i="4" s="1"/>
  <c r="D564" i="4"/>
  <c r="E564" i="4"/>
  <c r="G564" i="4" s="1"/>
  <c r="F564" i="4"/>
  <c r="D565" i="4"/>
  <c r="E565" i="4"/>
  <c r="G565" i="4" s="1"/>
  <c r="F565" i="4"/>
  <c r="D566" i="4"/>
  <c r="E566" i="4"/>
  <c r="G566" i="4" s="1"/>
  <c r="F566" i="4"/>
  <c r="D567" i="4"/>
  <c r="E567" i="4"/>
  <c r="G567" i="4" s="1"/>
  <c r="F567" i="4"/>
  <c r="D568" i="4"/>
  <c r="E568" i="4"/>
  <c r="G568" i="4" s="1"/>
  <c r="F568" i="4"/>
  <c r="D569" i="4"/>
  <c r="E569" i="4"/>
  <c r="G569" i="4" s="1"/>
  <c r="F569" i="4"/>
  <c r="D570" i="4"/>
  <c r="E570" i="4"/>
  <c r="G570" i="4" s="1"/>
  <c r="F570" i="4"/>
  <c r="D571" i="4"/>
  <c r="E571" i="4"/>
  <c r="G571" i="4" s="1"/>
  <c r="F571" i="4"/>
  <c r="D572" i="4"/>
  <c r="E572" i="4"/>
  <c r="G572" i="4" s="1"/>
  <c r="F572" i="4"/>
  <c r="D573" i="4"/>
  <c r="E573" i="4"/>
  <c r="G573" i="4" s="1"/>
  <c r="F573" i="4"/>
  <c r="D574" i="4"/>
  <c r="E574" i="4"/>
  <c r="G574" i="4" s="1"/>
  <c r="F574" i="4"/>
  <c r="D575" i="4"/>
  <c r="E575" i="4"/>
  <c r="G575" i="4" s="1"/>
  <c r="F575" i="4"/>
  <c r="D576" i="4"/>
  <c r="E576" i="4"/>
  <c r="G576" i="4" s="1"/>
  <c r="F576" i="4"/>
  <c r="D577" i="4"/>
  <c r="E577" i="4"/>
  <c r="G577" i="4" s="1"/>
  <c r="F577" i="4"/>
  <c r="D578" i="4"/>
  <c r="E578" i="4"/>
  <c r="G578" i="4" s="1"/>
  <c r="F578" i="4"/>
  <c r="D579" i="4"/>
  <c r="E579" i="4"/>
  <c r="G579" i="4" s="1"/>
  <c r="F579" i="4"/>
  <c r="D580" i="4"/>
  <c r="E580" i="4"/>
  <c r="G580" i="4" s="1"/>
  <c r="F580" i="4"/>
  <c r="D581" i="4"/>
  <c r="E581" i="4"/>
  <c r="G581" i="4" s="1"/>
  <c r="F581" i="4"/>
  <c r="D582" i="4"/>
  <c r="E582" i="4"/>
  <c r="G582" i="4" s="1"/>
  <c r="F582" i="4"/>
  <c r="D583" i="4"/>
  <c r="E583" i="4"/>
  <c r="G583" i="4" s="1"/>
  <c r="F583" i="4"/>
  <c r="D584" i="4"/>
  <c r="E584" i="4"/>
  <c r="G584" i="4" s="1"/>
  <c r="F584" i="4"/>
  <c r="D585" i="4"/>
  <c r="E585" i="4"/>
  <c r="G585" i="4" s="1"/>
  <c r="F585" i="4"/>
  <c r="D586" i="4"/>
  <c r="E586" i="4"/>
  <c r="G586" i="4" s="1"/>
  <c r="F586" i="4"/>
  <c r="D587" i="4"/>
  <c r="E587" i="4"/>
  <c r="F587" i="4"/>
  <c r="D588" i="4"/>
  <c r="E588" i="4"/>
  <c r="G588" i="4" s="1"/>
  <c r="F588" i="4"/>
  <c r="D589" i="4"/>
  <c r="E589" i="4"/>
  <c r="G589" i="4" s="1"/>
  <c r="F589" i="4"/>
  <c r="D590" i="4"/>
  <c r="E590" i="4"/>
  <c r="G590" i="4" s="1"/>
  <c r="F590" i="4"/>
  <c r="D591" i="4"/>
  <c r="E591" i="4"/>
  <c r="G591" i="4" s="1"/>
  <c r="F591" i="4"/>
  <c r="D592" i="4"/>
  <c r="E592" i="4"/>
  <c r="G592" i="4" s="1"/>
  <c r="F592" i="4"/>
  <c r="D593" i="4"/>
  <c r="E593" i="4"/>
  <c r="G593" i="4" s="1"/>
  <c r="F593" i="4"/>
  <c r="D594" i="4"/>
  <c r="E594" i="4"/>
  <c r="G594" i="4" s="1"/>
  <c r="F594" i="4"/>
  <c r="D595" i="4"/>
  <c r="E595" i="4"/>
  <c r="G595" i="4" s="1"/>
  <c r="F595" i="4"/>
  <c r="D596" i="4"/>
  <c r="E596" i="4"/>
  <c r="G596" i="4" s="1"/>
  <c r="F596" i="4"/>
  <c r="D597" i="4"/>
  <c r="E597" i="4"/>
  <c r="F597" i="4"/>
  <c r="D598" i="4"/>
  <c r="E598" i="4"/>
  <c r="G598" i="4" s="1"/>
  <c r="F598" i="4"/>
  <c r="D599" i="4"/>
  <c r="E599" i="4"/>
  <c r="G599" i="4" s="1"/>
  <c r="F599" i="4"/>
  <c r="D600" i="4"/>
  <c r="E600" i="4"/>
  <c r="G600" i="4" s="1"/>
  <c r="F600" i="4"/>
  <c r="D601" i="4"/>
  <c r="E601" i="4"/>
  <c r="G601" i="4" s="1"/>
  <c r="F601" i="4"/>
  <c r="H601" i="4" s="1"/>
  <c r="D602" i="4"/>
  <c r="E602" i="4"/>
  <c r="G602" i="4" s="1"/>
  <c r="F602" i="4"/>
  <c r="D603" i="4"/>
  <c r="E603" i="4"/>
  <c r="G603" i="4" s="1"/>
  <c r="F603" i="4"/>
  <c r="D604" i="4"/>
  <c r="E604" i="4"/>
  <c r="G604" i="4" s="1"/>
  <c r="F604" i="4"/>
  <c r="D605" i="4"/>
  <c r="E605" i="4"/>
  <c r="F605" i="4"/>
  <c r="D606" i="4"/>
  <c r="E606" i="4"/>
  <c r="G606" i="4" s="1"/>
  <c r="F606" i="4"/>
  <c r="D607" i="4"/>
  <c r="E607" i="4"/>
  <c r="G607" i="4" s="1"/>
  <c r="F607" i="4"/>
  <c r="D608" i="4"/>
  <c r="E608" i="4"/>
  <c r="G608" i="4" s="1"/>
  <c r="F608" i="4"/>
  <c r="D609" i="4"/>
  <c r="E609" i="4"/>
  <c r="G609" i="4" s="1"/>
  <c r="F609" i="4"/>
  <c r="D610" i="4"/>
  <c r="E610" i="4"/>
  <c r="G610" i="4" s="1"/>
  <c r="F610" i="4"/>
  <c r="D611" i="4"/>
  <c r="E611" i="4"/>
  <c r="F611" i="4"/>
  <c r="D612" i="4"/>
  <c r="E612" i="4"/>
  <c r="G612" i="4" s="1"/>
  <c r="F612" i="4"/>
  <c r="D613" i="4"/>
  <c r="E613" i="4"/>
  <c r="G613" i="4" s="1"/>
  <c r="F613" i="4"/>
  <c r="D614" i="4"/>
  <c r="E614" i="4"/>
  <c r="G614" i="4" s="1"/>
  <c r="F614" i="4"/>
  <c r="D615" i="4"/>
  <c r="E615" i="4"/>
  <c r="G615" i="4" s="1"/>
  <c r="F615" i="4"/>
  <c r="D616" i="4"/>
  <c r="E616" i="4"/>
  <c r="F616" i="4"/>
  <c r="D617" i="4"/>
  <c r="E617" i="4"/>
  <c r="G617" i="4" s="1"/>
  <c r="F617" i="4"/>
  <c r="D618" i="4"/>
  <c r="E618" i="4"/>
  <c r="G618" i="4" s="1"/>
  <c r="F618" i="4"/>
  <c r="D619" i="4"/>
  <c r="E619" i="4"/>
  <c r="G619" i="4" s="1"/>
  <c r="F619" i="4"/>
  <c r="D620" i="4"/>
  <c r="E620" i="4"/>
  <c r="G620" i="4" s="1"/>
  <c r="F620" i="4"/>
  <c r="D621" i="4"/>
  <c r="E621" i="4"/>
  <c r="G621" i="4" s="1"/>
  <c r="F621" i="4"/>
  <c r="D622" i="4"/>
  <c r="E622" i="4"/>
  <c r="G622" i="4" s="1"/>
  <c r="F622" i="4"/>
  <c r="D623" i="4"/>
  <c r="E623" i="4"/>
  <c r="G623" i="4" s="1"/>
  <c r="F623" i="4"/>
  <c r="D624" i="4"/>
  <c r="E624" i="4"/>
  <c r="G624" i="4" s="1"/>
  <c r="F624" i="4"/>
  <c r="D625" i="4"/>
  <c r="E625" i="4"/>
  <c r="G625" i="4" s="1"/>
  <c r="F625" i="4"/>
  <c r="D626" i="4"/>
  <c r="E626" i="4"/>
  <c r="G626" i="4" s="1"/>
  <c r="F626" i="4"/>
  <c r="D627" i="4"/>
  <c r="E627" i="4"/>
  <c r="G627" i="4" s="1"/>
  <c r="F627" i="4"/>
  <c r="D628" i="4"/>
  <c r="E628" i="4"/>
  <c r="G628" i="4" s="1"/>
  <c r="F628" i="4"/>
  <c r="D629" i="4"/>
  <c r="E629" i="4"/>
  <c r="G629" i="4" s="1"/>
  <c r="F629" i="4"/>
  <c r="D630" i="4"/>
  <c r="E630" i="4"/>
  <c r="G630" i="4" s="1"/>
  <c r="F630" i="4"/>
  <c r="D631" i="4"/>
  <c r="E631" i="4"/>
  <c r="F631" i="4"/>
  <c r="D632" i="4"/>
  <c r="E632" i="4"/>
  <c r="G632" i="4" s="1"/>
  <c r="F632" i="4"/>
  <c r="D633" i="4"/>
  <c r="E633" i="4"/>
  <c r="F633" i="4"/>
  <c r="D634" i="4"/>
  <c r="E634" i="4"/>
  <c r="G634" i="4" s="1"/>
  <c r="F634" i="4"/>
  <c r="D635" i="4"/>
  <c r="E635" i="4"/>
  <c r="G635" i="4" s="1"/>
  <c r="F635" i="4"/>
  <c r="D636" i="4"/>
  <c r="E636" i="4"/>
  <c r="F636" i="4"/>
  <c r="D637" i="4"/>
  <c r="E637" i="4"/>
  <c r="G637" i="4" s="1"/>
  <c r="F637" i="4"/>
  <c r="D638" i="4"/>
  <c r="E638" i="4"/>
  <c r="G638" i="4" s="1"/>
  <c r="F638" i="4"/>
  <c r="D639" i="4"/>
  <c r="E639" i="4"/>
  <c r="G639" i="4" s="1"/>
  <c r="F639" i="4"/>
  <c r="D640" i="4"/>
  <c r="E640" i="4"/>
  <c r="G640" i="4" s="1"/>
  <c r="F640" i="4"/>
  <c r="D641" i="4"/>
  <c r="E641" i="4"/>
  <c r="G641" i="4" s="1"/>
  <c r="F641" i="4"/>
  <c r="D642" i="4"/>
  <c r="E642" i="4"/>
  <c r="F642" i="4"/>
  <c r="D643" i="4"/>
  <c r="E643" i="4"/>
  <c r="F643" i="4"/>
  <c r="D644" i="4"/>
  <c r="E644" i="4"/>
  <c r="G644" i="4" s="1"/>
  <c r="F644" i="4"/>
  <c r="D645" i="4"/>
  <c r="E645" i="4"/>
  <c r="G645" i="4" s="1"/>
  <c r="F645" i="4"/>
  <c r="D646" i="4"/>
  <c r="E646" i="4"/>
  <c r="G646" i="4" s="1"/>
  <c r="F646" i="4"/>
  <c r="D647" i="4"/>
  <c r="E647" i="4"/>
  <c r="G647" i="4" s="1"/>
  <c r="F647" i="4"/>
  <c r="D648" i="4"/>
  <c r="E648" i="4"/>
  <c r="G648" i="4" s="1"/>
  <c r="F648" i="4"/>
  <c r="D649" i="4"/>
  <c r="E649" i="4"/>
  <c r="G649" i="4" s="1"/>
  <c r="F649" i="4"/>
  <c r="D650" i="4"/>
  <c r="E650" i="4"/>
  <c r="G650" i="4" s="1"/>
  <c r="F650" i="4"/>
  <c r="D651" i="4"/>
  <c r="E651" i="4"/>
  <c r="G651" i="4" s="1"/>
  <c r="F651" i="4"/>
  <c r="D652" i="4"/>
  <c r="E652" i="4"/>
  <c r="G652" i="4" s="1"/>
  <c r="F652" i="4"/>
  <c r="D653" i="4"/>
  <c r="E653" i="4"/>
  <c r="G653" i="4" s="1"/>
  <c r="F653" i="4"/>
  <c r="D654" i="4"/>
  <c r="E654" i="4"/>
  <c r="G654" i="4" s="1"/>
  <c r="F654" i="4"/>
  <c r="D655" i="4"/>
  <c r="E655" i="4"/>
  <c r="G655" i="4" s="1"/>
  <c r="F655" i="4"/>
  <c r="D656" i="4"/>
  <c r="E656" i="4"/>
  <c r="G656" i="4" s="1"/>
  <c r="F656" i="4"/>
  <c r="D657" i="4"/>
  <c r="E657" i="4"/>
  <c r="G657" i="4" s="1"/>
  <c r="F657" i="4"/>
  <c r="D658" i="4"/>
  <c r="E658" i="4"/>
  <c r="G658" i="4" s="1"/>
  <c r="F658" i="4"/>
  <c r="D659" i="4"/>
  <c r="E659" i="4"/>
  <c r="G659" i="4" s="1"/>
  <c r="F659" i="4"/>
  <c r="D660" i="4"/>
  <c r="E660" i="4"/>
  <c r="G660" i="4" s="1"/>
  <c r="F660" i="4"/>
  <c r="D661" i="4"/>
  <c r="E661" i="4"/>
  <c r="G661" i="4" s="1"/>
  <c r="F661" i="4"/>
  <c r="D662" i="4"/>
  <c r="E662" i="4"/>
  <c r="G662" i="4" s="1"/>
  <c r="F662" i="4"/>
  <c r="D663" i="4"/>
  <c r="E663" i="4"/>
  <c r="G663" i="4" s="1"/>
  <c r="F663" i="4"/>
  <c r="D664" i="4"/>
  <c r="E664" i="4"/>
  <c r="G664" i="4" s="1"/>
  <c r="F664" i="4"/>
  <c r="D665" i="4"/>
  <c r="E665" i="4"/>
  <c r="G665" i="4" s="1"/>
  <c r="F665" i="4"/>
  <c r="D666" i="4"/>
  <c r="E666" i="4"/>
  <c r="G666" i="4" s="1"/>
  <c r="F666" i="4"/>
  <c r="D667" i="4"/>
  <c r="E667" i="4"/>
  <c r="G667" i="4" s="1"/>
  <c r="F667" i="4"/>
  <c r="D668" i="4"/>
  <c r="E668" i="4"/>
  <c r="G668" i="4" s="1"/>
  <c r="F668" i="4"/>
  <c r="D669" i="4"/>
  <c r="E669" i="4"/>
  <c r="F669" i="4"/>
  <c r="D670" i="4"/>
  <c r="E670" i="4"/>
  <c r="G670" i="4" s="1"/>
  <c r="F670" i="4"/>
  <c r="D671" i="4"/>
  <c r="E671" i="4"/>
  <c r="G671" i="4" s="1"/>
  <c r="F671" i="4"/>
  <c r="D672" i="4"/>
  <c r="E672" i="4"/>
  <c r="G672" i="4" s="1"/>
  <c r="F672" i="4"/>
  <c r="D673" i="4"/>
  <c r="E673" i="4"/>
  <c r="G673" i="4" s="1"/>
  <c r="F673" i="4"/>
  <c r="D674" i="4"/>
  <c r="E674" i="4"/>
  <c r="G674" i="4" s="1"/>
  <c r="F674" i="4"/>
  <c r="D675" i="4"/>
  <c r="E675" i="4"/>
  <c r="G675" i="4" s="1"/>
  <c r="F675" i="4"/>
  <c r="D676" i="4"/>
  <c r="E676" i="4"/>
  <c r="G676" i="4" s="1"/>
  <c r="F676" i="4"/>
  <c r="D677" i="4"/>
  <c r="E677" i="4"/>
  <c r="G677" i="4" s="1"/>
  <c r="F677" i="4"/>
  <c r="D678" i="4"/>
  <c r="E678" i="4"/>
  <c r="G678" i="4" s="1"/>
  <c r="F678" i="4"/>
  <c r="D679" i="4"/>
  <c r="E679" i="4"/>
  <c r="G679" i="4" s="1"/>
  <c r="F679" i="4"/>
  <c r="D680" i="4"/>
  <c r="E680" i="4"/>
  <c r="G680" i="4" s="1"/>
  <c r="F680" i="4"/>
  <c r="D681" i="4"/>
  <c r="E681" i="4"/>
  <c r="G681" i="4" s="1"/>
  <c r="F681" i="4"/>
  <c r="D682" i="4"/>
  <c r="E682" i="4"/>
  <c r="G682" i="4" s="1"/>
  <c r="F682" i="4"/>
  <c r="D683" i="4"/>
  <c r="E683" i="4"/>
  <c r="G683" i="4" s="1"/>
  <c r="F683" i="4"/>
  <c r="D684" i="4"/>
  <c r="E684" i="4"/>
  <c r="G684" i="4" s="1"/>
  <c r="F684" i="4"/>
  <c r="D685" i="4"/>
  <c r="E685" i="4"/>
  <c r="G685" i="4" s="1"/>
  <c r="F685" i="4"/>
  <c r="D686" i="4"/>
  <c r="E686" i="4"/>
  <c r="G686" i="4" s="1"/>
  <c r="F686" i="4"/>
  <c r="D687" i="4"/>
  <c r="E687" i="4"/>
  <c r="G687" i="4" s="1"/>
  <c r="F687" i="4"/>
  <c r="D688" i="4"/>
  <c r="E688" i="4"/>
  <c r="G688" i="4" s="1"/>
  <c r="F688" i="4"/>
  <c r="D689" i="4"/>
  <c r="E689" i="4"/>
  <c r="G689" i="4" s="1"/>
  <c r="F689" i="4"/>
  <c r="D690" i="4"/>
  <c r="E690" i="4"/>
  <c r="G690" i="4" s="1"/>
  <c r="F690" i="4"/>
  <c r="D691" i="4"/>
  <c r="E691" i="4"/>
  <c r="G691" i="4" s="1"/>
  <c r="F691" i="4"/>
  <c r="D692" i="4"/>
  <c r="E692" i="4"/>
  <c r="G692" i="4" s="1"/>
  <c r="F692" i="4"/>
  <c r="D693" i="4"/>
  <c r="E693" i="4"/>
  <c r="G693" i="4" s="1"/>
  <c r="F693" i="4"/>
  <c r="D694" i="4"/>
  <c r="E694" i="4"/>
  <c r="G694" i="4" s="1"/>
  <c r="F694" i="4"/>
  <c r="D695" i="4"/>
  <c r="E695" i="4"/>
  <c r="G695" i="4" s="1"/>
  <c r="F695" i="4"/>
  <c r="D696" i="4"/>
  <c r="E696" i="4"/>
  <c r="G696" i="4" s="1"/>
  <c r="F696" i="4"/>
  <c r="D697" i="4"/>
  <c r="E697" i="4"/>
  <c r="G697" i="4" s="1"/>
  <c r="F697" i="4"/>
  <c r="D698" i="4"/>
  <c r="E698" i="4"/>
  <c r="G698" i="4" s="1"/>
  <c r="F698" i="4"/>
  <c r="D699" i="4"/>
  <c r="E699" i="4"/>
  <c r="G699" i="4" s="1"/>
  <c r="F699" i="4"/>
  <c r="D700" i="4"/>
  <c r="E700" i="4"/>
  <c r="G700" i="4" s="1"/>
  <c r="F700" i="4"/>
  <c r="D701" i="4"/>
  <c r="E701" i="4"/>
  <c r="G701" i="4" s="1"/>
  <c r="F701" i="4"/>
  <c r="D702" i="4"/>
  <c r="E702" i="4"/>
  <c r="G702" i="4" s="1"/>
  <c r="F702" i="4"/>
  <c r="D703" i="4"/>
  <c r="E703" i="4"/>
  <c r="G703" i="4" s="1"/>
  <c r="F703" i="4"/>
  <c r="D704" i="4"/>
  <c r="E704" i="4"/>
  <c r="G704" i="4" s="1"/>
  <c r="F704" i="4"/>
  <c r="D705" i="4"/>
  <c r="E705" i="4"/>
  <c r="F705" i="4"/>
  <c r="D706" i="4"/>
  <c r="E706" i="4"/>
  <c r="G706" i="4" s="1"/>
  <c r="F706" i="4"/>
  <c r="D707" i="4"/>
  <c r="E707" i="4"/>
  <c r="G707" i="4" s="1"/>
  <c r="F707" i="4"/>
  <c r="D708" i="4"/>
  <c r="E708" i="4"/>
  <c r="G708" i="4" s="1"/>
  <c r="F708" i="4"/>
  <c r="D709" i="4"/>
  <c r="E709" i="4"/>
  <c r="F709" i="4"/>
  <c r="D710" i="4"/>
  <c r="E710" i="4"/>
  <c r="G710" i="4" s="1"/>
  <c r="F710" i="4"/>
  <c r="D711" i="4"/>
  <c r="E711" i="4"/>
  <c r="G711" i="4" s="1"/>
  <c r="F711" i="4"/>
  <c r="D712" i="4"/>
  <c r="E712" i="4"/>
  <c r="G712" i="4" s="1"/>
  <c r="F712" i="4"/>
  <c r="D713" i="4"/>
  <c r="E713" i="4"/>
  <c r="G713" i="4" s="1"/>
  <c r="F713" i="4"/>
  <c r="D714" i="4"/>
  <c r="E714" i="4"/>
  <c r="G714" i="4" s="1"/>
  <c r="F714" i="4"/>
  <c r="D715" i="4"/>
  <c r="E715" i="4"/>
  <c r="G715" i="4" s="1"/>
  <c r="F715" i="4"/>
  <c r="D716" i="4"/>
  <c r="E716" i="4"/>
  <c r="G716" i="4" s="1"/>
  <c r="F716" i="4"/>
  <c r="D717" i="4"/>
  <c r="E717" i="4"/>
  <c r="F717" i="4"/>
  <c r="D718" i="4"/>
  <c r="E718" i="4"/>
  <c r="G718" i="4" s="1"/>
  <c r="F718" i="4"/>
  <c r="D719" i="4"/>
  <c r="E719" i="4"/>
  <c r="G719" i="4" s="1"/>
  <c r="F719" i="4"/>
  <c r="D720" i="4"/>
  <c r="E720" i="4"/>
  <c r="G720" i="4" s="1"/>
  <c r="F720" i="4"/>
  <c r="D721" i="4"/>
  <c r="E721" i="4"/>
  <c r="G721" i="4" s="1"/>
  <c r="F721" i="4"/>
  <c r="D722" i="4"/>
  <c r="E722" i="4"/>
  <c r="G722" i="4" s="1"/>
  <c r="F722" i="4"/>
  <c r="D723" i="4"/>
  <c r="E723" i="4"/>
  <c r="G723" i="4" s="1"/>
  <c r="F723" i="4"/>
  <c r="D724" i="4"/>
  <c r="E724" i="4"/>
  <c r="G724" i="4" s="1"/>
  <c r="F724" i="4"/>
  <c r="D725" i="4"/>
  <c r="E725" i="4"/>
  <c r="G725" i="4" s="1"/>
  <c r="F725" i="4"/>
  <c r="D726" i="4"/>
  <c r="E726" i="4"/>
  <c r="G726" i="4" s="1"/>
  <c r="F726" i="4"/>
  <c r="D727" i="4"/>
  <c r="E727" i="4"/>
  <c r="G727" i="4" s="1"/>
  <c r="F727" i="4"/>
  <c r="D728" i="4"/>
  <c r="E728" i="4"/>
  <c r="F728" i="4"/>
  <c r="D729" i="4"/>
  <c r="E729" i="4"/>
  <c r="G729" i="4" s="1"/>
  <c r="F729" i="4"/>
  <c r="D730" i="4"/>
  <c r="E730" i="4"/>
  <c r="G730" i="4" s="1"/>
  <c r="F730" i="4"/>
  <c r="D731" i="4"/>
  <c r="E731" i="4"/>
  <c r="G731" i="4" s="1"/>
  <c r="F731" i="4"/>
  <c r="D732" i="4"/>
  <c r="E732" i="4"/>
  <c r="G732" i="4" s="1"/>
  <c r="F732" i="4"/>
  <c r="D733" i="4"/>
  <c r="E733" i="4"/>
  <c r="G733" i="4" s="1"/>
  <c r="F733" i="4"/>
  <c r="D734" i="4"/>
  <c r="E734" i="4"/>
  <c r="G734" i="4" s="1"/>
  <c r="F734" i="4"/>
  <c r="D735" i="4"/>
  <c r="E735" i="4"/>
  <c r="G735" i="4" s="1"/>
  <c r="F735" i="4"/>
  <c r="D736" i="4"/>
  <c r="E736" i="4"/>
  <c r="G736" i="4" s="1"/>
  <c r="F736" i="4"/>
  <c r="D737" i="4"/>
  <c r="E737" i="4"/>
  <c r="G737" i="4" s="1"/>
  <c r="F737" i="4"/>
  <c r="D738" i="4"/>
  <c r="E738" i="4"/>
  <c r="G738" i="4" s="1"/>
  <c r="F738" i="4"/>
  <c r="D739" i="4"/>
  <c r="E739" i="4"/>
  <c r="G739" i="4" s="1"/>
  <c r="F739" i="4"/>
  <c r="D740" i="4"/>
  <c r="E740" i="4"/>
  <c r="G740" i="4" s="1"/>
  <c r="F740" i="4"/>
  <c r="D741" i="4"/>
  <c r="E741" i="4"/>
  <c r="G741" i="4" s="1"/>
  <c r="F741" i="4"/>
  <c r="D742" i="4"/>
  <c r="E742" i="4"/>
  <c r="G742" i="4" s="1"/>
  <c r="F742" i="4"/>
  <c r="D743" i="4"/>
  <c r="E743" i="4"/>
  <c r="G743" i="4" s="1"/>
  <c r="F743" i="4"/>
  <c r="D744" i="4"/>
  <c r="E744" i="4"/>
  <c r="G744" i="4" s="1"/>
  <c r="F744" i="4"/>
  <c r="D745" i="4"/>
  <c r="E745" i="4"/>
  <c r="G745" i="4" s="1"/>
  <c r="F745" i="4"/>
  <c r="D746" i="4"/>
  <c r="E746" i="4"/>
  <c r="F746" i="4"/>
  <c r="D747" i="4"/>
  <c r="E747" i="4"/>
  <c r="G747" i="4" s="1"/>
  <c r="F747" i="4"/>
  <c r="D748" i="4"/>
  <c r="E748" i="4"/>
  <c r="G748" i="4" s="1"/>
  <c r="F748" i="4"/>
  <c r="D749" i="4"/>
  <c r="E749" i="4"/>
  <c r="G749" i="4" s="1"/>
  <c r="F749" i="4"/>
  <c r="D750" i="4"/>
  <c r="E750" i="4"/>
  <c r="G750" i="4" s="1"/>
  <c r="F750" i="4"/>
  <c r="D751" i="4"/>
  <c r="E751" i="4"/>
  <c r="G751" i="4" s="1"/>
  <c r="F751" i="4"/>
  <c r="D752" i="4"/>
  <c r="E752" i="4"/>
  <c r="G752" i="4" s="1"/>
  <c r="F752" i="4"/>
  <c r="D753" i="4"/>
  <c r="E753" i="4"/>
  <c r="G753" i="4" s="1"/>
  <c r="F753" i="4"/>
  <c r="D754" i="4"/>
  <c r="E754" i="4"/>
  <c r="G754" i="4" s="1"/>
  <c r="F754" i="4"/>
  <c r="D755" i="4"/>
  <c r="E755" i="4"/>
  <c r="G755" i="4" s="1"/>
  <c r="F755" i="4"/>
  <c r="D756" i="4"/>
  <c r="E756" i="4"/>
  <c r="G756" i="4" s="1"/>
  <c r="F756" i="4"/>
  <c r="D757" i="4"/>
  <c r="E757" i="4"/>
  <c r="G757" i="4" s="1"/>
  <c r="F757" i="4"/>
  <c r="D758" i="4"/>
  <c r="E758" i="4"/>
  <c r="G758" i="4" s="1"/>
  <c r="F758" i="4"/>
  <c r="D759" i="4"/>
  <c r="E759" i="4"/>
  <c r="G759" i="4" s="1"/>
  <c r="F759" i="4"/>
  <c r="D760" i="4"/>
  <c r="E760" i="4"/>
  <c r="G760" i="4" s="1"/>
  <c r="F760" i="4"/>
  <c r="D761" i="4"/>
  <c r="E761" i="4"/>
  <c r="G761" i="4" s="1"/>
  <c r="F761" i="4"/>
  <c r="D762" i="4"/>
  <c r="E762" i="4"/>
  <c r="F762" i="4"/>
  <c r="D763" i="4"/>
  <c r="E763" i="4"/>
  <c r="G763" i="4" s="1"/>
  <c r="F763" i="4"/>
  <c r="D764" i="4"/>
  <c r="E764" i="4"/>
  <c r="G764" i="4" s="1"/>
  <c r="F764" i="4"/>
  <c r="D765" i="4"/>
  <c r="E765" i="4"/>
  <c r="G765" i="4" s="1"/>
  <c r="F765" i="4"/>
  <c r="D766" i="4"/>
  <c r="E766" i="4"/>
  <c r="F766" i="4"/>
  <c r="D767" i="4"/>
  <c r="E767" i="4"/>
  <c r="G767" i="4" s="1"/>
  <c r="F767" i="4"/>
  <c r="D768" i="4"/>
  <c r="E768" i="4"/>
  <c r="G768" i="4" s="1"/>
  <c r="F768" i="4"/>
  <c r="D769" i="4"/>
  <c r="E769" i="4"/>
  <c r="G769" i="4" s="1"/>
  <c r="F769" i="4"/>
  <c r="D770" i="4"/>
  <c r="E770" i="4"/>
  <c r="G770" i="4" s="1"/>
  <c r="F770" i="4"/>
  <c r="D771" i="4"/>
  <c r="E771" i="4"/>
  <c r="G771" i="4" s="1"/>
  <c r="F771" i="4"/>
  <c r="D772" i="4"/>
  <c r="E772" i="4"/>
  <c r="G772" i="4" s="1"/>
  <c r="F772" i="4"/>
  <c r="D773" i="4"/>
  <c r="E773" i="4"/>
  <c r="G773" i="4" s="1"/>
  <c r="F773" i="4"/>
  <c r="D774" i="4"/>
  <c r="E774" i="4"/>
  <c r="G774" i="4" s="1"/>
  <c r="F774" i="4"/>
  <c r="D775" i="4"/>
  <c r="E775" i="4"/>
  <c r="G775" i="4" s="1"/>
  <c r="F775" i="4"/>
  <c r="D776" i="4"/>
  <c r="E776" i="4"/>
  <c r="G776" i="4" s="1"/>
  <c r="F776" i="4"/>
  <c r="D777" i="4"/>
  <c r="E777" i="4"/>
  <c r="G777" i="4" s="1"/>
  <c r="F777" i="4"/>
  <c r="D778" i="4"/>
  <c r="E778" i="4"/>
  <c r="G778" i="4" s="1"/>
  <c r="F778" i="4"/>
  <c r="D779" i="4"/>
  <c r="E779" i="4"/>
  <c r="G779" i="4" s="1"/>
  <c r="F779" i="4"/>
  <c r="D780" i="4"/>
  <c r="E780" i="4"/>
  <c r="G780" i="4" s="1"/>
  <c r="F780" i="4"/>
  <c r="D781" i="4"/>
  <c r="E781" i="4"/>
  <c r="G781" i="4" s="1"/>
  <c r="F781" i="4"/>
  <c r="H781" i="4" s="1"/>
  <c r="D782" i="4"/>
  <c r="E782" i="4"/>
  <c r="G782" i="4" s="1"/>
  <c r="F782" i="4"/>
  <c r="D783" i="4"/>
  <c r="E783" i="4"/>
  <c r="F783" i="4"/>
  <c r="D784" i="4"/>
  <c r="E784" i="4"/>
  <c r="G784" i="4" s="1"/>
  <c r="F784" i="4"/>
  <c r="D785" i="4"/>
  <c r="E785" i="4"/>
  <c r="G785" i="4" s="1"/>
  <c r="F785" i="4"/>
  <c r="D786" i="4"/>
  <c r="E786" i="4"/>
  <c r="G786" i="4" s="1"/>
  <c r="F786" i="4"/>
  <c r="D787" i="4"/>
  <c r="E787" i="4"/>
  <c r="F787" i="4"/>
  <c r="D788" i="4"/>
  <c r="E788" i="4"/>
  <c r="G788" i="4" s="1"/>
  <c r="F788" i="4"/>
  <c r="D789" i="4"/>
  <c r="E789" i="4"/>
  <c r="G789" i="4" s="1"/>
  <c r="F789" i="4"/>
  <c r="D790" i="4"/>
  <c r="E790" i="4"/>
  <c r="G790" i="4" s="1"/>
  <c r="F790" i="4"/>
  <c r="H790" i="4" s="1"/>
  <c r="D791" i="4"/>
  <c r="E791" i="4"/>
  <c r="G791" i="4" s="1"/>
  <c r="F791" i="4"/>
  <c r="D792" i="4"/>
  <c r="E792" i="4"/>
  <c r="G792" i="4" s="1"/>
  <c r="F792" i="4"/>
  <c r="D793" i="4"/>
  <c r="E793" i="4"/>
  <c r="G793" i="4" s="1"/>
  <c r="F793" i="4"/>
  <c r="D794" i="4"/>
  <c r="E794" i="4"/>
  <c r="G794" i="4" s="1"/>
  <c r="F794" i="4"/>
  <c r="D795" i="4"/>
  <c r="E795" i="4"/>
  <c r="G795" i="4" s="1"/>
  <c r="F795" i="4"/>
  <c r="D796" i="4"/>
  <c r="E796" i="4"/>
  <c r="G796" i="4" s="1"/>
  <c r="F796" i="4"/>
  <c r="D797" i="4"/>
  <c r="E797" i="4"/>
  <c r="G797" i="4" s="1"/>
  <c r="F797" i="4"/>
  <c r="D798" i="4"/>
  <c r="E798" i="4"/>
  <c r="G798" i="4" s="1"/>
  <c r="F798" i="4"/>
  <c r="D799" i="4"/>
  <c r="E799" i="4"/>
  <c r="G799" i="4" s="1"/>
  <c r="F799" i="4"/>
  <c r="D800" i="4"/>
  <c r="E800" i="4"/>
  <c r="G800" i="4" s="1"/>
  <c r="F800" i="4"/>
  <c r="D801" i="4"/>
  <c r="E801" i="4"/>
  <c r="G801" i="4" s="1"/>
  <c r="F801" i="4"/>
  <c r="D802" i="4"/>
  <c r="E802" i="4"/>
  <c r="G802" i="4" s="1"/>
  <c r="F802" i="4"/>
  <c r="D803" i="4"/>
  <c r="E803" i="4"/>
  <c r="G803" i="4" s="1"/>
  <c r="F803" i="4"/>
  <c r="D804" i="4"/>
  <c r="E804" i="4"/>
  <c r="G804" i="4" s="1"/>
  <c r="F804" i="4"/>
  <c r="D805" i="4"/>
  <c r="E805" i="4"/>
  <c r="G805" i="4" s="1"/>
  <c r="F805" i="4"/>
  <c r="D806" i="4"/>
  <c r="E806" i="4"/>
  <c r="G806" i="4" s="1"/>
  <c r="F806" i="4"/>
  <c r="D807" i="4"/>
  <c r="E807" i="4"/>
  <c r="G807" i="4" s="1"/>
  <c r="F807" i="4"/>
  <c r="D808" i="4"/>
  <c r="E808" i="4"/>
  <c r="G808" i="4" s="1"/>
  <c r="F808" i="4"/>
  <c r="D809" i="4"/>
  <c r="E809" i="4"/>
  <c r="F809" i="4"/>
  <c r="D810" i="4"/>
  <c r="E810" i="4"/>
  <c r="G810" i="4" s="1"/>
  <c r="F810" i="4"/>
  <c r="D811" i="4"/>
  <c r="E811" i="4"/>
  <c r="G811" i="4" s="1"/>
  <c r="F811" i="4"/>
  <c r="D812" i="4"/>
  <c r="E812" i="4"/>
  <c r="G812" i="4" s="1"/>
  <c r="F812" i="4"/>
  <c r="D813" i="4"/>
  <c r="E813" i="4"/>
  <c r="G813" i="4" s="1"/>
  <c r="F813" i="4"/>
  <c r="D814" i="4"/>
  <c r="E814" i="4"/>
  <c r="G814" i="4" s="1"/>
  <c r="F814" i="4"/>
  <c r="D815" i="4"/>
  <c r="E815" i="4"/>
  <c r="G815" i="4" s="1"/>
  <c r="F815" i="4"/>
  <c r="D816" i="4"/>
  <c r="E816" i="4"/>
  <c r="G816" i="4" s="1"/>
  <c r="F816" i="4"/>
  <c r="D817" i="4"/>
  <c r="E817" i="4"/>
  <c r="G817" i="4" s="1"/>
  <c r="F817" i="4"/>
  <c r="D818" i="4"/>
  <c r="E818" i="4"/>
  <c r="G818" i="4" s="1"/>
  <c r="F818" i="4"/>
  <c r="D819" i="4"/>
  <c r="E819" i="4"/>
  <c r="G819" i="4" s="1"/>
  <c r="F819" i="4"/>
  <c r="D820" i="4"/>
  <c r="E820" i="4"/>
  <c r="G820" i="4" s="1"/>
  <c r="F820" i="4"/>
  <c r="D821" i="4"/>
  <c r="E821" i="4"/>
  <c r="G821" i="4" s="1"/>
  <c r="F821" i="4"/>
  <c r="D822" i="4"/>
  <c r="E822" i="4"/>
  <c r="G822" i="4" s="1"/>
  <c r="F822" i="4"/>
  <c r="D823" i="4"/>
  <c r="E823" i="4"/>
  <c r="G823" i="4" s="1"/>
  <c r="F823" i="4"/>
  <c r="D824" i="4"/>
  <c r="E824" i="4"/>
  <c r="G824" i="4" s="1"/>
  <c r="F824" i="4"/>
  <c r="D825" i="4"/>
  <c r="E825" i="4"/>
  <c r="G825" i="4" s="1"/>
  <c r="F825" i="4"/>
  <c r="D826" i="4"/>
  <c r="E826" i="4"/>
  <c r="G826" i="4" s="1"/>
  <c r="F826" i="4"/>
  <c r="D827" i="4"/>
  <c r="E827" i="4"/>
  <c r="G827" i="4" s="1"/>
  <c r="F827" i="4"/>
  <c r="D828" i="4"/>
  <c r="E828" i="4"/>
  <c r="G828" i="4" s="1"/>
  <c r="F828" i="4"/>
  <c r="D829" i="4"/>
  <c r="E829" i="4"/>
  <c r="G829" i="4" s="1"/>
  <c r="F829" i="4"/>
  <c r="D830" i="4"/>
  <c r="E830" i="4"/>
  <c r="G830" i="4" s="1"/>
  <c r="F830" i="4"/>
  <c r="D831" i="4"/>
  <c r="E831" i="4"/>
  <c r="G831" i="4" s="1"/>
  <c r="F831" i="4"/>
  <c r="D832" i="4"/>
  <c r="E832" i="4"/>
  <c r="G832" i="4" s="1"/>
  <c r="F832" i="4"/>
  <c r="D833" i="4"/>
  <c r="E833" i="4"/>
  <c r="G833" i="4" s="1"/>
  <c r="F833" i="4"/>
  <c r="H833" i="4" s="1"/>
  <c r="D834" i="4"/>
  <c r="E834" i="4"/>
  <c r="G834" i="4" s="1"/>
  <c r="F834" i="4"/>
  <c r="D835" i="4"/>
  <c r="E835" i="4"/>
  <c r="G835" i="4" s="1"/>
  <c r="F835" i="4"/>
  <c r="D836" i="4"/>
  <c r="E836" i="4"/>
  <c r="G836" i="4" s="1"/>
  <c r="F836" i="4"/>
  <c r="D837" i="4"/>
  <c r="E837" i="4"/>
  <c r="G837" i="4" s="1"/>
  <c r="F837" i="4"/>
  <c r="D838" i="4"/>
  <c r="E838" i="4"/>
  <c r="G838" i="4" s="1"/>
  <c r="F838" i="4"/>
  <c r="D839" i="4"/>
  <c r="E839" i="4"/>
  <c r="G839" i="4" s="1"/>
  <c r="F839" i="4"/>
  <c r="D840" i="4"/>
  <c r="E840" i="4"/>
  <c r="G840" i="4" s="1"/>
  <c r="F840" i="4"/>
  <c r="D841" i="4"/>
  <c r="E841" i="4"/>
  <c r="G841" i="4" s="1"/>
  <c r="F841" i="4"/>
  <c r="D842" i="4"/>
  <c r="E842" i="4"/>
  <c r="G842" i="4" s="1"/>
  <c r="F842" i="4"/>
  <c r="D843" i="4"/>
  <c r="E843" i="4"/>
  <c r="G843" i="4" s="1"/>
  <c r="F843" i="4"/>
  <c r="D844" i="4"/>
  <c r="E844" i="4"/>
  <c r="G844" i="4" s="1"/>
  <c r="F844" i="4"/>
  <c r="D845" i="4"/>
  <c r="E845" i="4"/>
  <c r="G845" i="4" s="1"/>
  <c r="F845" i="4"/>
  <c r="D846" i="4"/>
  <c r="E846" i="4"/>
  <c r="G846" i="4" s="1"/>
  <c r="F846" i="4"/>
  <c r="D847" i="4"/>
  <c r="E847" i="4"/>
  <c r="G847" i="4" s="1"/>
  <c r="F847" i="4"/>
  <c r="D848" i="4"/>
  <c r="E848" i="4"/>
  <c r="G848" i="4" s="1"/>
  <c r="F848" i="4"/>
  <c r="D849" i="4"/>
  <c r="E849" i="4"/>
  <c r="G849" i="4" s="1"/>
  <c r="F849" i="4"/>
  <c r="D850" i="4"/>
  <c r="E850" i="4"/>
  <c r="G850" i="4" s="1"/>
  <c r="F850" i="4"/>
  <c r="D851" i="4"/>
  <c r="E851" i="4"/>
  <c r="G851" i="4" s="1"/>
  <c r="F851" i="4"/>
  <c r="D852" i="4"/>
  <c r="E852" i="4"/>
  <c r="G852" i="4" s="1"/>
  <c r="F852" i="4"/>
  <c r="D853" i="4"/>
  <c r="E853" i="4"/>
  <c r="G853" i="4" s="1"/>
  <c r="F853" i="4"/>
  <c r="D854" i="4"/>
  <c r="E854" i="4"/>
  <c r="G854" i="4" s="1"/>
  <c r="F854" i="4"/>
  <c r="D855" i="4"/>
  <c r="E855" i="4"/>
  <c r="G855" i="4" s="1"/>
  <c r="F855" i="4"/>
  <c r="D856" i="4"/>
  <c r="E856" i="4"/>
  <c r="G856" i="4" s="1"/>
  <c r="F856" i="4"/>
  <c r="D857" i="4"/>
  <c r="E857" i="4"/>
  <c r="G857" i="4" s="1"/>
  <c r="F857" i="4"/>
  <c r="D858" i="4"/>
  <c r="E858" i="4"/>
  <c r="G858" i="4" s="1"/>
  <c r="F858" i="4"/>
  <c r="D859" i="4"/>
  <c r="E859" i="4"/>
  <c r="F859" i="4"/>
  <c r="D860" i="4"/>
  <c r="E860" i="4"/>
  <c r="G860" i="4" s="1"/>
  <c r="F860" i="4"/>
  <c r="D861" i="4"/>
  <c r="E861" i="4"/>
  <c r="G861" i="4" s="1"/>
  <c r="F861" i="4"/>
  <c r="D862" i="4"/>
  <c r="E862" i="4"/>
  <c r="G862" i="4" s="1"/>
  <c r="F862" i="4"/>
  <c r="D863" i="4"/>
  <c r="E863" i="4"/>
  <c r="G863" i="4" s="1"/>
  <c r="F863" i="4"/>
  <c r="D864" i="4"/>
  <c r="E864" i="4"/>
  <c r="G864" i="4" s="1"/>
  <c r="F864" i="4"/>
  <c r="D865" i="4"/>
  <c r="E865" i="4"/>
  <c r="G865" i="4" s="1"/>
  <c r="F865" i="4"/>
  <c r="D866" i="4"/>
  <c r="E866" i="4"/>
  <c r="G866" i="4" s="1"/>
  <c r="F866" i="4"/>
  <c r="D867" i="4"/>
  <c r="E867" i="4"/>
  <c r="G867" i="4" s="1"/>
  <c r="F867" i="4"/>
  <c r="D868" i="4"/>
  <c r="E868" i="4"/>
  <c r="G868" i="4" s="1"/>
  <c r="F868" i="4"/>
  <c r="D869" i="4"/>
  <c r="E869" i="4"/>
  <c r="G869" i="4" s="1"/>
  <c r="F869" i="4"/>
  <c r="D870" i="4"/>
  <c r="E870" i="4"/>
  <c r="G870" i="4" s="1"/>
  <c r="F870" i="4"/>
  <c r="D871" i="4"/>
  <c r="E871" i="4"/>
  <c r="G871" i="4" s="1"/>
  <c r="F871" i="4"/>
  <c r="D872" i="4"/>
  <c r="E872" i="4"/>
  <c r="G872" i="4" s="1"/>
  <c r="F872" i="4"/>
  <c r="D873" i="4"/>
  <c r="E873" i="4"/>
  <c r="G873" i="4" s="1"/>
  <c r="F873" i="4"/>
  <c r="D874" i="4"/>
  <c r="E874" i="4"/>
  <c r="G874" i="4" s="1"/>
  <c r="F874" i="4"/>
  <c r="D875" i="4"/>
  <c r="E875" i="4"/>
  <c r="G875" i="4" s="1"/>
  <c r="F875" i="4"/>
  <c r="D876" i="4"/>
  <c r="E876" i="4"/>
  <c r="G876" i="4" s="1"/>
  <c r="F876" i="4"/>
  <c r="D877" i="4"/>
  <c r="E877" i="4"/>
  <c r="G877" i="4" s="1"/>
  <c r="F877" i="4"/>
  <c r="D878" i="4"/>
  <c r="E878" i="4"/>
  <c r="G878" i="4" s="1"/>
  <c r="F878" i="4"/>
  <c r="D879" i="4"/>
  <c r="E879" i="4"/>
  <c r="G879" i="4" s="1"/>
  <c r="F879" i="4"/>
  <c r="D880" i="4"/>
  <c r="E880" i="4"/>
  <c r="G880" i="4" s="1"/>
  <c r="F880" i="4"/>
  <c r="D881" i="4"/>
  <c r="E881" i="4"/>
  <c r="G881" i="4" s="1"/>
  <c r="F881" i="4"/>
  <c r="D882" i="4"/>
  <c r="E882" i="4"/>
  <c r="G882" i="4" s="1"/>
  <c r="F882" i="4"/>
  <c r="D883" i="4"/>
  <c r="E883" i="4"/>
  <c r="G883" i="4" s="1"/>
  <c r="F883" i="4"/>
  <c r="D884" i="4"/>
  <c r="E884" i="4"/>
  <c r="G884" i="4" s="1"/>
  <c r="F884" i="4"/>
  <c r="D885" i="4"/>
  <c r="E885" i="4"/>
  <c r="G885" i="4" s="1"/>
  <c r="F885" i="4"/>
  <c r="D886" i="4"/>
  <c r="E886" i="4"/>
  <c r="G886" i="4" s="1"/>
  <c r="F886" i="4"/>
  <c r="D887" i="4"/>
  <c r="E887" i="4"/>
  <c r="G887" i="4" s="1"/>
  <c r="F887" i="4"/>
  <c r="D888" i="4"/>
  <c r="E888" i="4"/>
  <c r="G888" i="4" s="1"/>
  <c r="F888" i="4"/>
  <c r="D889" i="4"/>
  <c r="E889" i="4"/>
  <c r="G889" i="4" s="1"/>
  <c r="F889" i="4"/>
  <c r="D890" i="4"/>
  <c r="E890" i="4"/>
  <c r="G890" i="4" s="1"/>
  <c r="F890" i="4"/>
  <c r="D891" i="4"/>
  <c r="E891" i="4"/>
  <c r="G891" i="4" s="1"/>
  <c r="F891" i="4"/>
  <c r="D892" i="4"/>
  <c r="E892" i="4"/>
  <c r="G892" i="4" s="1"/>
  <c r="F892" i="4"/>
  <c r="D893" i="4"/>
  <c r="E893" i="4"/>
  <c r="G893" i="4" s="1"/>
  <c r="F893" i="4"/>
  <c r="D894" i="4"/>
  <c r="E894" i="4"/>
  <c r="F894" i="4"/>
  <c r="D895" i="4"/>
  <c r="E895" i="4"/>
  <c r="G895" i="4" s="1"/>
  <c r="F895" i="4"/>
  <c r="D896" i="4"/>
  <c r="E896" i="4"/>
  <c r="G896" i="4" s="1"/>
  <c r="F896" i="4"/>
  <c r="D897" i="4"/>
  <c r="E897" i="4"/>
  <c r="G897" i="4" s="1"/>
  <c r="F897" i="4"/>
  <c r="D898" i="4"/>
  <c r="E898" i="4"/>
  <c r="G898" i="4" s="1"/>
  <c r="F898" i="4"/>
  <c r="D899" i="4"/>
  <c r="E899" i="4"/>
  <c r="G899" i="4" s="1"/>
  <c r="F899" i="4"/>
  <c r="D900" i="4"/>
  <c r="E900" i="4"/>
  <c r="G900" i="4" s="1"/>
  <c r="F900" i="4"/>
  <c r="D901" i="4"/>
  <c r="E901" i="4"/>
  <c r="G901" i="4" s="1"/>
  <c r="F901" i="4"/>
  <c r="D902" i="4"/>
  <c r="E902" i="4"/>
  <c r="G902" i="4" s="1"/>
  <c r="F902" i="4"/>
  <c r="D903" i="4"/>
  <c r="E903" i="4"/>
  <c r="G903" i="4" s="1"/>
  <c r="F903" i="4"/>
  <c r="D904" i="4"/>
  <c r="E904" i="4"/>
  <c r="G904" i="4" s="1"/>
  <c r="F904" i="4"/>
  <c r="D905" i="4"/>
  <c r="E905" i="4"/>
  <c r="G905" i="4" s="1"/>
  <c r="F905" i="4"/>
  <c r="D906" i="4"/>
  <c r="E906" i="4"/>
  <c r="G906" i="4" s="1"/>
  <c r="F906" i="4"/>
  <c r="D907" i="4"/>
  <c r="E907" i="4"/>
  <c r="G907" i="4" s="1"/>
  <c r="F907" i="4"/>
  <c r="D908" i="4"/>
  <c r="E908" i="4"/>
  <c r="G908" i="4" s="1"/>
  <c r="F908" i="4"/>
  <c r="D909" i="4"/>
  <c r="E909" i="4"/>
  <c r="G909" i="4" s="1"/>
  <c r="F909" i="4"/>
  <c r="D910" i="4"/>
  <c r="E910" i="4"/>
  <c r="G910" i="4" s="1"/>
  <c r="F910" i="4"/>
  <c r="D911" i="4"/>
  <c r="E911" i="4"/>
  <c r="G911" i="4" s="1"/>
  <c r="F911" i="4"/>
  <c r="D912" i="4"/>
  <c r="E912" i="4"/>
  <c r="G912" i="4" s="1"/>
  <c r="F912" i="4"/>
  <c r="D913" i="4"/>
  <c r="E913" i="4"/>
  <c r="G913" i="4" s="1"/>
  <c r="F913" i="4"/>
  <c r="D914" i="4"/>
  <c r="E914" i="4"/>
  <c r="G914" i="4" s="1"/>
  <c r="F914" i="4"/>
  <c r="D915" i="4"/>
  <c r="E915" i="4"/>
  <c r="G915" i="4" s="1"/>
  <c r="F915" i="4"/>
  <c r="D916" i="4"/>
  <c r="E916" i="4"/>
  <c r="G916" i="4" s="1"/>
  <c r="F916" i="4"/>
  <c r="D917" i="4"/>
  <c r="E917" i="4"/>
  <c r="G917" i="4" s="1"/>
  <c r="F917" i="4"/>
  <c r="D918" i="4"/>
  <c r="E918" i="4"/>
  <c r="G918" i="4" s="1"/>
  <c r="F918" i="4"/>
  <c r="D919" i="4"/>
  <c r="E919" i="4"/>
  <c r="F919" i="4"/>
  <c r="D920" i="4"/>
  <c r="E920" i="4"/>
  <c r="G920" i="4" s="1"/>
  <c r="F920" i="4"/>
  <c r="D921" i="4"/>
  <c r="E921" i="4"/>
  <c r="G921" i="4" s="1"/>
  <c r="F921" i="4"/>
  <c r="D922" i="4"/>
  <c r="E922" i="4"/>
  <c r="G922" i="4" s="1"/>
  <c r="F922" i="4"/>
  <c r="D923" i="4"/>
  <c r="E923" i="4"/>
  <c r="G923" i="4" s="1"/>
  <c r="F923" i="4"/>
  <c r="D924" i="4"/>
  <c r="E924" i="4"/>
  <c r="G924" i="4" s="1"/>
  <c r="F924" i="4"/>
  <c r="D925" i="4"/>
  <c r="E925" i="4"/>
  <c r="G925" i="4" s="1"/>
  <c r="F925" i="4"/>
  <c r="D926" i="4"/>
  <c r="E926" i="4"/>
  <c r="G926" i="4" s="1"/>
  <c r="F926" i="4"/>
  <c r="D927" i="4"/>
  <c r="E927" i="4"/>
  <c r="G927" i="4" s="1"/>
  <c r="F927" i="4"/>
  <c r="D928" i="4"/>
  <c r="E928" i="4"/>
  <c r="G928" i="4" s="1"/>
  <c r="F928" i="4"/>
  <c r="D929" i="4"/>
  <c r="E929" i="4"/>
  <c r="G929" i="4" s="1"/>
  <c r="F929" i="4"/>
  <c r="D930" i="4"/>
  <c r="E930" i="4"/>
  <c r="G930" i="4" s="1"/>
  <c r="F930" i="4"/>
  <c r="D931" i="4"/>
  <c r="E931" i="4"/>
  <c r="G931" i="4" s="1"/>
  <c r="F931" i="4"/>
  <c r="D932" i="4"/>
  <c r="E932" i="4"/>
  <c r="G932" i="4" s="1"/>
  <c r="F932" i="4"/>
  <c r="D933" i="4"/>
  <c r="E933" i="4"/>
  <c r="G933" i="4" s="1"/>
  <c r="F933" i="4"/>
  <c r="D934" i="4"/>
  <c r="E934" i="4"/>
  <c r="G934" i="4" s="1"/>
  <c r="F934" i="4"/>
  <c r="D935" i="4"/>
  <c r="E935" i="4"/>
  <c r="G935" i="4" s="1"/>
  <c r="F935" i="4"/>
  <c r="D936" i="4"/>
  <c r="E936" i="4"/>
  <c r="G936" i="4" s="1"/>
  <c r="F936" i="4"/>
  <c r="D937" i="4"/>
  <c r="E937" i="4"/>
  <c r="G937" i="4" s="1"/>
  <c r="F937" i="4"/>
  <c r="D938" i="4"/>
  <c r="E938" i="4"/>
  <c r="G938" i="4" s="1"/>
  <c r="F938" i="4"/>
  <c r="D939" i="4"/>
  <c r="E939" i="4"/>
  <c r="G939" i="4" s="1"/>
  <c r="F939" i="4"/>
  <c r="D940" i="4"/>
  <c r="E940" i="4"/>
  <c r="G940" i="4" s="1"/>
  <c r="F940" i="4"/>
  <c r="D941" i="4"/>
  <c r="E941" i="4"/>
  <c r="G941" i="4" s="1"/>
  <c r="F941" i="4"/>
  <c r="D942" i="4"/>
  <c r="E942" i="4"/>
  <c r="G942" i="4" s="1"/>
  <c r="F942" i="4"/>
  <c r="D943" i="4"/>
  <c r="E943" i="4"/>
  <c r="G943" i="4" s="1"/>
  <c r="F943" i="4"/>
  <c r="D944" i="4"/>
  <c r="E944" i="4"/>
  <c r="G944" i="4" s="1"/>
  <c r="F944" i="4"/>
  <c r="D945" i="4"/>
  <c r="E945" i="4"/>
  <c r="G945" i="4" s="1"/>
  <c r="F945" i="4"/>
  <c r="D946" i="4"/>
  <c r="E946" i="4"/>
  <c r="G946" i="4" s="1"/>
  <c r="F946" i="4"/>
  <c r="D947" i="4"/>
  <c r="E947" i="4"/>
  <c r="G947" i="4" s="1"/>
  <c r="F947" i="4"/>
  <c r="D948" i="4"/>
  <c r="E948" i="4"/>
  <c r="G948" i="4" s="1"/>
  <c r="F948" i="4"/>
  <c r="D949" i="4"/>
  <c r="E949" i="4"/>
  <c r="G949" i="4" s="1"/>
  <c r="F949" i="4"/>
  <c r="D950" i="4"/>
  <c r="E950" i="4"/>
  <c r="G950" i="4" s="1"/>
  <c r="F950" i="4"/>
  <c r="D951" i="4"/>
  <c r="E951" i="4"/>
  <c r="G951" i="4" s="1"/>
  <c r="F951" i="4"/>
  <c r="D952" i="4"/>
  <c r="E952" i="4"/>
  <c r="G952" i="4" s="1"/>
  <c r="F952" i="4"/>
  <c r="D953" i="4"/>
  <c r="E953" i="4"/>
  <c r="G953" i="4" s="1"/>
  <c r="F953" i="4"/>
  <c r="D954" i="4"/>
  <c r="E954" i="4"/>
  <c r="G954" i="4" s="1"/>
  <c r="F954" i="4"/>
  <c r="D955" i="4"/>
  <c r="E955" i="4"/>
  <c r="G955" i="4" s="1"/>
  <c r="F955" i="4"/>
  <c r="D956" i="4"/>
  <c r="E956" i="4"/>
  <c r="G956" i="4" s="1"/>
  <c r="F956" i="4"/>
  <c r="D957" i="4"/>
  <c r="E957" i="4"/>
  <c r="G957" i="4" s="1"/>
  <c r="F957" i="4"/>
  <c r="D958" i="4"/>
  <c r="E958" i="4"/>
  <c r="G958" i="4" s="1"/>
  <c r="F958" i="4"/>
  <c r="D959" i="4"/>
  <c r="E959" i="4"/>
  <c r="G959" i="4" s="1"/>
  <c r="F959" i="4"/>
  <c r="D960" i="4"/>
  <c r="E960" i="4"/>
  <c r="G960" i="4" s="1"/>
  <c r="F960" i="4"/>
  <c r="D961" i="4"/>
  <c r="E961" i="4"/>
  <c r="G961" i="4" s="1"/>
  <c r="F961" i="4"/>
  <c r="D962" i="4"/>
  <c r="E962" i="4"/>
  <c r="G962" i="4" s="1"/>
  <c r="F962" i="4"/>
  <c r="D963" i="4"/>
  <c r="E963" i="4"/>
  <c r="G963" i="4" s="1"/>
  <c r="F963" i="4"/>
  <c r="D964" i="4"/>
  <c r="E964" i="4"/>
  <c r="G964" i="4" s="1"/>
  <c r="F964" i="4"/>
  <c r="D965" i="4"/>
  <c r="E965" i="4"/>
  <c r="G965" i="4" s="1"/>
  <c r="F965" i="4"/>
  <c r="D966" i="4"/>
  <c r="E966" i="4"/>
  <c r="G966" i="4" s="1"/>
  <c r="F966" i="4"/>
  <c r="D967" i="4"/>
  <c r="E967" i="4"/>
  <c r="G967" i="4" s="1"/>
  <c r="F967" i="4"/>
  <c r="D968" i="4"/>
  <c r="E968" i="4"/>
  <c r="G968" i="4" s="1"/>
  <c r="F968" i="4"/>
  <c r="D969" i="4"/>
  <c r="E969" i="4"/>
  <c r="G969" i="4" s="1"/>
  <c r="F969" i="4"/>
  <c r="D970" i="4"/>
  <c r="E970" i="4"/>
  <c r="G970" i="4" s="1"/>
  <c r="F970" i="4"/>
  <c r="D971" i="4"/>
  <c r="E971" i="4"/>
  <c r="G971" i="4" s="1"/>
  <c r="F971" i="4"/>
  <c r="D972" i="4"/>
  <c r="E972" i="4"/>
  <c r="G972" i="4" s="1"/>
  <c r="F972" i="4"/>
  <c r="D973" i="4"/>
  <c r="E973" i="4"/>
  <c r="G973" i="4" s="1"/>
  <c r="F973" i="4"/>
  <c r="D974" i="4"/>
  <c r="E974" i="4"/>
  <c r="G974" i="4" s="1"/>
  <c r="F974" i="4"/>
  <c r="D975" i="4"/>
  <c r="E975" i="4"/>
  <c r="G975" i="4" s="1"/>
  <c r="F975" i="4"/>
  <c r="D976" i="4"/>
  <c r="E976" i="4"/>
  <c r="G976" i="4" s="1"/>
  <c r="F976" i="4"/>
  <c r="D977" i="4"/>
  <c r="E977" i="4"/>
  <c r="G977" i="4" s="1"/>
  <c r="F977" i="4"/>
  <c r="D978" i="4"/>
  <c r="E978" i="4"/>
  <c r="F978" i="4"/>
  <c r="D979" i="4"/>
  <c r="E979" i="4"/>
  <c r="G979" i="4" s="1"/>
  <c r="F979" i="4"/>
  <c r="D980" i="4"/>
  <c r="E980" i="4"/>
  <c r="G980" i="4" s="1"/>
  <c r="F980" i="4"/>
  <c r="D981" i="4"/>
  <c r="E981" i="4"/>
  <c r="G981" i="4" s="1"/>
  <c r="F981" i="4"/>
  <c r="D982" i="4"/>
  <c r="E982" i="4"/>
  <c r="G982" i="4" s="1"/>
  <c r="F982" i="4"/>
  <c r="D983" i="4"/>
  <c r="E983" i="4"/>
  <c r="G983" i="4" s="1"/>
  <c r="F983" i="4"/>
  <c r="D984" i="4"/>
  <c r="E984" i="4"/>
  <c r="G984" i="4" s="1"/>
  <c r="F984" i="4"/>
  <c r="D985" i="4"/>
  <c r="E985" i="4"/>
  <c r="G985" i="4" s="1"/>
  <c r="F985" i="4"/>
  <c r="D986" i="4"/>
  <c r="E986" i="4"/>
  <c r="G986" i="4" s="1"/>
  <c r="F986" i="4"/>
  <c r="D987" i="4"/>
  <c r="E987" i="4"/>
  <c r="G987" i="4" s="1"/>
  <c r="F987" i="4"/>
  <c r="D988" i="4"/>
  <c r="E988" i="4"/>
  <c r="G988" i="4" s="1"/>
  <c r="F988" i="4"/>
  <c r="D989" i="4"/>
  <c r="E989" i="4"/>
  <c r="G989" i="4" s="1"/>
  <c r="F989" i="4"/>
  <c r="D990" i="4"/>
  <c r="E990" i="4"/>
  <c r="G990" i="4" s="1"/>
  <c r="F990" i="4"/>
  <c r="D991" i="4"/>
  <c r="E991" i="4"/>
  <c r="G991" i="4" s="1"/>
  <c r="F991" i="4"/>
  <c r="D992" i="4"/>
  <c r="E992" i="4"/>
  <c r="F992" i="4"/>
  <c r="D993" i="4"/>
  <c r="E993" i="4"/>
  <c r="G993" i="4" s="1"/>
  <c r="F993" i="4"/>
  <c r="D994" i="4"/>
  <c r="E994" i="4"/>
  <c r="G994" i="4" s="1"/>
  <c r="F994" i="4"/>
  <c r="D995" i="4"/>
  <c r="E995" i="4"/>
  <c r="G995" i="4" s="1"/>
  <c r="F995" i="4"/>
  <c r="D996" i="4"/>
  <c r="E996" i="4"/>
  <c r="G996" i="4" s="1"/>
  <c r="F996" i="4"/>
  <c r="D997" i="4"/>
  <c r="E997" i="4"/>
  <c r="G997" i="4" s="1"/>
  <c r="F997" i="4"/>
  <c r="D998" i="4"/>
  <c r="E998" i="4"/>
  <c r="F998" i="4"/>
  <c r="D999" i="4"/>
  <c r="E999" i="4"/>
  <c r="G999" i="4" s="1"/>
  <c r="F999" i="4"/>
  <c r="D1000" i="4"/>
  <c r="E1000" i="4"/>
  <c r="G1000" i="4" s="1"/>
  <c r="F1000" i="4"/>
  <c r="D1001" i="4"/>
  <c r="E1001" i="4"/>
  <c r="G1001" i="4" s="1"/>
  <c r="F1001" i="4"/>
  <c r="D1002" i="4"/>
  <c r="E1002" i="4"/>
  <c r="G1002" i="4" s="1"/>
  <c r="F1002" i="4"/>
  <c r="D1003" i="4"/>
  <c r="E1003" i="4"/>
  <c r="G1003" i="4" s="1"/>
  <c r="F1003" i="4"/>
  <c r="D1004" i="4"/>
  <c r="E1004" i="4"/>
  <c r="G1004" i="4" s="1"/>
  <c r="F1004" i="4"/>
  <c r="D1005" i="4"/>
  <c r="E1005" i="4"/>
  <c r="G1005" i="4" s="1"/>
  <c r="F1005" i="4"/>
  <c r="D1006" i="4"/>
  <c r="E1006" i="4"/>
  <c r="G1006" i="4" s="1"/>
  <c r="F1006" i="4"/>
  <c r="D1007" i="4"/>
  <c r="E1007" i="4"/>
  <c r="G1007" i="4" s="1"/>
  <c r="F1007" i="4"/>
  <c r="D1008" i="4"/>
  <c r="E1008" i="4"/>
  <c r="G1008" i="4" s="1"/>
  <c r="F1008" i="4"/>
  <c r="D1009" i="4"/>
  <c r="E1009" i="4"/>
  <c r="G1009" i="4" s="1"/>
  <c r="F1009" i="4"/>
  <c r="D1010" i="4"/>
  <c r="E1010" i="4"/>
  <c r="F1010" i="4"/>
  <c r="D1011" i="4"/>
  <c r="E1011" i="4"/>
  <c r="G1011" i="4" s="1"/>
  <c r="F1011" i="4"/>
  <c r="D1012" i="4"/>
  <c r="E1012" i="4"/>
  <c r="G1012" i="4" s="1"/>
  <c r="F1012" i="4"/>
  <c r="D1013" i="4"/>
  <c r="E1013" i="4"/>
  <c r="G1013" i="4" s="1"/>
  <c r="F1013" i="4"/>
  <c r="D1014" i="4"/>
  <c r="E1014" i="4"/>
  <c r="F1014" i="4"/>
  <c r="D1015" i="4"/>
  <c r="E1015" i="4"/>
  <c r="G1015" i="4" s="1"/>
  <c r="F1015" i="4"/>
  <c r="D1016" i="4"/>
  <c r="E1016" i="4"/>
  <c r="G1016" i="4" s="1"/>
  <c r="F1016" i="4"/>
  <c r="D1017" i="4"/>
  <c r="E1017" i="4"/>
  <c r="G1017" i="4" s="1"/>
  <c r="F1017" i="4"/>
  <c r="D1018" i="4"/>
  <c r="E1018" i="4"/>
  <c r="G1018" i="4" s="1"/>
  <c r="F1018" i="4"/>
  <c r="D1019" i="4"/>
  <c r="E1019" i="4"/>
  <c r="G1019" i="4" s="1"/>
  <c r="F1019" i="4"/>
  <c r="D1020" i="4"/>
  <c r="E1020" i="4"/>
  <c r="G1020" i="4" s="1"/>
  <c r="F1020" i="4"/>
  <c r="D1021" i="4"/>
  <c r="E1021" i="4"/>
  <c r="G1021" i="4" s="1"/>
  <c r="F1021" i="4"/>
  <c r="D1022" i="4"/>
  <c r="E1022" i="4"/>
  <c r="G1022" i="4" s="1"/>
  <c r="F1022" i="4"/>
  <c r="D1023" i="4"/>
  <c r="E1023" i="4"/>
  <c r="G1023" i="4" s="1"/>
  <c r="F1023" i="4"/>
  <c r="D1024" i="4"/>
  <c r="E1024" i="4"/>
  <c r="G1024" i="4" s="1"/>
  <c r="F1024" i="4"/>
  <c r="D1025" i="4"/>
  <c r="E1025" i="4"/>
  <c r="G1025" i="4" s="1"/>
  <c r="F1025" i="4"/>
  <c r="D1026" i="4"/>
  <c r="E1026" i="4"/>
  <c r="G1026" i="4" s="1"/>
  <c r="F1026" i="4"/>
  <c r="D1027" i="4"/>
  <c r="E1027" i="4"/>
  <c r="G1027" i="4" s="1"/>
  <c r="F1027" i="4"/>
  <c r="D1028" i="4"/>
  <c r="E1028" i="4"/>
  <c r="G1028" i="4" s="1"/>
  <c r="F1028" i="4"/>
  <c r="D1029" i="4"/>
  <c r="E1029" i="4"/>
  <c r="G1029" i="4" s="1"/>
  <c r="F1029" i="4"/>
  <c r="D1030" i="4"/>
  <c r="E1030" i="4"/>
  <c r="G1030" i="4" s="1"/>
  <c r="F1030" i="4"/>
  <c r="D1031" i="4"/>
  <c r="E1031" i="4"/>
  <c r="G1031" i="4" s="1"/>
  <c r="F1031" i="4"/>
  <c r="D1032" i="4"/>
  <c r="E1032" i="4"/>
  <c r="G1032" i="4" s="1"/>
  <c r="F1032" i="4"/>
  <c r="D1033" i="4"/>
  <c r="E1033" i="4"/>
  <c r="F1033" i="4"/>
  <c r="D1034" i="4"/>
  <c r="E1034" i="4"/>
  <c r="G1034" i="4" s="1"/>
  <c r="F1034" i="4"/>
  <c r="D1035" i="4"/>
  <c r="E1035" i="4"/>
  <c r="G1035" i="4" s="1"/>
  <c r="F1035" i="4"/>
  <c r="D1036" i="4"/>
  <c r="E1036" i="4"/>
  <c r="G1036" i="4" s="1"/>
  <c r="F1036" i="4"/>
  <c r="D1037" i="4"/>
  <c r="E1037" i="4"/>
  <c r="G1037" i="4" s="1"/>
  <c r="F1037" i="4"/>
  <c r="D1038" i="4"/>
  <c r="E1038" i="4"/>
  <c r="F1038" i="4"/>
  <c r="D1039" i="4"/>
  <c r="E1039" i="4"/>
  <c r="G1039" i="4" s="1"/>
  <c r="F1039" i="4"/>
  <c r="D1040" i="4"/>
  <c r="E1040" i="4"/>
  <c r="G1040" i="4" s="1"/>
  <c r="F1040" i="4"/>
  <c r="D1041" i="4"/>
  <c r="E1041" i="4"/>
  <c r="F1041" i="4"/>
  <c r="D1042" i="4"/>
  <c r="E1042" i="4"/>
  <c r="G1042" i="4" s="1"/>
  <c r="F1042" i="4"/>
  <c r="D1043" i="4"/>
  <c r="E1043" i="4"/>
  <c r="G1043" i="4" s="1"/>
  <c r="F1043" i="4"/>
  <c r="D1044" i="4"/>
  <c r="E1044" i="4"/>
  <c r="G1044" i="4" s="1"/>
  <c r="F1044" i="4"/>
  <c r="D1045" i="4"/>
  <c r="E1045" i="4"/>
  <c r="G1045" i="4" s="1"/>
  <c r="F1045" i="4"/>
  <c r="D1046" i="4"/>
  <c r="E1046" i="4"/>
  <c r="G1046" i="4" s="1"/>
  <c r="F1046" i="4"/>
  <c r="D1047" i="4"/>
  <c r="E1047" i="4"/>
  <c r="G1047" i="4" s="1"/>
  <c r="F1047" i="4"/>
  <c r="D1048" i="4"/>
  <c r="E1048" i="4"/>
  <c r="G1048" i="4" s="1"/>
  <c r="F1048" i="4"/>
  <c r="D1049" i="4"/>
  <c r="E1049" i="4"/>
  <c r="G1049" i="4" s="1"/>
  <c r="F1049" i="4"/>
  <c r="D1050" i="4"/>
  <c r="E1050" i="4"/>
  <c r="G1050" i="4" s="1"/>
  <c r="F1050" i="4"/>
  <c r="D1051" i="4"/>
  <c r="E1051" i="4"/>
  <c r="G1051" i="4" s="1"/>
  <c r="F1051" i="4"/>
  <c r="D1052" i="4"/>
  <c r="E1052" i="4"/>
  <c r="G1052" i="4" s="1"/>
  <c r="F1052" i="4"/>
  <c r="D1053" i="4"/>
  <c r="E1053" i="4"/>
  <c r="G1053" i="4" s="1"/>
  <c r="F1053" i="4"/>
  <c r="D1054" i="4"/>
  <c r="E1054" i="4"/>
  <c r="G1054" i="4" s="1"/>
  <c r="F1054" i="4"/>
  <c r="D1055" i="4"/>
  <c r="E1055" i="4"/>
  <c r="G1055" i="4" s="1"/>
  <c r="F1055" i="4"/>
  <c r="D1056" i="4"/>
  <c r="E1056" i="4"/>
  <c r="F1056" i="4"/>
  <c r="D1057" i="4"/>
  <c r="E1057" i="4"/>
  <c r="G1057" i="4" s="1"/>
  <c r="F1057" i="4"/>
  <c r="D1058" i="4"/>
  <c r="E1058" i="4"/>
  <c r="G1058" i="4" s="1"/>
  <c r="F1058" i="4"/>
  <c r="D1059" i="4"/>
  <c r="E1059" i="4"/>
  <c r="G1059" i="4" s="1"/>
  <c r="F1059" i="4"/>
  <c r="D1060" i="4"/>
  <c r="E1060" i="4"/>
  <c r="G1060" i="4" s="1"/>
  <c r="F1060" i="4"/>
  <c r="D1061" i="4"/>
  <c r="E1061" i="4"/>
  <c r="G1061" i="4" s="1"/>
  <c r="F1061" i="4"/>
  <c r="D1062" i="4"/>
  <c r="E1062" i="4"/>
  <c r="G1062" i="4" s="1"/>
  <c r="F1062" i="4"/>
  <c r="D1063" i="4"/>
  <c r="E1063" i="4"/>
  <c r="G1063" i="4" s="1"/>
  <c r="F1063" i="4"/>
  <c r="D1064" i="4"/>
  <c r="E1064" i="4"/>
  <c r="G1064" i="4" s="1"/>
  <c r="F1064" i="4"/>
  <c r="D1065" i="4"/>
  <c r="E1065" i="4"/>
  <c r="G1065" i="4" s="1"/>
  <c r="F1065" i="4"/>
  <c r="D1066" i="4"/>
  <c r="E1066" i="4"/>
  <c r="G1066" i="4" s="1"/>
  <c r="F1066" i="4"/>
  <c r="D1067" i="4"/>
  <c r="E1067" i="4"/>
  <c r="G1067" i="4" s="1"/>
  <c r="F1067" i="4"/>
  <c r="D1068" i="4"/>
  <c r="E1068" i="4"/>
  <c r="G1068" i="4" s="1"/>
  <c r="F1068" i="4"/>
  <c r="D1069" i="4"/>
  <c r="E1069" i="4"/>
  <c r="G1069" i="4" s="1"/>
  <c r="F1069" i="4"/>
  <c r="D1070" i="4"/>
  <c r="E1070" i="4"/>
  <c r="G1070" i="4" s="1"/>
  <c r="F1070" i="4"/>
  <c r="D1071" i="4"/>
  <c r="E1071" i="4"/>
  <c r="G1071" i="4" s="1"/>
  <c r="F1071" i="4"/>
  <c r="D1072" i="4"/>
  <c r="E1072" i="4"/>
  <c r="G1072" i="4" s="1"/>
  <c r="F1072" i="4"/>
  <c r="D1073" i="4"/>
  <c r="E1073" i="4"/>
  <c r="G1073" i="4" s="1"/>
  <c r="F1073" i="4"/>
  <c r="D1074" i="4"/>
  <c r="E1074" i="4"/>
  <c r="G1074" i="4" s="1"/>
  <c r="F1074" i="4"/>
  <c r="D1075" i="4"/>
  <c r="E1075" i="4"/>
  <c r="G1075" i="4" s="1"/>
  <c r="F1075" i="4"/>
  <c r="D1076" i="4"/>
  <c r="E1076" i="4"/>
  <c r="G1076" i="4" s="1"/>
  <c r="F1076" i="4"/>
  <c r="D1077" i="4"/>
  <c r="E1077" i="4"/>
  <c r="G1077" i="4" s="1"/>
  <c r="F1077" i="4"/>
  <c r="D1078" i="4"/>
  <c r="E1078" i="4"/>
  <c r="G1078" i="4" s="1"/>
  <c r="F1078" i="4"/>
  <c r="D1079" i="4"/>
  <c r="E1079" i="4"/>
  <c r="G1079" i="4" s="1"/>
  <c r="F1079" i="4"/>
  <c r="D1080" i="4"/>
  <c r="E1080" i="4"/>
  <c r="G1080" i="4" s="1"/>
  <c r="F1080" i="4"/>
  <c r="D1081" i="4"/>
  <c r="E1081" i="4"/>
  <c r="G1081" i="4" s="1"/>
  <c r="F1081" i="4"/>
  <c r="D1082" i="4"/>
  <c r="E1082" i="4"/>
  <c r="G1082" i="4" s="1"/>
  <c r="F1082" i="4"/>
  <c r="D1083" i="4"/>
  <c r="E1083" i="4"/>
  <c r="G1083" i="4" s="1"/>
  <c r="F1083" i="4"/>
  <c r="D1084" i="4"/>
  <c r="E1084" i="4"/>
  <c r="G1084" i="4" s="1"/>
  <c r="F1084" i="4"/>
  <c r="D1085" i="4"/>
  <c r="E1085" i="4"/>
  <c r="G1085" i="4" s="1"/>
  <c r="F1085" i="4"/>
  <c r="D1086" i="4"/>
  <c r="E1086" i="4"/>
  <c r="G1086" i="4" s="1"/>
  <c r="F1086" i="4"/>
  <c r="D1087" i="4"/>
  <c r="E1087" i="4"/>
  <c r="F1087" i="4"/>
  <c r="D1088" i="4"/>
  <c r="E1088" i="4"/>
  <c r="G1088" i="4" s="1"/>
  <c r="F1088" i="4"/>
  <c r="D1089" i="4"/>
  <c r="E1089" i="4"/>
  <c r="G1089" i="4" s="1"/>
  <c r="F1089" i="4"/>
  <c r="D1090" i="4"/>
  <c r="E1090" i="4"/>
  <c r="G1090" i="4" s="1"/>
  <c r="F1090" i="4"/>
  <c r="D1091" i="4"/>
  <c r="E1091" i="4"/>
  <c r="G1091" i="4" s="1"/>
  <c r="F1091" i="4"/>
  <c r="D1092" i="4"/>
  <c r="E1092" i="4"/>
  <c r="G1092" i="4" s="1"/>
  <c r="F1092" i="4"/>
  <c r="D1093" i="4"/>
  <c r="E1093" i="4"/>
  <c r="G1093" i="4" s="1"/>
  <c r="F1093" i="4"/>
  <c r="D1094" i="4"/>
  <c r="E1094" i="4"/>
  <c r="G1094" i="4" s="1"/>
  <c r="F1094" i="4"/>
  <c r="D1095" i="4"/>
  <c r="E1095" i="4"/>
  <c r="G1095" i="4" s="1"/>
  <c r="F1095" i="4"/>
  <c r="D1096" i="4"/>
  <c r="E1096" i="4"/>
  <c r="G1096" i="4" s="1"/>
  <c r="F1096" i="4"/>
  <c r="H1096" i="4" s="1"/>
  <c r="D1097" i="4"/>
  <c r="E1097" i="4"/>
  <c r="G1097" i="4" s="1"/>
  <c r="F1097" i="4"/>
  <c r="D1098" i="4"/>
  <c r="E1098" i="4"/>
  <c r="G1098" i="4" s="1"/>
  <c r="F1098" i="4"/>
  <c r="D1099" i="4"/>
  <c r="E1099" i="4"/>
  <c r="G1099" i="4" s="1"/>
  <c r="F1099" i="4"/>
  <c r="D1100" i="4"/>
  <c r="E1100" i="4"/>
  <c r="G1100" i="4" s="1"/>
  <c r="F1100" i="4"/>
  <c r="D1101" i="4"/>
  <c r="E1101" i="4"/>
  <c r="G1101" i="4" s="1"/>
  <c r="F1101" i="4"/>
  <c r="D1102" i="4"/>
  <c r="E1102" i="4"/>
  <c r="G1102" i="4" s="1"/>
  <c r="F1102" i="4"/>
  <c r="D1103" i="4"/>
  <c r="E1103" i="4"/>
  <c r="G1103" i="4" s="1"/>
  <c r="F1103" i="4"/>
  <c r="D1104" i="4"/>
  <c r="E1104" i="4"/>
  <c r="G1104" i="4" s="1"/>
  <c r="F1104" i="4"/>
  <c r="D1105" i="4"/>
  <c r="E1105" i="4"/>
  <c r="G1105" i="4" s="1"/>
  <c r="F1105" i="4"/>
  <c r="D1106" i="4"/>
  <c r="E1106" i="4"/>
  <c r="G1106" i="4" s="1"/>
  <c r="F1106" i="4"/>
  <c r="D1107" i="4"/>
  <c r="E1107" i="4"/>
  <c r="G1107" i="4" s="1"/>
  <c r="F1107" i="4"/>
  <c r="D1108" i="4"/>
  <c r="E1108" i="4"/>
  <c r="G1108" i="4" s="1"/>
  <c r="F1108" i="4"/>
  <c r="D1109" i="4"/>
  <c r="E1109" i="4"/>
  <c r="G1109" i="4" s="1"/>
  <c r="F1109" i="4"/>
  <c r="D1110" i="4"/>
  <c r="E1110" i="4"/>
  <c r="G1110" i="4" s="1"/>
  <c r="F1110" i="4"/>
  <c r="D1111" i="4"/>
  <c r="E1111" i="4"/>
  <c r="G1111" i="4" s="1"/>
  <c r="F1111" i="4"/>
  <c r="D1112" i="4"/>
  <c r="E1112" i="4"/>
  <c r="G1112" i="4" s="1"/>
  <c r="F1112" i="4"/>
  <c r="D1113" i="4"/>
  <c r="E1113" i="4"/>
  <c r="G1113" i="4" s="1"/>
  <c r="F1113" i="4"/>
  <c r="D1114" i="4"/>
  <c r="E1114" i="4"/>
  <c r="F1114" i="4"/>
  <c r="D1115" i="4"/>
  <c r="E1115" i="4"/>
  <c r="G1115" i="4" s="1"/>
  <c r="F1115" i="4"/>
  <c r="D1116" i="4"/>
  <c r="E1116" i="4"/>
  <c r="G1116" i="4" s="1"/>
  <c r="F1116" i="4"/>
  <c r="D1117" i="4"/>
  <c r="E1117" i="4"/>
  <c r="G1117" i="4" s="1"/>
  <c r="F1117" i="4"/>
  <c r="D1118" i="4"/>
  <c r="E1118" i="4"/>
  <c r="G1118" i="4" s="1"/>
  <c r="F1118" i="4"/>
  <c r="D1119" i="4"/>
  <c r="E1119" i="4"/>
  <c r="G1119" i="4" s="1"/>
  <c r="F1119" i="4"/>
  <c r="D1120" i="4"/>
  <c r="E1120" i="4"/>
  <c r="G1120" i="4" s="1"/>
  <c r="F1120" i="4"/>
  <c r="D1121" i="4"/>
  <c r="E1121" i="4"/>
  <c r="G1121" i="4" s="1"/>
  <c r="F1121" i="4"/>
  <c r="D1122" i="4"/>
  <c r="E1122" i="4"/>
  <c r="G1122" i="4" s="1"/>
  <c r="F1122" i="4"/>
  <c r="D1123" i="4"/>
  <c r="E1123" i="4"/>
  <c r="F1123" i="4"/>
  <c r="D1124" i="4"/>
  <c r="E1124" i="4"/>
  <c r="G1124" i="4" s="1"/>
  <c r="F1124" i="4"/>
  <c r="D1125" i="4"/>
  <c r="E1125" i="4"/>
  <c r="G1125" i="4" s="1"/>
  <c r="F1125" i="4"/>
  <c r="D1126" i="4"/>
  <c r="E1126" i="4"/>
  <c r="G1126" i="4" s="1"/>
  <c r="F1126" i="4"/>
  <c r="D1127" i="4"/>
  <c r="E1127" i="4"/>
  <c r="G1127" i="4" s="1"/>
  <c r="F1127" i="4"/>
  <c r="D1128" i="4"/>
  <c r="E1128" i="4"/>
  <c r="G1128" i="4" s="1"/>
  <c r="F1128" i="4"/>
  <c r="D1129" i="4"/>
  <c r="E1129" i="4"/>
  <c r="G1129" i="4" s="1"/>
  <c r="F1129" i="4"/>
  <c r="D1130" i="4"/>
  <c r="E1130" i="4"/>
  <c r="G1130" i="4" s="1"/>
  <c r="F1130" i="4"/>
  <c r="H1130" i="4" s="1"/>
  <c r="D1131" i="4"/>
  <c r="E1131" i="4"/>
  <c r="G1131" i="4" s="1"/>
  <c r="F1131" i="4"/>
  <c r="D1132" i="4"/>
  <c r="E1132" i="4"/>
  <c r="G1132" i="4" s="1"/>
  <c r="F1132" i="4"/>
  <c r="D1133" i="4"/>
  <c r="E1133" i="4"/>
  <c r="G1133" i="4" s="1"/>
  <c r="F1133" i="4"/>
  <c r="D1134" i="4"/>
  <c r="E1134" i="4"/>
  <c r="G1134" i="4" s="1"/>
  <c r="F1134" i="4"/>
  <c r="D1135" i="4"/>
  <c r="E1135" i="4"/>
  <c r="G1135" i="4" s="1"/>
  <c r="F1135" i="4"/>
  <c r="D1136" i="4"/>
  <c r="E1136" i="4"/>
  <c r="G1136" i="4" s="1"/>
  <c r="F1136" i="4"/>
  <c r="D1137" i="4"/>
  <c r="E1137" i="4"/>
  <c r="G1137" i="4" s="1"/>
  <c r="F1137" i="4"/>
  <c r="D1138" i="4"/>
  <c r="E1138" i="4"/>
  <c r="G1138" i="4" s="1"/>
  <c r="F1138" i="4"/>
  <c r="D1139" i="4"/>
  <c r="E1139" i="4"/>
  <c r="G1139" i="4" s="1"/>
  <c r="F1139" i="4"/>
  <c r="D1140" i="4"/>
  <c r="E1140" i="4"/>
  <c r="G1140" i="4" s="1"/>
  <c r="F1140" i="4"/>
  <c r="D1141" i="4"/>
  <c r="E1141" i="4"/>
  <c r="G1141" i="4" s="1"/>
  <c r="F1141" i="4"/>
  <c r="D1142" i="4"/>
  <c r="E1142" i="4"/>
  <c r="G1142" i="4" s="1"/>
  <c r="F1142" i="4"/>
  <c r="H1142" i="4" s="1"/>
  <c r="D1143" i="4"/>
  <c r="E1143" i="4"/>
  <c r="G1143" i="4" s="1"/>
  <c r="F1143" i="4"/>
  <c r="D1144" i="4"/>
  <c r="E1144" i="4"/>
  <c r="F1144" i="4"/>
  <c r="D1145" i="4"/>
  <c r="E1145" i="4"/>
  <c r="G1145" i="4" s="1"/>
  <c r="F1145" i="4"/>
  <c r="D1146" i="4"/>
  <c r="E1146" i="4"/>
  <c r="G1146" i="4" s="1"/>
  <c r="F1146" i="4"/>
  <c r="D1147" i="4"/>
  <c r="E1147" i="4"/>
  <c r="G1147" i="4" s="1"/>
  <c r="F1147" i="4"/>
  <c r="D1148" i="4"/>
  <c r="E1148" i="4"/>
  <c r="G1148" i="4" s="1"/>
  <c r="F1148" i="4"/>
  <c r="D1149" i="4"/>
  <c r="E1149" i="4"/>
  <c r="G1149" i="4" s="1"/>
  <c r="F1149" i="4"/>
  <c r="D1150" i="4"/>
  <c r="E1150" i="4"/>
  <c r="G1150" i="4" s="1"/>
  <c r="F1150" i="4"/>
  <c r="D1151" i="4"/>
  <c r="E1151" i="4"/>
  <c r="G1151" i="4" s="1"/>
  <c r="F1151" i="4"/>
  <c r="D1152" i="4"/>
  <c r="E1152" i="4"/>
  <c r="G1152" i="4" s="1"/>
  <c r="F1152" i="4"/>
  <c r="D1153" i="4"/>
  <c r="E1153" i="4"/>
  <c r="G1153" i="4" s="1"/>
  <c r="F1153" i="4"/>
  <c r="D1154" i="4"/>
  <c r="E1154" i="4"/>
  <c r="G1154" i="4" s="1"/>
  <c r="F1154" i="4"/>
  <c r="D1155" i="4"/>
  <c r="E1155" i="4"/>
  <c r="G1155" i="4" s="1"/>
  <c r="F1155" i="4"/>
  <c r="D1156" i="4"/>
  <c r="E1156" i="4"/>
  <c r="G1156" i="4" s="1"/>
  <c r="F1156" i="4"/>
  <c r="D1157" i="4"/>
  <c r="E1157" i="4"/>
  <c r="G1157" i="4" s="1"/>
  <c r="F1157" i="4"/>
  <c r="D1158" i="4"/>
  <c r="E1158" i="4"/>
  <c r="G1158" i="4" s="1"/>
  <c r="F1158" i="4"/>
  <c r="D1159" i="4"/>
  <c r="E1159" i="4"/>
  <c r="G1159" i="4" s="1"/>
  <c r="F1159" i="4"/>
  <c r="D1160" i="4"/>
  <c r="E1160" i="4"/>
  <c r="G1160" i="4" s="1"/>
  <c r="F1160" i="4"/>
  <c r="D1161" i="4"/>
  <c r="E1161" i="4"/>
  <c r="G1161" i="4" s="1"/>
  <c r="F1161" i="4"/>
  <c r="D1162" i="4"/>
  <c r="E1162" i="4"/>
  <c r="G1162" i="4" s="1"/>
  <c r="F1162" i="4"/>
  <c r="D1163" i="4"/>
  <c r="E1163" i="4"/>
  <c r="G1163" i="4" s="1"/>
  <c r="F1163" i="4"/>
  <c r="H1163" i="4" s="1"/>
  <c r="D1164" i="4"/>
  <c r="E1164" i="4"/>
  <c r="F1164" i="4"/>
  <c r="D1165" i="4"/>
  <c r="E1165" i="4"/>
  <c r="G1165" i="4" s="1"/>
  <c r="F1165" i="4"/>
  <c r="D1166" i="4"/>
  <c r="E1166" i="4"/>
  <c r="G1166" i="4" s="1"/>
  <c r="F1166" i="4"/>
  <c r="D1167" i="4"/>
  <c r="E1167" i="4"/>
  <c r="G1167" i="4" s="1"/>
  <c r="F1167" i="4"/>
  <c r="D1168" i="4"/>
  <c r="E1168" i="4"/>
  <c r="G1168" i="4" s="1"/>
  <c r="F1168" i="4"/>
  <c r="D1169" i="4"/>
  <c r="E1169" i="4"/>
  <c r="F1169" i="4"/>
  <c r="D1170" i="4"/>
  <c r="E1170" i="4"/>
  <c r="G1170" i="4" s="1"/>
  <c r="F1170" i="4"/>
  <c r="D1171" i="4"/>
  <c r="E1171" i="4"/>
  <c r="G1171" i="4" s="1"/>
  <c r="F1171" i="4"/>
  <c r="D1172" i="4"/>
  <c r="E1172" i="4"/>
  <c r="G1172" i="4" s="1"/>
  <c r="F1172" i="4"/>
  <c r="D1173" i="4"/>
  <c r="E1173" i="4"/>
  <c r="G1173" i="4" s="1"/>
  <c r="F1173" i="4"/>
  <c r="D1174" i="4"/>
  <c r="E1174" i="4"/>
  <c r="G1174" i="4" s="1"/>
  <c r="F1174" i="4"/>
  <c r="D1175" i="4"/>
  <c r="E1175" i="4"/>
  <c r="G1175" i="4" s="1"/>
  <c r="F1175" i="4"/>
  <c r="D1176" i="4"/>
  <c r="E1176" i="4"/>
  <c r="F1176" i="4"/>
  <c r="D1177" i="4"/>
  <c r="E1177" i="4"/>
  <c r="G1177" i="4" s="1"/>
  <c r="F1177" i="4"/>
  <c r="D1178" i="4"/>
  <c r="E1178" i="4"/>
  <c r="G1178" i="4" s="1"/>
  <c r="F1178" i="4"/>
  <c r="D1179" i="4"/>
  <c r="E1179" i="4"/>
  <c r="F1179" i="4"/>
  <c r="D1180" i="4"/>
  <c r="E1180" i="4"/>
  <c r="G1180" i="4" s="1"/>
  <c r="F1180" i="4"/>
  <c r="D1181" i="4"/>
  <c r="E1181" i="4"/>
  <c r="F1181" i="4"/>
  <c r="D1182" i="4"/>
  <c r="E1182" i="4"/>
  <c r="G1182" i="4" s="1"/>
  <c r="F1182" i="4"/>
  <c r="D1183" i="4"/>
  <c r="E1183" i="4"/>
  <c r="G1183" i="4" s="1"/>
  <c r="F1183" i="4"/>
  <c r="D1184" i="4"/>
  <c r="E1184" i="4"/>
  <c r="G1184" i="4" s="1"/>
  <c r="F1184" i="4"/>
  <c r="D1185" i="4"/>
  <c r="E1185" i="4"/>
  <c r="G1185" i="4" s="1"/>
  <c r="F1185" i="4"/>
  <c r="D1186" i="4"/>
  <c r="E1186" i="4"/>
  <c r="G1186" i="4" s="1"/>
  <c r="F1186" i="4"/>
  <c r="D1187" i="4"/>
  <c r="E1187" i="4"/>
  <c r="G1187" i="4" s="1"/>
  <c r="F1187" i="4"/>
  <c r="D1188" i="4"/>
  <c r="E1188" i="4"/>
  <c r="G1188" i="4" s="1"/>
  <c r="F1188" i="4"/>
  <c r="D1189" i="4"/>
  <c r="E1189" i="4"/>
  <c r="G1189" i="4" s="1"/>
  <c r="F1189" i="4"/>
  <c r="D1190" i="4"/>
  <c r="E1190" i="4"/>
  <c r="G1190" i="4" s="1"/>
  <c r="F1190" i="4"/>
  <c r="D1191" i="4"/>
  <c r="E1191" i="4"/>
  <c r="G1191" i="4" s="1"/>
  <c r="F1191" i="4"/>
  <c r="D1192" i="4"/>
  <c r="E1192" i="4"/>
  <c r="G1192" i="4" s="1"/>
  <c r="F1192" i="4"/>
  <c r="D1193" i="4"/>
  <c r="E1193" i="4"/>
  <c r="G1193" i="4" s="1"/>
  <c r="F1193" i="4"/>
  <c r="D1194" i="4"/>
  <c r="E1194" i="4"/>
  <c r="G1194" i="4" s="1"/>
  <c r="F1194" i="4"/>
  <c r="D1195" i="4"/>
  <c r="E1195" i="4"/>
  <c r="G1195" i="4" s="1"/>
  <c r="F1195" i="4"/>
  <c r="D1196" i="4"/>
  <c r="E1196" i="4"/>
  <c r="G1196" i="4" s="1"/>
  <c r="F1196" i="4"/>
  <c r="D1197" i="4"/>
  <c r="E1197" i="4"/>
  <c r="G1197" i="4" s="1"/>
  <c r="F1197" i="4"/>
  <c r="D1198" i="4"/>
  <c r="E1198" i="4"/>
  <c r="G1198" i="4" s="1"/>
  <c r="F1198" i="4"/>
  <c r="D1199" i="4"/>
  <c r="E1199" i="4"/>
  <c r="G1199" i="4" s="1"/>
  <c r="F1199" i="4"/>
  <c r="D1200" i="4"/>
  <c r="E1200" i="4"/>
  <c r="G1200" i="4" s="1"/>
  <c r="F1200" i="4"/>
  <c r="D1201" i="4"/>
  <c r="E1201" i="4"/>
  <c r="G1201" i="4" s="1"/>
  <c r="F1201" i="4"/>
  <c r="D1202" i="4"/>
  <c r="E1202" i="4"/>
  <c r="G1202" i="4" s="1"/>
  <c r="F1202" i="4"/>
  <c r="D1203" i="4"/>
  <c r="E1203" i="4"/>
  <c r="G1203" i="4" s="1"/>
  <c r="F1203" i="4"/>
  <c r="D1204" i="4"/>
  <c r="E1204" i="4"/>
  <c r="F1204" i="4"/>
  <c r="D1205" i="4"/>
  <c r="E1205" i="4"/>
  <c r="G1205" i="4" s="1"/>
  <c r="F1205" i="4"/>
  <c r="D1206" i="4"/>
  <c r="E1206" i="4"/>
  <c r="F1206" i="4"/>
  <c r="D1207" i="4"/>
  <c r="E1207" i="4"/>
  <c r="G1207" i="4" s="1"/>
  <c r="F1207" i="4"/>
  <c r="D1208" i="4"/>
  <c r="E1208" i="4"/>
  <c r="G1208" i="4" s="1"/>
  <c r="F1208" i="4"/>
  <c r="D1209" i="4"/>
  <c r="E1209" i="4"/>
  <c r="G1209" i="4" s="1"/>
  <c r="F1209" i="4"/>
  <c r="D1210" i="4"/>
  <c r="E1210" i="4"/>
  <c r="G1210" i="4" s="1"/>
  <c r="F1210" i="4"/>
  <c r="D1211" i="4"/>
  <c r="E1211" i="4"/>
  <c r="G1211" i="4" s="1"/>
  <c r="F1211" i="4"/>
  <c r="D1212" i="4"/>
  <c r="E1212" i="4"/>
  <c r="G1212" i="4" s="1"/>
  <c r="F1212" i="4"/>
  <c r="D1213" i="4"/>
  <c r="E1213" i="4"/>
  <c r="G1213" i="4" s="1"/>
  <c r="F1213" i="4"/>
  <c r="D1214" i="4"/>
  <c r="E1214" i="4"/>
  <c r="G1214" i="4" s="1"/>
  <c r="F1214" i="4"/>
  <c r="H1214" i="4" s="1"/>
  <c r="D1215" i="4"/>
  <c r="E1215" i="4"/>
  <c r="G1215" i="4" s="1"/>
  <c r="F1215" i="4"/>
  <c r="D1216" i="4"/>
  <c r="E1216" i="4"/>
  <c r="G1216" i="4" s="1"/>
  <c r="F1216" i="4"/>
  <c r="D1217" i="4"/>
  <c r="E1217" i="4"/>
  <c r="G1217" i="4" s="1"/>
  <c r="F1217" i="4"/>
  <c r="D1218" i="4"/>
  <c r="E1218" i="4"/>
  <c r="G1218" i="4" s="1"/>
  <c r="F1218" i="4"/>
  <c r="D1219" i="4"/>
  <c r="E1219" i="4"/>
  <c r="G1219" i="4" s="1"/>
  <c r="F1219" i="4"/>
  <c r="D1220" i="4"/>
  <c r="E1220" i="4"/>
  <c r="G1220" i="4" s="1"/>
  <c r="F1220" i="4"/>
  <c r="D1221" i="4"/>
  <c r="E1221" i="4"/>
  <c r="G1221" i="4" s="1"/>
  <c r="F1221" i="4"/>
  <c r="D1222" i="4"/>
  <c r="E1222" i="4"/>
  <c r="G1222" i="4" s="1"/>
  <c r="F1222" i="4"/>
  <c r="D1223" i="4"/>
  <c r="E1223" i="4"/>
  <c r="G1223" i="4" s="1"/>
  <c r="F1223" i="4"/>
  <c r="H1223" i="4" s="1"/>
  <c r="D1224" i="4"/>
  <c r="E1224" i="4"/>
  <c r="G1224" i="4" s="1"/>
  <c r="F1224" i="4"/>
  <c r="D1225" i="4"/>
  <c r="E1225" i="4"/>
  <c r="G1225" i="4" s="1"/>
  <c r="F1225" i="4"/>
  <c r="D1226" i="4"/>
  <c r="E1226" i="4"/>
  <c r="G1226" i="4" s="1"/>
  <c r="F1226" i="4"/>
  <c r="D1227" i="4"/>
  <c r="E1227" i="4"/>
  <c r="G1227" i="4" s="1"/>
  <c r="F1227" i="4"/>
  <c r="D1228" i="4"/>
  <c r="E1228" i="4"/>
  <c r="G1228" i="4" s="1"/>
  <c r="F1228" i="4"/>
  <c r="D1229" i="4"/>
  <c r="E1229" i="4"/>
  <c r="F1229" i="4"/>
  <c r="D1230" i="4"/>
  <c r="E1230" i="4"/>
  <c r="G1230" i="4" s="1"/>
  <c r="F1230" i="4"/>
  <c r="D1231" i="4"/>
  <c r="E1231" i="4"/>
  <c r="G1231" i="4" s="1"/>
  <c r="F1231" i="4"/>
  <c r="D1232" i="4"/>
  <c r="E1232" i="4"/>
  <c r="G1232" i="4" s="1"/>
  <c r="F1232" i="4"/>
  <c r="H1232" i="4" s="1"/>
  <c r="D1233" i="4"/>
  <c r="E1233" i="4"/>
  <c r="G1233" i="4" s="1"/>
  <c r="F1233" i="4"/>
  <c r="D1234" i="4"/>
  <c r="E1234" i="4"/>
  <c r="G1234" i="4" s="1"/>
  <c r="F1234" i="4"/>
  <c r="D1235" i="4"/>
  <c r="E1235" i="4"/>
  <c r="F1235" i="4"/>
  <c r="D1236" i="4"/>
  <c r="E1236" i="4"/>
  <c r="G1236" i="4" s="1"/>
  <c r="F1236" i="4"/>
  <c r="D1237" i="4"/>
  <c r="E1237" i="4"/>
  <c r="G1237" i="4" s="1"/>
  <c r="F1237" i="4"/>
  <c r="D1238" i="4"/>
  <c r="E1238" i="4"/>
  <c r="G1238" i="4" s="1"/>
  <c r="F1238" i="4"/>
  <c r="D1239" i="4"/>
  <c r="E1239" i="4"/>
  <c r="G1239" i="4" s="1"/>
  <c r="F1239" i="4"/>
  <c r="D1240" i="4"/>
  <c r="E1240" i="4"/>
  <c r="G1240" i="4" s="1"/>
  <c r="F1240" i="4"/>
  <c r="D1241" i="4"/>
  <c r="E1241" i="4"/>
  <c r="G1241" i="4" s="1"/>
  <c r="F1241" i="4"/>
  <c r="D1242" i="4"/>
  <c r="E1242" i="4"/>
  <c r="G1242" i="4" s="1"/>
  <c r="F1242" i="4"/>
  <c r="D1243" i="4"/>
  <c r="E1243" i="4"/>
  <c r="G1243" i="4" s="1"/>
  <c r="F1243" i="4"/>
  <c r="D1244" i="4"/>
  <c r="E1244" i="4"/>
  <c r="F1244" i="4"/>
  <c r="D1245" i="4"/>
  <c r="E1245" i="4"/>
  <c r="G1245" i="4" s="1"/>
  <c r="F1245" i="4"/>
  <c r="D1246" i="4"/>
  <c r="E1246" i="4"/>
  <c r="G1246" i="4" s="1"/>
  <c r="F1246" i="4"/>
  <c r="D1247" i="4"/>
  <c r="E1247" i="4"/>
  <c r="G1247" i="4" s="1"/>
  <c r="F1247" i="4"/>
  <c r="D1248" i="4"/>
  <c r="E1248" i="4"/>
  <c r="F1248" i="4"/>
  <c r="D1249" i="4"/>
  <c r="E1249" i="4"/>
  <c r="G1249" i="4" s="1"/>
  <c r="F1249" i="4"/>
  <c r="D1250" i="4"/>
  <c r="E1250" i="4"/>
  <c r="G1250" i="4" s="1"/>
  <c r="F1250" i="4"/>
  <c r="D1251" i="4"/>
  <c r="E1251" i="4"/>
  <c r="G1251" i="4" s="1"/>
  <c r="F1251" i="4"/>
  <c r="D1252" i="4"/>
  <c r="E1252" i="4"/>
  <c r="F1252" i="4"/>
  <c r="D1253" i="4"/>
  <c r="E1253" i="4"/>
  <c r="G1253" i="4" s="1"/>
  <c r="F1253" i="4"/>
  <c r="D1254" i="4"/>
  <c r="E1254" i="4"/>
  <c r="F1254" i="4"/>
  <c r="D1255" i="4"/>
  <c r="E1255" i="4"/>
  <c r="G1255" i="4" s="1"/>
  <c r="F1255" i="4"/>
  <c r="D1256" i="4"/>
  <c r="E1256" i="4"/>
  <c r="G1256" i="4" s="1"/>
  <c r="F1256" i="4"/>
  <c r="D1257" i="4"/>
  <c r="E1257" i="4"/>
  <c r="G1257" i="4" s="1"/>
  <c r="F1257" i="4"/>
  <c r="D1258" i="4"/>
  <c r="E1258" i="4"/>
  <c r="G1258" i="4" s="1"/>
  <c r="F1258" i="4"/>
  <c r="D1259" i="4"/>
  <c r="E1259" i="4"/>
  <c r="G1259" i="4" s="1"/>
  <c r="F1259" i="4"/>
  <c r="D1260" i="4"/>
  <c r="E1260" i="4"/>
  <c r="G1260" i="4" s="1"/>
  <c r="F1260" i="4"/>
  <c r="D1261" i="4"/>
  <c r="E1261" i="4"/>
  <c r="G1261" i="4" s="1"/>
  <c r="F1261" i="4"/>
  <c r="D1262" i="4"/>
  <c r="E1262" i="4"/>
  <c r="G1262" i="4" s="1"/>
  <c r="F1262" i="4"/>
  <c r="D1263" i="4"/>
  <c r="E1263" i="4"/>
  <c r="F1263" i="4"/>
  <c r="D1264" i="4"/>
  <c r="E1264" i="4"/>
  <c r="G1264" i="4" s="1"/>
  <c r="F1264" i="4"/>
  <c r="D1265" i="4"/>
  <c r="E1265" i="4"/>
  <c r="G1265" i="4" s="1"/>
  <c r="F1265" i="4"/>
  <c r="D1266" i="4"/>
  <c r="E1266" i="4"/>
  <c r="G1266" i="4" s="1"/>
  <c r="F1266" i="4"/>
  <c r="D1267" i="4"/>
  <c r="E1267" i="4"/>
  <c r="G1267" i="4" s="1"/>
  <c r="F1267" i="4"/>
  <c r="D1268" i="4"/>
  <c r="E1268" i="4"/>
  <c r="G1268" i="4" s="1"/>
  <c r="F1268" i="4"/>
  <c r="D1269" i="4"/>
  <c r="E1269" i="4"/>
  <c r="G1269" i="4" s="1"/>
  <c r="F1269" i="4"/>
  <c r="D1270" i="4"/>
  <c r="E1270" i="4"/>
  <c r="F1270" i="4"/>
  <c r="D1271" i="4"/>
  <c r="E1271" i="4"/>
  <c r="G1271" i="4" s="1"/>
  <c r="F1271" i="4"/>
  <c r="D1272" i="4"/>
  <c r="E1272" i="4"/>
  <c r="G1272" i="4" s="1"/>
  <c r="F1272" i="4"/>
  <c r="D1273" i="4"/>
  <c r="E1273" i="4"/>
  <c r="G1273" i="4" s="1"/>
  <c r="F1273" i="4"/>
  <c r="D1274" i="4"/>
  <c r="E1274" i="4"/>
  <c r="G1274" i="4" s="1"/>
  <c r="F1274" i="4"/>
  <c r="D1275" i="4"/>
  <c r="E1275" i="4"/>
  <c r="F1275" i="4"/>
  <c r="D1276" i="4"/>
  <c r="E1276" i="4"/>
  <c r="G1276" i="4" s="1"/>
  <c r="F1276" i="4"/>
  <c r="H1276" i="4" s="1"/>
  <c r="D1277" i="4"/>
  <c r="E1277" i="4"/>
  <c r="G1277" i="4" s="1"/>
  <c r="F1277" i="4"/>
  <c r="D1278" i="4"/>
  <c r="E1278" i="4"/>
  <c r="G1278" i="4" s="1"/>
  <c r="F1278" i="4"/>
  <c r="D1279" i="4"/>
  <c r="E1279" i="4"/>
  <c r="G1279" i="4" s="1"/>
  <c r="F1279" i="4"/>
  <c r="D1280" i="4"/>
  <c r="E1280" i="4"/>
  <c r="G1280" i="4" s="1"/>
  <c r="F1280" i="4"/>
  <c r="D1281" i="4"/>
  <c r="E1281" i="4"/>
  <c r="G1281" i="4" s="1"/>
  <c r="F1281" i="4"/>
  <c r="D1282" i="4"/>
  <c r="E1282" i="4"/>
  <c r="G1282" i="4" s="1"/>
  <c r="F1282" i="4"/>
  <c r="D1283" i="4"/>
  <c r="E1283" i="4"/>
  <c r="G1283" i="4" s="1"/>
  <c r="F1283" i="4"/>
  <c r="D1284" i="4"/>
  <c r="E1284" i="4"/>
  <c r="F1284" i="4"/>
  <c r="D1285" i="4"/>
  <c r="E1285" i="4"/>
  <c r="G1285" i="4" s="1"/>
  <c r="F1285" i="4"/>
  <c r="D1286" i="4"/>
  <c r="E1286" i="4"/>
  <c r="G1286" i="4" s="1"/>
  <c r="F1286" i="4"/>
  <c r="D1287" i="4"/>
  <c r="E1287" i="4"/>
  <c r="G1287" i="4" s="1"/>
  <c r="F1287" i="4"/>
  <c r="D1288" i="4"/>
  <c r="E1288" i="4"/>
  <c r="G1288" i="4" s="1"/>
  <c r="F1288" i="4"/>
  <c r="D1289" i="4"/>
  <c r="E1289" i="4"/>
  <c r="G1289" i="4" s="1"/>
  <c r="F1289" i="4"/>
  <c r="D1290" i="4"/>
  <c r="E1290" i="4"/>
  <c r="G1290" i="4" s="1"/>
  <c r="F1290" i="4"/>
  <c r="D1291" i="4"/>
  <c r="E1291" i="4"/>
  <c r="G1291" i="4" s="1"/>
  <c r="F1291" i="4"/>
  <c r="D1292" i="4"/>
  <c r="E1292" i="4"/>
  <c r="G1292" i="4" s="1"/>
  <c r="F1292" i="4"/>
  <c r="D1293" i="4"/>
  <c r="E1293" i="4"/>
  <c r="G1293" i="4" s="1"/>
  <c r="F1293" i="4"/>
  <c r="D1294" i="4"/>
  <c r="E1294" i="4"/>
  <c r="G1294" i="4" s="1"/>
  <c r="F1294" i="4"/>
  <c r="D1295" i="4"/>
  <c r="E1295" i="4"/>
  <c r="G1295" i="4" s="1"/>
  <c r="F1295" i="4"/>
  <c r="D1296" i="4"/>
  <c r="E1296" i="4"/>
  <c r="G1296" i="4" s="1"/>
  <c r="F1296" i="4"/>
  <c r="D1297" i="4"/>
  <c r="E1297" i="4"/>
  <c r="G1297" i="4" s="1"/>
  <c r="F1297" i="4"/>
  <c r="D1298" i="4"/>
  <c r="E1298" i="4"/>
  <c r="G1298" i="4" s="1"/>
  <c r="F1298" i="4"/>
  <c r="D1299" i="4"/>
  <c r="E1299" i="4"/>
  <c r="G1299" i="4" s="1"/>
  <c r="F1299" i="4"/>
  <c r="D1300" i="4"/>
  <c r="E1300" i="4"/>
  <c r="F1300" i="4"/>
  <c r="D1301" i="4"/>
  <c r="E1301" i="4"/>
  <c r="G1301" i="4" s="1"/>
  <c r="F1301" i="4"/>
  <c r="D1302" i="4"/>
  <c r="E1302" i="4"/>
  <c r="G1302" i="4" s="1"/>
  <c r="F1302" i="4"/>
  <c r="D1303" i="4"/>
  <c r="E1303" i="4"/>
  <c r="G1303" i="4" s="1"/>
  <c r="F1303" i="4"/>
  <c r="D1304" i="4"/>
  <c r="E1304" i="4"/>
  <c r="G1304" i="4" s="1"/>
  <c r="F1304" i="4"/>
  <c r="D1305" i="4"/>
  <c r="E1305" i="4"/>
  <c r="G1305" i="4" s="1"/>
  <c r="F1305" i="4"/>
  <c r="D1306" i="4"/>
  <c r="E1306" i="4"/>
  <c r="G1306" i="4" s="1"/>
  <c r="F1306" i="4"/>
  <c r="D1307" i="4"/>
  <c r="E1307" i="4"/>
  <c r="G1307" i="4" s="1"/>
  <c r="F1307" i="4"/>
  <c r="D1308" i="4"/>
  <c r="E1308" i="4"/>
  <c r="F1308" i="4"/>
  <c r="D1309" i="4"/>
  <c r="E1309" i="4"/>
  <c r="G1309" i="4" s="1"/>
  <c r="F1309" i="4"/>
  <c r="D1310" i="4"/>
  <c r="E1310" i="4"/>
  <c r="G1310" i="4" s="1"/>
  <c r="F1310" i="4"/>
  <c r="D1311" i="4"/>
  <c r="E1311" i="4"/>
  <c r="F1311" i="4"/>
  <c r="D1312" i="4"/>
  <c r="E1312" i="4"/>
  <c r="G1312" i="4" s="1"/>
  <c r="F1312" i="4"/>
  <c r="D1313" i="4"/>
  <c r="E1313" i="4"/>
  <c r="G1313" i="4" s="1"/>
  <c r="F1313" i="4"/>
  <c r="D1314" i="4"/>
  <c r="E1314" i="4"/>
  <c r="G1314" i="4" s="1"/>
  <c r="F1314" i="4"/>
  <c r="D1315" i="4"/>
  <c r="E1315" i="4"/>
  <c r="G1315" i="4" s="1"/>
  <c r="F1315" i="4"/>
  <c r="D1316" i="4"/>
  <c r="E1316" i="4"/>
  <c r="G1316" i="4" s="1"/>
  <c r="F1316" i="4"/>
  <c r="D1317" i="4"/>
  <c r="E1317" i="4"/>
  <c r="G1317" i="4" s="1"/>
  <c r="F1317" i="4"/>
  <c r="D1318" i="4"/>
  <c r="E1318" i="4"/>
  <c r="G1318" i="4" s="1"/>
  <c r="F1318" i="4"/>
  <c r="D1319" i="4"/>
  <c r="E1319" i="4"/>
  <c r="G1319" i="4" s="1"/>
  <c r="F1319" i="4"/>
  <c r="D1320" i="4"/>
  <c r="E1320" i="4"/>
  <c r="G1320" i="4" s="1"/>
  <c r="F1320" i="4"/>
  <c r="D1321" i="4"/>
  <c r="E1321" i="4"/>
  <c r="G1321" i="4" s="1"/>
  <c r="F1321" i="4"/>
  <c r="D1322" i="4"/>
  <c r="E1322" i="4"/>
  <c r="G1322" i="4" s="1"/>
  <c r="F1322" i="4"/>
  <c r="D1323" i="4"/>
  <c r="E1323" i="4"/>
  <c r="G1323" i="4" s="1"/>
  <c r="F1323" i="4"/>
  <c r="D1324" i="4"/>
  <c r="E1324" i="4"/>
  <c r="G1324" i="4" s="1"/>
  <c r="F1324" i="4"/>
  <c r="D1325" i="4"/>
  <c r="E1325" i="4"/>
  <c r="G1325" i="4" s="1"/>
  <c r="F1325" i="4"/>
  <c r="D1326" i="4"/>
  <c r="E1326" i="4"/>
  <c r="G1326" i="4" s="1"/>
  <c r="F1326" i="4"/>
  <c r="D1327" i="4"/>
  <c r="E1327" i="4"/>
  <c r="G1327" i="4" s="1"/>
  <c r="F1327" i="4"/>
  <c r="D1328" i="4"/>
  <c r="E1328" i="4"/>
  <c r="G1328" i="4" s="1"/>
  <c r="F1328" i="4"/>
  <c r="D1329" i="4"/>
  <c r="E1329" i="4"/>
  <c r="G1329" i="4" s="1"/>
  <c r="F1329" i="4"/>
  <c r="D1330" i="4"/>
  <c r="E1330" i="4"/>
  <c r="G1330" i="4" s="1"/>
  <c r="F1330" i="4"/>
  <c r="D1331" i="4"/>
  <c r="E1331" i="4"/>
  <c r="G1331" i="4" s="1"/>
  <c r="F1331" i="4"/>
  <c r="H1331" i="4" s="1"/>
  <c r="D1332" i="4"/>
  <c r="E1332" i="4"/>
  <c r="G1332" i="4" s="1"/>
  <c r="F1332" i="4"/>
  <c r="D1333" i="4"/>
  <c r="E1333" i="4"/>
  <c r="G1333" i="4" s="1"/>
  <c r="F1333" i="4"/>
  <c r="D1334" i="4"/>
  <c r="E1334" i="4"/>
  <c r="G1334" i="4" s="1"/>
  <c r="F1334" i="4"/>
  <c r="D1335" i="4"/>
  <c r="E1335" i="4"/>
  <c r="G1335" i="4" s="1"/>
  <c r="F1335" i="4"/>
  <c r="D1336" i="4"/>
  <c r="E1336" i="4"/>
  <c r="G1336" i="4" s="1"/>
  <c r="F1336" i="4"/>
  <c r="D1337" i="4"/>
  <c r="E1337" i="4"/>
  <c r="G1337" i="4" s="1"/>
  <c r="F1337" i="4"/>
  <c r="D1338" i="4"/>
  <c r="E1338" i="4"/>
  <c r="F1338" i="4"/>
  <c r="D1339" i="4"/>
  <c r="E1339" i="4"/>
  <c r="G1339" i="4" s="1"/>
  <c r="F1339" i="4"/>
  <c r="D1340" i="4"/>
  <c r="E1340" i="4"/>
  <c r="G1340" i="4" s="1"/>
  <c r="F1340" i="4"/>
  <c r="D1341" i="4"/>
  <c r="E1341" i="4"/>
  <c r="G1341" i="4" s="1"/>
  <c r="F1341" i="4"/>
  <c r="D1342" i="4"/>
  <c r="E1342" i="4"/>
  <c r="G1342" i="4" s="1"/>
  <c r="F1342" i="4"/>
  <c r="D1343" i="4"/>
  <c r="E1343" i="4"/>
  <c r="G1343" i="4" s="1"/>
  <c r="F1343" i="4"/>
  <c r="D1344" i="4"/>
  <c r="E1344" i="4"/>
  <c r="G1344" i="4" s="1"/>
  <c r="F1344" i="4"/>
  <c r="D1345" i="4"/>
  <c r="E1345" i="4"/>
  <c r="G1345" i="4" s="1"/>
  <c r="F1345" i="4"/>
  <c r="D1346" i="4"/>
  <c r="E1346" i="4"/>
  <c r="G1346" i="4" s="1"/>
  <c r="F1346" i="4"/>
  <c r="D1347" i="4"/>
  <c r="E1347" i="4"/>
  <c r="G1347" i="4" s="1"/>
  <c r="F1347" i="4"/>
  <c r="D1348" i="4"/>
  <c r="E1348" i="4"/>
  <c r="G1348" i="4" s="1"/>
  <c r="F1348" i="4"/>
  <c r="D1349" i="4"/>
  <c r="E1349" i="4"/>
  <c r="G1349" i="4" s="1"/>
  <c r="F1349" i="4"/>
  <c r="D1350" i="4"/>
  <c r="E1350" i="4"/>
  <c r="G1350" i="4" s="1"/>
  <c r="F1350" i="4"/>
  <c r="D1351" i="4"/>
  <c r="E1351" i="4"/>
  <c r="G1351" i="4" s="1"/>
  <c r="F1351" i="4"/>
  <c r="D1352" i="4"/>
  <c r="E1352" i="4"/>
  <c r="G1352" i="4" s="1"/>
  <c r="F1352" i="4"/>
  <c r="D1353" i="4"/>
  <c r="E1353" i="4"/>
  <c r="G1353" i="4" s="1"/>
  <c r="F1353" i="4"/>
  <c r="D1354" i="4"/>
  <c r="E1354" i="4"/>
  <c r="G1354" i="4" s="1"/>
  <c r="F1354" i="4"/>
  <c r="D1355" i="4"/>
  <c r="E1355" i="4"/>
  <c r="G1355" i="4" s="1"/>
  <c r="F1355" i="4"/>
  <c r="D1356" i="4"/>
  <c r="E1356" i="4"/>
  <c r="G1356" i="4" s="1"/>
  <c r="F1356" i="4"/>
  <c r="D1357" i="4"/>
  <c r="E1357" i="4"/>
  <c r="G1357" i="4" s="1"/>
  <c r="F1357" i="4"/>
  <c r="D1358" i="4"/>
  <c r="E1358" i="4"/>
  <c r="G1358" i="4" s="1"/>
  <c r="F1358" i="4"/>
  <c r="D1359" i="4"/>
  <c r="E1359" i="4"/>
  <c r="G1359" i="4" s="1"/>
  <c r="F1359" i="4"/>
  <c r="D1360" i="4"/>
  <c r="E1360" i="4"/>
  <c r="G1360" i="4" s="1"/>
  <c r="F1360" i="4"/>
  <c r="D1361" i="4"/>
  <c r="E1361" i="4"/>
  <c r="G1361" i="4" s="1"/>
  <c r="F1361" i="4"/>
  <c r="D1362" i="4"/>
  <c r="E1362" i="4"/>
  <c r="G1362" i="4" s="1"/>
  <c r="F1362" i="4"/>
  <c r="D1363" i="4"/>
  <c r="E1363" i="4"/>
  <c r="G1363" i="4" s="1"/>
  <c r="F1363" i="4"/>
  <c r="D1364" i="4"/>
  <c r="E1364" i="4"/>
  <c r="G1364" i="4" s="1"/>
  <c r="F1364" i="4"/>
  <c r="D1365" i="4"/>
  <c r="E1365" i="4"/>
  <c r="G1365" i="4" s="1"/>
  <c r="F1365" i="4"/>
  <c r="D1366" i="4"/>
  <c r="E1366" i="4"/>
  <c r="G1366" i="4" s="1"/>
  <c r="F1366" i="4"/>
  <c r="D1367" i="4"/>
  <c r="E1367" i="4"/>
  <c r="G1367" i="4" s="1"/>
  <c r="F1367" i="4"/>
  <c r="D1368" i="4"/>
  <c r="E1368" i="4"/>
  <c r="G1368" i="4" s="1"/>
  <c r="F1368" i="4"/>
  <c r="D1369" i="4"/>
  <c r="E1369" i="4"/>
  <c r="G1369" i="4" s="1"/>
  <c r="F1369" i="4"/>
  <c r="D1370" i="4"/>
  <c r="E1370" i="4"/>
  <c r="G1370" i="4" s="1"/>
  <c r="F1370" i="4"/>
  <c r="D1371" i="4"/>
  <c r="E1371" i="4"/>
  <c r="G1371" i="4" s="1"/>
  <c r="F1371" i="4"/>
  <c r="D1372" i="4"/>
  <c r="E1372" i="4"/>
  <c r="G1372" i="4" s="1"/>
  <c r="F1372" i="4"/>
  <c r="D1373" i="4"/>
  <c r="E1373" i="4"/>
  <c r="G1373" i="4" s="1"/>
  <c r="F1373" i="4"/>
  <c r="D1374" i="4"/>
  <c r="E1374" i="4"/>
  <c r="F1374" i="4"/>
  <c r="D1375" i="4"/>
  <c r="E1375" i="4"/>
  <c r="G1375" i="4" s="1"/>
  <c r="F1375" i="4"/>
  <c r="D1376" i="4"/>
  <c r="E1376" i="4"/>
  <c r="G1376" i="4" s="1"/>
  <c r="F1376" i="4"/>
  <c r="D1377" i="4"/>
  <c r="E1377" i="4"/>
  <c r="G1377" i="4" s="1"/>
  <c r="F1377" i="4"/>
  <c r="D1378" i="4"/>
  <c r="E1378" i="4"/>
  <c r="G1378" i="4" s="1"/>
  <c r="F1378" i="4"/>
  <c r="D1379" i="4"/>
  <c r="E1379" i="4"/>
  <c r="G1379" i="4" s="1"/>
  <c r="F1379" i="4"/>
  <c r="D1380" i="4"/>
  <c r="E1380" i="4"/>
  <c r="G1380" i="4" s="1"/>
  <c r="F1380" i="4"/>
  <c r="D1381" i="4"/>
  <c r="E1381" i="4"/>
  <c r="G1381" i="4" s="1"/>
  <c r="F1381" i="4"/>
  <c r="D1382" i="4"/>
  <c r="E1382" i="4"/>
  <c r="F1382" i="4"/>
  <c r="D1383" i="4"/>
  <c r="E1383" i="4"/>
  <c r="G1383" i="4" s="1"/>
  <c r="F1383" i="4"/>
  <c r="D1384" i="4"/>
  <c r="E1384" i="4"/>
  <c r="G1384" i="4" s="1"/>
  <c r="F1384" i="4"/>
  <c r="D1385" i="4"/>
  <c r="E1385" i="4"/>
  <c r="G1385" i="4" s="1"/>
  <c r="F1385" i="4"/>
  <c r="D1386" i="4"/>
  <c r="E1386" i="4"/>
  <c r="G1386" i="4" s="1"/>
  <c r="F1386" i="4"/>
  <c r="D1387" i="4"/>
  <c r="E1387" i="4"/>
  <c r="G1387" i="4" s="1"/>
  <c r="F1387" i="4"/>
  <c r="D1388" i="4"/>
  <c r="E1388" i="4"/>
  <c r="F1388" i="4"/>
  <c r="D1389" i="4"/>
  <c r="E1389" i="4"/>
  <c r="G1389" i="4" s="1"/>
  <c r="F1389" i="4"/>
  <c r="D1390" i="4"/>
  <c r="E1390" i="4"/>
  <c r="G1390" i="4" s="1"/>
  <c r="F1390" i="4"/>
  <c r="D1391" i="4"/>
  <c r="E1391" i="4"/>
  <c r="G1391" i="4" s="1"/>
  <c r="F1391" i="4"/>
  <c r="D1392" i="4"/>
  <c r="E1392" i="4"/>
  <c r="G1392" i="4" s="1"/>
  <c r="F1392" i="4"/>
  <c r="D1393" i="4"/>
  <c r="E1393" i="4"/>
  <c r="G1393" i="4" s="1"/>
  <c r="F1393" i="4"/>
  <c r="D1394" i="4"/>
  <c r="E1394" i="4"/>
  <c r="G1394" i="4" s="1"/>
  <c r="F1394" i="4"/>
  <c r="D1395" i="4"/>
  <c r="E1395" i="4"/>
  <c r="G1395" i="4" s="1"/>
  <c r="F1395" i="4"/>
  <c r="D1396" i="4"/>
  <c r="E1396" i="4"/>
  <c r="G1396" i="4" s="1"/>
  <c r="F1396" i="4"/>
  <c r="D1397" i="4"/>
  <c r="E1397" i="4"/>
  <c r="G1397" i="4" s="1"/>
  <c r="F1397" i="4"/>
  <c r="D1398" i="4"/>
  <c r="E1398" i="4"/>
  <c r="G1398" i="4" s="1"/>
  <c r="F1398" i="4"/>
  <c r="D1399" i="4"/>
  <c r="E1399" i="4"/>
  <c r="G1399" i="4" s="1"/>
  <c r="F1399" i="4"/>
  <c r="D1400" i="4"/>
  <c r="E1400" i="4"/>
  <c r="G1400" i="4" s="1"/>
  <c r="F1400" i="4"/>
  <c r="D1401" i="4"/>
  <c r="E1401" i="4"/>
  <c r="G1401" i="4" s="1"/>
  <c r="F1401" i="4"/>
  <c r="D1402" i="4"/>
  <c r="E1402" i="4"/>
  <c r="G1402" i="4" s="1"/>
  <c r="F1402" i="4"/>
  <c r="D1403" i="4"/>
  <c r="E1403" i="4"/>
  <c r="G1403" i="4" s="1"/>
  <c r="F1403" i="4"/>
  <c r="D1404" i="4"/>
  <c r="E1404" i="4"/>
  <c r="G1404" i="4" s="1"/>
  <c r="F1404" i="4"/>
  <c r="D1405" i="4"/>
  <c r="E1405" i="4"/>
  <c r="G1405" i="4" s="1"/>
  <c r="F1405" i="4"/>
  <c r="D1406" i="4"/>
  <c r="E1406" i="4"/>
  <c r="G1406" i="4" s="1"/>
  <c r="F1406" i="4"/>
  <c r="D1407" i="4"/>
  <c r="E1407" i="4"/>
  <c r="G1407" i="4" s="1"/>
  <c r="F1407" i="4"/>
  <c r="D1408" i="4"/>
  <c r="E1408" i="4"/>
  <c r="G1408" i="4" s="1"/>
  <c r="F1408" i="4"/>
  <c r="D1409" i="4"/>
  <c r="E1409" i="4"/>
  <c r="G1409" i="4" s="1"/>
  <c r="F1409" i="4"/>
  <c r="D1410" i="4"/>
  <c r="E1410" i="4"/>
  <c r="G1410" i="4" s="1"/>
  <c r="F1410" i="4"/>
  <c r="D1411" i="4"/>
  <c r="E1411" i="4"/>
  <c r="G1411" i="4" s="1"/>
  <c r="F1411" i="4"/>
  <c r="D1412" i="4"/>
  <c r="E1412" i="4"/>
  <c r="G1412" i="4" s="1"/>
  <c r="F1412" i="4"/>
  <c r="D1413" i="4"/>
  <c r="E1413" i="4"/>
  <c r="G1413" i="4" s="1"/>
  <c r="F1413" i="4"/>
  <c r="D1414" i="4"/>
  <c r="E1414" i="4"/>
  <c r="G1414" i="4" s="1"/>
  <c r="F1414" i="4"/>
  <c r="D1415" i="4"/>
  <c r="E1415" i="4"/>
  <c r="G1415" i="4" s="1"/>
  <c r="F1415" i="4"/>
  <c r="D1416" i="4"/>
  <c r="E1416" i="4"/>
  <c r="G1416" i="4" s="1"/>
  <c r="F1416" i="4"/>
  <c r="D1417" i="4"/>
  <c r="E1417" i="4"/>
  <c r="G1417" i="4" s="1"/>
  <c r="F1417" i="4"/>
  <c r="D1418" i="4"/>
  <c r="E1418" i="4"/>
  <c r="G1418" i="4" s="1"/>
  <c r="F1418" i="4"/>
  <c r="D1419" i="4"/>
  <c r="E1419" i="4"/>
  <c r="G1419" i="4" s="1"/>
  <c r="F1419" i="4"/>
  <c r="D1420" i="4"/>
  <c r="E1420" i="4"/>
  <c r="G1420" i="4" s="1"/>
  <c r="F1420" i="4"/>
  <c r="D1421" i="4"/>
  <c r="E1421" i="4"/>
  <c r="G1421" i="4" s="1"/>
  <c r="F1421" i="4"/>
  <c r="D1422" i="4"/>
  <c r="E1422" i="4"/>
  <c r="G1422" i="4" s="1"/>
  <c r="F1422" i="4"/>
  <c r="D1423" i="4"/>
  <c r="E1423" i="4"/>
  <c r="G1423" i="4" s="1"/>
  <c r="F1423" i="4"/>
  <c r="D1424" i="4"/>
  <c r="E1424" i="4"/>
  <c r="G1424" i="4" s="1"/>
  <c r="F1424" i="4"/>
  <c r="D1425" i="4"/>
  <c r="E1425" i="4"/>
  <c r="G1425" i="4" s="1"/>
  <c r="F1425" i="4"/>
  <c r="D1426" i="4"/>
  <c r="E1426" i="4"/>
  <c r="G1426" i="4" s="1"/>
  <c r="F1426" i="4"/>
  <c r="D1427" i="4"/>
  <c r="E1427" i="4"/>
  <c r="G1427" i="4" s="1"/>
  <c r="F1427" i="4"/>
  <c r="D1428" i="4"/>
  <c r="E1428" i="4"/>
  <c r="G1428" i="4" s="1"/>
  <c r="F1428" i="4"/>
  <c r="D1429" i="4"/>
  <c r="E1429" i="4"/>
  <c r="G1429" i="4" s="1"/>
  <c r="F1429" i="4"/>
  <c r="D1430" i="4"/>
  <c r="E1430" i="4"/>
  <c r="G1430" i="4" s="1"/>
  <c r="F1430" i="4"/>
  <c r="D1431" i="4"/>
  <c r="E1431" i="4"/>
  <c r="G1431" i="4" s="1"/>
  <c r="F1431" i="4"/>
  <c r="D1432" i="4"/>
  <c r="E1432" i="4"/>
  <c r="G1432" i="4" s="1"/>
  <c r="F1432" i="4"/>
  <c r="D1433" i="4"/>
  <c r="E1433" i="4"/>
  <c r="G1433" i="4" s="1"/>
  <c r="F1433" i="4"/>
  <c r="D1434" i="4"/>
  <c r="E1434" i="4"/>
  <c r="G1434" i="4" s="1"/>
  <c r="F1434" i="4"/>
  <c r="D1435" i="4"/>
  <c r="E1435" i="4"/>
  <c r="G1435" i="4" s="1"/>
  <c r="F1435" i="4"/>
  <c r="D1436" i="4"/>
  <c r="E1436" i="4"/>
  <c r="G1436" i="4" s="1"/>
  <c r="F1436" i="4"/>
  <c r="D1437" i="4"/>
  <c r="E1437" i="4"/>
  <c r="G1437" i="4" s="1"/>
  <c r="F1437" i="4"/>
  <c r="D1438" i="4"/>
  <c r="E1438" i="4"/>
  <c r="G1438" i="4" s="1"/>
  <c r="F1438" i="4"/>
  <c r="D1439" i="4"/>
  <c r="E1439" i="4"/>
  <c r="G1439" i="4" s="1"/>
  <c r="F1439" i="4"/>
  <c r="D1440" i="4"/>
  <c r="E1440" i="4"/>
  <c r="G1440" i="4" s="1"/>
  <c r="F1440" i="4"/>
  <c r="D1441" i="4"/>
  <c r="E1441" i="4"/>
  <c r="G1441" i="4" s="1"/>
  <c r="F1441" i="4"/>
  <c r="D1442" i="4"/>
  <c r="E1442" i="4"/>
  <c r="G1442" i="4" s="1"/>
  <c r="F1442" i="4"/>
  <c r="D1443" i="4"/>
  <c r="E1443" i="4"/>
  <c r="G1443" i="4" s="1"/>
  <c r="F1443" i="4"/>
  <c r="D1444" i="4"/>
  <c r="E1444" i="4"/>
  <c r="G1444" i="4" s="1"/>
  <c r="F1444" i="4"/>
  <c r="D1445" i="4"/>
  <c r="E1445" i="4"/>
  <c r="G1445" i="4" s="1"/>
  <c r="F1445" i="4"/>
  <c r="D1446" i="4"/>
  <c r="E1446" i="4"/>
  <c r="G1446" i="4" s="1"/>
  <c r="F1446" i="4"/>
  <c r="D1447" i="4"/>
  <c r="E1447" i="4"/>
  <c r="G1447" i="4" s="1"/>
  <c r="F1447" i="4"/>
  <c r="D1448" i="4"/>
  <c r="E1448" i="4"/>
  <c r="G1448" i="4" s="1"/>
  <c r="F1448" i="4"/>
  <c r="D1449" i="4"/>
  <c r="E1449" i="4"/>
  <c r="G1449" i="4" s="1"/>
  <c r="F1449" i="4"/>
  <c r="D1450" i="4"/>
  <c r="E1450" i="4"/>
  <c r="G1450" i="4" s="1"/>
  <c r="F1450" i="4"/>
  <c r="D1451" i="4"/>
  <c r="E1451" i="4"/>
  <c r="G1451" i="4" s="1"/>
  <c r="F1451" i="4"/>
  <c r="D1452" i="4"/>
  <c r="E1452" i="4"/>
  <c r="G1452" i="4" s="1"/>
  <c r="F1452" i="4"/>
  <c r="D1453" i="4"/>
  <c r="E1453" i="4"/>
  <c r="G1453" i="4" s="1"/>
  <c r="F1453" i="4"/>
  <c r="D1454" i="4"/>
  <c r="E1454" i="4"/>
  <c r="G1454" i="4" s="1"/>
  <c r="F1454" i="4"/>
  <c r="D1455" i="4"/>
  <c r="E1455" i="4"/>
  <c r="G1455" i="4" s="1"/>
  <c r="F1455" i="4"/>
  <c r="D1456" i="4"/>
  <c r="E1456" i="4"/>
  <c r="G1456" i="4" s="1"/>
  <c r="F1456" i="4"/>
  <c r="D1457" i="4"/>
  <c r="E1457" i="4"/>
  <c r="G1457" i="4" s="1"/>
  <c r="F1457" i="4"/>
  <c r="D1458" i="4"/>
  <c r="E1458" i="4"/>
  <c r="G1458" i="4" s="1"/>
  <c r="F1458" i="4"/>
  <c r="D1459" i="4"/>
  <c r="E1459" i="4"/>
  <c r="G1459" i="4" s="1"/>
  <c r="F1459" i="4"/>
  <c r="D1460" i="4"/>
  <c r="E1460" i="4"/>
  <c r="F1460" i="4"/>
  <c r="D1461" i="4"/>
  <c r="E1461" i="4"/>
  <c r="G1461" i="4" s="1"/>
  <c r="F1461" i="4"/>
  <c r="D1462" i="4"/>
  <c r="E1462" i="4"/>
  <c r="G1462" i="4" s="1"/>
  <c r="F1462" i="4"/>
  <c r="D1463" i="4"/>
  <c r="E1463" i="4"/>
  <c r="G1463" i="4" s="1"/>
  <c r="F1463" i="4"/>
  <c r="D1464" i="4"/>
  <c r="E1464" i="4"/>
  <c r="F1464" i="4"/>
  <c r="D1465" i="4"/>
  <c r="E1465" i="4"/>
  <c r="G1465" i="4" s="1"/>
  <c r="F1465" i="4"/>
  <c r="D1466" i="4"/>
  <c r="E1466" i="4"/>
  <c r="G1466" i="4" s="1"/>
  <c r="F1466" i="4"/>
  <c r="D1467" i="4"/>
  <c r="E1467" i="4"/>
  <c r="G1467" i="4" s="1"/>
  <c r="F1467" i="4"/>
  <c r="D1468" i="4"/>
  <c r="E1468" i="4"/>
  <c r="G1468" i="4" s="1"/>
  <c r="F1468" i="4"/>
  <c r="D1469" i="4"/>
  <c r="E1469" i="4"/>
  <c r="G1469" i="4" s="1"/>
  <c r="F1469" i="4"/>
  <c r="D1470" i="4"/>
  <c r="E1470" i="4"/>
  <c r="G1470" i="4" s="1"/>
  <c r="F1470" i="4"/>
  <c r="D1471" i="4"/>
  <c r="E1471" i="4"/>
  <c r="G1471" i="4" s="1"/>
  <c r="F1471" i="4"/>
  <c r="D1472" i="4"/>
  <c r="E1472" i="4"/>
  <c r="G1472" i="4" s="1"/>
  <c r="F1472" i="4"/>
  <c r="D1473" i="4"/>
  <c r="E1473" i="4"/>
  <c r="G1473" i="4" s="1"/>
  <c r="F1473" i="4"/>
  <c r="D1474" i="4"/>
  <c r="E1474" i="4"/>
  <c r="G1474" i="4" s="1"/>
  <c r="F1474" i="4"/>
  <c r="D1475" i="4"/>
  <c r="E1475" i="4"/>
  <c r="G1475" i="4" s="1"/>
  <c r="F1475" i="4"/>
  <c r="D1476" i="4"/>
  <c r="E1476" i="4"/>
  <c r="G1476" i="4" s="1"/>
  <c r="F1476" i="4"/>
  <c r="D1477" i="4"/>
  <c r="E1477" i="4"/>
  <c r="G1477" i="4" s="1"/>
  <c r="F1477" i="4"/>
  <c r="D1478" i="4"/>
  <c r="E1478" i="4"/>
  <c r="G1478" i="4" s="1"/>
  <c r="F1478" i="4"/>
  <c r="D1479" i="4"/>
  <c r="E1479" i="4"/>
  <c r="G1479" i="4" s="1"/>
  <c r="F1479" i="4"/>
  <c r="D1480" i="4"/>
  <c r="E1480" i="4"/>
  <c r="G1480" i="4" s="1"/>
  <c r="F1480" i="4"/>
  <c r="D1481" i="4"/>
  <c r="E1481" i="4"/>
  <c r="G1481" i="4" s="1"/>
  <c r="F1481" i="4"/>
  <c r="D1482" i="4"/>
  <c r="E1482" i="4"/>
  <c r="G1482" i="4" s="1"/>
  <c r="F1482" i="4"/>
  <c r="D1483" i="4"/>
  <c r="E1483" i="4"/>
  <c r="G1483" i="4" s="1"/>
  <c r="F1483" i="4"/>
  <c r="H1483" i="4" s="1"/>
  <c r="D1484" i="4"/>
  <c r="E1484" i="4"/>
  <c r="G1484" i="4" s="1"/>
  <c r="F1484" i="4"/>
  <c r="D1485" i="4"/>
  <c r="E1485" i="4"/>
  <c r="G1485" i="4" s="1"/>
  <c r="F1485" i="4"/>
  <c r="D1486" i="4"/>
  <c r="E1486" i="4"/>
  <c r="G1486" i="4" s="1"/>
  <c r="F1486" i="4"/>
  <c r="D1487" i="4"/>
  <c r="E1487" i="4"/>
  <c r="G1487" i="4" s="1"/>
  <c r="F1487" i="4"/>
  <c r="D1488" i="4"/>
  <c r="E1488" i="4"/>
  <c r="G1488" i="4" s="1"/>
  <c r="F1488" i="4"/>
  <c r="D1489" i="4"/>
  <c r="E1489" i="4"/>
  <c r="G1489" i="4" s="1"/>
  <c r="F1489" i="4"/>
  <c r="D1490" i="4"/>
  <c r="E1490" i="4"/>
  <c r="G1490" i="4" s="1"/>
  <c r="F1490" i="4"/>
  <c r="D1491" i="4"/>
  <c r="E1491" i="4"/>
  <c r="G1491" i="4" s="1"/>
  <c r="F1491" i="4"/>
  <c r="D1492" i="4"/>
  <c r="E1492" i="4"/>
  <c r="G1492" i="4" s="1"/>
  <c r="F1492" i="4"/>
  <c r="D1493" i="4"/>
  <c r="E1493" i="4"/>
  <c r="G1493" i="4" s="1"/>
  <c r="F1493" i="4"/>
  <c r="D1494" i="4"/>
  <c r="E1494" i="4"/>
  <c r="G1494" i="4" s="1"/>
  <c r="F1494" i="4"/>
  <c r="D1495" i="4"/>
  <c r="E1495" i="4"/>
  <c r="G1495" i="4" s="1"/>
  <c r="F1495" i="4"/>
  <c r="D1496" i="4"/>
  <c r="E1496" i="4"/>
  <c r="G1496" i="4" s="1"/>
  <c r="F1496" i="4"/>
  <c r="D1497" i="4"/>
  <c r="E1497" i="4"/>
  <c r="G1497" i="4" s="1"/>
  <c r="F1497" i="4"/>
  <c r="D1498" i="4"/>
  <c r="E1498" i="4"/>
  <c r="F1498" i="4"/>
  <c r="D1499" i="4"/>
  <c r="E1499" i="4"/>
  <c r="G1499" i="4" s="1"/>
  <c r="F1499" i="4"/>
  <c r="D1500" i="4"/>
  <c r="E1500" i="4"/>
  <c r="G1500" i="4" s="1"/>
  <c r="F1500" i="4"/>
  <c r="D1501" i="4"/>
  <c r="E1501" i="4"/>
  <c r="G1501" i="4" s="1"/>
  <c r="F1501" i="4"/>
  <c r="D1502" i="4"/>
  <c r="E1502" i="4"/>
  <c r="G1502" i="4" s="1"/>
  <c r="F1502" i="4"/>
  <c r="D1503" i="4"/>
  <c r="E1503" i="4"/>
  <c r="G1503" i="4" s="1"/>
  <c r="F1503" i="4"/>
  <c r="D1504" i="4"/>
  <c r="E1504" i="4"/>
  <c r="G1504" i="4" s="1"/>
  <c r="F1504" i="4"/>
  <c r="D1505" i="4"/>
  <c r="E1505" i="4"/>
  <c r="G1505" i="4" s="1"/>
  <c r="F1505" i="4"/>
  <c r="D1506" i="4"/>
  <c r="E1506" i="4"/>
  <c r="G1506" i="4" s="1"/>
  <c r="F1506" i="4"/>
  <c r="D1507" i="4"/>
  <c r="E1507" i="4"/>
  <c r="G1507" i="4" s="1"/>
  <c r="F1507" i="4"/>
  <c r="D1508" i="4"/>
  <c r="E1508" i="4"/>
  <c r="G1508" i="4" s="1"/>
  <c r="F1508" i="4"/>
  <c r="D1509" i="4"/>
  <c r="E1509" i="4"/>
  <c r="F1509" i="4"/>
  <c r="D1510" i="4"/>
  <c r="E1510" i="4"/>
  <c r="G1510" i="4" s="1"/>
  <c r="F1510" i="4"/>
  <c r="D1511" i="4"/>
  <c r="E1511" i="4"/>
  <c r="G1511" i="4" s="1"/>
  <c r="F1511" i="4"/>
  <c r="D1512" i="4"/>
  <c r="E1512" i="4"/>
  <c r="G1512" i="4" s="1"/>
  <c r="F1512" i="4"/>
  <c r="D1513" i="4"/>
  <c r="E1513" i="4"/>
  <c r="G1513" i="4" s="1"/>
  <c r="F1513" i="4"/>
  <c r="D1514" i="4"/>
  <c r="E1514" i="4"/>
  <c r="G1514" i="4" s="1"/>
  <c r="F1514" i="4"/>
  <c r="D1515" i="4"/>
  <c r="E1515" i="4"/>
  <c r="G1515" i="4" s="1"/>
  <c r="F1515" i="4"/>
  <c r="D1516" i="4"/>
  <c r="E1516" i="4"/>
  <c r="G1516" i="4" s="1"/>
  <c r="F1516" i="4"/>
  <c r="D1517" i="4"/>
  <c r="E1517" i="4"/>
  <c r="G1517" i="4" s="1"/>
  <c r="F1517" i="4"/>
  <c r="D1518" i="4"/>
  <c r="E1518" i="4"/>
  <c r="G1518" i="4" s="1"/>
  <c r="F1518" i="4"/>
  <c r="D1519" i="4"/>
  <c r="E1519" i="4"/>
  <c r="G1519" i="4" s="1"/>
  <c r="F1519" i="4"/>
  <c r="D1520" i="4"/>
  <c r="E1520" i="4"/>
  <c r="G1520" i="4" s="1"/>
  <c r="F1520" i="4"/>
  <c r="D1521" i="4"/>
  <c r="E1521" i="4"/>
  <c r="G1521" i="4" s="1"/>
  <c r="F1521" i="4"/>
  <c r="D1522" i="4"/>
  <c r="E1522" i="4"/>
  <c r="G1522" i="4" s="1"/>
  <c r="F1522" i="4"/>
  <c r="D1523" i="4"/>
  <c r="E1523" i="4"/>
  <c r="G1523" i="4" s="1"/>
  <c r="F1523" i="4"/>
  <c r="H1523" i="4" s="1"/>
  <c r="D1524" i="4"/>
  <c r="E1524" i="4"/>
  <c r="G1524" i="4" s="1"/>
  <c r="F1524" i="4"/>
  <c r="D1525" i="4"/>
  <c r="E1525" i="4"/>
  <c r="G1525" i="4" s="1"/>
  <c r="F1525" i="4"/>
  <c r="D1526" i="4"/>
  <c r="E1526" i="4"/>
  <c r="G1526" i="4" s="1"/>
  <c r="F1526" i="4"/>
  <c r="D1527" i="4"/>
  <c r="E1527" i="4"/>
  <c r="F1527" i="4"/>
  <c r="D1528" i="4"/>
  <c r="E1528" i="4"/>
  <c r="G1528" i="4" s="1"/>
  <c r="F1528" i="4"/>
  <c r="D1529" i="4"/>
  <c r="E1529" i="4"/>
  <c r="G1529" i="4" s="1"/>
  <c r="F1529" i="4"/>
  <c r="D1530" i="4"/>
  <c r="E1530" i="4"/>
  <c r="G1530" i="4" s="1"/>
  <c r="F1530" i="4"/>
  <c r="D1531" i="4"/>
  <c r="E1531" i="4"/>
  <c r="G1531" i="4" s="1"/>
  <c r="F1531" i="4"/>
  <c r="D1532" i="4"/>
  <c r="E1532" i="4"/>
  <c r="G1532" i="4" s="1"/>
  <c r="F1532" i="4"/>
  <c r="D1533" i="4"/>
  <c r="E1533" i="4"/>
  <c r="G1533" i="4" s="1"/>
  <c r="F1533" i="4"/>
  <c r="D1534" i="4"/>
  <c r="E1534" i="4"/>
  <c r="G1534" i="4" s="1"/>
  <c r="F1534" i="4"/>
  <c r="D1535" i="4"/>
  <c r="E1535" i="4"/>
  <c r="G1535" i="4" s="1"/>
  <c r="F1535" i="4"/>
  <c r="D1536" i="4"/>
  <c r="E1536" i="4"/>
  <c r="G1536" i="4" s="1"/>
  <c r="F1536" i="4"/>
  <c r="D1537" i="4"/>
  <c r="E1537" i="4"/>
  <c r="G1537" i="4" s="1"/>
  <c r="F1537" i="4"/>
  <c r="D1538" i="4"/>
  <c r="E1538" i="4"/>
  <c r="G1538" i="4" s="1"/>
  <c r="F1538" i="4"/>
  <c r="D1539" i="4"/>
  <c r="E1539" i="4"/>
  <c r="G1539" i="4" s="1"/>
  <c r="F1539" i="4"/>
  <c r="D1540" i="4"/>
  <c r="E1540" i="4"/>
  <c r="F1540" i="4"/>
  <c r="D1541" i="4"/>
  <c r="E1541" i="4"/>
  <c r="G1541" i="4" s="1"/>
  <c r="F1541" i="4"/>
  <c r="D1542" i="4"/>
  <c r="E1542" i="4"/>
  <c r="G1542" i="4" s="1"/>
  <c r="F1542" i="4"/>
  <c r="D1543" i="4"/>
  <c r="E1543" i="4"/>
  <c r="G1543" i="4" s="1"/>
  <c r="F1543" i="4"/>
  <c r="D1544" i="4"/>
  <c r="E1544" i="4"/>
  <c r="G1544" i="4" s="1"/>
  <c r="F1544" i="4"/>
  <c r="D1545" i="4"/>
  <c r="E1545" i="4"/>
  <c r="G1545" i="4" s="1"/>
  <c r="F1545" i="4"/>
  <c r="D1546" i="4"/>
  <c r="E1546" i="4"/>
  <c r="G1546" i="4" s="1"/>
  <c r="F1546" i="4"/>
  <c r="D1547" i="4"/>
  <c r="E1547" i="4"/>
  <c r="G1547" i="4" s="1"/>
  <c r="F1547" i="4"/>
  <c r="D1548" i="4"/>
  <c r="E1548" i="4"/>
  <c r="G1548" i="4" s="1"/>
  <c r="F1548" i="4"/>
  <c r="D1549" i="4"/>
  <c r="E1549" i="4"/>
  <c r="G1549" i="4" s="1"/>
  <c r="F1549" i="4"/>
  <c r="D1550" i="4"/>
  <c r="E1550" i="4"/>
  <c r="F1550" i="4"/>
  <c r="D1551" i="4"/>
  <c r="E1551" i="4"/>
  <c r="G1551" i="4" s="1"/>
  <c r="F1551" i="4"/>
  <c r="D1552" i="4"/>
  <c r="E1552" i="4"/>
  <c r="G1552" i="4" s="1"/>
  <c r="F1552" i="4"/>
  <c r="D1553" i="4"/>
  <c r="E1553" i="4"/>
  <c r="G1553" i="4" s="1"/>
  <c r="F1553" i="4"/>
  <c r="D1554" i="4"/>
  <c r="E1554" i="4"/>
  <c r="G1554" i="4" s="1"/>
  <c r="F1554" i="4"/>
  <c r="D1555" i="4"/>
  <c r="E1555" i="4"/>
  <c r="G1555" i="4" s="1"/>
  <c r="F1555" i="4"/>
  <c r="D1556" i="4"/>
  <c r="E1556" i="4"/>
  <c r="G1556" i="4" s="1"/>
  <c r="F1556" i="4"/>
  <c r="D1557" i="4"/>
  <c r="E1557" i="4"/>
  <c r="G1557" i="4" s="1"/>
  <c r="F1557" i="4"/>
  <c r="D1558" i="4"/>
  <c r="E1558" i="4"/>
  <c r="G1558" i="4" s="1"/>
  <c r="F1558" i="4"/>
  <c r="D1559" i="4"/>
  <c r="E1559" i="4"/>
  <c r="G1559" i="4" s="1"/>
  <c r="F1559" i="4"/>
  <c r="D1560" i="4"/>
  <c r="E1560" i="4"/>
  <c r="G1560" i="4" s="1"/>
  <c r="F1560" i="4"/>
  <c r="D1561" i="4"/>
  <c r="E1561" i="4"/>
  <c r="G1561" i="4" s="1"/>
  <c r="F1561" i="4"/>
  <c r="D1562" i="4"/>
  <c r="E1562" i="4"/>
  <c r="G1562" i="4" s="1"/>
  <c r="F1562" i="4"/>
  <c r="D1563" i="4"/>
  <c r="E1563" i="4"/>
  <c r="G1563" i="4" s="1"/>
  <c r="F1563" i="4"/>
  <c r="D1564" i="4"/>
  <c r="E1564" i="4"/>
  <c r="G1564" i="4" s="1"/>
  <c r="F1564" i="4"/>
  <c r="D1565" i="4"/>
  <c r="E1565" i="4"/>
  <c r="G1565" i="4" s="1"/>
  <c r="F1565" i="4"/>
  <c r="D1566" i="4"/>
  <c r="E1566" i="4"/>
  <c r="G1566" i="4" s="1"/>
  <c r="F1566" i="4"/>
  <c r="D1567" i="4"/>
  <c r="E1567" i="4"/>
  <c r="G1567" i="4" s="1"/>
  <c r="F1567" i="4"/>
  <c r="D1568" i="4"/>
  <c r="E1568" i="4"/>
  <c r="G1568" i="4" s="1"/>
  <c r="F1568" i="4"/>
  <c r="D1569" i="4"/>
  <c r="E1569" i="4"/>
  <c r="G1569" i="4" s="1"/>
  <c r="F1569" i="4"/>
  <c r="D1570" i="4"/>
  <c r="E1570" i="4"/>
  <c r="G1570" i="4" s="1"/>
  <c r="F1570" i="4"/>
  <c r="D1571" i="4"/>
  <c r="E1571" i="4"/>
  <c r="G1571" i="4" s="1"/>
  <c r="F1571" i="4"/>
  <c r="D1572" i="4"/>
  <c r="E1572" i="4"/>
  <c r="G1572" i="4" s="1"/>
  <c r="F1572" i="4"/>
  <c r="D1573" i="4"/>
  <c r="E1573" i="4"/>
  <c r="G1573" i="4" s="1"/>
  <c r="F1573" i="4"/>
  <c r="D1574" i="4"/>
  <c r="E1574" i="4"/>
  <c r="G1574" i="4" s="1"/>
  <c r="F1574" i="4"/>
  <c r="D1575" i="4"/>
  <c r="E1575" i="4"/>
  <c r="G1575" i="4" s="1"/>
  <c r="F1575" i="4"/>
  <c r="H1575" i="4" s="1"/>
  <c r="D1576" i="4"/>
  <c r="E1576" i="4"/>
  <c r="G1576" i="4" s="1"/>
  <c r="F1576" i="4"/>
  <c r="D1577" i="4"/>
  <c r="E1577" i="4"/>
  <c r="G1577" i="4" s="1"/>
  <c r="F1577" i="4"/>
  <c r="D1578" i="4"/>
  <c r="E1578" i="4"/>
  <c r="G1578" i="4" s="1"/>
  <c r="F1578" i="4"/>
  <c r="D1579" i="4"/>
  <c r="E1579" i="4"/>
  <c r="G1579" i="4" s="1"/>
  <c r="F1579" i="4"/>
  <c r="D1580" i="4"/>
  <c r="E1580" i="4"/>
  <c r="G1580" i="4" s="1"/>
  <c r="F1580" i="4"/>
  <c r="D1581" i="4"/>
  <c r="E1581" i="4"/>
  <c r="G1581" i="4" s="1"/>
  <c r="F1581" i="4"/>
  <c r="D1582" i="4"/>
  <c r="E1582" i="4"/>
  <c r="G1582" i="4" s="1"/>
  <c r="F1582" i="4"/>
  <c r="D1583" i="4"/>
  <c r="E1583" i="4"/>
  <c r="G1583" i="4" s="1"/>
  <c r="F1583" i="4"/>
  <c r="D1584" i="4"/>
  <c r="E1584" i="4"/>
  <c r="G1584" i="4" s="1"/>
  <c r="F1584" i="4"/>
  <c r="D1585" i="4"/>
  <c r="E1585" i="4"/>
  <c r="G1585" i="4" s="1"/>
  <c r="F1585" i="4"/>
  <c r="D1586" i="4"/>
  <c r="E1586" i="4"/>
  <c r="G1586" i="4" s="1"/>
  <c r="F1586" i="4"/>
  <c r="D1587" i="4"/>
  <c r="E1587" i="4"/>
  <c r="G1587" i="4" s="1"/>
  <c r="F1587" i="4"/>
  <c r="D1588" i="4"/>
  <c r="E1588" i="4"/>
  <c r="G1588" i="4" s="1"/>
  <c r="F1588" i="4"/>
  <c r="D1589" i="4"/>
  <c r="E1589" i="4"/>
  <c r="G1589" i="4" s="1"/>
  <c r="F1589" i="4"/>
  <c r="D1590" i="4"/>
  <c r="E1590" i="4"/>
  <c r="G1590" i="4" s="1"/>
  <c r="F1590" i="4"/>
  <c r="D1591" i="4"/>
  <c r="E1591" i="4"/>
  <c r="G1591" i="4" s="1"/>
  <c r="F1591" i="4"/>
  <c r="D1592" i="4"/>
  <c r="E1592" i="4"/>
  <c r="G1592" i="4" s="1"/>
  <c r="F1592" i="4"/>
  <c r="H1592" i="4" s="1"/>
  <c r="D1593" i="4"/>
  <c r="E1593" i="4"/>
  <c r="G1593" i="4" s="1"/>
  <c r="F1593" i="4"/>
  <c r="D1594" i="4"/>
  <c r="E1594" i="4"/>
  <c r="G1594" i="4" s="1"/>
  <c r="F1594" i="4"/>
  <c r="D1595" i="4"/>
  <c r="E1595" i="4"/>
  <c r="G1595" i="4" s="1"/>
  <c r="F1595" i="4"/>
  <c r="D1596" i="4"/>
  <c r="E1596" i="4"/>
  <c r="G1596" i="4" s="1"/>
  <c r="F1596" i="4"/>
  <c r="D1597" i="4"/>
  <c r="E1597" i="4"/>
  <c r="G1597" i="4" s="1"/>
  <c r="F1597" i="4"/>
  <c r="D1598" i="4"/>
  <c r="E1598" i="4"/>
  <c r="F1598" i="4"/>
  <c r="D1599" i="4"/>
  <c r="E1599" i="4"/>
  <c r="G1599" i="4" s="1"/>
  <c r="F1599" i="4"/>
  <c r="D1600" i="4"/>
  <c r="E1600" i="4"/>
  <c r="F1600" i="4"/>
  <c r="D1601" i="4"/>
  <c r="E1601" i="4"/>
  <c r="G1601" i="4" s="1"/>
  <c r="F1601" i="4"/>
  <c r="D1602" i="4"/>
  <c r="E1602" i="4"/>
  <c r="G1602" i="4" s="1"/>
  <c r="F1602" i="4"/>
  <c r="D1603" i="4"/>
  <c r="E1603" i="4"/>
  <c r="G1603" i="4" s="1"/>
  <c r="F1603" i="4"/>
  <c r="D1604" i="4"/>
  <c r="E1604" i="4"/>
  <c r="G1604" i="4" s="1"/>
  <c r="F1604" i="4"/>
  <c r="D1605" i="4"/>
  <c r="E1605" i="4"/>
  <c r="G1605" i="4" s="1"/>
  <c r="F1605" i="4"/>
  <c r="D1606" i="4"/>
  <c r="E1606" i="4"/>
  <c r="G1606" i="4" s="1"/>
  <c r="F1606" i="4"/>
  <c r="D1607" i="4"/>
  <c r="E1607" i="4"/>
  <c r="G1607" i="4" s="1"/>
  <c r="F1607" i="4"/>
  <c r="D1608" i="4"/>
  <c r="E1608" i="4"/>
  <c r="G1608" i="4" s="1"/>
  <c r="F1608" i="4"/>
  <c r="D1609" i="4"/>
  <c r="E1609" i="4"/>
  <c r="G1609" i="4" s="1"/>
  <c r="F1609" i="4"/>
  <c r="H1609" i="4"/>
  <c r="D1610" i="4"/>
  <c r="E1610" i="4"/>
  <c r="G1610" i="4" s="1"/>
  <c r="F1610" i="4"/>
  <c r="D1611" i="4"/>
  <c r="E1611" i="4"/>
  <c r="G1611" i="4" s="1"/>
  <c r="F1611" i="4"/>
  <c r="D1612" i="4"/>
  <c r="E1612" i="4"/>
  <c r="G1612" i="4" s="1"/>
  <c r="F1612" i="4"/>
  <c r="D1613" i="4"/>
  <c r="E1613" i="4"/>
  <c r="G1613" i="4" s="1"/>
  <c r="F1613" i="4"/>
  <c r="H1613" i="4" s="1"/>
  <c r="D1614" i="4"/>
  <c r="E1614" i="4"/>
  <c r="G1614" i="4" s="1"/>
  <c r="F1614" i="4"/>
  <c r="D1615" i="4"/>
  <c r="E1615" i="4"/>
  <c r="G1615" i="4" s="1"/>
  <c r="F1615" i="4"/>
  <c r="D1616" i="4"/>
  <c r="E1616" i="4"/>
  <c r="G1616" i="4" s="1"/>
  <c r="F1616" i="4"/>
  <c r="D1617" i="4"/>
  <c r="E1617" i="4"/>
  <c r="G1617" i="4" s="1"/>
  <c r="F1617" i="4"/>
  <c r="D1618" i="4"/>
  <c r="E1618" i="4"/>
  <c r="G1618" i="4" s="1"/>
  <c r="F1618" i="4"/>
  <c r="H1618" i="4" s="1"/>
  <c r="D1619" i="4"/>
  <c r="E1619" i="4"/>
  <c r="G1619" i="4" s="1"/>
  <c r="F1619" i="4"/>
  <c r="D1620" i="4"/>
  <c r="E1620" i="4"/>
  <c r="F1620" i="4"/>
  <c r="D1621" i="4"/>
  <c r="E1621" i="4"/>
  <c r="G1621" i="4" s="1"/>
  <c r="F1621" i="4"/>
  <c r="D1622" i="4"/>
  <c r="E1622" i="4"/>
  <c r="G1622" i="4" s="1"/>
  <c r="F1622" i="4"/>
  <c r="D1623" i="4"/>
  <c r="E1623" i="4"/>
  <c r="G1623" i="4" s="1"/>
  <c r="F1623" i="4"/>
  <c r="D1624" i="4"/>
  <c r="E1624" i="4"/>
  <c r="G1624" i="4" s="1"/>
  <c r="F1624" i="4"/>
  <c r="H1624" i="4" s="1"/>
  <c r="D1625" i="4"/>
  <c r="E1625" i="4"/>
  <c r="G1625" i="4" s="1"/>
  <c r="F1625" i="4"/>
  <c r="D1626" i="4"/>
  <c r="E1626" i="4"/>
  <c r="G1626" i="4" s="1"/>
  <c r="F1626" i="4"/>
  <c r="D1627" i="4"/>
  <c r="E1627" i="4"/>
  <c r="G1627" i="4" s="1"/>
  <c r="F1627" i="4"/>
  <c r="D1628" i="4"/>
  <c r="E1628" i="4"/>
  <c r="F1628" i="4"/>
  <c r="D1629" i="4"/>
  <c r="E1629" i="4"/>
  <c r="G1629" i="4" s="1"/>
  <c r="F1629" i="4"/>
  <c r="D1630" i="4"/>
  <c r="E1630" i="4"/>
  <c r="G1630" i="4" s="1"/>
  <c r="F1630" i="4"/>
  <c r="D1631" i="4"/>
  <c r="E1631" i="4"/>
  <c r="G1631" i="4" s="1"/>
  <c r="F1631" i="4"/>
  <c r="D1632" i="4"/>
  <c r="E1632" i="4"/>
  <c r="G1632" i="4" s="1"/>
  <c r="F1632" i="4"/>
  <c r="D1633" i="4"/>
  <c r="E1633" i="4"/>
  <c r="G1633" i="4" s="1"/>
  <c r="F1633" i="4"/>
  <c r="H1633" i="4" s="1"/>
  <c r="D1634" i="4"/>
  <c r="E1634" i="4"/>
  <c r="F1634" i="4"/>
  <c r="D1635" i="4"/>
  <c r="E1635" i="4"/>
  <c r="G1635" i="4" s="1"/>
  <c r="F1635" i="4"/>
  <c r="D1636" i="4"/>
  <c r="E1636" i="4"/>
  <c r="G1636" i="4" s="1"/>
  <c r="F1636" i="4"/>
  <c r="D1637" i="4"/>
  <c r="E1637" i="4"/>
  <c r="G1637" i="4" s="1"/>
  <c r="F1637" i="4"/>
  <c r="D1638" i="4"/>
  <c r="E1638" i="4"/>
  <c r="G1638" i="4" s="1"/>
  <c r="F1638" i="4"/>
  <c r="D1639" i="4"/>
  <c r="E1639" i="4"/>
  <c r="G1639" i="4" s="1"/>
  <c r="F1639" i="4"/>
  <c r="D1640" i="4"/>
  <c r="E1640" i="4"/>
  <c r="G1640" i="4" s="1"/>
  <c r="F1640" i="4"/>
  <c r="D1641" i="4"/>
  <c r="E1641" i="4"/>
  <c r="G1641" i="4" s="1"/>
  <c r="F1641" i="4"/>
  <c r="D1642" i="4"/>
  <c r="E1642" i="4"/>
  <c r="G1642" i="4" s="1"/>
  <c r="F1642" i="4"/>
  <c r="D1643" i="4"/>
  <c r="E1643" i="4"/>
  <c r="G1643" i="4" s="1"/>
  <c r="F1643" i="4"/>
  <c r="D1644" i="4"/>
  <c r="E1644" i="4"/>
  <c r="G1644" i="4" s="1"/>
  <c r="F1644" i="4"/>
  <c r="D1645" i="4"/>
  <c r="E1645" i="4"/>
  <c r="G1645" i="4" s="1"/>
  <c r="F1645" i="4"/>
  <c r="D1646" i="4"/>
  <c r="E1646" i="4"/>
  <c r="G1646" i="4" s="1"/>
  <c r="F1646" i="4"/>
  <c r="D1647" i="4"/>
  <c r="E1647" i="4"/>
  <c r="G1647" i="4" s="1"/>
  <c r="F1647" i="4"/>
  <c r="D1648" i="4"/>
  <c r="E1648" i="4"/>
  <c r="G1648" i="4" s="1"/>
  <c r="F1648" i="4"/>
  <c r="D1649" i="4"/>
  <c r="E1649" i="4"/>
  <c r="G1649" i="4" s="1"/>
  <c r="F1649" i="4"/>
  <c r="D1650" i="4"/>
  <c r="E1650" i="4"/>
  <c r="G1650" i="4" s="1"/>
  <c r="F1650" i="4"/>
  <c r="D1651" i="4"/>
  <c r="E1651" i="4"/>
  <c r="G1651" i="4" s="1"/>
  <c r="F1651" i="4"/>
  <c r="D1652" i="4"/>
  <c r="E1652" i="4"/>
  <c r="G1652" i="4" s="1"/>
  <c r="F1652" i="4"/>
  <c r="D1653" i="4"/>
  <c r="E1653" i="4"/>
  <c r="G1653" i="4" s="1"/>
  <c r="F1653" i="4"/>
  <c r="D1654" i="4"/>
  <c r="E1654" i="4"/>
  <c r="G1654" i="4" s="1"/>
  <c r="F1654" i="4"/>
  <c r="D1655" i="4"/>
  <c r="E1655" i="4"/>
  <c r="G1655" i="4" s="1"/>
  <c r="F1655" i="4"/>
  <c r="H1655" i="4" s="1"/>
  <c r="D1656" i="4"/>
  <c r="E1656" i="4"/>
  <c r="G1656" i="4" s="1"/>
  <c r="F1656" i="4"/>
  <c r="D1657" i="4"/>
  <c r="E1657" i="4"/>
  <c r="G1657" i="4" s="1"/>
  <c r="F1657" i="4"/>
  <c r="D1658" i="4"/>
  <c r="E1658" i="4"/>
  <c r="G1658" i="4" s="1"/>
  <c r="F1658" i="4"/>
  <c r="D1659" i="4"/>
  <c r="E1659" i="4"/>
  <c r="G1659" i="4" s="1"/>
  <c r="F1659" i="4"/>
  <c r="D1660" i="4"/>
  <c r="E1660" i="4"/>
  <c r="G1660" i="4" s="1"/>
  <c r="F1660" i="4"/>
  <c r="D1661" i="4"/>
  <c r="E1661" i="4"/>
  <c r="G1661" i="4" s="1"/>
  <c r="F1661" i="4"/>
  <c r="D1662" i="4"/>
  <c r="E1662" i="4"/>
  <c r="G1662" i="4" s="1"/>
  <c r="F1662" i="4"/>
  <c r="D1663" i="4"/>
  <c r="E1663" i="4"/>
  <c r="G1663" i="4" s="1"/>
  <c r="F1663" i="4"/>
  <c r="D1664" i="4"/>
  <c r="E1664" i="4"/>
  <c r="G1664" i="4" s="1"/>
  <c r="F1664" i="4"/>
  <c r="D1665" i="4"/>
  <c r="E1665" i="4"/>
  <c r="G1665" i="4" s="1"/>
  <c r="F1665" i="4"/>
  <c r="D1666" i="4"/>
  <c r="E1666" i="4"/>
  <c r="G1666" i="4" s="1"/>
  <c r="F1666" i="4"/>
  <c r="D1667" i="4"/>
  <c r="E1667" i="4"/>
  <c r="G1667" i="4" s="1"/>
  <c r="F1667" i="4"/>
  <c r="D1668" i="4"/>
  <c r="E1668" i="4"/>
  <c r="G1668" i="4" s="1"/>
  <c r="F1668" i="4"/>
  <c r="D1669" i="4"/>
  <c r="E1669" i="4"/>
  <c r="G1669" i="4" s="1"/>
  <c r="F1669" i="4"/>
  <c r="D1670" i="4"/>
  <c r="E1670" i="4"/>
  <c r="G1670" i="4" s="1"/>
  <c r="F1670" i="4"/>
  <c r="D1671" i="4"/>
  <c r="E1671" i="4"/>
  <c r="G1671" i="4" s="1"/>
  <c r="F1671" i="4"/>
  <c r="D1672" i="4"/>
  <c r="E1672" i="4"/>
  <c r="G1672" i="4" s="1"/>
  <c r="F1672" i="4"/>
  <c r="D1673" i="4"/>
  <c r="E1673" i="4"/>
  <c r="G1673" i="4" s="1"/>
  <c r="F1673" i="4"/>
  <c r="D1674" i="4"/>
  <c r="E1674" i="4"/>
  <c r="G1674" i="4" s="1"/>
  <c r="F1674" i="4"/>
  <c r="D1675" i="4"/>
  <c r="E1675" i="4"/>
  <c r="G1675" i="4" s="1"/>
  <c r="F1675" i="4"/>
  <c r="D1676" i="4"/>
  <c r="E1676" i="4"/>
  <c r="G1676" i="4" s="1"/>
  <c r="F1676" i="4"/>
  <c r="D1677" i="4"/>
  <c r="E1677" i="4"/>
  <c r="G1677" i="4" s="1"/>
  <c r="F1677" i="4"/>
  <c r="D1678" i="4"/>
  <c r="E1678" i="4"/>
  <c r="G1678" i="4" s="1"/>
  <c r="F1678" i="4"/>
  <c r="D1679" i="4"/>
  <c r="E1679" i="4"/>
  <c r="G1679" i="4" s="1"/>
  <c r="F1679" i="4"/>
  <c r="D1680" i="4"/>
  <c r="E1680" i="4"/>
  <c r="G1680" i="4" s="1"/>
  <c r="F1680" i="4"/>
  <c r="D1681" i="4"/>
  <c r="E1681" i="4"/>
  <c r="G1681" i="4" s="1"/>
  <c r="F1681" i="4"/>
  <c r="D1682" i="4"/>
  <c r="E1682" i="4"/>
  <c r="G1682" i="4" s="1"/>
  <c r="F1682" i="4"/>
  <c r="D1683" i="4"/>
  <c r="E1683" i="4"/>
  <c r="G1683" i="4" s="1"/>
  <c r="F1683" i="4"/>
  <c r="D1684" i="4"/>
  <c r="E1684" i="4"/>
  <c r="G1684" i="4" s="1"/>
  <c r="F1684" i="4"/>
  <c r="D1685" i="4"/>
  <c r="E1685" i="4"/>
  <c r="G1685" i="4" s="1"/>
  <c r="F1685" i="4"/>
  <c r="D1686" i="4"/>
  <c r="E1686" i="4"/>
  <c r="G1686" i="4" s="1"/>
  <c r="F1686" i="4"/>
  <c r="D1687" i="4"/>
  <c r="E1687" i="4"/>
  <c r="G1687" i="4" s="1"/>
  <c r="F1687" i="4"/>
  <c r="D1688" i="4"/>
  <c r="E1688" i="4"/>
  <c r="F1688" i="4"/>
  <c r="D1689" i="4"/>
  <c r="E1689" i="4"/>
  <c r="G1689" i="4" s="1"/>
  <c r="F1689" i="4"/>
  <c r="D1690" i="4"/>
  <c r="E1690" i="4"/>
  <c r="G1690" i="4" s="1"/>
  <c r="F1690" i="4"/>
  <c r="D1691" i="4"/>
  <c r="E1691" i="4"/>
  <c r="G1691" i="4" s="1"/>
  <c r="F1691" i="4"/>
  <c r="D1692" i="4"/>
  <c r="E1692" i="4"/>
  <c r="G1692" i="4" s="1"/>
  <c r="F1692" i="4"/>
  <c r="D1693" i="4"/>
  <c r="E1693" i="4"/>
  <c r="G1693" i="4" s="1"/>
  <c r="F1693" i="4"/>
  <c r="D1694" i="4"/>
  <c r="E1694" i="4"/>
  <c r="G1694" i="4" s="1"/>
  <c r="F1694" i="4"/>
  <c r="D1695" i="4"/>
  <c r="E1695" i="4"/>
  <c r="G1695" i="4" s="1"/>
  <c r="F1695" i="4"/>
  <c r="D1696" i="4"/>
  <c r="E1696" i="4"/>
  <c r="F1696" i="4"/>
  <c r="D1697" i="4"/>
  <c r="E1697" i="4"/>
  <c r="G1697" i="4" s="1"/>
  <c r="F1697" i="4"/>
  <c r="D1698" i="4"/>
  <c r="E1698" i="4"/>
  <c r="G1698" i="4" s="1"/>
  <c r="F1698" i="4"/>
  <c r="D1699" i="4"/>
  <c r="E1699" i="4"/>
  <c r="G1699" i="4" s="1"/>
  <c r="F1699" i="4"/>
  <c r="D1700" i="4"/>
  <c r="E1700" i="4"/>
  <c r="G1700" i="4" s="1"/>
  <c r="F1700" i="4"/>
  <c r="D1701" i="4"/>
  <c r="E1701" i="4"/>
  <c r="G1701" i="4" s="1"/>
  <c r="F1701" i="4"/>
  <c r="D1702" i="4"/>
  <c r="E1702" i="4"/>
  <c r="G1702" i="4" s="1"/>
  <c r="F1702" i="4"/>
  <c r="D1703" i="4"/>
  <c r="E1703" i="4"/>
  <c r="G1703" i="4" s="1"/>
  <c r="F1703" i="4"/>
  <c r="D1704" i="4"/>
  <c r="E1704" i="4"/>
  <c r="G1704" i="4" s="1"/>
  <c r="F1704" i="4"/>
  <c r="D1705" i="4"/>
  <c r="E1705" i="4"/>
  <c r="G1705" i="4" s="1"/>
  <c r="F1705" i="4"/>
  <c r="D1706" i="4"/>
  <c r="E1706" i="4"/>
  <c r="F1706" i="4"/>
  <c r="D1707" i="4"/>
  <c r="E1707" i="4"/>
  <c r="G1707" i="4" s="1"/>
  <c r="F1707" i="4"/>
  <c r="D1708" i="4"/>
  <c r="E1708" i="4"/>
  <c r="G1708" i="4" s="1"/>
  <c r="F1708" i="4"/>
  <c r="D1709" i="4"/>
  <c r="E1709" i="4"/>
  <c r="G1709" i="4" s="1"/>
  <c r="F1709" i="4"/>
  <c r="D1710" i="4"/>
  <c r="E1710" i="4"/>
  <c r="G1710" i="4" s="1"/>
  <c r="F1710" i="4"/>
  <c r="D1711" i="4"/>
  <c r="E1711" i="4"/>
  <c r="G1711" i="4" s="1"/>
  <c r="F1711" i="4"/>
  <c r="D1712" i="4"/>
  <c r="E1712" i="4"/>
  <c r="F1712" i="4"/>
  <c r="D1713" i="4"/>
  <c r="E1713" i="4"/>
  <c r="G1713" i="4" s="1"/>
  <c r="F1713" i="4"/>
  <c r="D1714" i="4"/>
  <c r="E1714" i="4"/>
  <c r="G1714" i="4" s="1"/>
  <c r="F1714" i="4"/>
  <c r="D1715" i="4"/>
  <c r="E1715" i="4"/>
  <c r="G1715" i="4" s="1"/>
  <c r="F1715" i="4"/>
  <c r="D1716" i="4"/>
  <c r="E1716" i="4"/>
  <c r="G1716" i="4" s="1"/>
  <c r="F1716" i="4"/>
  <c r="D1717" i="4"/>
  <c r="E1717" i="4"/>
  <c r="G1717" i="4" s="1"/>
  <c r="F1717" i="4"/>
  <c r="D1718" i="4"/>
  <c r="E1718" i="4"/>
  <c r="G1718" i="4" s="1"/>
  <c r="F1718" i="4"/>
  <c r="D1719" i="4"/>
  <c r="E1719" i="4"/>
  <c r="G1719" i="4" s="1"/>
  <c r="F1719" i="4"/>
  <c r="D1720" i="4"/>
  <c r="E1720" i="4"/>
  <c r="G1720" i="4" s="1"/>
  <c r="F1720" i="4"/>
  <c r="D1721" i="4"/>
  <c r="E1721" i="4"/>
  <c r="F1721" i="4"/>
  <c r="D1722" i="4"/>
  <c r="E1722" i="4"/>
  <c r="G1722" i="4" s="1"/>
  <c r="F1722" i="4"/>
  <c r="D1723" i="4"/>
  <c r="E1723" i="4"/>
  <c r="G1723" i="4" s="1"/>
  <c r="F1723" i="4"/>
  <c r="D1724" i="4"/>
  <c r="E1724" i="4"/>
  <c r="G1724" i="4" s="1"/>
  <c r="F1724" i="4"/>
  <c r="D1725" i="4"/>
  <c r="E1725" i="4"/>
  <c r="G1725" i="4" s="1"/>
  <c r="F1725" i="4"/>
  <c r="D1726" i="4"/>
  <c r="E1726" i="4"/>
  <c r="G1726" i="4" s="1"/>
  <c r="F1726" i="4"/>
  <c r="D1727" i="4"/>
  <c r="E1727" i="4"/>
  <c r="G1727" i="4" s="1"/>
  <c r="F1727" i="4"/>
  <c r="D1728" i="4"/>
  <c r="E1728" i="4"/>
  <c r="G1728" i="4" s="1"/>
  <c r="F1728" i="4"/>
  <c r="D1729" i="4"/>
  <c r="E1729" i="4"/>
  <c r="G1729" i="4" s="1"/>
  <c r="F1729" i="4"/>
  <c r="D1730" i="4"/>
  <c r="E1730" i="4"/>
  <c r="G1730" i="4" s="1"/>
  <c r="F1730" i="4"/>
  <c r="H1730" i="4" s="1"/>
  <c r="D1731" i="4"/>
  <c r="E1731" i="4"/>
  <c r="G1731" i="4" s="1"/>
  <c r="F1731" i="4"/>
  <c r="D1732" i="4"/>
  <c r="E1732" i="4"/>
  <c r="F1732" i="4"/>
  <c r="D1733" i="4"/>
  <c r="E1733" i="4"/>
  <c r="G1733" i="4" s="1"/>
  <c r="F1733" i="4"/>
  <c r="D1734" i="4"/>
  <c r="E1734" i="4"/>
  <c r="G1734" i="4" s="1"/>
  <c r="F1734" i="4"/>
  <c r="D1735" i="4"/>
  <c r="E1735" i="4"/>
  <c r="G1735" i="4" s="1"/>
  <c r="F1735" i="4"/>
  <c r="D1736" i="4"/>
  <c r="E1736" i="4"/>
  <c r="G1736" i="4" s="1"/>
  <c r="F1736" i="4"/>
  <c r="D1737" i="4"/>
  <c r="E1737" i="4"/>
  <c r="F1737" i="4"/>
  <c r="D1738" i="4"/>
  <c r="E1738" i="4"/>
  <c r="G1738" i="4" s="1"/>
  <c r="F1738" i="4"/>
  <c r="D1739" i="4"/>
  <c r="E1739" i="4"/>
  <c r="G1739" i="4" s="1"/>
  <c r="F1739" i="4"/>
  <c r="D1740" i="4"/>
  <c r="E1740" i="4"/>
  <c r="G1740" i="4" s="1"/>
  <c r="F1740" i="4"/>
  <c r="D1741" i="4"/>
  <c r="E1741" i="4"/>
  <c r="G1741" i="4" s="1"/>
  <c r="F1741" i="4"/>
  <c r="D1742" i="4"/>
  <c r="E1742" i="4"/>
  <c r="G1742" i="4" s="1"/>
  <c r="F1742" i="4"/>
  <c r="D1743" i="4"/>
  <c r="E1743" i="4"/>
  <c r="G1743" i="4" s="1"/>
  <c r="F1743" i="4"/>
  <c r="D1744" i="4"/>
  <c r="E1744" i="4"/>
  <c r="F1744" i="4"/>
  <c r="D1745" i="4"/>
  <c r="E1745" i="4"/>
  <c r="G1745" i="4" s="1"/>
  <c r="F1745" i="4"/>
  <c r="D1746" i="4"/>
  <c r="E1746" i="4"/>
  <c r="G1746" i="4" s="1"/>
  <c r="F1746" i="4"/>
  <c r="D1747" i="4"/>
  <c r="E1747" i="4"/>
  <c r="G1747" i="4" s="1"/>
  <c r="F1747" i="4"/>
  <c r="D1748" i="4"/>
  <c r="E1748" i="4"/>
  <c r="G1748" i="4" s="1"/>
  <c r="F1748" i="4"/>
  <c r="D1749" i="4"/>
  <c r="E1749" i="4"/>
  <c r="G1749" i="4" s="1"/>
  <c r="F1749" i="4"/>
  <c r="D1750" i="4"/>
  <c r="E1750" i="4"/>
  <c r="G1750" i="4" s="1"/>
  <c r="F1750" i="4"/>
  <c r="H1750" i="4" s="1"/>
  <c r="D1751" i="4"/>
  <c r="E1751" i="4"/>
  <c r="G1751" i="4" s="1"/>
  <c r="F1751" i="4"/>
  <c r="D1752" i="4"/>
  <c r="E1752" i="4"/>
  <c r="G1752" i="4" s="1"/>
  <c r="F1752" i="4"/>
  <c r="D1753" i="4"/>
  <c r="E1753" i="4"/>
  <c r="G1753" i="4" s="1"/>
  <c r="F1753" i="4"/>
  <c r="D1754" i="4"/>
  <c r="E1754" i="4"/>
  <c r="G1754" i="4" s="1"/>
  <c r="F1754" i="4"/>
  <c r="D1755" i="4"/>
  <c r="E1755" i="4"/>
  <c r="G1755" i="4" s="1"/>
  <c r="F1755" i="4"/>
  <c r="D1756" i="4"/>
  <c r="E1756" i="4"/>
  <c r="G1756" i="4" s="1"/>
  <c r="F1756" i="4"/>
  <c r="D1757" i="4"/>
  <c r="E1757" i="4"/>
  <c r="G1757" i="4" s="1"/>
  <c r="F1757" i="4"/>
  <c r="D1758" i="4"/>
  <c r="E1758" i="4"/>
  <c r="G1758" i="4" s="1"/>
  <c r="F1758" i="4"/>
  <c r="D1759" i="4"/>
  <c r="E1759" i="4"/>
  <c r="G1759" i="4" s="1"/>
  <c r="F1759" i="4"/>
  <c r="D1760" i="4"/>
  <c r="E1760" i="4"/>
  <c r="F1760" i="4"/>
  <c r="D1761" i="4"/>
  <c r="E1761" i="4"/>
  <c r="G1761" i="4" s="1"/>
  <c r="F1761" i="4"/>
  <c r="D1762" i="4"/>
  <c r="E1762" i="4"/>
  <c r="G1762" i="4" s="1"/>
  <c r="F1762" i="4"/>
  <c r="D1763" i="4"/>
  <c r="E1763" i="4"/>
  <c r="G1763" i="4" s="1"/>
  <c r="F1763" i="4"/>
  <c r="D1764" i="4"/>
  <c r="E1764" i="4"/>
  <c r="G1764" i="4" s="1"/>
  <c r="F1764" i="4"/>
  <c r="D1765" i="4"/>
  <c r="E1765" i="4"/>
  <c r="G1765" i="4" s="1"/>
  <c r="F1765" i="4"/>
  <c r="D1766" i="4"/>
  <c r="E1766" i="4"/>
  <c r="F1766" i="4"/>
  <c r="D1767" i="4"/>
  <c r="E1767" i="4"/>
  <c r="G1767" i="4" s="1"/>
  <c r="F1767" i="4"/>
  <c r="D1768" i="4"/>
  <c r="E1768" i="4"/>
  <c r="G1768" i="4" s="1"/>
  <c r="F1768" i="4"/>
  <c r="D1769" i="4"/>
  <c r="E1769" i="4"/>
  <c r="G1769" i="4" s="1"/>
  <c r="F1769" i="4"/>
  <c r="D1770" i="4"/>
  <c r="E1770" i="4"/>
  <c r="G1770" i="4" s="1"/>
  <c r="F1770" i="4"/>
  <c r="D1771" i="4"/>
  <c r="E1771" i="4"/>
  <c r="G1771" i="4" s="1"/>
  <c r="F1771" i="4"/>
  <c r="F2" i="4"/>
  <c r="E2" i="4"/>
  <c r="G2" i="4" s="1"/>
  <c r="D2" i="4"/>
  <c r="D2" i="5"/>
  <c r="D3" i="5"/>
  <c r="D4" i="5"/>
  <c r="D5" i="5"/>
  <c r="D6" i="5"/>
  <c r="D7" i="5"/>
  <c r="D8" i="5"/>
  <c r="D9" i="5"/>
  <c r="D1" i="5"/>
  <c r="I1428" i="8" l="1"/>
  <c r="I630" i="8"/>
  <c r="I19" i="8"/>
  <c r="I1745" i="8"/>
  <c r="I1353" i="8"/>
  <c r="I1297" i="8"/>
  <c r="I388" i="8"/>
  <c r="I1435" i="8"/>
  <c r="I1239" i="8"/>
  <c r="I1211" i="8"/>
  <c r="I1362" i="8"/>
  <c r="I1483" i="8"/>
  <c r="I537" i="8"/>
  <c r="I1653" i="8"/>
  <c r="I893" i="8"/>
  <c r="I669" i="8"/>
  <c r="I687" i="8"/>
  <c r="I1479" i="8"/>
  <c r="I1525" i="8"/>
  <c r="I861" i="8"/>
  <c r="I1607" i="8"/>
  <c r="I1753" i="8"/>
  <c r="I632" i="8"/>
  <c r="I483" i="8"/>
  <c r="I622" i="8"/>
  <c r="I557" i="8"/>
  <c r="I1069" i="8"/>
  <c r="I985" i="8"/>
  <c r="I1338" i="8"/>
  <c r="I319" i="8"/>
  <c r="I254" i="8"/>
  <c r="I1761" i="8"/>
  <c r="I513" i="8"/>
  <c r="I336" i="8"/>
  <c r="I474" i="8"/>
  <c r="I344" i="8"/>
  <c r="I1722" i="8"/>
  <c r="I958" i="8"/>
  <c r="I1330" i="8"/>
  <c r="I575" i="8"/>
  <c r="I797" i="8"/>
  <c r="I1738" i="8"/>
  <c r="I257" i="8"/>
  <c r="I164" i="8"/>
  <c r="I1374" i="8"/>
  <c r="I590" i="8"/>
  <c r="I1344" i="8"/>
  <c r="I990" i="8"/>
  <c r="I1498" i="8"/>
  <c r="I10" i="8"/>
  <c r="I1470" i="8"/>
  <c r="I1331" i="8"/>
  <c r="I621" i="8"/>
  <c r="I296" i="8"/>
  <c r="I138" i="8"/>
  <c r="I82" i="8"/>
  <c r="I26" i="8"/>
  <c r="I8" i="8"/>
  <c r="I1151" i="8"/>
  <c r="I984" i="8"/>
  <c r="I1281" i="8"/>
  <c r="I564" i="8"/>
  <c r="I1671" i="8"/>
  <c r="I285" i="8"/>
  <c r="I498" i="8"/>
  <c r="I470" i="8"/>
  <c r="I126" i="8"/>
  <c r="I1000" i="8"/>
  <c r="I692" i="8"/>
  <c r="I1742" i="8"/>
  <c r="I887" i="8"/>
  <c r="I803" i="8"/>
  <c r="I208" i="8"/>
  <c r="I1518" i="8"/>
  <c r="I923" i="8"/>
  <c r="I578" i="8"/>
  <c r="I880" i="8"/>
  <c r="I796" i="8"/>
  <c r="I397" i="8"/>
  <c r="I1750" i="8"/>
  <c r="I1380" i="8"/>
  <c r="I1371" i="8"/>
  <c r="I239" i="8"/>
  <c r="I202" i="8"/>
  <c r="I53" i="8"/>
  <c r="I888" i="8"/>
  <c r="I1712" i="8"/>
  <c r="I1657" i="8"/>
  <c r="I943" i="8"/>
  <c r="I794" i="8"/>
  <c r="I571" i="8"/>
  <c r="I1082" i="8"/>
  <c r="I1582" i="8"/>
  <c r="I1202" i="8"/>
  <c r="I422" i="8"/>
  <c r="I209" i="8"/>
  <c r="I163" i="8"/>
  <c r="I1489" i="8"/>
  <c r="I1248" i="8"/>
  <c r="I951" i="8"/>
  <c r="I914" i="8"/>
  <c r="I802" i="8"/>
  <c r="I440" i="8"/>
  <c r="I1201" i="8"/>
  <c r="I960" i="8"/>
  <c r="I783" i="8"/>
  <c r="I1534" i="8"/>
  <c r="I857" i="8"/>
  <c r="I708" i="8"/>
  <c r="I1617" i="8"/>
  <c r="I1367" i="8"/>
  <c r="I894" i="8"/>
  <c r="I309" i="8"/>
  <c r="I263" i="8"/>
  <c r="I1709" i="8"/>
  <c r="I1052" i="8"/>
  <c r="I1663" i="8"/>
  <c r="I1218" i="8"/>
  <c r="I856" i="8"/>
  <c r="I772" i="8"/>
  <c r="I642" i="8"/>
  <c r="I1254" i="8"/>
  <c r="I1372" i="8"/>
  <c r="I1180" i="8"/>
  <c r="I1043" i="8"/>
  <c r="I1006" i="8"/>
  <c r="I952" i="8"/>
  <c r="I843" i="8"/>
  <c r="I1635" i="8"/>
  <c r="I1608" i="8"/>
  <c r="I1461" i="8"/>
  <c r="I1325" i="8"/>
  <c r="I650" i="8"/>
  <c r="I293" i="8"/>
  <c r="I54" i="8"/>
  <c r="I658" i="8"/>
  <c r="I374" i="8"/>
  <c r="I338" i="8"/>
  <c r="I265" i="8"/>
  <c r="I145" i="8"/>
  <c r="I1505" i="8"/>
  <c r="I1012" i="8"/>
  <c r="I975" i="8"/>
  <c r="I967" i="8"/>
  <c r="I676" i="8"/>
  <c r="I401" i="8"/>
  <c r="I392" i="8"/>
  <c r="I301" i="8"/>
  <c r="I89" i="8"/>
  <c r="I584" i="8"/>
  <c r="I218" i="8"/>
  <c r="I1359" i="8"/>
  <c r="I867" i="8"/>
  <c r="I648" i="8"/>
  <c r="I447" i="8"/>
  <c r="I337" i="8"/>
  <c r="I181" i="8"/>
  <c r="I1404" i="8"/>
  <c r="I1250" i="8"/>
  <c r="I885" i="8"/>
  <c r="I712" i="8"/>
  <c r="I428" i="8"/>
  <c r="I391" i="8"/>
  <c r="I354" i="8"/>
  <c r="I1422" i="8"/>
  <c r="I180" i="8"/>
  <c r="I1019" i="8"/>
  <c r="I982" i="8"/>
  <c r="I929" i="8"/>
  <c r="I792" i="8"/>
  <c r="I308" i="8"/>
  <c r="I1009" i="8"/>
  <c r="I964" i="8"/>
  <c r="I892" i="8"/>
  <c r="I928" i="8"/>
  <c r="I627" i="8"/>
  <c r="I609" i="8"/>
  <c r="I472" i="8"/>
  <c r="I325" i="8"/>
  <c r="I59" i="8"/>
  <c r="I1090" i="8"/>
  <c r="I1017" i="8"/>
  <c r="I754" i="8"/>
  <c r="I525" i="8"/>
  <c r="I1708" i="8"/>
  <c r="I1574" i="8"/>
  <c r="I1346" i="8"/>
  <c r="I1274" i="8"/>
  <c r="I1099" i="8"/>
  <c r="I989" i="8"/>
  <c r="I872" i="8"/>
  <c r="I443" i="8"/>
  <c r="I1500" i="8"/>
  <c r="I789" i="8"/>
  <c r="I753" i="8"/>
  <c r="I405" i="8"/>
  <c r="I305" i="8"/>
  <c r="I65" i="8"/>
  <c r="I1681" i="8"/>
  <c r="I1628" i="8"/>
  <c r="I1564" i="8"/>
  <c r="I1536" i="8"/>
  <c r="I1162" i="8"/>
  <c r="I853" i="8"/>
  <c r="I222" i="8"/>
  <c r="I1746" i="8"/>
  <c r="I1728" i="8"/>
  <c r="I1523" i="8"/>
  <c r="I883" i="8"/>
  <c r="I478" i="8"/>
  <c r="I1641" i="8"/>
  <c r="I1632" i="8"/>
  <c r="I1262" i="8"/>
  <c r="I1253" i="8"/>
  <c r="I900" i="8"/>
  <c r="I694" i="8"/>
  <c r="I307" i="8"/>
  <c r="I207" i="8"/>
  <c r="I324" i="8"/>
  <c r="I962" i="8"/>
  <c r="I1622" i="8"/>
  <c r="I1333" i="8"/>
  <c r="I1252" i="8"/>
  <c r="I1224" i="8"/>
  <c r="I1132" i="8"/>
  <c r="I1033" i="8"/>
  <c r="I1024" i="8"/>
  <c r="I521" i="8"/>
  <c r="I134" i="8"/>
  <c r="I106" i="8"/>
  <c r="I1665" i="8"/>
  <c r="I1342" i="8"/>
  <c r="I1270" i="8"/>
  <c r="I702" i="8"/>
  <c r="I315" i="8"/>
  <c r="I206" i="8"/>
  <c r="I1585" i="8"/>
  <c r="I818" i="8"/>
  <c r="I341" i="8"/>
  <c r="I1187" i="8"/>
  <c r="I1699" i="8"/>
  <c r="I1430" i="8"/>
  <c r="I1386" i="8"/>
  <c r="I1140" i="8"/>
  <c r="I916" i="8"/>
  <c r="I737" i="8"/>
  <c r="I529" i="8"/>
  <c r="I394" i="8"/>
  <c r="I160" i="8"/>
  <c r="I151" i="8"/>
  <c r="I14" i="8"/>
  <c r="I1734" i="8"/>
  <c r="I1707" i="8"/>
  <c r="I1204" i="8"/>
  <c r="I969" i="8"/>
  <c r="I799" i="8"/>
  <c r="I646" i="8"/>
  <c r="I287" i="8"/>
  <c r="I1438" i="8"/>
  <c r="I1231" i="8"/>
  <c r="I933" i="8"/>
  <c r="I736" i="8"/>
  <c r="I672" i="8"/>
  <c r="I663" i="8"/>
  <c r="I574" i="8"/>
  <c r="I1203" i="8"/>
  <c r="I1768" i="8"/>
  <c r="I1714" i="8"/>
  <c r="I1402" i="8"/>
  <c r="I591" i="8"/>
  <c r="I212" i="8"/>
  <c r="I140" i="8"/>
  <c r="I131" i="8"/>
  <c r="I103" i="8"/>
  <c r="I4" i="8"/>
  <c r="I84" i="8"/>
  <c r="I173" i="8"/>
  <c r="I1284" i="8"/>
  <c r="I698" i="8"/>
  <c r="I572" i="8"/>
  <c r="I148" i="8"/>
  <c r="I1508" i="8"/>
  <c r="I1427" i="8"/>
  <c r="I966" i="8"/>
  <c r="I931" i="8"/>
  <c r="I787" i="8"/>
  <c r="I752" i="8"/>
  <c r="I643" i="8"/>
  <c r="I625" i="8"/>
  <c r="I247" i="8"/>
  <c r="I157" i="8"/>
  <c r="I92" i="8"/>
  <c r="I56" i="8"/>
  <c r="I1121" i="8"/>
  <c r="I1721" i="8"/>
  <c r="I1713" i="8"/>
  <c r="I1588" i="8"/>
  <c r="I1567" i="8"/>
  <c r="I1446" i="8"/>
  <c r="I1283" i="8"/>
  <c r="I1157" i="8"/>
  <c r="I1105" i="8"/>
  <c r="I1010" i="8"/>
  <c r="I837" i="8"/>
  <c r="I760" i="8"/>
  <c r="I661" i="8"/>
  <c r="I351" i="8"/>
  <c r="I302" i="8"/>
  <c r="I1751" i="8"/>
  <c r="I1737" i="8"/>
  <c r="I1437" i="8"/>
  <c r="I1421" i="8"/>
  <c r="I1396" i="8"/>
  <c r="I1390" i="8"/>
  <c r="I1230" i="8"/>
  <c r="I1197" i="8"/>
  <c r="I1174" i="8"/>
  <c r="I1138" i="8"/>
  <c r="I905" i="8"/>
  <c r="I528" i="8"/>
  <c r="I466" i="8"/>
  <c r="I418" i="8"/>
  <c r="I237" i="8"/>
  <c r="I124" i="8"/>
  <c r="I72" i="8"/>
  <c r="I1528" i="8"/>
  <c r="I1516" i="8"/>
  <c r="I1452" i="8"/>
  <c r="I1168" i="8"/>
  <c r="I1155" i="8"/>
  <c r="I1037" i="8"/>
  <c r="I1031" i="8"/>
  <c r="I758" i="8"/>
  <c r="I729" i="8"/>
  <c r="I545" i="8"/>
  <c r="I490" i="8"/>
  <c r="I445" i="8"/>
  <c r="I399" i="8"/>
  <c r="I311" i="8"/>
  <c r="I284" i="8"/>
  <c r="I270" i="8"/>
  <c r="I190" i="8"/>
  <c r="I81" i="8"/>
  <c r="I64" i="8"/>
  <c r="I550" i="8"/>
  <c r="I534" i="8"/>
  <c r="I509" i="8"/>
  <c r="I500" i="8"/>
  <c r="I438" i="8"/>
  <c r="I243" i="8"/>
  <c r="I196" i="8"/>
  <c r="I147" i="8"/>
  <c r="I139" i="8"/>
  <c r="I32" i="8"/>
  <c r="I1767" i="8"/>
  <c r="I1736" i="8"/>
  <c r="I1631" i="8"/>
  <c r="I1451" i="8"/>
  <c r="I1251" i="8"/>
  <c r="I1030" i="8"/>
  <c r="I991" i="8"/>
  <c r="I834" i="8"/>
  <c r="I683" i="8"/>
  <c r="I608" i="8"/>
  <c r="I444" i="8"/>
  <c r="I362" i="8"/>
  <c r="I317" i="8"/>
  <c r="I1266" i="8"/>
  <c r="I1758" i="8"/>
  <c r="I1510" i="8"/>
  <c r="I1355" i="8"/>
  <c r="I1324" i="8"/>
  <c r="I1154" i="8"/>
  <c r="I1144" i="8"/>
  <c r="I1014" i="8"/>
  <c r="I954" i="8"/>
  <c r="I765" i="8"/>
  <c r="I713" i="8"/>
  <c r="I688" i="8"/>
  <c r="I588" i="8"/>
  <c r="I316" i="8"/>
  <c r="I122" i="8"/>
  <c r="I107" i="8"/>
  <c r="I1726" i="8"/>
  <c r="I1704" i="8"/>
  <c r="I1593" i="8"/>
  <c r="I1113" i="8"/>
  <c r="I920" i="8"/>
  <c r="I699" i="8"/>
  <c r="I596" i="8"/>
  <c r="I555" i="8"/>
  <c r="I543" i="8"/>
  <c r="I1757" i="8"/>
  <c r="I1571" i="8"/>
  <c r="I1348" i="8"/>
  <c r="I1298" i="8"/>
  <c r="I1064" i="8"/>
  <c r="I1013" i="8"/>
  <c r="I938" i="8"/>
  <c r="I756" i="8"/>
  <c r="I499" i="8"/>
  <c r="I290" i="8"/>
  <c r="I171" i="8"/>
  <c r="I78" i="8"/>
  <c r="I30" i="8"/>
  <c r="I1509" i="8"/>
  <c r="I1494" i="8"/>
  <c r="I1487" i="8"/>
  <c r="I862" i="8"/>
  <c r="I810" i="8"/>
  <c r="I741" i="8"/>
  <c r="I657" i="8"/>
  <c r="I601" i="8"/>
  <c r="I581" i="8"/>
  <c r="I431" i="8"/>
  <c r="I255" i="8"/>
  <c r="I1715" i="8"/>
  <c r="I1473" i="8"/>
  <c r="I1314" i="8"/>
  <c r="I1100" i="8"/>
  <c r="I1078" i="8"/>
  <c r="I481" i="8"/>
  <c r="I267" i="8"/>
  <c r="I170" i="8"/>
  <c r="I29" i="8"/>
  <c r="I1570" i="8"/>
  <c r="I1533" i="8"/>
  <c r="I1063" i="8"/>
  <c r="I908" i="8"/>
  <c r="I873" i="8"/>
  <c r="I726" i="8"/>
  <c r="I711" i="8"/>
  <c r="I430" i="8"/>
  <c r="I1723" i="8"/>
  <c r="I1686" i="8"/>
  <c r="I1569" i="8"/>
  <c r="I733" i="8"/>
  <c r="I633" i="8"/>
  <c r="I605" i="8"/>
  <c r="I352" i="8"/>
  <c r="I1694" i="8"/>
  <c r="I1561" i="8"/>
  <c r="I1507" i="8"/>
  <c r="I1460" i="8"/>
  <c r="I1219" i="8"/>
  <c r="I866" i="8"/>
  <c r="I677" i="8"/>
  <c r="I1397" i="8"/>
  <c r="I1076" i="8"/>
  <c r="I987" i="8"/>
  <c r="I823" i="8"/>
  <c r="I594" i="8"/>
  <c r="I326" i="8"/>
  <c r="I16" i="8"/>
  <c r="I1303" i="8"/>
  <c r="I917" i="8"/>
  <c r="I761" i="8"/>
  <c r="I372" i="8"/>
  <c r="I169" i="8"/>
  <c r="I105" i="8"/>
  <c r="I1690" i="8"/>
  <c r="I1506" i="8"/>
  <c r="I1403" i="8"/>
  <c r="I1384" i="8"/>
  <c r="I1193" i="8"/>
  <c r="I724" i="8"/>
  <c r="I616" i="8"/>
  <c r="I451" i="8"/>
  <c r="I246" i="8"/>
  <c r="I156" i="8"/>
  <c r="I142" i="8"/>
  <c r="I1667" i="8"/>
  <c r="I1646" i="8"/>
  <c r="I1629" i="8"/>
  <c r="I1255" i="8"/>
  <c r="I1111" i="8"/>
  <c r="I970" i="8"/>
  <c r="I936" i="8"/>
  <c r="I645" i="8"/>
  <c r="I611" i="8"/>
  <c r="I551" i="8"/>
  <c r="I507" i="8"/>
  <c r="I495" i="8"/>
  <c r="I452" i="8"/>
  <c r="I441" i="8"/>
  <c r="I371" i="8"/>
  <c r="I133" i="8"/>
  <c r="I120" i="8"/>
  <c r="I1680" i="8"/>
  <c r="I1583" i="8"/>
  <c r="I1560" i="8"/>
  <c r="I1328" i="8"/>
  <c r="I1305" i="8"/>
  <c r="I1177" i="8"/>
  <c r="I1055" i="8"/>
  <c r="I1049" i="8"/>
  <c r="I808" i="8"/>
  <c r="I782" i="8"/>
  <c r="I569" i="8"/>
  <c r="I253" i="8"/>
  <c r="I227" i="8"/>
  <c r="I176" i="8"/>
  <c r="I141" i="8"/>
  <c r="I40" i="8"/>
  <c r="I874" i="8"/>
  <c r="I838" i="8"/>
  <c r="I734" i="8"/>
  <c r="I343" i="8"/>
  <c r="I1656" i="8"/>
  <c r="I1556" i="8"/>
  <c r="I1548" i="8"/>
  <c r="I1198" i="8"/>
  <c r="I1185" i="8"/>
  <c r="I1120" i="8"/>
  <c r="I1059" i="8"/>
  <c r="I977" i="8"/>
  <c r="I795" i="8"/>
  <c r="I784" i="8"/>
  <c r="I614" i="8"/>
  <c r="I573" i="8"/>
  <c r="I562" i="8"/>
  <c r="I522" i="8"/>
  <c r="I477" i="8"/>
  <c r="I117" i="8"/>
  <c r="I13" i="8"/>
  <c r="I7" i="8"/>
  <c r="I1514" i="8"/>
  <c r="I1457" i="8"/>
  <c r="I1385" i="8"/>
  <c r="I1249" i="8"/>
  <c r="I1229" i="8"/>
  <c r="I1216" i="8"/>
  <c r="I1163" i="8"/>
  <c r="I1143" i="8"/>
  <c r="I1126" i="8"/>
  <c r="I858" i="8"/>
  <c r="I780" i="8"/>
  <c r="I759" i="8"/>
  <c r="I644" i="8"/>
  <c r="I408" i="8"/>
  <c r="I396" i="8"/>
  <c r="I353" i="8"/>
  <c r="I332" i="8"/>
  <c r="I314" i="8"/>
  <c r="I158" i="8"/>
  <c r="I125" i="8"/>
  <c r="I83" i="8"/>
  <c r="I1626" i="8"/>
  <c r="I1317" i="8"/>
  <c r="I1259" i="8"/>
  <c r="I1215" i="8"/>
  <c r="I1184" i="8"/>
  <c r="I1086" i="8"/>
  <c r="I1072" i="8"/>
  <c r="I1067" i="8"/>
  <c r="I868" i="8"/>
  <c r="I739" i="8"/>
  <c r="I486" i="8"/>
  <c r="I367" i="8"/>
  <c r="I231" i="8"/>
  <c r="I211" i="8"/>
  <c r="I204" i="8"/>
  <c r="I18" i="8"/>
  <c r="I256" i="8"/>
  <c r="I1682" i="8"/>
  <c r="I1670" i="8"/>
  <c r="I1468" i="8"/>
  <c r="I1415" i="8"/>
  <c r="I1360" i="8"/>
  <c r="I1258" i="8"/>
  <c r="I1051" i="8"/>
  <c r="I1021" i="8"/>
  <c r="I1003" i="8"/>
  <c r="I852" i="8"/>
  <c r="I778" i="8"/>
  <c r="I613" i="8"/>
  <c r="I598" i="8"/>
  <c r="I464" i="8"/>
  <c r="I379" i="8"/>
  <c r="I69" i="8"/>
  <c r="I1716" i="8"/>
  <c r="I1698" i="8"/>
  <c r="I1499" i="8"/>
  <c r="I1456" i="8"/>
  <c r="I1450" i="8"/>
  <c r="I1308" i="8"/>
  <c r="I1141" i="8"/>
  <c r="I1135" i="8"/>
  <c r="I941" i="8"/>
  <c r="I842" i="8"/>
  <c r="I579" i="8"/>
  <c r="I497" i="8"/>
  <c r="I413" i="8"/>
  <c r="I359" i="8"/>
  <c r="I217" i="8"/>
  <c r="I123" i="8"/>
  <c r="I1576" i="8"/>
  <c r="I1156" i="8"/>
  <c r="I829" i="8"/>
  <c r="I718" i="8"/>
  <c r="I303" i="8"/>
  <c r="I288" i="8"/>
  <c r="I197" i="8"/>
  <c r="I935" i="8"/>
  <c r="I1648" i="8"/>
  <c r="I1563" i="8"/>
  <c r="I1546" i="8"/>
  <c r="I1512" i="8"/>
  <c r="I1315" i="8"/>
  <c r="I1276" i="8"/>
  <c r="I921" i="8"/>
  <c r="I619" i="8"/>
  <c r="I560" i="8"/>
  <c r="I1610" i="8"/>
  <c r="I1366" i="8"/>
  <c r="I1336" i="8"/>
  <c r="I1307" i="8"/>
  <c r="I1214" i="8"/>
  <c r="I1044" i="8"/>
  <c r="I1027" i="8"/>
  <c r="I882" i="8"/>
  <c r="I841" i="8"/>
  <c r="I835" i="8"/>
  <c r="I800" i="8"/>
  <c r="I682" i="8"/>
  <c r="I665" i="8"/>
  <c r="I597" i="8"/>
  <c r="I480" i="8"/>
  <c r="I223" i="8"/>
  <c r="I184" i="8"/>
  <c r="I149" i="8"/>
  <c r="I1685" i="8"/>
  <c r="I1668" i="8"/>
  <c r="I1520" i="8"/>
  <c r="I1441" i="8"/>
  <c r="I1220" i="8"/>
  <c r="I1179" i="8"/>
  <c r="I1562" i="8"/>
  <c r="I1511" i="8"/>
  <c r="I1378" i="8"/>
  <c r="I1335" i="8"/>
  <c r="I1299" i="8"/>
  <c r="I1213" i="8"/>
  <c r="I1133" i="8"/>
  <c r="I1026" i="8"/>
  <c r="I881" i="8"/>
  <c r="I793" i="8"/>
  <c r="I769" i="8"/>
  <c r="I763" i="8"/>
  <c r="I730" i="8"/>
  <c r="I589" i="8"/>
  <c r="I559" i="8"/>
  <c r="I511" i="8"/>
  <c r="I462" i="8"/>
  <c r="I378" i="8"/>
  <c r="I266" i="8"/>
  <c r="I189" i="8"/>
  <c r="I34" i="8"/>
  <c r="I1647" i="8"/>
  <c r="I1625" i="8"/>
  <c r="I1370" i="8"/>
  <c r="I1291" i="8"/>
  <c r="I1237" i="8"/>
  <c r="I612" i="8"/>
  <c r="I121" i="8"/>
  <c r="I2" i="8"/>
  <c r="I1634" i="8"/>
  <c r="I1595" i="8"/>
  <c r="I1584" i="8"/>
  <c r="I1575" i="8"/>
  <c r="I1440" i="8"/>
  <c r="I1383" i="8"/>
  <c r="I1329" i="8"/>
  <c r="I1261" i="8"/>
  <c r="I1172" i="8"/>
  <c r="I1166" i="8"/>
  <c r="I1061" i="8"/>
  <c r="I1050" i="8"/>
  <c r="I1018" i="8"/>
  <c r="I1001" i="8"/>
  <c r="I997" i="8"/>
  <c r="I994" i="8"/>
  <c r="I965" i="8"/>
  <c r="I889" i="8"/>
  <c r="I696" i="8"/>
  <c r="I691" i="8"/>
  <c r="I468" i="8"/>
  <c r="I453" i="8"/>
  <c r="I363" i="8"/>
  <c r="I136" i="8"/>
  <c r="I80" i="8"/>
  <c r="I1652" i="8"/>
  <c r="I1591" i="8"/>
  <c r="I1568" i="8"/>
  <c r="I1466" i="8"/>
  <c r="I1447" i="8"/>
  <c r="I127" i="8"/>
  <c r="I1755" i="8"/>
  <c r="I1609" i="8"/>
  <c r="I1377" i="8"/>
  <c r="I1223" i="8"/>
  <c r="I1122" i="8"/>
  <c r="I1093" i="8"/>
  <c r="I1032" i="8"/>
  <c r="I979" i="8"/>
  <c r="I896" i="8"/>
  <c r="I798" i="8"/>
  <c r="I681" i="8"/>
  <c r="I592" i="8"/>
  <c r="I576" i="8"/>
  <c r="I489" i="8"/>
  <c r="I461" i="8"/>
  <c r="I356" i="8"/>
  <c r="I271" i="8"/>
  <c r="I1674" i="8"/>
  <c r="I232" i="8"/>
  <c r="I224" i="8"/>
  <c r="I1206" i="8"/>
  <c r="H1206" i="8"/>
  <c r="I1112" i="8"/>
  <c r="I244" i="8"/>
  <c r="I1710" i="8"/>
  <c r="I1186" i="8"/>
  <c r="I542" i="8"/>
  <c r="I46" i="8"/>
  <c r="I1771" i="8"/>
  <c r="I1740" i="8"/>
  <c r="I839" i="8"/>
  <c r="I532" i="8"/>
  <c r="I1732" i="8"/>
  <c r="I274" i="8"/>
  <c r="I90" i="8"/>
  <c r="I870" i="8"/>
  <c r="I294" i="8"/>
  <c r="I1243" i="8"/>
  <c r="I1399" i="8"/>
  <c r="I1311" i="8"/>
  <c r="I1292" i="8"/>
  <c r="I143" i="8"/>
  <c r="I128" i="8"/>
  <c r="I421" i="8"/>
  <c r="H421" i="8"/>
  <c r="I1022" i="8"/>
  <c r="I200" i="8"/>
  <c r="I194" i="8"/>
  <c r="I1482" i="8"/>
  <c r="I1036" i="8"/>
  <c r="I1541" i="8"/>
  <c r="I473" i="8"/>
  <c r="I446" i="8"/>
  <c r="I647" i="8"/>
  <c r="I586" i="8"/>
  <c r="I807" i="8"/>
  <c r="I603" i="8"/>
  <c r="I556" i="8"/>
  <c r="I454" i="8"/>
  <c r="I380" i="8"/>
  <c r="I241" i="8"/>
  <c r="I165" i="8"/>
  <c r="I827" i="8"/>
  <c r="I518" i="8"/>
  <c r="I690" i="8"/>
  <c r="I1444" i="8"/>
  <c r="I485" i="8"/>
  <c r="I1445" i="8"/>
  <c r="I774" i="8"/>
  <c r="I1683" i="8"/>
  <c r="I705" i="8"/>
  <c r="I292" i="8"/>
  <c r="I1173" i="8"/>
  <c r="I805" i="8"/>
  <c r="I652" i="8"/>
  <c r="I553" i="8"/>
  <c r="I387" i="8"/>
  <c r="I283" i="8"/>
  <c r="I269" i="8"/>
  <c r="I245" i="8"/>
  <c r="I48" i="8"/>
  <c r="I1131" i="8"/>
  <c r="I536" i="8"/>
  <c r="I879" i="8"/>
  <c r="I342" i="8"/>
  <c r="I1661" i="8"/>
  <c r="I1207" i="8"/>
  <c r="I393" i="8"/>
  <c r="I144" i="8"/>
  <c r="I39" i="8"/>
  <c r="I728" i="8"/>
  <c r="I86" i="8"/>
  <c r="I1104" i="8"/>
  <c r="I1524" i="8"/>
  <c r="I1235" i="8"/>
  <c r="I945" i="8"/>
  <c r="I289" i="8"/>
  <c r="I275" i="8"/>
  <c r="H173" i="8"/>
  <c r="I651" i="8"/>
  <c r="I1127" i="8"/>
  <c r="I1070" i="8"/>
  <c r="I848" i="8"/>
  <c r="I1285" i="8"/>
  <c r="I1700" i="8"/>
  <c r="I1675" i="8"/>
  <c r="I1664" i="8"/>
  <c r="I1633" i="8"/>
  <c r="I1565" i="8"/>
  <c r="I1312" i="8"/>
  <c r="I1263" i="8"/>
  <c r="I1212" i="8"/>
  <c r="I1079" i="8"/>
  <c r="I999" i="8"/>
  <c r="I986" i="8"/>
  <c r="I983" i="8"/>
  <c r="I972" i="8"/>
  <c r="I912" i="8"/>
  <c r="I851" i="8"/>
  <c r="I777" i="8"/>
  <c r="I751" i="8"/>
  <c r="I482" i="8"/>
  <c r="I423" i="8"/>
  <c r="I382" i="8"/>
  <c r="I295" i="8"/>
  <c r="I129" i="8"/>
  <c r="I115" i="8"/>
  <c r="I77" i="8"/>
  <c r="I9" i="8"/>
  <c r="I742" i="8"/>
  <c r="I828" i="8"/>
  <c r="I568" i="8"/>
  <c r="I1672" i="8"/>
  <c r="I479" i="8"/>
  <c r="I766" i="8"/>
  <c r="I1705" i="8"/>
  <c r="I1669" i="8"/>
  <c r="I1660" i="8"/>
  <c r="I1605" i="8"/>
  <c r="I1598" i="8"/>
  <c r="I1488" i="8"/>
  <c r="I1476" i="8"/>
  <c r="I1465" i="8"/>
  <c r="I1293" i="8"/>
  <c r="I1074" i="8"/>
  <c r="I1066" i="8"/>
  <c r="I895" i="8"/>
  <c r="I732" i="8"/>
  <c r="I398" i="8"/>
  <c r="I377" i="8"/>
  <c r="I238" i="8"/>
  <c r="H1153" i="8"/>
  <c r="I1153" i="8"/>
  <c r="H1504" i="8"/>
  <c r="I1504" i="8"/>
  <c r="I1538" i="8"/>
  <c r="H1769" i="8"/>
  <c r="I1769" i="8"/>
  <c r="H1733" i="8"/>
  <c r="I1733" i="8"/>
  <c r="H1116" i="8"/>
  <c r="I1116" i="8"/>
  <c r="I1658" i="8"/>
  <c r="H1658" i="8"/>
  <c r="I1537" i="8"/>
  <c r="I1240" i="8"/>
  <c r="I1602" i="8"/>
  <c r="I1596" i="8"/>
  <c r="I1581" i="8"/>
  <c r="H384" i="8"/>
  <c r="I384" i="8"/>
  <c r="I1765" i="8"/>
  <c r="I1766" i="8"/>
  <c r="H830" i="8"/>
  <c r="I830" i="8"/>
  <c r="I44" i="8"/>
  <c r="H44" i="8"/>
  <c r="I1718" i="8"/>
  <c r="I1688" i="8"/>
  <c r="I1244" i="8"/>
  <c r="I1613" i="8"/>
  <c r="H1282" i="8"/>
  <c r="I1282" i="8"/>
  <c r="I1691" i="8"/>
  <c r="I1594" i="8"/>
  <c r="H1501" i="8"/>
  <c r="I1501" i="8"/>
  <c r="I1412" i="8"/>
  <c r="H1287" i="8"/>
  <c r="I1287" i="8"/>
  <c r="I517" i="8"/>
  <c r="H517" i="8"/>
  <c r="H1513" i="8"/>
  <c r="I1513" i="8"/>
  <c r="H1286" i="8"/>
  <c r="I1286" i="8"/>
  <c r="I1580" i="8"/>
  <c r="H1580" i="8"/>
  <c r="H12" i="8"/>
  <c r="I12" i="8"/>
  <c r="I214" i="8"/>
  <c r="H214" i="8"/>
  <c r="I22" i="8"/>
  <c r="H22" i="8"/>
  <c r="H1650" i="8"/>
  <c r="I1650" i="8"/>
  <c r="H364" i="8"/>
  <c r="I364" i="8"/>
  <c r="I1770" i="8"/>
  <c r="H1358" i="8"/>
  <c r="I1358" i="8"/>
  <c r="I1760" i="8"/>
  <c r="H1760" i="8"/>
  <c r="I1764" i="8"/>
  <c r="H1764" i="8"/>
  <c r="H1515" i="8"/>
  <c r="I1515" i="8"/>
  <c r="I816" i="8"/>
  <c r="H816" i="8"/>
  <c r="I1762" i="8"/>
  <c r="H1550" i="8"/>
  <c r="I1550" i="8"/>
  <c r="H192" i="8"/>
  <c r="I192" i="8"/>
  <c r="H813" i="8"/>
  <c r="I813" i="8"/>
  <c r="H1302" i="8"/>
  <c r="I1302" i="8"/>
  <c r="I1271" i="8"/>
  <c r="H1271" i="8"/>
  <c r="H442" i="8"/>
  <c r="I442" i="8"/>
  <c r="I1725" i="8"/>
  <c r="I1616" i="8"/>
  <c r="I1401" i="8"/>
  <c r="I1289" i="8"/>
  <c r="I1102" i="8"/>
  <c r="H714" i="8"/>
  <c r="I714" i="8"/>
  <c r="H409" i="8"/>
  <c r="I409" i="8"/>
  <c r="H55" i="8"/>
  <c r="I55" i="8"/>
  <c r="I721" i="8"/>
  <c r="I585" i="8"/>
  <c r="I299" i="8"/>
  <c r="I229" i="8"/>
  <c r="H229" i="8"/>
  <c r="H1458" i="8"/>
  <c r="I1458" i="8"/>
  <c r="I1295" i="8"/>
  <c r="H1295" i="8"/>
  <c r="I618" i="8"/>
  <c r="H333" i="8"/>
  <c r="I333" i="8"/>
  <c r="H720" i="8"/>
  <c r="I720" i="8"/>
  <c r="H995" i="8"/>
  <c r="I995" i="8"/>
  <c r="I1363" i="8"/>
  <c r="H1300" i="8"/>
  <c r="I1300" i="8"/>
  <c r="I675" i="8"/>
  <c r="H675" i="8"/>
  <c r="I94" i="8"/>
  <c r="H94" i="8"/>
  <c r="I1356" i="8"/>
  <c r="I1730" i="8"/>
  <c r="I1600" i="8"/>
  <c r="H1600" i="8"/>
  <c r="H1118" i="8"/>
  <c r="I1118" i="8"/>
  <c r="H411" i="8"/>
  <c r="I411" i="8"/>
  <c r="I1627" i="8"/>
  <c r="H1599" i="8"/>
  <c r="I1599" i="8"/>
  <c r="H1529" i="8"/>
  <c r="I1529" i="8"/>
  <c r="I1393" i="8"/>
  <c r="I1124" i="8"/>
  <c r="H1124" i="8"/>
  <c r="H746" i="8"/>
  <c r="I746" i="8"/>
  <c r="I1637" i="8"/>
  <c r="I1477" i="8"/>
  <c r="I1332" i="8"/>
  <c r="I1147" i="8"/>
  <c r="H786" i="8"/>
  <c r="I786" i="8"/>
  <c r="I538" i="8"/>
  <c r="H538" i="8"/>
  <c r="H1310" i="8"/>
  <c r="I1310" i="8"/>
  <c r="H940" i="8"/>
  <c r="I940" i="8"/>
  <c r="H790" i="8"/>
  <c r="I790" i="8"/>
  <c r="I1719" i="8"/>
  <c r="I1636" i="8"/>
  <c r="I1587" i="8"/>
  <c r="H1420" i="8"/>
  <c r="I1420" i="8"/>
  <c r="I686" i="8"/>
  <c r="I804" i="8"/>
  <c r="H166" i="8"/>
  <c r="I166" i="8"/>
  <c r="I1543" i="8"/>
  <c r="H1543" i="8"/>
  <c r="I1455" i="8"/>
  <c r="I1442" i="8"/>
  <c r="I1269" i="8"/>
  <c r="I1196" i="8"/>
  <c r="I1191" i="8"/>
  <c r="I976" i="8"/>
  <c r="I1290" i="8"/>
  <c r="I1280" i="8"/>
  <c r="I1145" i="8"/>
  <c r="H1145" i="8"/>
  <c r="I1054" i="8"/>
  <c r="I925" i="8"/>
  <c r="I890" i="8"/>
  <c r="I776" i="8"/>
  <c r="H776" i="8"/>
  <c r="I593" i="8"/>
  <c r="I826" i="8"/>
  <c r="I203" i="8"/>
  <c r="I791" i="8"/>
  <c r="I174" i="8"/>
  <c r="I102" i="8"/>
  <c r="H102" i="8"/>
  <c r="I1530" i="8"/>
  <c r="I1491" i="8"/>
  <c r="I1369" i="8"/>
  <c r="I1357" i="8"/>
  <c r="I1350" i="8"/>
  <c r="I1107" i="8"/>
  <c r="I836" i="8"/>
  <c r="H250" i="8"/>
  <c r="I250" i="8"/>
  <c r="I1349" i="8"/>
  <c r="I1309" i="8"/>
  <c r="H1234" i="8"/>
  <c r="I1234" i="8"/>
  <c r="I845" i="8"/>
  <c r="I809" i="8"/>
  <c r="H809" i="8"/>
  <c r="H535" i="8"/>
  <c r="I535" i="8"/>
  <c r="I455" i="8"/>
  <c r="H871" i="8"/>
  <c r="I871" i="8"/>
  <c r="I1693" i="8"/>
  <c r="I1645" i="8"/>
  <c r="I1407" i="8"/>
  <c r="I1392" i="8"/>
  <c r="I1322" i="8"/>
  <c r="I948" i="8"/>
  <c r="I806" i="8"/>
  <c r="I667" i="8"/>
  <c r="H370" i="8"/>
  <c r="I370" i="8"/>
  <c r="I310" i="8"/>
  <c r="I471" i="8"/>
  <c r="H471" i="8"/>
  <c r="H328" i="8"/>
  <c r="I328" i="8"/>
  <c r="H1445" i="8"/>
  <c r="I1199" i="8"/>
  <c r="H1187" i="8"/>
  <c r="I1073" i="8"/>
  <c r="I767" i="8"/>
  <c r="H767" i="8"/>
  <c r="I674" i="8"/>
  <c r="I1743" i="8"/>
  <c r="H1685" i="8"/>
  <c r="I1614" i="8"/>
  <c r="I1432" i="8"/>
  <c r="I1209" i="8"/>
  <c r="I1167" i="8"/>
  <c r="H1062" i="8"/>
  <c r="I1062" i="8"/>
  <c r="I927" i="8"/>
  <c r="I860" i="8"/>
  <c r="H860" i="8"/>
  <c r="I822" i="8"/>
  <c r="I722" i="8"/>
  <c r="I1379" i="8"/>
  <c r="I1373" i="8"/>
  <c r="I1321" i="8"/>
  <c r="I1087" i="8"/>
  <c r="H932" i="8"/>
  <c r="I932" i="8"/>
  <c r="I901" i="8"/>
  <c r="I494" i="8"/>
  <c r="H279" i="8"/>
  <c r="I279" i="8"/>
  <c r="I1731" i="8"/>
  <c r="I1539" i="8"/>
  <c r="I1160" i="8"/>
  <c r="I1039" i="8"/>
  <c r="I779" i="8"/>
  <c r="I541" i="8"/>
  <c r="I526" i="8"/>
  <c r="H563" i="8"/>
  <c r="I563" i="8"/>
  <c r="I112" i="8"/>
  <c r="I1666" i="8"/>
  <c r="I1623" i="8"/>
  <c r="I1519" i="8"/>
  <c r="I1436" i="8"/>
  <c r="I1416" i="8"/>
  <c r="I1406" i="8"/>
  <c r="I1395" i="8"/>
  <c r="I1313" i="8"/>
  <c r="I1208" i="8"/>
  <c r="I1053" i="8"/>
  <c r="I706" i="8"/>
  <c r="I504" i="8"/>
  <c r="I87" i="8"/>
  <c r="I623" i="8"/>
  <c r="I617" i="8"/>
  <c r="I607" i="8"/>
  <c r="I561" i="8"/>
  <c r="I426" i="8"/>
  <c r="I264" i="8"/>
  <c r="H110" i="8"/>
  <c r="I110" i="8"/>
  <c r="I554" i="8"/>
  <c r="I465" i="8"/>
  <c r="I425" i="8"/>
  <c r="H109" i="8"/>
  <c r="I109" i="8"/>
  <c r="I1545" i="8"/>
  <c r="I1503" i="8"/>
  <c r="I1464" i="8"/>
  <c r="I1339" i="8"/>
  <c r="I1045" i="8"/>
  <c r="I1023" i="8"/>
  <c r="I1016" i="8"/>
  <c r="I1004" i="8"/>
  <c r="I950" i="8"/>
  <c r="I849" i="8"/>
  <c r="I815" i="8"/>
  <c r="I606" i="8"/>
  <c r="I459" i="8"/>
  <c r="I340" i="8"/>
  <c r="I331" i="8"/>
  <c r="H240" i="8"/>
  <c r="I240" i="8"/>
  <c r="I235" i="8"/>
  <c r="I1611" i="8"/>
  <c r="I1480" i="8"/>
  <c r="H1434" i="8"/>
  <c r="I1434" i="8"/>
  <c r="I1382" i="8"/>
  <c r="I1109" i="8"/>
  <c r="I980" i="8"/>
  <c r="H897" i="8"/>
  <c r="I897" i="8"/>
  <c r="I832" i="8"/>
  <c r="I773" i="8"/>
  <c r="I738" i="8"/>
  <c r="I670" i="8"/>
  <c r="I640" i="8"/>
  <c r="I634" i="8"/>
  <c r="I615" i="8"/>
  <c r="I600" i="8"/>
  <c r="I595" i="8"/>
  <c r="H548" i="8"/>
  <c r="I548" i="8"/>
  <c r="I375" i="8"/>
  <c r="I276" i="8"/>
  <c r="I1615" i="8"/>
  <c r="I1579" i="8"/>
  <c r="I1522" i="8"/>
  <c r="I1439" i="8"/>
  <c r="H1439" i="8"/>
  <c r="I1433" i="8"/>
  <c r="I1319" i="8"/>
  <c r="I1188" i="8"/>
  <c r="I1129" i="8"/>
  <c r="I1056" i="8"/>
  <c r="I910" i="8"/>
  <c r="I824" i="8"/>
  <c r="I680" i="8"/>
  <c r="I639" i="8"/>
  <c r="I610" i="8"/>
  <c r="I312" i="8"/>
  <c r="I1306" i="8"/>
  <c r="H1306" i="8"/>
  <c r="H831" i="8"/>
  <c r="I831" i="8"/>
  <c r="I155" i="8"/>
  <c r="H155" i="8"/>
  <c r="I1754" i="8"/>
  <c r="I1673" i="8"/>
  <c r="I1651" i="8"/>
  <c r="I1337" i="8"/>
  <c r="I1182" i="8"/>
  <c r="I755" i="8"/>
  <c r="I416" i="8"/>
  <c r="I198" i="8"/>
  <c r="H62" i="8"/>
  <c r="I62" i="8"/>
  <c r="I1749" i="8"/>
  <c r="I1727" i="8"/>
  <c r="I1689" i="8"/>
  <c r="I1643" i="8"/>
  <c r="I1603" i="8"/>
  <c r="I1527" i="8"/>
  <c r="H1264" i="8"/>
  <c r="I1264" i="8"/>
  <c r="I1236" i="8"/>
  <c r="I1233" i="8"/>
  <c r="I1226" i="8"/>
  <c r="H1226" i="8"/>
  <c r="I1217" i="8"/>
  <c r="I1205" i="8"/>
  <c r="H1077" i="8"/>
  <c r="I1077" i="8"/>
  <c r="I1035" i="8"/>
  <c r="I911" i="8"/>
  <c r="I878" i="8"/>
  <c r="I749" i="8"/>
  <c r="I709" i="8"/>
  <c r="I684" i="8"/>
  <c r="I582" i="8"/>
  <c r="I475" i="8"/>
  <c r="I154" i="8"/>
  <c r="I58" i="8"/>
  <c r="I1706" i="8"/>
  <c r="I1679" i="8"/>
  <c r="I1492" i="8"/>
  <c r="I1409" i="8"/>
  <c r="I1268" i="8"/>
  <c r="I1194" i="8"/>
  <c r="I1161" i="8"/>
  <c r="I1150" i="8"/>
  <c r="I1091" i="8"/>
  <c r="I907" i="8"/>
  <c r="I580" i="8"/>
  <c r="I527" i="8"/>
  <c r="I503" i="8"/>
  <c r="I450" i="8"/>
  <c r="I390" i="8"/>
  <c r="I357" i="8"/>
  <c r="I259" i="8"/>
  <c r="I249" i="8"/>
  <c r="I242" i="8"/>
  <c r="I201" i="8"/>
  <c r="I79" i="8"/>
  <c r="I57" i="8"/>
  <c r="I183" i="8"/>
  <c r="I108" i="8"/>
  <c r="H108" i="8"/>
  <c r="H69" i="8"/>
  <c r="I27" i="8"/>
  <c r="I11" i="8"/>
  <c r="I1676" i="8"/>
  <c r="I1612" i="8"/>
  <c r="I1496" i="8"/>
  <c r="I1463" i="8"/>
  <c r="I1453" i="8"/>
  <c r="I1265" i="8"/>
  <c r="H1175" i="8"/>
  <c r="I1175" i="8"/>
  <c r="I1170" i="8"/>
  <c r="I1134" i="8"/>
  <c r="I1094" i="8"/>
  <c r="I1089" i="8"/>
  <c r="I993" i="8"/>
  <c r="I898" i="8"/>
  <c r="H898" i="8"/>
  <c r="I840" i="8"/>
  <c r="I427" i="8"/>
  <c r="H403" i="8"/>
  <c r="I403" i="8"/>
  <c r="I150" i="8"/>
  <c r="I904" i="8"/>
  <c r="H904" i="8"/>
  <c r="H251" i="8"/>
  <c r="I251" i="8"/>
  <c r="I1323" i="8"/>
  <c r="I1146" i="8"/>
  <c r="I891" i="8"/>
  <c r="H172" i="8"/>
  <c r="I172" i="8"/>
  <c r="I95" i="8"/>
  <c r="H95" i="8"/>
  <c r="I60" i="8"/>
  <c r="I1711" i="8"/>
  <c r="I1586" i="8"/>
  <c r="I1038" i="8"/>
  <c r="I544" i="8"/>
  <c r="I437" i="8"/>
  <c r="H350" i="8"/>
  <c r="I350" i="8"/>
  <c r="I1701" i="8"/>
  <c r="I1684" i="8"/>
  <c r="I1589" i="8"/>
  <c r="I1495" i="8"/>
  <c r="I1467" i="8"/>
  <c r="I1462" i="8"/>
  <c r="I1388" i="8"/>
  <c r="I1277" i="8"/>
  <c r="I1195" i="8"/>
  <c r="I707" i="8"/>
  <c r="I587" i="8"/>
  <c r="I460" i="8"/>
  <c r="I386" i="8"/>
  <c r="I321" i="8"/>
  <c r="I161" i="8"/>
  <c r="I671" i="8"/>
  <c r="I660" i="8"/>
  <c r="I469" i="8"/>
  <c r="I412" i="8"/>
  <c r="I400" i="8"/>
  <c r="I395" i="8"/>
  <c r="I366" i="8"/>
  <c r="I334" i="8"/>
  <c r="I91" i="8"/>
  <c r="I52" i="8"/>
  <c r="H381" i="8"/>
  <c r="I381" i="8"/>
  <c r="I348" i="8"/>
  <c r="I248" i="8"/>
  <c r="I185" i="8"/>
  <c r="I175" i="8"/>
  <c r="I42" i="8"/>
  <c r="I570" i="8"/>
  <c r="I531" i="8"/>
  <c r="I179" i="8"/>
  <c r="I41" i="8"/>
  <c r="I35" i="8"/>
  <c r="I28" i="8"/>
  <c r="I1481" i="8"/>
  <c r="I1410" i="8"/>
  <c r="I1345" i="8"/>
  <c r="I1318" i="8"/>
  <c r="I1097" i="8"/>
  <c r="I1083" i="8"/>
  <c r="I1042" i="8"/>
  <c r="I1025" i="8"/>
  <c r="I963" i="8"/>
  <c r="I662" i="8"/>
  <c r="I628" i="8"/>
  <c r="I599" i="8"/>
  <c r="I439" i="8"/>
  <c r="I228" i="8"/>
  <c r="I199" i="8"/>
  <c r="I182" i="8"/>
  <c r="I152" i="8"/>
  <c r="I93" i="8"/>
  <c r="I73" i="8"/>
  <c r="I33" i="8"/>
  <c r="I847" i="8"/>
  <c r="I825" i="8"/>
  <c r="I723" i="8"/>
  <c r="I710" i="8"/>
  <c r="I678" i="8"/>
  <c r="I467" i="8"/>
  <c r="I417" i="8"/>
  <c r="I187" i="8"/>
  <c r="I104" i="8"/>
  <c r="I38" i="8"/>
  <c r="I1638" i="8"/>
  <c r="I1604" i="8"/>
  <c r="I1558" i="8"/>
  <c r="I1547" i="8"/>
  <c r="I1521" i="8"/>
  <c r="I1517" i="8"/>
  <c r="I1474" i="8"/>
  <c r="I1148" i="8"/>
  <c r="I919" i="8"/>
  <c r="I717" i="8"/>
  <c r="I685" i="8"/>
  <c r="I666" i="8"/>
  <c r="I636" i="8"/>
  <c r="I604" i="8"/>
  <c r="I373" i="8"/>
  <c r="I215" i="8"/>
  <c r="I45" i="8"/>
  <c r="I1654" i="8"/>
  <c r="I1649" i="8"/>
  <c r="I1624" i="8"/>
  <c r="I1573" i="8"/>
  <c r="I1554" i="8"/>
  <c r="I1526" i="8"/>
  <c r="I1497" i="8"/>
  <c r="I1454" i="8"/>
  <c r="I1429" i="8"/>
  <c r="I1418" i="8"/>
  <c r="I1334" i="8"/>
  <c r="I1108" i="8"/>
  <c r="I1096" i="8"/>
  <c r="I998" i="8"/>
  <c r="I973" i="8"/>
  <c r="I924" i="8"/>
  <c r="I875" i="8"/>
  <c r="I811" i="8"/>
  <c r="H728" i="8"/>
  <c r="I297" i="8"/>
  <c r="I291" i="8"/>
  <c r="I277" i="8"/>
  <c r="I221" i="8"/>
  <c r="I1619" i="8"/>
  <c r="I1590" i="8"/>
  <c r="I1490" i="8"/>
  <c r="I1354" i="8"/>
  <c r="I1241" i="8"/>
  <c r="I1046" i="8"/>
  <c r="I1041" i="8"/>
  <c r="I656" i="8"/>
  <c r="I631" i="8"/>
  <c r="I577" i="8"/>
  <c r="I432" i="8"/>
  <c r="I420" i="8"/>
  <c r="I233" i="8"/>
  <c r="H233" i="8"/>
  <c r="I226" i="8"/>
  <c r="I210" i="8"/>
  <c r="I114" i="8"/>
  <c r="I37" i="8"/>
  <c r="I205" i="8"/>
  <c r="I1247" i="8"/>
  <c r="I1181" i="8"/>
  <c r="I1139" i="8"/>
  <c r="I1119" i="8"/>
  <c r="I1115" i="8"/>
  <c r="I1095" i="8"/>
  <c r="I1008" i="8"/>
  <c r="I719" i="8"/>
  <c r="I515" i="8"/>
  <c r="I457" i="8"/>
  <c r="I449" i="8"/>
  <c r="I360" i="8"/>
  <c r="I345" i="8"/>
  <c r="I323" i="8"/>
  <c r="I286" i="8"/>
  <c r="I268" i="8"/>
  <c r="I213" i="8"/>
  <c r="I168" i="8"/>
  <c r="I43" i="8"/>
  <c r="I36" i="8"/>
  <c r="I31" i="8"/>
  <c r="I1101" i="8"/>
  <c r="I1071" i="8"/>
  <c r="I1057" i="8"/>
  <c r="I988" i="8"/>
  <c r="I770" i="8"/>
  <c r="I757" i="8"/>
  <c r="I700" i="8"/>
  <c r="I695" i="8"/>
  <c r="I635" i="8"/>
  <c r="I567" i="8"/>
  <c r="I558" i="8"/>
  <c r="I429" i="8"/>
  <c r="I414" i="8"/>
  <c r="I376" i="8"/>
  <c r="I330" i="8"/>
  <c r="I262" i="8"/>
  <c r="I236" i="8"/>
  <c r="I186" i="8"/>
  <c r="I146" i="8"/>
  <c r="I88" i="8"/>
  <c r="I76" i="8"/>
  <c r="I68" i="8"/>
  <c r="I1246" i="8"/>
  <c r="I1178" i="8"/>
  <c r="I1114" i="8"/>
  <c r="I981" i="8"/>
  <c r="I764" i="8"/>
  <c r="I668" i="8"/>
  <c r="I649" i="8"/>
  <c r="I547" i="8"/>
  <c r="I546" i="8"/>
  <c r="I484" i="8"/>
  <c r="I456" i="8"/>
  <c r="I448" i="8"/>
  <c r="I313" i="8"/>
  <c r="I272" i="8"/>
  <c r="I167" i="8"/>
  <c r="I1692" i="8"/>
  <c r="H1692" i="8"/>
  <c r="H1040" i="8"/>
  <c r="I1040" i="8"/>
  <c r="I1759" i="8"/>
  <c r="H1759" i="8"/>
  <c r="I1391" i="8"/>
  <c r="H1391" i="8"/>
  <c r="I1747" i="8"/>
  <c r="H1747" i="8"/>
  <c r="H1256" i="8"/>
  <c r="I1256" i="8"/>
  <c r="H1260" i="8"/>
  <c r="I1260" i="8"/>
  <c r="I1703" i="8"/>
  <c r="I1296" i="8"/>
  <c r="I1735" i="8"/>
  <c r="H1735" i="8"/>
  <c r="I1763" i="8"/>
  <c r="H1639" i="8"/>
  <c r="I1639" i="8"/>
  <c r="I1642" i="8"/>
  <c r="H1642" i="8"/>
  <c r="H1695" i="8"/>
  <c r="I1695" i="8"/>
  <c r="H1756" i="8"/>
  <c r="I1756" i="8"/>
  <c r="H463" i="8"/>
  <c r="I463" i="8"/>
  <c r="H942" i="8"/>
  <c r="I942" i="8"/>
  <c r="I1741" i="8"/>
  <c r="H1542" i="8"/>
  <c r="I1542" i="8"/>
  <c r="H1684" i="8"/>
  <c r="H1577" i="8"/>
  <c r="I1577" i="8"/>
  <c r="I1566" i="8"/>
  <c r="I1387" i="8"/>
  <c r="H1531" i="8"/>
  <c r="I1531" i="8"/>
  <c r="I1696" i="8"/>
  <c r="H1696" i="8"/>
  <c r="H1448" i="8"/>
  <c r="I1448" i="8"/>
  <c r="I1431" i="8"/>
  <c r="I1739" i="8"/>
  <c r="H1739" i="8"/>
  <c r="H1724" i="8"/>
  <c r="I1724" i="8"/>
  <c r="H1413" i="8"/>
  <c r="I1413" i="8"/>
  <c r="H1551" i="8"/>
  <c r="I1551" i="8"/>
  <c r="I1486" i="8"/>
  <c r="H1377" i="8"/>
  <c r="H1606" i="8"/>
  <c r="I1606" i="8"/>
  <c r="H1098" i="8"/>
  <c r="I1098" i="8"/>
  <c r="I1092" i="8"/>
  <c r="I1748" i="8"/>
  <c r="I1164" i="8"/>
  <c r="H1164" i="8"/>
  <c r="I1103" i="8"/>
  <c r="I1717" i="8"/>
  <c r="I1662" i="8"/>
  <c r="I1376" i="8"/>
  <c r="I1702" i="8"/>
  <c r="I1502" i="8"/>
  <c r="H1146" i="8"/>
  <c r="H934" i="8"/>
  <c r="I934" i="8"/>
  <c r="I844" i="8"/>
  <c r="H629" i="8"/>
  <c r="I629" i="8"/>
  <c r="H1169" i="8"/>
  <c r="I1169" i="8"/>
  <c r="H854" i="8"/>
  <c r="I854" i="8"/>
  <c r="H436" i="8"/>
  <c r="I436" i="8"/>
  <c r="H1405" i="8"/>
  <c r="I1405" i="8"/>
  <c r="I1618" i="8"/>
  <c r="H1618" i="8"/>
  <c r="I1535" i="8"/>
  <c r="H1238" i="8"/>
  <c r="I1238" i="8"/>
  <c r="H1015" i="8"/>
  <c r="I1015" i="8"/>
  <c r="H1706" i="8"/>
  <c r="H1645" i="8"/>
  <c r="I1278" i="8"/>
  <c r="H1228" i="8"/>
  <c r="I1228" i="8"/>
  <c r="I1034" i="8"/>
  <c r="H1034" i="8"/>
  <c r="I1549" i="8"/>
  <c r="I1597" i="8"/>
  <c r="H1597" i="8"/>
  <c r="I1426" i="8"/>
  <c r="I1257" i="8"/>
  <c r="I1729" i="8"/>
  <c r="H1419" i="8"/>
  <c r="I1419" i="8"/>
  <c r="I1320" i="8"/>
  <c r="I1655" i="8"/>
  <c r="H1559" i="8"/>
  <c r="I1559" i="8"/>
  <c r="I1327" i="8"/>
  <c r="H1085" i="8"/>
  <c r="I1085" i="8"/>
  <c r="I1752" i="8"/>
  <c r="H1752" i="8"/>
  <c r="I1601" i="8"/>
  <c r="I1630" i="8"/>
  <c r="H1478" i="8"/>
  <c r="I1478" i="8"/>
  <c r="I1471" i="8"/>
  <c r="I1592" i="8"/>
  <c r="H1557" i="8"/>
  <c r="I1557" i="8"/>
  <c r="I1341" i="8"/>
  <c r="I1192" i="8"/>
  <c r="H863" i="8"/>
  <c r="I863" i="8"/>
  <c r="I715" i="8"/>
  <c r="I1423" i="8"/>
  <c r="H637" i="8"/>
  <c r="I637" i="8"/>
  <c r="I1469" i="8"/>
  <c r="I1398" i="8"/>
  <c r="H1081" i="8"/>
  <c r="I1081" i="8"/>
  <c r="I1414" i="8"/>
  <c r="H1190" i="8"/>
  <c r="I1190" i="8"/>
  <c r="I1123" i="8"/>
  <c r="I1316" i="8"/>
  <c r="I1152" i="8"/>
  <c r="H1294" i="8"/>
  <c r="I1294" i="8"/>
  <c r="I1189" i="8"/>
  <c r="H1189" i="8"/>
  <c r="I1485" i="8"/>
  <c r="I1364" i="8"/>
  <c r="H1171" i="8"/>
  <c r="I1171" i="8"/>
  <c r="I1128" i="8"/>
  <c r="H1128" i="8"/>
  <c r="I1532" i="8"/>
  <c r="I1459" i="8"/>
  <c r="I1352" i="8"/>
  <c r="H1200" i="8"/>
  <c r="I1200" i="8"/>
  <c r="I1088" i="8"/>
  <c r="I956" i="8"/>
  <c r="I1484" i="8"/>
  <c r="I1273" i="8"/>
  <c r="H1273" i="8"/>
  <c r="I1744" i="8"/>
  <c r="I1472" i="8"/>
  <c r="I1007" i="8"/>
  <c r="H1007" i="8"/>
  <c r="I1279" i="8"/>
  <c r="H1279" i="8"/>
  <c r="I1130" i="8"/>
  <c r="H1130" i="8"/>
  <c r="I833" i="8"/>
  <c r="H833" i="8"/>
  <c r="I1443" i="8"/>
  <c r="I523" i="8"/>
  <c r="H523" i="8"/>
  <c r="I1552" i="8"/>
  <c r="H1449" i="8"/>
  <c r="I1449" i="8"/>
  <c r="I1417" i="8"/>
  <c r="I1375" i="8"/>
  <c r="I1222" i="8"/>
  <c r="I1020" i="8"/>
  <c r="H1020" i="8"/>
  <c r="H750" i="8"/>
  <c r="I750" i="8"/>
  <c r="H626" i="8"/>
  <c r="I626" i="8"/>
  <c r="I539" i="8"/>
  <c r="H539" i="8"/>
  <c r="H899" i="8"/>
  <c r="I899" i="8"/>
  <c r="I476" i="8"/>
  <c r="H817" i="8"/>
  <c r="I817" i="8"/>
  <c r="I659" i="8"/>
  <c r="H306" i="8"/>
  <c r="I306" i="8"/>
  <c r="I300" i="8"/>
  <c r="H300" i="8"/>
  <c r="I434" i="8"/>
  <c r="H434" i="8"/>
  <c r="H346" i="8"/>
  <c r="I346" i="8"/>
  <c r="I1158" i="8"/>
  <c r="H959" i="8"/>
  <c r="I959" i="8"/>
  <c r="H502" i="8"/>
  <c r="I502" i="8"/>
  <c r="I1720" i="8"/>
  <c r="H1711" i="8"/>
  <c r="I1678" i="8"/>
  <c r="I1621" i="8"/>
  <c r="I1572" i="8"/>
  <c r="H1521" i="8"/>
  <c r="H1406" i="8"/>
  <c r="H1351" i="8"/>
  <c r="I1351" i="8"/>
  <c r="I1288" i="8"/>
  <c r="I1225" i="8"/>
  <c r="H1225" i="8"/>
  <c r="H1221" i="8"/>
  <c r="I1221" i="8"/>
  <c r="I664" i="8"/>
  <c r="I512" i="8"/>
  <c r="H1210" i="8"/>
  <c r="I1210" i="8"/>
  <c r="H909" i="8"/>
  <c r="I909" i="8"/>
  <c r="I1555" i="8"/>
  <c r="I974" i="8"/>
  <c r="H930" i="8"/>
  <c r="I930" i="8"/>
  <c r="I859" i="8"/>
  <c r="I1677" i="8"/>
  <c r="I1028" i="8"/>
  <c r="I821" i="8"/>
  <c r="H821" i="8"/>
  <c r="I703" i="8"/>
  <c r="I1687" i="8"/>
  <c r="I1644" i="8"/>
  <c r="I1544" i="8"/>
  <c r="I1411" i="8"/>
  <c r="H1394" i="8"/>
  <c r="I1394" i="8"/>
  <c r="I1368" i="8"/>
  <c r="I1301" i="8"/>
  <c r="I1245" i="8"/>
  <c r="I1165" i="8"/>
  <c r="I855" i="8"/>
  <c r="I846" i="8"/>
  <c r="I624" i="8"/>
  <c r="H624" i="8"/>
  <c r="I762" i="8"/>
  <c r="H641" i="8"/>
  <c r="I641" i="8"/>
  <c r="I519" i="8"/>
  <c r="I514" i="8"/>
  <c r="I947" i="8"/>
  <c r="H768" i="8"/>
  <c r="I768" i="8"/>
  <c r="I1697" i="8"/>
  <c r="H1424" i="8"/>
  <c r="I1424" i="8"/>
  <c r="I1408" i="8"/>
  <c r="H679" i="8"/>
  <c r="I679" i="8"/>
  <c r="H926" i="8"/>
  <c r="I926" i="8"/>
  <c r="H404" i="8"/>
  <c r="I404" i="8"/>
  <c r="I1084" i="8"/>
  <c r="I1011" i="8"/>
  <c r="I727" i="8"/>
  <c r="I716" i="8"/>
  <c r="H505" i="8"/>
  <c r="I505" i="8"/>
  <c r="I1060" i="8"/>
  <c r="I961" i="8"/>
  <c r="I1389" i="8"/>
  <c r="I1347" i="8"/>
  <c r="I1343" i="8"/>
  <c r="I1159" i="8"/>
  <c r="H1075" i="8"/>
  <c r="I1075" i="8"/>
  <c r="H884" i="8"/>
  <c r="I884" i="8"/>
  <c r="I620" i="8"/>
  <c r="I1326" i="8"/>
  <c r="I978" i="8"/>
  <c r="I939" i="8"/>
  <c r="I771" i="8"/>
  <c r="H743" i="8"/>
  <c r="I743" i="8"/>
  <c r="I424" i="8"/>
  <c r="I410" i="8"/>
  <c r="I673" i="8"/>
  <c r="H673" i="8"/>
  <c r="H281" i="8"/>
  <c r="I281" i="8"/>
  <c r="H137" i="8"/>
  <c r="I137" i="8"/>
  <c r="I1048" i="8"/>
  <c r="I1005" i="8"/>
  <c r="I955" i="8"/>
  <c r="H876" i="8"/>
  <c r="I876" i="8"/>
  <c r="H820" i="8"/>
  <c r="I820" i="8"/>
  <c r="I725" i="8"/>
  <c r="H640" i="8"/>
  <c r="I501" i="8"/>
  <c r="I493" i="8"/>
  <c r="I153" i="8"/>
  <c r="I1058" i="8"/>
  <c r="H1058" i="8"/>
  <c r="H946" i="8"/>
  <c r="I946" i="8"/>
  <c r="I488" i="8"/>
  <c r="H488" i="8"/>
  <c r="H365" i="8"/>
  <c r="I365" i="8"/>
  <c r="I70" i="8"/>
  <c r="I1125" i="8"/>
  <c r="I915" i="8"/>
  <c r="I549" i="8"/>
  <c r="I508" i="8"/>
  <c r="I252" i="8"/>
  <c r="I220" i="8"/>
  <c r="I21" i="8"/>
  <c r="I902" i="8"/>
  <c r="I865" i="8"/>
  <c r="H865" i="8"/>
  <c r="H804" i="8"/>
  <c r="I785" i="8"/>
  <c r="H731" i="8"/>
  <c r="I731" i="8"/>
  <c r="H653" i="8"/>
  <c r="I653" i="8"/>
  <c r="I193" i="8"/>
  <c r="I1137" i="8"/>
  <c r="H919" i="8"/>
  <c r="H788" i="8"/>
  <c r="I788" i="8"/>
  <c r="H775" i="8"/>
  <c r="I775" i="8"/>
  <c r="H383" i="8"/>
  <c r="I383" i="8"/>
  <c r="I1176" i="8"/>
  <c r="I1065" i="8"/>
  <c r="I1047" i="8"/>
  <c r="I864" i="8"/>
  <c r="H230" i="8"/>
  <c r="I230" i="8"/>
  <c r="H1627" i="8"/>
  <c r="I1425" i="8"/>
  <c r="H1089" i="8"/>
  <c r="I329" i="8"/>
  <c r="I1640" i="8"/>
  <c r="I1620" i="8"/>
  <c r="I1365" i="8"/>
  <c r="I1272" i="8"/>
  <c r="I1068" i="8"/>
  <c r="I992" i="8"/>
  <c r="H944" i="8"/>
  <c r="I944" i="8"/>
  <c r="I906" i="8"/>
  <c r="I869" i="8"/>
  <c r="I819" i="8"/>
  <c r="I814" i="8"/>
  <c r="I781" i="8"/>
  <c r="H697" i="8"/>
  <c r="I697" i="8"/>
  <c r="I602" i="8"/>
  <c r="I402" i="8"/>
  <c r="H402" i="8"/>
  <c r="I1578" i="8"/>
  <c r="H1503" i="8"/>
  <c r="I1493" i="8"/>
  <c r="I1475" i="8"/>
  <c r="I886" i="8"/>
  <c r="H552" i="8"/>
  <c r="I552" i="8"/>
  <c r="H506" i="8"/>
  <c r="I506" i="8"/>
  <c r="I957" i="8"/>
  <c r="H957" i="8"/>
  <c r="H913" i="8"/>
  <c r="I913" i="8"/>
  <c r="H520" i="8"/>
  <c r="I520" i="8"/>
  <c r="H406" i="8"/>
  <c r="I406" i="8"/>
  <c r="I1540" i="8"/>
  <c r="I1275" i="8"/>
  <c r="I1136" i="8"/>
  <c r="I1110" i="8"/>
  <c r="I949" i="8"/>
  <c r="I496" i="8"/>
  <c r="H389" i="8"/>
  <c r="I389" i="8"/>
  <c r="I583" i="8"/>
  <c r="H583" i="8"/>
  <c r="H530" i="8"/>
  <c r="I530" i="8"/>
  <c r="I1267" i="8"/>
  <c r="I922" i="8"/>
  <c r="I516" i="8"/>
  <c r="H540" i="8"/>
  <c r="I540" i="8"/>
  <c r="I1232" i="8"/>
  <c r="I1227" i="8"/>
  <c r="I1183" i="8"/>
  <c r="I1149" i="8"/>
  <c r="H850" i="8"/>
  <c r="I850" i="8"/>
  <c r="I801" i="8"/>
  <c r="I304" i="8"/>
  <c r="H304" i="8"/>
  <c r="I1659" i="8"/>
  <c r="I1553" i="8"/>
  <c r="I1304" i="8"/>
  <c r="I1029" i="8"/>
  <c r="I369" i="8"/>
  <c r="I322" i="8"/>
  <c r="H322" i="8"/>
  <c r="I278" i="8"/>
  <c r="H278" i="8"/>
  <c r="H261" i="8"/>
  <c r="I261" i="8"/>
  <c r="H385" i="8"/>
  <c r="I385" i="8"/>
  <c r="I1400" i="8"/>
  <c r="I953" i="8"/>
  <c r="I918" i="8"/>
  <c r="I877" i="8"/>
  <c r="I812" i="8"/>
  <c r="I740" i="8"/>
  <c r="I701" i="8"/>
  <c r="I654" i="8"/>
  <c r="H195" i="8"/>
  <c r="I195" i="8"/>
  <c r="H704" i="8"/>
  <c r="I704" i="8"/>
  <c r="H113" i="8"/>
  <c r="I113" i="8"/>
  <c r="I1142" i="8"/>
  <c r="H492" i="8"/>
  <c r="I492" i="8"/>
  <c r="I487" i="8"/>
  <c r="H100" i="8"/>
  <c r="I100" i="8"/>
  <c r="I1340" i="8"/>
  <c r="I1106" i="8"/>
  <c r="I903" i="8"/>
  <c r="I693" i="8"/>
  <c r="H458" i="8"/>
  <c r="I458" i="8"/>
  <c r="H935" i="8"/>
  <c r="I735" i="8"/>
  <c r="H689" i="8"/>
  <c r="I689" i="8"/>
  <c r="H536" i="8"/>
  <c r="H260" i="8"/>
  <c r="I260" i="8"/>
  <c r="I1361" i="8"/>
  <c r="I1242" i="8"/>
  <c r="I996" i="8"/>
  <c r="I655" i="8"/>
  <c r="H320" i="8"/>
  <c r="I320" i="8"/>
  <c r="I1381" i="8"/>
  <c r="I1080" i="8"/>
  <c r="I1002" i="8"/>
  <c r="I971" i="8"/>
  <c r="I968" i="8"/>
  <c r="H848" i="8"/>
  <c r="I510" i="8"/>
  <c r="I491" i="8"/>
  <c r="H456" i="8"/>
  <c r="I435" i="8"/>
  <c r="I407" i="8"/>
  <c r="I225" i="8"/>
  <c r="H119" i="8"/>
  <c r="I119" i="8"/>
  <c r="H566" i="8"/>
  <c r="I566" i="8"/>
  <c r="I1117" i="8"/>
  <c r="I937" i="8"/>
  <c r="I744" i="8"/>
  <c r="I524" i="8"/>
  <c r="I280" i="8"/>
  <c r="I67" i="8"/>
  <c r="I419" i="8"/>
  <c r="I415" i="8"/>
  <c r="I298" i="8"/>
  <c r="I96" i="8"/>
  <c r="H219" i="8"/>
  <c r="I219" i="8"/>
  <c r="I747" i="8"/>
  <c r="H342" i="8"/>
  <c r="I273" i="8"/>
  <c r="H347" i="8"/>
  <c r="I347" i="8"/>
  <c r="I162" i="8"/>
  <c r="I17" i="8"/>
  <c r="I6" i="8"/>
  <c r="I565" i="8"/>
  <c r="I234" i="8"/>
  <c r="I118" i="8"/>
  <c r="I101" i="8"/>
  <c r="I51" i="8"/>
  <c r="I130" i="8"/>
  <c r="I135" i="8"/>
  <c r="H74" i="8"/>
  <c r="I74" i="8"/>
  <c r="H25" i="8"/>
  <c r="I25" i="8"/>
  <c r="H178" i="8"/>
  <c r="I178" i="8"/>
  <c r="I49" i="8"/>
  <c r="I85" i="8"/>
  <c r="I15" i="8"/>
  <c r="H177" i="8"/>
  <c r="I177" i="8"/>
  <c r="I748" i="8"/>
  <c r="I282" i="8"/>
  <c r="I98" i="8"/>
  <c r="I66" i="8"/>
  <c r="I24" i="8"/>
  <c r="I20" i="8"/>
  <c r="I433" i="8"/>
  <c r="I349" i="8"/>
  <c r="I191" i="8"/>
  <c r="I132" i="8"/>
  <c r="H50" i="8"/>
  <c r="I50" i="8"/>
  <c r="I361" i="8"/>
  <c r="I355" i="8"/>
  <c r="I61" i="8"/>
  <c r="I745" i="8"/>
  <c r="I638" i="8"/>
  <c r="H368" i="8"/>
  <c r="I368" i="8"/>
  <c r="I358" i="8"/>
  <c r="I63" i="8"/>
  <c r="I533" i="8"/>
  <c r="I339" i="8"/>
  <c r="I335" i="8"/>
  <c r="I111" i="8"/>
  <c r="I75" i="8"/>
  <c r="H159" i="8"/>
  <c r="I159" i="8"/>
  <c r="I99" i="8"/>
  <c r="H327" i="8"/>
  <c r="I327" i="8"/>
  <c r="I318" i="8"/>
  <c r="I258" i="8"/>
  <c r="H236" i="8"/>
  <c r="I216" i="8"/>
  <c r="I188" i="8"/>
  <c r="H116" i="8"/>
  <c r="I116" i="8"/>
  <c r="I5" i="8"/>
  <c r="I97" i="8"/>
  <c r="I71" i="8"/>
  <c r="I47" i="8"/>
  <c r="I23" i="8"/>
  <c r="I3" i="8"/>
  <c r="H1634" i="6"/>
  <c r="H1446" i="6"/>
  <c r="H961" i="6"/>
  <c r="H874" i="6"/>
  <c r="H934" i="6"/>
  <c r="H1705" i="6"/>
  <c r="H1072" i="6"/>
  <c r="H186" i="6"/>
  <c r="H1704" i="6"/>
  <c r="H101" i="6"/>
  <c r="H1654" i="6"/>
  <c r="H1606" i="6"/>
  <c r="H1539" i="6"/>
  <c r="H483" i="6"/>
  <c r="H640" i="6"/>
  <c r="H416" i="6"/>
  <c r="H1470" i="6"/>
  <c r="H666" i="6"/>
  <c r="H490" i="6"/>
  <c r="H1689" i="6"/>
  <c r="H813" i="6"/>
  <c r="H508" i="6"/>
  <c r="H1478" i="6"/>
  <c r="H1561" i="6"/>
  <c r="H497" i="6"/>
  <c r="H383" i="6"/>
  <c r="H771" i="6"/>
  <c r="H429" i="6"/>
  <c r="H1681" i="6"/>
  <c r="H1296" i="6"/>
  <c r="H768" i="6"/>
  <c r="H1616" i="6"/>
  <c r="H1598" i="6"/>
  <c r="H1247" i="6"/>
  <c r="H333" i="6"/>
  <c r="H156" i="6"/>
  <c r="H423" i="6"/>
  <c r="H126" i="6"/>
  <c r="H782" i="6"/>
  <c r="H1291" i="6"/>
  <c r="H459" i="6"/>
  <c r="H1492" i="6"/>
  <c r="H494" i="6"/>
  <c r="H567" i="6"/>
  <c r="H1140" i="6"/>
  <c r="H420" i="6"/>
  <c r="H1629" i="6"/>
  <c r="H1079" i="6"/>
  <c r="H1583" i="6"/>
  <c r="H1435" i="6"/>
  <c r="H873" i="6"/>
  <c r="H304" i="6"/>
  <c r="H276" i="6"/>
  <c r="H128" i="6"/>
  <c r="H1066" i="6"/>
  <c r="H708" i="6"/>
  <c r="H606" i="6"/>
  <c r="H1670" i="6"/>
  <c r="H1599" i="6"/>
  <c r="H1350" i="6"/>
  <c r="H898" i="6"/>
  <c r="H733" i="6"/>
  <c r="H511" i="6"/>
  <c r="H1073" i="6"/>
  <c r="H292" i="6"/>
  <c r="H227" i="6"/>
  <c r="H199" i="6"/>
  <c r="H1432" i="6"/>
  <c r="H1192" i="6"/>
  <c r="H1054" i="6"/>
  <c r="H374" i="6"/>
  <c r="H1403" i="6"/>
  <c r="H410" i="6"/>
  <c r="H1662" i="6"/>
  <c r="H1366" i="6"/>
  <c r="H1587" i="6"/>
  <c r="H638" i="6"/>
  <c r="H473" i="6"/>
  <c r="H169" i="6"/>
  <c r="H1522" i="6"/>
  <c r="H1292" i="6"/>
  <c r="H1001" i="6"/>
  <c r="H910" i="6"/>
  <c r="H644" i="6"/>
  <c r="H360" i="6"/>
  <c r="H287" i="6"/>
  <c r="H1711" i="6"/>
  <c r="H100" i="6"/>
  <c r="H36" i="6"/>
  <c r="H1468" i="6"/>
  <c r="H1183" i="6"/>
  <c r="H770" i="6"/>
  <c r="H45" i="6"/>
  <c r="H1238" i="6"/>
  <c r="H1164" i="6"/>
  <c r="H1063" i="6"/>
  <c r="H529" i="6"/>
  <c r="H293" i="6"/>
  <c r="H80" i="6"/>
  <c r="H53" i="6"/>
  <c r="H1420" i="6"/>
  <c r="H116" i="6"/>
  <c r="H1512" i="6"/>
  <c r="H593" i="6"/>
  <c r="H373" i="6"/>
  <c r="H1144" i="6"/>
  <c r="H996" i="6"/>
  <c r="H758" i="6"/>
  <c r="H1428" i="6"/>
  <c r="H1273" i="6"/>
  <c r="H1171" i="6"/>
  <c r="H1098" i="6"/>
  <c r="H1014" i="6"/>
  <c r="H822" i="6"/>
  <c r="H235" i="6"/>
  <c r="H1699" i="6"/>
  <c r="H1565" i="6"/>
  <c r="H1409" i="6"/>
  <c r="H1161" i="6"/>
  <c r="H794" i="6"/>
  <c r="H427" i="6"/>
  <c r="H1382" i="6"/>
  <c r="H1637" i="6"/>
  <c r="H903" i="6"/>
  <c r="H525" i="6"/>
  <c r="H362" i="6"/>
  <c r="H289" i="6"/>
  <c r="H104" i="6"/>
  <c r="H1012" i="6"/>
  <c r="H655" i="6"/>
  <c r="H1398" i="6"/>
  <c r="H1390" i="6"/>
  <c r="H966" i="6"/>
  <c r="H571" i="6"/>
  <c r="H471" i="6"/>
  <c r="H242" i="6"/>
  <c r="H1540" i="6"/>
  <c r="H1202" i="6"/>
  <c r="H1000" i="6"/>
  <c r="H792" i="6"/>
  <c r="H592" i="6"/>
  <c r="H322" i="6"/>
  <c r="H1682" i="6"/>
  <c r="H1655" i="6"/>
  <c r="H1521" i="6"/>
  <c r="H1347" i="6"/>
  <c r="H1229" i="6"/>
  <c r="H1036" i="6"/>
  <c r="H684" i="6"/>
  <c r="H464" i="6"/>
  <c r="H393" i="6"/>
  <c r="H285" i="6"/>
  <c r="H1528" i="6"/>
  <c r="H1427" i="6"/>
  <c r="H1117" i="6"/>
  <c r="H1697" i="6"/>
  <c r="H807" i="6"/>
  <c r="H754" i="6"/>
  <c r="H718" i="6"/>
  <c r="H589" i="6"/>
  <c r="H145" i="6"/>
  <c r="H797" i="6"/>
  <c r="H717" i="6"/>
  <c r="H588" i="6"/>
  <c r="H282" i="6"/>
  <c r="H245" i="6"/>
  <c r="H1703" i="6"/>
  <c r="H1589" i="6"/>
  <c r="H1535" i="6"/>
  <c r="H1179" i="6"/>
  <c r="H814" i="6"/>
  <c r="H805" i="6"/>
  <c r="H787" i="6"/>
  <c r="H624" i="6"/>
  <c r="H615" i="6"/>
  <c r="H425" i="6"/>
  <c r="H398" i="6"/>
  <c r="H932" i="6"/>
  <c r="H1479" i="6"/>
  <c r="H1187" i="6"/>
  <c r="H914" i="6"/>
  <c r="H742" i="6"/>
  <c r="H504" i="6"/>
  <c r="H14" i="6"/>
  <c r="H1650" i="6"/>
  <c r="H1588" i="6"/>
  <c r="H1570" i="6"/>
  <c r="H1315" i="6"/>
  <c r="H1087" i="6"/>
  <c r="H1059" i="6"/>
  <c r="H976" i="6"/>
  <c r="H887" i="6"/>
  <c r="H751" i="6"/>
  <c r="H651" i="6"/>
  <c r="H623" i="6"/>
  <c r="H614" i="6"/>
  <c r="H280" i="6"/>
  <c r="H1379" i="6"/>
  <c r="H1168" i="6"/>
  <c r="H1077" i="6"/>
  <c r="H1049" i="6"/>
  <c r="H913" i="6"/>
  <c r="H895" i="6"/>
  <c r="H1700" i="6"/>
  <c r="H1176" i="6"/>
  <c r="H1121" i="6"/>
  <c r="H677" i="6"/>
  <c r="H502" i="6"/>
  <c r="H342" i="6"/>
  <c r="H296" i="6"/>
  <c r="H177" i="6"/>
  <c r="H113" i="6"/>
  <c r="H704" i="6"/>
  <c r="H194" i="6"/>
  <c r="H1612" i="6"/>
  <c r="H1549" i="6"/>
  <c r="H1412" i="6"/>
  <c r="H1358" i="6"/>
  <c r="H1331" i="6"/>
  <c r="H1212" i="6"/>
  <c r="H1148" i="6"/>
  <c r="H1139" i="6"/>
  <c r="H713" i="6"/>
  <c r="H457" i="6"/>
  <c r="H1584" i="6"/>
  <c r="H1503" i="6"/>
  <c r="H1457" i="6"/>
  <c r="H1271" i="6"/>
  <c r="H1034" i="6"/>
  <c r="H756" i="6"/>
  <c r="H712" i="6"/>
  <c r="H685" i="6"/>
  <c r="H495" i="6"/>
  <c r="H164" i="6"/>
  <c r="H136" i="6"/>
  <c r="H109" i="6"/>
  <c r="H1385" i="6"/>
  <c r="H1261" i="6"/>
  <c r="H1125" i="6"/>
  <c r="H927" i="6"/>
  <c r="H90" i="6"/>
  <c r="H979" i="6"/>
  <c r="H1419" i="6"/>
  <c r="H1464" i="6"/>
  <c r="H1304" i="6"/>
  <c r="H600" i="6"/>
  <c r="H536" i="6"/>
  <c r="H422" i="6"/>
  <c r="H369" i="6"/>
  <c r="H334" i="6"/>
  <c r="H171" i="6"/>
  <c r="H61" i="6"/>
  <c r="H26" i="6"/>
  <c r="H1365" i="6"/>
  <c r="H1518" i="6"/>
  <c r="H1651" i="6"/>
  <c r="H1581" i="6"/>
  <c r="H978" i="6"/>
  <c r="H709" i="6"/>
  <c r="H421" i="6"/>
  <c r="H368" i="6"/>
  <c r="H1683" i="6"/>
  <c r="H1542" i="6"/>
  <c r="H1460" i="6"/>
  <c r="H1093" i="6"/>
  <c r="H993" i="6"/>
  <c r="H931" i="6"/>
  <c r="H831" i="6"/>
  <c r="H532" i="6"/>
  <c r="H365" i="6"/>
  <c r="H258" i="6"/>
  <c r="H185" i="6"/>
  <c r="H1246" i="6"/>
  <c r="H1137" i="6"/>
  <c r="H957" i="6"/>
  <c r="H409" i="6"/>
  <c r="H1665" i="6"/>
  <c r="H1631" i="6"/>
  <c r="H1459" i="6"/>
  <c r="H1018" i="6"/>
  <c r="H885" i="6"/>
  <c r="H632" i="6"/>
  <c r="H347" i="6"/>
  <c r="H93" i="6"/>
  <c r="H65" i="6"/>
  <c r="H48" i="6"/>
  <c r="H21" i="6"/>
  <c r="H12" i="6"/>
  <c r="H1218" i="6"/>
  <c r="H302" i="6"/>
  <c r="H111" i="6"/>
  <c r="H1567" i="6"/>
  <c r="H1281" i="6"/>
  <c r="H938" i="6"/>
  <c r="H875" i="6"/>
  <c r="H866" i="6"/>
  <c r="H766" i="6"/>
  <c r="H749" i="6"/>
  <c r="H238" i="6"/>
  <c r="G1379" i="6"/>
  <c r="H1242" i="6"/>
  <c r="H986" i="6"/>
  <c r="H956" i="6"/>
  <c r="H950" i="6"/>
  <c r="H1687" i="6"/>
  <c r="H1676" i="6"/>
  <c r="H1624" i="6"/>
  <c r="H1618" i="6"/>
  <c r="H1578" i="6"/>
  <c r="H1284" i="6"/>
  <c r="H943" i="6"/>
  <c r="H837" i="6"/>
  <c r="H633" i="6"/>
  <c r="H610" i="6"/>
  <c r="H509" i="6"/>
  <c r="H435" i="6"/>
  <c r="H143" i="6"/>
  <c r="H74" i="6"/>
  <c r="H59" i="6"/>
  <c r="H43" i="6"/>
  <c r="H543" i="6"/>
  <c r="H1617" i="6"/>
  <c r="H1577" i="6"/>
  <c r="H1451" i="6"/>
  <c r="H1395" i="6"/>
  <c r="H1327" i="6"/>
  <c r="H1262" i="6"/>
  <c r="H1207" i="6"/>
  <c r="H975" i="6"/>
  <c r="H507" i="6"/>
  <c r="H1004" i="6"/>
  <c r="H1685" i="6"/>
  <c r="H1553" i="6"/>
  <c r="H1389" i="6"/>
  <c r="H1357" i="6"/>
  <c r="H1111" i="6"/>
  <c r="H1017" i="6"/>
  <c r="H980" i="6"/>
  <c r="H849" i="6"/>
  <c r="H759" i="6"/>
  <c r="H510" i="6"/>
  <c r="H402" i="6"/>
  <c r="H259" i="6"/>
  <c r="H1628" i="6"/>
  <c r="H1475" i="6"/>
  <c r="H1317" i="6"/>
  <c r="H1313" i="6"/>
  <c r="H1301" i="6"/>
  <c r="H1225" i="6"/>
  <c r="H646" i="6"/>
  <c r="H233" i="6"/>
  <c r="H204" i="6"/>
  <c r="H88" i="6"/>
  <c r="H1696" i="6"/>
  <c r="H1646" i="6"/>
  <c r="H1586" i="6"/>
  <c r="H1557" i="6"/>
  <c r="H1496" i="6"/>
  <c r="H1450" i="6"/>
  <c r="H953" i="6"/>
  <c r="H841" i="6"/>
  <c r="H752" i="6"/>
  <c r="H488" i="6"/>
  <c r="H140" i="6"/>
  <c r="H1658" i="6"/>
  <c r="H1622" i="6"/>
  <c r="H1482" i="6"/>
  <c r="H1449" i="6"/>
  <c r="H1363" i="6"/>
  <c r="H1312" i="6"/>
  <c r="H1241" i="6"/>
  <c r="H1133" i="6"/>
  <c r="H930" i="6"/>
  <c r="H901" i="6"/>
  <c r="H858" i="6"/>
  <c r="H785" i="6"/>
  <c r="H675" i="6"/>
  <c r="H554" i="6"/>
  <c r="H439" i="6"/>
  <c r="H108" i="6"/>
  <c r="H70" i="6"/>
  <c r="H6" i="6"/>
  <c r="H1672" i="6"/>
  <c r="H1576" i="6"/>
  <c r="H1426" i="6"/>
  <c r="H1343" i="6"/>
  <c r="H1105" i="6"/>
  <c r="H1037" i="6"/>
  <c r="H1031" i="6"/>
  <c r="H991" i="6"/>
  <c r="H973" i="6"/>
  <c r="H947" i="6"/>
  <c r="H825" i="6"/>
  <c r="H400" i="6"/>
  <c r="H244" i="6"/>
  <c r="H1666" i="6"/>
  <c r="H1526" i="6"/>
  <c r="H1487" i="6"/>
  <c r="H1299" i="6"/>
  <c r="H1254" i="6"/>
  <c r="H1250" i="6"/>
  <c r="H1156" i="6"/>
  <c r="H1128" i="6"/>
  <c r="H803" i="6"/>
  <c r="H780" i="6"/>
  <c r="H689" i="6"/>
  <c r="H674" i="6"/>
  <c r="H635" i="6"/>
  <c r="H278" i="6"/>
  <c r="H114" i="6"/>
  <c r="H1354" i="6"/>
  <c r="H1550" i="6"/>
  <c r="H1472" i="6"/>
  <c r="H1405" i="6"/>
  <c r="H1306" i="6"/>
  <c r="H1197" i="6"/>
  <c r="H1174" i="6"/>
  <c r="H1146" i="6"/>
  <c r="H765" i="6"/>
  <c r="H587" i="6"/>
  <c r="H405" i="6"/>
  <c r="H376" i="6"/>
  <c r="H355" i="6"/>
  <c r="H343" i="6"/>
  <c r="H216" i="6"/>
  <c r="H1679" i="6"/>
  <c r="H1643" i="6"/>
  <c r="H1602" i="6"/>
  <c r="H1560" i="6"/>
  <c r="H1486" i="6"/>
  <c r="H1447" i="6"/>
  <c r="H1323" i="6"/>
  <c r="H1114" i="6"/>
  <c r="H964" i="6"/>
  <c r="H899" i="6"/>
  <c r="H735" i="6"/>
  <c r="H513" i="6"/>
  <c r="H1709" i="6"/>
  <c r="H1609" i="6"/>
  <c r="H1501" i="6"/>
  <c r="H1423" i="6"/>
  <c r="H1029" i="6"/>
  <c r="H353" i="6"/>
  <c r="H1636" i="6"/>
  <c r="H1600" i="6"/>
  <c r="H1595" i="6"/>
  <c r="H1531" i="6"/>
  <c r="H1310" i="6"/>
  <c r="H1285" i="6"/>
  <c r="H1154" i="6"/>
  <c r="H727" i="6"/>
  <c r="H721" i="6"/>
  <c r="H643" i="6"/>
  <c r="H501" i="6"/>
  <c r="H474" i="6"/>
  <c r="H157" i="6"/>
  <c r="H1608" i="6"/>
  <c r="H1453" i="6"/>
  <c r="H1392" i="6"/>
  <c r="H1335" i="6"/>
  <c r="H1272" i="6"/>
  <c r="H1264" i="6"/>
  <c r="H1113" i="6"/>
  <c r="H1028" i="6"/>
  <c r="H361" i="6"/>
  <c r="H1649" i="6"/>
  <c r="H1630" i="6"/>
  <c r="H1537" i="6"/>
  <c r="H1458" i="6"/>
  <c r="H1402" i="6"/>
  <c r="H1278" i="6"/>
  <c r="H1195" i="6"/>
  <c r="H1177" i="6"/>
  <c r="H1040" i="6"/>
  <c r="H933" i="6"/>
  <c r="H330" i="6"/>
  <c r="H1236" i="6"/>
  <c r="H1181" i="6"/>
  <c r="H1110" i="6"/>
  <c r="H992" i="6"/>
  <c r="H935" i="6"/>
  <c r="H908" i="6"/>
  <c r="H861" i="6"/>
  <c r="H844" i="6"/>
  <c r="H691" i="6"/>
  <c r="H681" i="6"/>
  <c r="H619" i="6"/>
  <c r="H540" i="6"/>
  <c r="H514" i="6"/>
  <c r="H388" i="6"/>
  <c r="H311" i="6"/>
  <c r="H279" i="6"/>
  <c r="H226" i="6"/>
  <c r="H150" i="6"/>
  <c r="H97" i="6"/>
  <c r="H57" i="6"/>
  <c r="H1640" i="6"/>
  <c r="H775" i="6"/>
  <c r="H562" i="6"/>
  <c r="H137" i="6"/>
  <c r="H1715" i="6"/>
  <c r="H1523" i="6"/>
  <c r="H1506" i="6"/>
  <c r="H1422" i="6"/>
  <c r="H1355" i="6"/>
  <c r="H1332" i="6"/>
  <c r="H1231" i="6"/>
  <c r="H985" i="6"/>
  <c r="H945" i="6"/>
  <c r="H469" i="6"/>
  <c r="H437" i="6"/>
  <c r="H122" i="6"/>
  <c r="H1693" i="6"/>
  <c r="H1661" i="6"/>
  <c r="H1594" i="6"/>
  <c r="H1499" i="6"/>
  <c r="H1480" i="6"/>
  <c r="H1467" i="6"/>
  <c r="H1288" i="6"/>
  <c r="H1127" i="6"/>
  <c r="H1044" i="6"/>
  <c r="H998" i="6"/>
  <c r="H826" i="6"/>
  <c r="H808" i="6"/>
  <c r="H594" i="6"/>
  <c r="H546" i="6"/>
  <c r="H530" i="6"/>
  <c r="H299" i="6"/>
  <c r="H192" i="6"/>
  <c r="H95" i="6"/>
  <c r="H25" i="6"/>
  <c r="H1717" i="6"/>
  <c r="H1590" i="6"/>
  <c r="H1471" i="6"/>
  <c r="H1200" i="6"/>
  <c r="H876" i="6"/>
  <c r="H870" i="6"/>
  <c r="H790" i="6"/>
  <c r="H667" i="6"/>
  <c r="H661" i="6"/>
  <c r="H162" i="6"/>
  <c r="H32" i="6"/>
  <c r="G1685" i="6"/>
  <c r="H1498" i="6"/>
  <c r="H1491" i="6"/>
  <c r="H1324" i="6"/>
  <c r="H424" i="6"/>
  <c r="H1695" i="6"/>
  <c r="H1430" i="6"/>
  <c r="H1410" i="6"/>
  <c r="H1380" i="6"/>
  <c r="H1259" i="6"/>
  <c r="H1217" i="6"/>
  <c r="H1205" i="6"/>
  <c r="H1186" i="6"/>
  <c r="H1130" i="6"/>
  <c r="H1119" i="6"/>
  <c r="H988" i="6"/>
  <c r="H954" i="6"/>
  <c r="H725" i="6"/>
  <c r="H719" i="6"/>
  <c r="H616" i="6"/>
  <c r="H472" i="6"/>
  <c r="H442" i="6"/>
  <c r="H328" i="6"/>
  <c r="H269" i="6"/>
  <c r="H1708" i="6"/>
  <c r="H1668" i="6"/>
  <c r="H1490" i="6"/>
  <c r="H1454" i="6"/>
  <c r="H1252" i="6"/>
  <c r="H1194" i="6"/>
  <c r="H1143" i="6"/>
  <c r="H1019" i="6"/>
  <c r="H960" i="6"/>
  <c r="H890" i="6"/>
  <c r="H854" i="6"/>
  <c r="H810" i="6"/>
  <c r="H795" i="6"/>
  <c r="H789" i="6"/>
  <c r="H703" i="6"/>
  <c r="H693" i="6"/>
  <c r="H683" i="6"/>
  <c r="H572" i="6"/>
  <c r="H290" i="6"/>
  <c r="H155" i="6"/>
  <c r="H133" i="6"/>
  <c r="H119" i="6"/>
  <c r="H1511" i="6"/>
  <c r="H1489" i="6"/>
  <c r="H1440" i="6"/>
  <c r="H1287" i="6"/>
  <c r="H1277" i="6"/>
  <c r="H1193" i="6"/>
  <c r="H1103" i="6"/>
  <c r="H836" i="6"/>
  <c r="H801" i="6"/>
  <c r="H559" i="6"/>
  <c r="H482" i="6"/>
  <c r="H327" i="6"/>
  <c r="H167" i="6"/>
  <c r="H132" i="6"/>
  <c r="H37" i="6"/>
  <c r="H1712" i="6"/>
  <c r="H1684" i="6"/>
  <c r="H1221" i="6"/>
  <c r="H1198" i="6"/>
  <c r="H1150" i="6"/>
  <c r="H1005" i="6"/>
  <c r="H779" i="6"/>
  <c r="H452" i="6"/>
  <c r="H370" i="6"/>
  <c r="H268" i="6"/>
  <c r="H60" i="6"/>
  <c r="H18" i="6"/>
  <c r="H852" i="6"/>
  <c r="H415" i="6"/>
  <c r="H1680" i="6"/>
  <c r="H1653" i="6"/>
  <c r="H1641" i="6"/>
  <c r="H1635" i="6"/>
  <c r="H1573" i="6"/>
  <c r="H1538" i="6"/>
  <c r="H1439" i="6"/>
  <c r="H1414" i="6"/>
  <c r="H1329" i="6"/>
  <c r="H1286" i="6"/>
  <c r="H1234" i="6"/>
  <c r="H1162" i="6"/>
  <c r="H1135" i="6"/>
  <c r="H1124" i="6"/>
  <c r="H1078" i="6"/>
  <c r="H1032" i="6"/>
  <c r="H1010" i="6"/>
  <c r="H958" i="6"/>
  <c r="H743" i="6"/>
  <c r="H737" i="6"/>
  <c r="H658" i="6"/>
  <c r="H517" i="6"/>
  <c r="H381" i="6"/>
  <c r="H153" i="6"/>
  <c r="H1483" i="6"/>
  <c r="H1469" i="6"/>
  <c r="H1406" i="6"/>
  <c r="H1371" i="6"/>
  <c r="H1152" i="6"/>
  <c r="H397" i="6"/>
  <c r="H303" i="6"/>
  <c r="H267" i="6"/>
  <c r="H254" i="6"/>
  <c r="H146" i="6"/>
  <c r="H139" i="6"/>
  <c r="H66" i="6"/>
  <c r="H747" i="6"/>
  <c r="H375" i="6"/>
  <c r="H354" i="6"/>
  <c r="H10" i="6"/>
  <c r="H1596" i="6"/>
  <c r="H1452" i="6"/>
  <c r="H1237" i="6"/>
  <c r="H1068" i="6"/>
  <c r="H1060" i="6"/>
  <c r="H925" i="6"/>
  <c r="H902" i="6"/>
  <c r="H894" i="6"/>
  <c r="H701" i="6"/>
  <c r="H692" i="6"/>
  <c r="H596" i="6"/>
  <c r="H389" i="6"/>
  <c r="H312" i="6"/>
  <c r="H180" i="6"/>
  <c r="H1507" i="6"/>
  <c r="H1493" i="6"/>
  <c r="H1445" i="6"/>
  <c r="H1394" i="6"/>
  <c r="H1267" i="6"/>
  <c r="H206" i="6"/>
  <c r="H138" i="6"/>
  <c r="H89" i="6"/>
  <c r="H1698" i="6"/>
  <c r="H1645" i="6"/>
  <c r="H1571" i="6"/>
  <c r="H1474" i="6"/>
  <c r="H879" i="6"/>
  <c r="H670" i="6"/>
  <c r="H438" i="6"/>
  <c r="H379" i="6"/>
  <c r="H341" i="6"/>
  <c r="H323" i="6"/>
  <c r="H1718" i="6"/>
  <c r="H1520" i="6"/>
  <c r="H1505" i="6"/>
  <c r="H1481" i="6"/>
  <c r="H1374" i="6"/>
  <c r="H1333" i="6"/>
  <c r="H1319" i="6"/>
  <c r="H1258" i="6"/>
  <c r="H1190" i="6"/>
  <c r="H1033" i="6"/>
  <c r="H1011" i="6"/>
  <c r="H936" i="6"/>
  <c r="H860" i="6"/>
  <c r="H631" i="6"/>
  <c r="H526" i="6"/>
  <c r="H481" i="6"/>
  <c r="H1585" i="6"/>
  <c r="H1504" i="6"/>
  <c r="H1407" i="6"/>
  <c r="H1384" i="6"/>
  <c r="H1189" i="6"/>
  <c r="H1069" i="6"/>
  <c r="H843" i="6"/>
  <c r="H838" i="6"/>
  <c r="H694" i="6"/>
  <c r="H657" i="6"/>
  <c r="H453" i="6"/>
  <c r="H436" i="6"/>
  <c r="H336" i="6"/>
  <c r="H305" i="6"/>
  <c r="H219" i="6"/>
  <c r="H205" i="6"/>
  <c r="H33" i="6"/>
  <c r="H1656" i="6"/>
  <c r="H1605" i="6"/>
  <c r="H1593" i="6"/>
  <c r="H1548" i="6"/>
  <c r="H1532" i="6"/>
  <c r="H1462" i="6"/>
  <c r="H1339" i="6"/>
  <c r="H1275" i="6"/>
  <c r="H1141" i="6"/>
  <c r="H969" i="6"/>
  <c r="H929" i="6"/>
  <c r="H663" i="6"/>
  <c r="H604" i="6"/>
  <c r="H586" i="6"/>
  <c r="H542" i="6"/>
  <c r="H467" i="6"/>
  <c r="G308" i="6"/>
  <c r="H308" i="6"/>
  <c r="H224" i="6"/>
  <c r="H131" i="6"/>
  <c r="H125" i="6"/>
  <c r="H105" i="6"/>
  <c r="H83" i="6"/>
  <c r="H39" i="6"/>
  <c r="G47" i="6"/>
  <c r="H47" i="6"/>
  <c r="H1525" i="6"/>
  <c r="H1702" i="6"/>
  <c r="G1413" i="6"/>
  <c r="H1413" i="6"/>
  <c r="H1367" i="6"/>
  <c r="H1309" i="6"/>
  <c r="H1172" i="6"/>
  <c r="H1074" i="6"/>
  <c r="H1009" i="6"/>
  <c r="H928" i="6"/>
  <c r="H818" i="6"/>
  <c r="H783" i="6"/>
  <c r="H466" i="6"/>
  <c r="H412" i="6"/>
  <c r="H387" i="6"/>
  <c r="G889" i="6"/>
  <c r="H889" i="6"/>
  <c r="H1674" i="6"/>
  <c r="H1669" i="6"/>
  <c r="H1664" i="6"/>
  <c r="H1562" i="6"/>
  <c r="H1510" i="6"/>
  <c r="H1325" i="6"/>
  <c r="H1109" i="6"/>
  <c r="H1096" i="6"/>
  <c r="H1085" i="6"/>
  <c r="H1024" i="6"/>
  <c r="H917" i="6"/>
  <c r="H738" i="6"/>
  <c r="H641" i="6"/>
  <c r="H579" i="6"/>
  <c r="H500" i="6"/>
  <c r="H451" i="6"/>
  <c r="H130" i="6"/>
  <c r="H123" i="6"/>
  <c r="G123" i="6"/>
  <c r="H1673" i="6"/>
  <c r="H1659" i="6"/>
  <c r="H1383" i="6"/>
  <c r="H1227" i="6"/>
  <c r="H1052" i="6"/>
  <c r="H888" i="6"/>
  <c r="H868" i="6"/>
  <c r="H848" i="6"/>
  <c r="H823" i="6"/>
  <c r="H578" i="6"/>
  <c r="H518" i="6"/>
  <c r="H465" i="6"/>
  <c r="H411" i="6"/>
  <c r="H281" i="6"/>
  <c r="H1667" i="6"/>
  <c r="H1552" i="6"/>
  <c r="H1546" i="6"/>
  <c r="H1495" i="6"/>
  <c r="H1485" i="6"/>
  <c r="H1416" i="6"/>
  <c r="H1411" i="6"/>
  <c r="H1388" i="6"/>
  <c r="H1378" i="6"/>
  <c r="H1352" i="6"/>
  <c r="H941" i="6"/>
  <c r="H1216" i="6"/>
  <c r="H1084" i="6"/>
  <c r="H893" i="6"/>
  <c r="H762" i="6"/>
  <c r="H729" i="6"/>
  <c r="H1300" i="6"/>
  <c r="H1233" i="6"/>
  <c r="H1145" i="6"/>
  <c r="H1122" i="6"/>
  <c r="H625" i="6"/>
  <c r="H72" i="6"/>
  <c r="H1706" i="6"/>
  <c r="H1638" i="6"/>
  <c r="H1551" i="6"/>
  <c r="H1441" i="6"/>
  <c r="H1387" i="6"/>
  <c r="H1265" i="6"/>
  <c r="H1215" i="6"/>
  <c r="H1132" i="6"/>
  <c r="H971" i="6"/>
  <c r="G957" i="6"/>
  <c r="H921" i="6"/>
  <c r="H892" i="6"/>
  <c r="H883" i="6"/>
  <c r="H723" i="6"/>
  <c r="H628" i="6"/>
  <c r="H1180" i="6"/>
  <c r="H1138" i="6"/>
  <c r="H1094" i="6"/>
  <c r="H1057" i="6"/>
  <c r="H761" i="6"/>
  <c r="H746" i="6"/>
  <c r="H698" i="6"/>
  <c r="H649" i="6"/>
  <c r="H522" i="6"/>
  <c r="H363" i="6"/>
  <c r="H189" i="6"/>
  <c r="H183" i="6"/>
  <c r="H96" i="6"/>
  <c r="H64" i="6"/>
  <c r="H51" i="6"/>
  <c r="H1041" i="6"/>
  <c r="H1713" i="6"/>
  <c r="H1678" i="6"/>
  <c r="H1434" i="6"/>
  <c r="H1345" i="6"/>
  <c r="H1340" i="6"/>
  <c r="H533" i="6"/>
  <c r="H419" i="6"/>
  <c r="H329" i="6"/>
  <c r="H316" i="6"/>
  <c r="H214" i="6"/>
  <c r="H1671" i="6"/>
  <c r="H1647" i="6"/>
  <c r="H1356" i="6"/>
  <c r="H1263" i="6"/>
  <c r="H1163" i="6"/>
  <c r="H1083" i="6"/>
  <c r="H995" i="6"/>
  <c r="H920" i="6"/>
  <c r="H851" i="6"/>
  <c r="H811" i="6"/>
  <c r="H773" i="6"/>
  <c r="H582" i="6"/>
  <c r="H527" i="6"/>
  <c r="H463" i="6"/>
  <c r="H458" i="6"/>
  <c r="H390" i="6"/>
  <c r="H337" i="6"/>
  <c r="H207" i="6"/>
  <c r="H86" i="6"/>
  <c r="G616" i="6"/>
  <c r="G246" i="6"/>
  <c r="H246" i="6"/>
  <c r="H213" i="6"/>
  <c r="H94" i="6"/>
  <c r="H1118" i="6"/>
  <c r="G1118" i="6"/>
  <c r="H621" i="6"/>
  <c r="H1657" i="6"/>
  <c r="H1633" i="6"/>
  <c r="H1607" i="6"/>
  <c r="H1368" i="6"/>
  <c r="H1349" i="6"/>
  <c r="H1305" i="6"/>
  <c r="H1214" i="6"/>
  <c r="H1196" i="6"/>
  <c r="H1169" i="6"/>
  <c r="H1092" i="6"/>
  <c r="H1002" i="6"/>
  <c r="H965" i="6"/>
  <c r="H946" i="6"/>
  <c r="H815" i="6"/>
  <c r="H788" i="6"/>
  <c r="H784" i="6"/>
  <c r="H753" i="6"/>
  <c r="H714" i="6"/>
  <c r="H696" i="6"/>
  <c r="H605" i="6"/>
  <c r="H556" i="6"/>
  <c r="H414" i="6"/>
  <c r="H239" i="6"/>
  <c r="H166" i="6"/>
  <c r="H294" i="6"/>
  <c r="H237" i="6"/>
  <c r="H148" i="6"/>
  <c r="H129" i="6"/>
  <c r="H71" i="6"/>
  <c r="H44" i="6"/>
  <c r="H1508" i="6"/>
  <c r="H1290" i="6"/>
  <c r="H1276" i="6"/>
  <c r="H1116" i="6"/>
  <c r="H1071" i="6"/>
  <c r="H974" i="6"/>
  <c r="H940" i="6"/>
  <c r="H856" i="6"/>
  <c r="H842" i="6"/>
  <c r="H804" i="6"/>
  <c r="H799" i="6"/>
  <c r="H715" i="6"/>
  <c r="H697" i="6"/>
  <c r="H650" i="6"/>
  <c r="H639" i="6"/>
  <c r="H629" i="6"/>
  <c r="H608" i="6"/>
  <c r="H602" i="6"/>
  <c r="H590" i="6"/>
  <c r="H561" i="6"/>
  <c r="H548" i="6"/>
  <c r="H428" i="6"/>
  <c r="H310" i="6"/>
  <c r="H286" i="6"/>
  <c r="H249" i="6"/>
  <c r="H142" i="6"/>
  <c r="H28" i="6"/>
  <c r="H5" i="6"/>
  <c r="H272" i="6"/>
  <c r="H211" i="6"/>
  <c r="H175" i="6"/>
  <c r="H170" i="6"/>
  <c r="H159" i="6"/>
  <c r="H248" i="6"/>
  <c r="H236" i="6"/>
  <c r="H229" i="6"/>
  <c r="H203" i="6"/>
  <c r="H68" i="6"/>
  <c r="H27" i="6"/>
  <c r="H315" i="6"/>
  <c r="H265" i="6"/>
  <c r="H147" i="6"/>
  <c r="H127" i="6"/>
  <c r="H41" i="6"/>
  <c r="H34" i="6"/>
  <c r="H1604" i="6"/>
  <c r="H1517" i="6"/>
  <c r="H1461" i="6"/>
  <c r="H1351" i="6"/>
  <c r="H1295" i="6"/>
  <c r="H1243" i="6"/>
  <c r="H1230" i="6"/>
  <c r="H1013" i="6"/>
  <c r="H999" i="6"/>
  <c r="H987" i="6"/>
  <c r="H454" i="6"/>
  <c r="H314" i="6"/>
  <c r="H1369" i="6"/>
  <c r="H1311" i="6"/>
  <c r="H1203" i="6"/>
  <c r="H1065" i="6"/>
  <c r="H1061" i="6"/>
  <c r="H834" i="6"/>
  <c r="H612" i="6"/>
  <c r="H584" i="6"/>
  <c r="H553" i="6"/>
  <c r="H449" i="6"/>
  <c r="H240" i="6"/>
  <c r="H1610" i="6"/>
  <c r="H1564" i="6"/>
  <c r="H1488" i="6"/>
  <c r="H1219" i="6"/>
  <c r="H1147" i="6"/>
  <c r="H904" i="6"/>
  <c r="H791" i="6"/>
  <c r="H744" i="6"/>
  <c r="H726" i="6"/>
  <c r="H705" i="6"/>
  <c r="H678" i="6"/>
  <c r="H648" i="6"/>
  <c r="H642" i="6"/>
  <c r="H326" i="6"/>
  <c r="H22" i="6"/>
  <c r="H1543" i="6"/>
  <c r="H1579" i="6"/>
  <c r="H1516" i="6"/>
  <c r="H1424" i="6"/>
  <c r="H1314" i="6"/>
  <c r="H1260" i="6"/>
  <c r="H1175" i="6"/>
  <c r="H1086" i="6"/>
  <c r="H1080" i="6"/>
  <c r="H1075" i="6"/>
  <c r="H886" i="6"/>
  <c r="H865" i="6"/>
  <c r="H855" i="6"/>
  <c r="H839" i="6"/>
  <c r="H769" i="6"/>
  <c r="H732" i="6"/>
  <c r="H690" i="6"/>
  <c r="H645" i="6"/>
  <c r="H637" i="6"/>
  <c r="H601" i="6"/>
  <c r="H270" i="6"/>
  <c r="H196" i="6"/>
  <c r="H184" i="6"/>
  <c r="H151" i="6"/>
  <c r="H550" i="6"/>
  <c r="H479" i="6"/>
  <c r="G1662" i="6"/>
  <c r="H1574" i="6"/>
  <c r="H1509" i="6"/>
  <c r="H1393" i="6"/>
  <c r="H1058" i="6"/>
  <c r="H1045" i="6"/>
  <c r="H853" i="6"/>
  <c r="H832" i="6"/>
  <c r="G802" i="6"/>
  <c r="H802" i="6"/>
  <c r="H534" i="6"/>
  <c r="H366" i="6"/>
  <c r="H349" i="6"/>
  <c r="H38" i="6"/>
  <c r="G1266" i="6"/>
  <c r="H1266" i="6"/>
  <c r="H348" i="6"/>
  <c r="G378" i="6"/>
  <c r="H378" i="6"/>
  <c r="G1376" i="6"/>
  <c r="H1376" i="6"/>
  <c r="H944" i="6"/>
  <c r="G944" i="6"/>
  <c r="H857" i="6"/>
  <c r="G857" i="6"/>
  <c r="G499" i="6"/>
  <c r="H499" i="6"/>
  <c r="G385" i="6"/>
  <c r="H385" i="6"/>
  <c r="H700" i="6"/>
  <c r="G700" i="6"/>
  <c r="H2" i="6"/>
  <c r="H1720" i="6"/>
  <c r="H1626" i="6"/>
  <c r="H1623" i="6"/>
  <c r="G1082" i="6"/>
  <c r="H1082" i="6"/>
  <c r="H862" i="6"/>
  <c r="G862" i="6"/>
  <c r="H724" i="6"/>
  <c r="H1541" i="6"/>
  <c r="G1391" i="6"/>
  <c r="H1391" i="6"/>
  <c r="H1330" i="6"/>
  <c r="H1199" i="6"/>
  <c r="H730" i="6"/>
  <c r="G645" i="6"/>
  <c r="H359" i="6"/>
  <c r="H1533" i="6"/>
  <c r="H1527" i="6"/>
  <c r="H1302" i="6"/>
  <c r="H1297" i="6"/>
  <c r="H1178" i="6"/>
  <c r="H997" i="6"/>
  <c r="H989" i="6"/>
  <c r="H781" i="6"/>
  <c r="H736" i="6"/>
  <c r="H396" i="6"/>
  <c r="H1484" i="6"/>
  <c r="H1399" i="6"/>
  <c r="H1362" i="6"/>
  <c r="G1021" i="6"/>
  <c r="H1021" i="6"/>
  <c r="G1013" i="6"/>
  <c r="H800" i="6"/>
  <c r="H577" i="6"/>
  <c r="H493" i="6"/>
  <c r="H1048" i="6"/>
  <c r="H829" i="6"/>
  <c r="H688" i="6"/>
  <c r="H676" i="6"/>
  <c r="H498" i="6"/>
  <c r="H394" i="6"/>
  <c r="H221" i="6"/>
  <c r="H120" i="6"/>
  <c r="H1321" i="6"/>
  <c r="G881" i="6"/>
  <c r="H881" i="6"/>
  <c r="H450" i="6"/>
  <c r="H417" i="6"/>
  <c r="H1477" i="6"/>
  <c r="H1408" i="6"/>
  <c r="G1328" i="6"/>
  <c r="H1328" i="6"/>
  <c r="H1270" i="6"/>
  <c r="H1249" i="6"/>
  <c r="H1228" i="6"/>
  <c r="G1456" i="6"/>
  <c r="H1456" i="6"/>
  <c r="G537" i="6"/>
  <c r="H537" i="6"/>
  <c r="G408" i="6"/>
  <c r="H408" i="6"/>
  <c r="H1625" i="6"/>
  <c r="H1476" i="6"/>
  <c r="H1372" i="6"/>
  <c r="H1269" i="6"/>
  <c r="H1185" i="6"/>
  <c r="H1166" i="6"/>
  <c r="G250" i="6"/>
  <c r="H250" i="6"/>
  <c r="H1563" i="6"/>
  <c r="G1438" i="6"/>
  <c r="H1438" i="6"/>
  <c r="G778" i="6"/>
  <c r="H778" i="6"/>
  <c r="G1400" i="6"/>
  <c r="H1400" i="6"/>
  <c r="H1026" i="6"/>
  <c r="G1026" i="6"/>
  <c r="H455" i="6"/>
  <c r="G1353" i="6"/>
  <c r="H1353" i="6"/>
  <c r="H1006" i="6"/>
  <c r="G1006" i="6"/>
  <c r="G486" i="6"/>
  <c r="H486" i="6"/>
  <c r="H317" i="6"/>
  <c r="G317" i="6"/>
  <c r="H1694" i="6"/>
  <c r="H1648" i="6"/>
  <c r="H1642" i="6"/>
  <c r="H1620" i="6"/>
  <c r="H1611" i="6"/>
  <c r="H1544" i="6"/>
  <c r="H1529" i="6"/>
  <c r="H1524" i="6"/>
  <c r="H1515" i="6"/>
  <c r="H1342" i="6"/>
  <c r="H1293" i="6"/>
  <c r="H1268" i="6"/>
  <c r="H1244" i="6"/>
  <c r="H1240" i="6"/>
  <c r="H1211" i="6"/>
  <c r="H984" i="6"/>
  <c r="H777" i="6"/>
  <c r="H739" i="6"/>
  <c r="H707" i="6"/>
  <c r="H468" i="6"/>
  <c r="H462" i="6"/>
  <c r="H1675" i="6"/>
  <c r="H1652" i="6"/>
  <c r="H1555" i="6"/>
  <c r="H1443" i="6"/>
  <c r="G1348" i="6"/>
  <c r="H1348" i="6"/>
  <c r="H1279" i="6"/>
  <c r="H907" i="6"/>
  <c r="H833" i="6"/>
  <c r="H994" i="6"/>
  <c r="G371" i="6"/>
  <c r="H371" i="6"/>
  <c r="G1572" i="6"/>
  <c r="H1572" i="6"/>
  <c r="G1108" i="6"/>
  <c r="H1108" i="6"/>
  <c r="H1716" i="6"/>
  <c r="H1692" i="6"/>
  <c r="H1575" i="6"/>
  <c r="H1568" i="6"/>
  <c r="H1418" i="6"/>
  <c r="H1318" i="6"/>
  <c r="H1115" i="6"/>
  <c r="H1099" i="6"/>
  <c r="G926" i="6"/>
  <c r="H926" i="6"/>
  <c r="H809" i="6"/>
  <c r="H557" i="6"/>
  <c r="H535" i="6"/>
  <c r="H480" i="6"/>
  <c r="G480" i="6"/>
  <c r="G167" i="6"/>
  <c r="H8" i="6"/>
  <c r="H7" i="6"/>
  <c r="H321" i="6"/>
  <c r="G321" i="6"/>
  <c r="H1677" i="6"/>
  <c r="H1448" i="6"/>
  <c r="H1326" i="6"/>
  <c r="H1253" i="6"/>
  <c r="H1251" i="6"/>
  <c r="H1248" i="6"/>
  <c r="H1153" i="6"/>
  <c r="H919" i="6"/>
  <c r="H772" i="6"/>
  <c r="H528" i="6"/>
  <c r="G332" i="6"/>
  <c r="H332" i="6"/>
  <c r="H135" i="6"/>
  <c r="G78" i="6"/>
  <c r="H78" i="6"/>
  <c r="H404" i="6"/>
  <c r="H230" i="6"/>
  <c r="H76" i="6"/>
  <c r="H49" i="6"/>
  <c r="H42" i="6"/>
  <c r="H443" i="6"/>
  <c r="H117" i="6"/>
  <c r="H1566" i="6"/>
  <c r="H1466" i="6"/>
  <c r="H1257" i="6"/>
  <c r="H1136" i="6"/>
  <c r="G1005" i="6"/>
  <c r="G872" i="6"/>
  <c r="H872" i="6"/>
  <c r="G696" i="6"/>
  <c r="H656" i="6"/>
  <c r="G521" i="6"/>
  <c r="H521" i="6"/>
  <c r="H516" i="6"/>
  <c r="H460" i="6"/>
  <c r="H319" i="6"/>
  <c r="H307" i="6"/>
  <c r="H297" i="6"/>
  <c r="H277" i="6"/>
  <c r="H247" i="6"/>
  <c r="H1361" i="6"/>
  <c r="H1344" i="6"/>
  <c r="H1223" i="6"/>
  <c r="H1220" i="6"/>
  <c r="G1061" i="6"/>
  <c r="H1050" i="6"/>
  <c r="G842" i="6"/>
  <c r="H1580" i="6"/>
  <c r="H1465" i="6"/>
  <c r="H1415" i="6"/>
  <c r="H1370" i="6"/>
  <c r="G977" i="6"/>
  <c r="H977" i="6"/>
  <c r="H673" i="6"/>
  <c r="H558" i="6"/>
  <c r="H515" i="6"/>
  <c r="G382" i="6"/>
  <c r="H382" i="6"/>
  <c r="H1719" i="6"/>
  <c r="H1690" i="6"/>
  <c r="H1224" i="6"/>
  <c r="H1204" i="6"/>
  <c r="H1102" i="6"/>
  <c r="H871" i="6"/>
  <c r="H847" i="6"/>
  <c r="H598" i="6"/>
  <c r="G564" i="6"/>
  <c r="H564" i="6"/>
  <c r="H367" i="6"/>
  <c r="G344" i="6"/>
  <c r="H344" i="6"/>
  <c r="H295" i="6"/>
  <c r="H1442" i="6"/>
  <c r="H1436" i="6"/>
  <c r="H1334" i="6"/>
  <c r="H1274" i="6"/>
  <c r="H1232" i="6"/>
  <c r="H1226" i="6"/>
  <c r="G755" i="6"/>
  <c r="H755" i="6"/>
  <c r="H750" i="6"/>
  <c r="H731" i="6"/>
  <c r="H519" i="6"/>
  <c r="H461" i="6"/>
  <c r="H283" i="6"/>
  <c r="G335" i="6"/>
  <c r="H335" i="6"/>
  <c r="H1559" i="6"/>
  <c r="H1556" i="6"/>
  <c r="H1514" i="6"/>
  <c r="H1364" i="6"/>
  <c r="H1338" i="6"/>
  <c r="H1298" i="6"/>
  <c r="H1201" i="6"/>
  <c r="H1158" i="6"/>
  <c r="H1107" i="6"/>
  <c r="H1101" i="6"/>
  <c r="H1089" i="6"/>
  <c r="H1039" i="6"/>
  <c r="H846" i="6"/>
  <c r="H748" i="6"/>
  <c r="H740" i="6"/>
  <c r="H728" i="6"/>
  <c r="G621" i="6"/>
  <c r="H583" i="6"/>
  <c r="H560" i="6"/>
  <c r="G560" i="6"/>
  <c r="H485" i="6"/>
  <c r="H256" i="6"/>
  <c r="H664" i="6"/>
  <c r="H1015" i="6"/>
  <c r="H859" i="6"/>
  <c r="H786" i="6"/>
  <c r="H716" i="6"/>
  <c r="H654" i="6"/>
  <c r="H603" i="6"/>
  <c r="H430" i="6"/>
  <c r="H352" i="6"/>
  <c r="H261" i="6"/>
  <c r="H200" i="6"/>
  <c r="H190" i="6"/>
  <c r="G539" i="6"/>
  <c r="H539" i="6"/>
  <c r="H174" i="6"/>
  <c r="H1558" i="6"/>
  <c r="H1433" i="6"/>
  <c r="H1421" i="6"/>
  <c r="H1320" i="6"/>
  <c r="H1283" i="6"/>
  <c r="H1256" i="6"/>
  <c r="H1167" i="6"/>
  <c r="H1157" i="6"/>
  <c r="H1055" i="6"/>
  <c r="H982" i="6"/>
  <c r="H972" i="6"/>
  <c r="H968" i="6"/>
  <c r="H951" i="6"/>
  <c r="H819" i="6"/>
  <c r="H763" i="6"/>
  <c r="H669" i="6"/>
  <c r="G575" i="6"/>
  <c r="H575" i="6"/>
  <c r="H440" i="6"/>
  <c r="H434" i="6"/>
  <c r="G399" i="6"/>
  <c r="H399" i="6"/>
  <c r="H325" i="6"/>
  <c r="H891" i="6"/>
  <c r="H613" i="6"/>
  <c r="H195" i="6"/>
  <c r="H1165" i="6"/>
  <c r="H1155" i="6"/>
  <c r="H1142" i="6"/>
  <c r="H1129" i="6"/>
  <c r="H1123" i="6"/>
  <c r="H1106" i="6"/>
  <c r="H1064" i="6"/>
  <c r="H1056" i="6"/>
  <c r="H817" i="6"/>
  <c r="H812" i="6"/>
  <c r="H609" i="6"/>
  <c r="H475" i="6"/>
  <c r="H441" i="6"/>
  <c r="H384" i="6"/>
  <c r="H298" i="6"/>
  <c r="H284" i="6"/>
  <c r="H271" i="6"/>
  <c r="H266" i="6"/>
  <c r="H91" i="6"/>
  <c r="H77" i="6"/>
  <c r="H50" i="6"/>
  <c r="H19" i="6"/>
  <c r="H882" i="6"/>
  <c r="H820" i="6"/>
  <c r="H617" i="6"/>
  <c r="H357" i="6"/>
  <c r="H1042" i="6"/>
  <c r="H948" i="6"/>
  <c r="H896" i="6"/>
  <c r="H835" i="6"/>
  <c r="H581" i="6"/>
  <c r="H568" i="6"/>
  <c r="H413" i="6"/>
  <c r="G163" i="6"/>
  <c r="H163" i="6"/>
  <c r="H152" i="6"/>
  <c r="H1206" i="6"/>
  <c r="H702" i="6"/>
  <c r="H630" i="6"/>
  <c r="H573" i="6"/>
  <c r="H506" i="6"/>
  <c r="H356" i="6"/>
  <c r="H251" i="6"/>
  <c r="H121" i="6"/>
  <c r="H81" i="6"/>
  <c r="H73" i="6"/>
  <c r="H87" i="6"/>
  <c r="H46" i="6"/>
  <c r="H168" i="6"/>
  <c r="H15" i="6"/>
  <c r="H115" i="6"/>
  <c r="H1149" i="6"/>
  <c r="H967" i="6"/>
  <c r="H915" i="6"/>
  <c r="H620" i="6"/>
  <c r="H563" i="6"/>
  <c r="H445" i="6"/>
  <c r="H406" i="6"/>
  <c r="H391" i="6"/>
  <c r="H262" i="6"/>
  <c r="H161" i="6"/>
  <c r="H75" i="6"/>
  <c r="H17" i="6"/>
  <c r="H963" i="6"/>
  <c r="H900" i="6"/>
  <c r="H877" i="6"/>
  <c r="H867" i="6"/>
  <c r="H566" i="6"/>
  <c r="H545" i="6"/>
  <c r="H432" i="6"/>
  <c r="H418" i="6"/>
  <c r="H241" i="6"/>
  <c r="H99" i="6"/>
  <c r="H85" i="6"/>
  <c r="H3" i="6"/>
  <c r="H1126" i="6"/>
  <c r="H1020" i="6"/>
  <c r="H937" i="6"/>
  <c r="H850" i="6"/>
  <c r="H827" i="6"/>
  <c r="H764" i="6"/>
  <c r="H679" i="6"/>
  <c r="H653" i="6"/>
  <c r="H492" i="6"/>
  <c r="H487" i="6"/>
  <c r="H470" i="6"/>
  <c r="H320" i="6"/>
  <c r="H23" i="6"/>
  <c r="H1007" i="6"/>
  <c r="H970" i="6"/>
  <c r="H949" i="6"/>
  <c r="H922" i="6"/>
  <c r="H911" i="6"/>
  <c r="H840" i="6"/>
  <c r="H821" i="6"/>
  <c r="H569" i="6"/>
  <c r="H544" i="6"/>
  <c r="H520" i="6"/>
  <c r="H478" i="6"/>
  <c r="H306" i="6"/>
  <c r="H263" i="6"/>
  <c r="H208" i="6"/>
  <c r="H202" i="6"/>
  <c r="H84" i="6"/>
  <c r="H1663" i="6"/>
  <c r="H1639" i="6"/>
  <c r="H1360" i="6"/>
  <c r="G1182" i="6"/>
  <c r="H1182" i="6"/>
  <c r="G1025" i="6"/>
  <c r="H1025" i="6"/>
  <c r="H618" i="6"/>
  <c r="G618" i="6"/>
  <c r="H523" i="6"/>
  <c r="G243" i="6"/>
  <c r="H243" i="6"/>
  <c r="H1397" i="6"/>
  <c r="H1303" i="6"/>
  <c r="H1255" i="6"/>
  <c r="H1160" i="6"/>
  <c r="H1104" i="6"/>
  <c r="H863" i="6"/>
  <c r="H1401" i="6"/>
  <c r="H1112" i="6"/>
  <c r="H990" i="6"/>
  <c r="H796" i="6"/>
  <c r="H403" i="6"/>
  <c r="H1359" i="6"/>
  <c r="G1134" i="6"/>
  <c r="H1134" i="6"/>
  <c r="H1088" i="6"/>
  <c r="H1076" i="6"/>
  <c r="H538" i="6"/>
  <c r="H1621" i="6"/>
  <c r="G301" i="6"/>
  <c r="H301" i="6"/>
  <c r="G67" i="6"/>
  <c r="H67" i="6"/>
  <c r="H1222" i="6"/>
  <c r="H1191" i="6"/>
  <c r="H549" i="6"/>
  <c r="H56" i="6"/>
  <c r="G31" i="6"/>
  <c r="H31" i="6"/>
  <c r="G11" i="6"/>
  <c r="H11" i="6"/>
  <c r="H1691" i="6"/>
  <c r="H1613" i="6"/>
  <c r="H1500" i="6"/>
  <c r="H1307" i="6"/>
  <c r="H1053" i="6"/>
  <c r="H1038" i="6"/>
  <c r="H1016" i="6"/>
  <c r="H760" i="6"/>
  <c r="H734" i="6"/>
  <c r="H711" i="6"/>
  <c r="H671" i="6"/>
  <c r="G671" i="6"/>
  <c r="H665" i="6"/>
  <c r="H627" i="6"/>
  <c r="H225" i="6"/>
  <c r="H1239" i="6"/>
  <c r="H1209" i="6"/>
  <c r="H962" i="6"/>
  <c r="H1707" i="6"/>
  <c r="H1688" i="6"/>
  <c r="H1603" i="6"/>
  <c r="H1473" i="6"/>
  <c r="H1282" i="6"/>
  <c r="H1097" i="6"/>
  <c r="H884" i="6"/>
  <c r="H448" i="6"/>
  <c r="H444" i="6"/>
  <c r="G407" i="6"/>
  <c r="H407" i="6"/>
  <c r="G209" i="6"/>
  <c r="H209" i="6"/>
  <c r="H1455" i="6"/>
  <c r="H1173" i="6"/>
  <c r="G942" i="6"/>
  <c r="H942" i="6"/>
  <c r="G386" i="6"/>
  <c r="H386" i="6"/>
  <c r="G230" i="6"/>
  <c r="H1545" i="6"/>
  <c r="H1536" i="6"/>
  <c r="H1386" i="6"/>
  <c r="H1289" i="6"/>
  <c r="H1022" i="6"/>
  <c r="H981" i="6"/>
  <c r="H695" i="6"/>
  <c r="H220" i="6"/>
  <c r="G220" i="6"/>
  <c r="G647" i="6"/>
  <c r="H647" i="6"/>
  <c r="G1100" i="6"/>
  <c r="H1100" i="6"/>
  <c r="G1081" i="6"/>
  <c r="H1081" i="6"/>
  <c r="H24" i="6"/>
  <c r="G24" i="6"/>
  <c r="G626" i="6"/>
  <c r="H626" i="6"/>
  <c r="H1417" i="6"/>
  <c r="G1322" i="6"/>
  <c r="H1322" i="6"/>
  <c r="G1091" i="6"/>
  <c r="H1091" i="6"/>
  <c r="H1051" i="6"/>
  <c r="H1046" i="6"/>
  <c r="H897" i="6"/>
  <c r="H92" i="6"/>
  <c r="G774" i="6"/>
  <c r="H774" i="6"/>
  <c r="G1513" i="6"/>
  <c r="H1513" i="6"/>
  <c r="H110" i="6"/>
  <c r="G110" i="6"/>
  <c r="G1614" i="6"/>
  <c r="H1614" i="6"/>
  <c r="G918" i="6"/>
  <c r="H918" i="6"/>
  <c r="G62" i="6"/>
  <c r="H62" i="6"/>
  <c r="G274" i="6"/>
  <c r="H274" i="6"/>
  <c r="G54" i="6"/>
  <c r="H54" i="6"/>
  <c r="G1644" i="6"/>
  <c r="H1644" i="6"/>
  <c r="G313" i="6"/>
  <c r="H313" i="6"/>
  <c r="G757" i="6"/>
  <c r="H757" i="6"/>
  <c r="G496" i="6"/>
  <c r="H496" i="6"/>
  <c r="G1569" i="6"/>
  <c r="H1569" i="6"/>
  <c r="G672" i="6"/>
  <c r="H672" i="6"/>
  <c r="G952" i="6"/>
  <c r="H952" i="6"/>
  <c r="H1632" i="6"/>
  <c r="H1591" i="6"/>
  <c r="H1530" i="6"/>
  <c r="H1377" i="6"/>
  <c r="H1346" i="6"/>
  <c r="H1184" i="6"/>
  <c r="H1151" i="6"/>
  <c r="H1067" i="6"/>
  <c r="H1027" i="6"/>
  <c r="G955" i="6"/>
  <c r="H955" i="6"/>
  <c r="H580" i="6"/>
  <c r="H552" i="6"/>
  <c r="G512" i="6"/>
  <c r="H512" i="6"/>
  <c r="G1396" i="6"/>
  <c r="H1396" i="6"/>
  <c r="H1686" i="6"/>
  <c r="H1627" i="6"/>
  <c r="H1619" i="6"/>
  <c r="H1592" i="6"/>
  <c r="H1582" i="6"/>
  <c r="H1554" i="6"/>
  <c r="H1502" i="6"/>
  <c r="H1497" i="6"/>
  <c r="H1463" i="6"/>
  <c r="H1437" i="6"/>
  <c r="H1404" i="6"/>
  <c r="H1090" i="6"/>
  <c r="G1008" i="6"/>
  <c r="H1008" i="6"/>
  <c r="H830" i="6"/>
  <c r="H824" i="6"/>
  <c r="H636" i="6"/>
  <c r="G172" i="6"/>
  <c r="H172" i="6"/>
  <c r="G1003" i="6"/>
  <c r="H1003" i="6"/>
  <c r="G607" i="6"/>
  <c r="H607" i="6"/>
  <c r="G710" i="6"/>
  <c r="H710" i="6"/>
  <c r="G622" i="6"/>
  <c r="H622" i="6"/>
  <c r="G79" i="6"/>
  <c r="H79" i="6"/>
  <c r="H1710" i="6"/>
  <c r="H1615" i="6"/>
  <c r="H1534" i="6"/>
  <c r="H1337" i="6"/>
  <c r="H1294" i="6"/>
  <c r="H1235" i="6"/>
  <c r="G1213" i="6"/>
  <c r="H1213" i="6"/>
  <c r="G939" i="6"/>
  <c r="H939" i="6"/>
  <c r="H585" i="6"/>
  <c r="H491" i="6"/>
  <c r="G98" i="6"/>
  <c r="H98" i="6"/>
  <c r="H1030" i="6"/>
  <c r="G275" i="6"/>
  <c r="H275" i="6"/>
  <c r="G103" i="6"/>
  <c r="H103" i="6"/>
  <c r="H1660" i="6"/>
  <c r="H1547" i="6"/>
  <c r="H1120" i="6"/>
  <c r="H1095" i="6"/>
  <c r="H1043" i="6"/>
  <c r="H906" i="6"/>
  <c r="H722" i="6"/>
  <c r="H611" i="6"/>
  <c r="G505" i="6"/>
  <c r="H505" i="6"/>
  <c r="H160" i="6"/>
  <c r="H134" i="6"/>
  <c r="H1308" i="6"/>
  <c r="H745" i="6"/>
  <c r="G662" i="6"/>
  <c r="H662" i="6"/>
  <c r="G426" i="6"/>
  <c r="H426" i="6"/>
  <c r="H364" i="6"/>
  <c r="H339" i="6"/>
  <c r="G253" i="6"/>
  <c r="H253" i="6"/>
  <c r="H231" i="6"/>
  <c r="H215" i="6"/>
  <c r="H210" i="6"/>
  <c r="H1373" i="6"/>
  <c r="H1210" i="6"/>
  <c r="H1070" i="6"/>
  <c r="H912" i="6"/>
  <c r="H767" i="6"/>
  <c r="H597" i="6"/>
  <c r="G291" i="6"/>
  <c r="H291" i="6"/>
  <c r="H198" i="6"/>
  <c r="H1280" i="6"/>
  <c r="H345" i="6"/>
  <c r="H257" i="6"/>
  <c r="H165" i="6"/>
  <c r="H102" i="6"/>
  <c r="H1494" i="6"/>
  <c r="H1316" i="6"/>
  <c r="H1245" i="6"/>
  <c r="H1131" i="6"/>
  <c r="H1035" i="6"/>
  <c r="H699" i="6"/>
  <c r="H591" i="6"/>
  <c r="H401" i="6"/>
  <c r="H392" i="6"/>
  <c r="G178" i="6"/>
  <c r="H178" i="6"/>
  <c r="H20" i="6"/>
  <c r="H1159" i="6"/>
  <c r="H916" i="6"/>
  <c r="G784" i="6"/>
  <c r="H776" i="6"/>
  <c r="H652" i="6"/>
  <c r="H193" i="6"/>
  <c r="H182" i="6"/>
  <c r="G905" i="6"/>
  <c r="H905" i="6"/>
  <c r="G576" i="6"/>
  <c r="H576" i="6"/>
  <c r="G331" i="6"/>
  <c r="H331" i="6"/>
  <c r="H173" i="6"/>
  <c r="G58" i="6"/>
  <c r="H58" i="6"/>
  <c r="G4" i="6"/>
  <c r="H4" i="6"/>
  <c r="G720" i="6"/>
  <c r="H720" i="6"/>
  <c r="H659" i="6"/>
  <c r="H555" i="6"/>
  <c r="H484" i="6"/>
  <c r="G395" i="6"/>
  <c r="H395" i="6"/>
  <c r="H181" i="6"/>
  <c r="G489" i="6"/>
  <c r="H489" i="6"/>
  <c r="H82" i="6"/>
  <c r="G82" i="6"/>
  <c r="G212" i="6"/>
  <c r="H212" i="6"/>
  <c r="G541" i="6"/>
  <c r="H541" i="6"/>
  <c r="G201" i="6"/>
  <c r="H201" i="6"/>
  <c r="H1714" i="6"/>
  <c r="H1601" i="6"/>
  <c r="H1431" i="6"/>
  <c r="H1429" i="6"/>
  <c r="H909" i="6"/>
  <c r="H878" i="6"/>
  <c r="H668" i="6"/>
  <c r="H595" i="6"/>
  <c r="H574" i="6"/>
  <c r="G554" i="6"/>
  <c r="G309" i="6"/>
  <c r="H309" i="6"/>
  <c r="G869" i="6"/>
  <c r="H869" i="6"/>
  <c r="H828" i="6"/>
  <c r="G828" i="6"/>
  <c r="G456" i="6"/>
  <c r="H456" i="6"/>
  <c r="G288" i="6"/>
  <c r="H288" i="6"/>
  <c r="H1597" i="6"/>
  <c r="H1519" i="6"/>
  <c r="H1375" i="6"/>
  <c r="H1208" i="6"/>
  <c r="H959" i="6"/>
  <c r="H924" i="6"/>
  <c r="H634" i="6"/>
  <c r="H524" i="6"/>
  <c r="G377" i="6"/>
  <c r="H377" i="6"/>
  <c r="G324" i="6"/>
  <c r="H324" i="6"/>
  <c r="H228" i="6"/>
  <c r="H217" i="6"/>
  <c r="H1062" i="6"/>
  <c r="H273" i="6"/>
  <c r="H222" i="6"/>
  <c r="H983" i="6"/>
  <c r="H880" i="6"/>
  <c r="G680" i="6"/>
  <c r="H680" i="6"/>
  <c r="H431" i="6"/>
  <c r="G232" i="6"/>
  <c r="H232" i="6"/>
  <c r="H69" i="6"/>
  <c r="H63" i="6"/>
  <c r="H40" i="6"/>
  <c r="H1170" i="6"/>
  <c r="H1023" i="6"/>
  <c r="H923" i="6"/>
  <c r="H864" i="6"/>
  <c r="H798" i="6"/>
  <c r="G748" i="6"/>
  <c r="H686" i="6"/>
  <c r="H599" i="6"/>
  <c r="H547" i="6"/>
  <c r="H300" i="6"/>
  <c r="G141" i="6"/>
  <c r="H141" i="6"/>
  <c r="H1047" i="6"/>
  <c r="H845" i="6"/>
  <c r="H255" i="6"/>
  <c r="H124" i="6"/>
  <c r="H1701" i="6"/>
  <c r="H1444" i="6"/>
  <c r="H1188" i="6"/>
  <c r="H793" i="6"/>
  <c r="H682" i="6"/>
  <c r="H551" i="6"/>
  <c r="H503" i="6"/>
  <c r="H107" i="6"/>
  <c r="H380" i="6"/>
  <c r="G372" i="6"/>
  <c r="H372" i="6"/>
  <c r="H338" i="6"/>
  <c r="H187" i="6"/>
  <c r="G35" i="6"/>
  <c r="H35" i="6"/>
  <c r="H16" i="6"/>
  <c r="G9" i="6"/>
  <c r="H9" i="6"/>
  <c r="H806" i="6"/>
  <c r="H570" i="6"/>
  <c r="H477" i="6"/>
  <c r="G234" i="6"/>
  <c r="H234" i="6"/>
  <c r="H118" i="6"/>
  <c r="H816" i="6"/>
  <c r="G741" i="6"/>
  <c r="H741" i="6"/>
  <c r="H706" i="6"/>
  <c r="H476" i="6"/>
  <c r="G351" i="6"/>
  <c r="H351" i="6"/>
  <c r="H252" i="6"/>
  <c r="H149" i="6"/>
  <c r="H687" i="6"/>
  <c r="G447" i="6"/>
  <c r="H447" i="6"/>
  <c r="H346" i="6"/>
  <c r="H340" i="6"/>
  <c r="H179" i="6"/>
  <c r="G55" i="6"/>
  <c r="H55" i="6"/>
  <c r="H13" i="6"/>
  <c r="G350" i="6"/>
  <c r="H350" i="6"/>
  <c r="G223" i="6"/>
  <c r="H223" i="6"/>
  <c r="G446" i="6"/>
  <c r="H446" i="6"/>
  <c r="H318" i="6"/>
  <c r="H158" i="6"/>
  <c r="H154" i="6"/>
  <c r="G660" i="6"/>
  <c r="H660" i="6"/>
  <c r="H531" i="6"/>
  <c r="H218" i="6"/>
  <c r="G144" i="6"/>
  <c r="H144" i="6"/>
  <c r="H112" i="6"/>
  <c r="H565" i="6"/>
  <c r="H433" i="6"/>
  <c r="H358" i="6"/>
  <c r="G264" i="6"/>
  <c r="H264" i="6"/>
  <c r="H260" i="6"/>
  <c r="H197" i="6"/>
  <c r="H106" i="6"/>
  <c r="H30" i="6"/>
  <c r="H52" i="6"/>
  <c r="H176" i="6"/>
  <c r="G29" i="6"/>
  <c r="H29" i="6"/>
  <c r="H188" i="6"/>
  <c r="G2" i="6"/>
  <c r="H148" i="4"/>
  <c r="H1069" i="4"/>
  <c r="H491" i="4"/>
  <c r="H630" i="4"/>
  <c r="H1691" i="4"/>
  <c r="H97" i="4"/>
  <c r="H1588" i="4"/>
  <c r="H1317" i="4"/>
  <c r="H1205" i="4"/>
  <c r="H981" i="4"/>
  <c r="H953" i="4"/>
  <c r="H524" i="4"/>
  <c r="H1695" i="4"/>
  <c r="H1091" i="4"/>
  <c r="H290" i="4"/>
  <c r="H763" i="4"/>
  <c r="H622" i="4"/>
  <c r="H483" i="4"/>
  <c r="H1765" i="4"/>
  <c r="H1327" i="4"/>
  <c r="H666" i="4"/>
  <c r="H1224" i="4"/>
  <c r="H358" i="4"/>
  <c r="H1492" i="4"/>
  <c r="H1139" i="4"/>
  <c r="H1111" i="4"/>
  <c r="H589" i="4"/>
  <c r="H506" i="4"/>
  <c r="H1733" i="4"/>
  <c r="H1705" i="4"/>
  <c r="H1510" i="4"/>
  <c r="H1315" i="4"/>
  <c r="H1073" i="4"/>
  <c r="H1734" i="4"/>
  <c r="H1641" i="4"/>
  <c r="H1586" i="4"/>
  <c r="H1419" i="4"/>
  <c r="H1197" i="4"/>
  <c r="H1048" i="4"/>
  <c r="H695" i="4"/>
  <c r="H868" i="4"/>
  <c r="H1601" i="4"/>
  <c r="H1546" i="4"/>
  <c r="H1453" i="4"/>
  <c r="H1082" i="4"/>
  <c r="H877" i="4"/>
  <c r="H1202" i="4"/>
  <c r="H1322" i="4"/>
  <c r="H1313" i="4"/>
  <c r="H1507" i="4"/>
  <c r="H1479" i="4"/>
  <c r="H1719" i="4"/>
  <c r="H1710" i="4"/>
  <c r="H1488" i="4"/>
  <c r="H1404" i="4"/>
  <c r="H1030" i="4"/>
  <c r="H1012" i="4"/>
  <c r="H789" i="4"/>
  <c r="H744" i="4"/>
  <c r="H614" i="4"/>
  <c r="H512" i="4"/>
  <c r="H1722" i="4"/>
  <c r="H723" i="4"/>
  <c r="H1571" i="4"/>
  <c r="H858" i="4"/>
  <c r="H802" i="4"/>
  <c r="H701" i="4"/>
  <c r="H135" i="4"/>
  <c r="H663" i="4"/>
  <c r="H459" i="4"/>
  <c r="H1606" i="4"/>
  <c r="H1542" i="4"/>
  <c r="H1023" i="4"/>
  <c r="H672" i="4"/>
  <c r="H1301" i="4"/>
  <c r="H1005" i="4"/>
  <c r="H958" i="4"/>
  <c r="H541" i="4"/>
  <c r="H1291" i="4"/>
  <c r="H1189" i="4"/>
  <c r="H1143" i="4"/>
  <c r="H967" i="4"/>
  <c r="H606" i="4"/>
  <c r="H1625" i="4"/>
  <c r="H1027" i="4"/>
  <c r="H824" i="4"/>
  <c r="H714" i="4"/>
  <c r="H1605" i="4"/>
  <c r="H93" i="4"/>
  <c r="H1687" i="4"/>
  <c r="H1090" i="4"/>
  <c r="H924" i="4"/>
  <c r="H887" i="4"/>
  <c r="H685" i="4"/>
  <c r="H482" i="4"/>
  <c r="H297" i="4"/>
  <c r="H1458" i="4"/>
  <c r="H1227" i="4"/>
  <c r="H739" i="4"/>
  <c r="H711" i="4"/>
  <c r="H101" i="4"/>
  <c r="H1741" i="4"/>
  <c r="H1676" i="4"/>
  <c r="H1476" i="4"/>
  <c r="H913" i="4"/>
  <c r="H516" i="4"/>
  <c r="H1428" i="4"/>
  <c r="H819" i="4"/>
  <c r="H791" i="4"/>
  <c r="H1590" i="4"/>
  <c r="H1581" i="4"/>
  <c r="H1416" i="4"/>
  <c r="H937" i="4"/>
  <c r="H780" i="4"/>
  <c r="H310" i="4"/>
  <c r="H59" i="4"/>
  <c r="H22" i="4"/>
  <c r="H1644" i="4"/>
  <c r="H1690" i="4"/>
  <c r="H1360" i="4"/>
  <c r="H632" i="4"/>
  <c r="H328" i="4"/>
  <c r="H1671" i="4"/>
  <c r="H1662" i="4"/>
  <c r="H1589" i="4"/>
  <c r="H1277" i="4"/>
  <c r="H871" i="4"/>
  <c r="H466" i="4"/>
  <c r="H438" i="4"/>
  <c r="H188" i="4"/>
  <c r="H142" i="4"/>
  <c r="H1487" i="4"/>
  <c r="H1124" i="4"/>
  <c r="H991" i="4"/>
  <c r="H948" i="4"/>
  <c r="H700" i="4"/>
  <c r="H674" i="4"/>
  <c r="H1597" i="4"/>
  <c r="H1387" i="4"/>
  <c r="H1253" i="4"/>
  <c r="H1220" i="4"/>
  <c r="H1211" i="4"/>
  <c r="H1088" i="4"/>
  <c r="H745" i="4"/>
  <c r="H736" i="4"/>
  <c r="H586" i="4"/>
  <c r="H353" i="4"/>
  <c r="H1368" i="4"/>
  <c r="H324" i="4"/>
  <c r="H154" i="4"/>
  <c r="H62" i="4"/>
  <c r="H1649" i="4"/>
  <c r="H1554" i="4"/>
  <c r="H1520" i="4"/>
  <c r="H1512" i="4"/>
  <c r="H1032" i="4"/>
  <c r="H882" i="4"/>
  <c r="H514" i="4"/>
  <c r="H288" i="4"/>
  <c r="H171" i="4"/>
  <c r="H1260" i="4"/>
  <c r="H1666" i="4"/>
  <c r="H1594" i="4"/>
  <c r="H1182" i="4"/>
  <c r="H971" i="4"/>
  <c r="H944" i="4"/>
  <c r="H446" i="4"/>
  <c r="H609" i="4"/>
  <c r="H1536" i="4"/>
  <c r="H1438" i="4"/>
  <c r="H1383" i="4"/>
  <c r="H1339" i="4"/>
  <c r="H1258" i="4"/>
  <c r="H1249" i="4"/>
  <c r="H1153" i="4"/>
  <c r="H1145" i="4"/>
  <c r="H1075" i="4"/>
  <c r="H1039" i="4"/>
  <c r="H844" i="4"/>
  <c r="H618" i="4"/>
  <c r="H1746" i="4"/>
  <c r="H1646" i="4"/>
  <c r="H634" i="4"/>
  <c r="H599" i="4"/>
  <c r="H545" i="4"/>
  <c r="H1535" i="4"/>
  <c r="H1437" i="4"/>
  <c r="H1074" i="4"/>
  <c r="H969" i="4"/>
  <c r="H581" i="4"/>
  <c r="H1727" i="4"/>
  <c r="H1312" i="4"/>
  <c r="H1011" i="4"/>
  <c r="H951" i="4"/>
  <c r="H827" i="4"/>
  <c r="H1373" i="4"/>
  <c r="H1118" i="4"/>
  <c r="H836" i="4"/>
  <c r="H247" i="4"/>
  <c r="H238" i="4"/>
  <c r="H1726" i="4"/>
  <c r="H1596" i="4"/>
  <c r="H1408" i="4"/>
  <c r="H1347" i="4"/>
  <c r="H1016" i="4"/>
  <c r="H652" i="4"/>
  <c r="H326" i="4"/>
  <c r="H1572" i="4"/>
  <c r="H1495" i="4"/>
  <c r="H1425" i="4"/>
  <c r="H1217" i="4"/>
  <c r="H954" i="4"/>
  <c r="H755" i="4"/>
  <c r="H720" i="4"/>
  <c r="H378" i="4"/>
  <c r="H325" i="4"/>
  <c r="H384" i="4"/>
  <c r="H1723" i="4"/>
  <c r="H1681" i="4"/>
  <c r="H1672" i="4"/>
  <c r="H1637" i="4"/>
  <c r="H1578" i="4"/>
  <c r="H1405" i="4"/>
  <c r="H1362" i="4"/>
  <c r="H1353" i="4"/>
  <c r="H1215" i="4"/>
  <c r="H866" i="4"/>
  <c r="H641" i="4"/>
  <c r="H463" i="4"/>
  <c r="H402" i="4"/>
  <c r="H1689" i="4"/>
  <c r="H1663" i="4"/>
  <c r="H1561" i="4"/>
  <c r="H1466" i="4"/>
  <c r="H1414" i="4"/>
  <c r="H1378" i="4"/>
  <c r="H1283" i="4"/>
  <c r="H1180" i="4"/>
  <c r="H1135" i="4"/>
  <c r="H770" i="4"/>
  <c r="H718" i="4"/>
  <c r="H250" i="4"/>
  <c r="H1757" i="4"/>
  <c r="H1653" i="4"/>
  <c r="H1474" i="4"/>
  <c r="H1440" i="4"/>
  <c r="H1413" i="4"/>
  <c r="H1282" i="4"/>
  <c r="H1273" i="4"/>
  <c r="H1065" i="4"/>
  <c r="H881" i="4"/>
  <c r="H340" i="4"/>
  <c r="H331" i="4"/>
  <c r="H249" i="4"/>
  <c r="H44" i="4"/>
  <c r="H1670" i="4"/>
  <c r="H1568" i="4"/>
  <c r="H1559" i="4"/>
  <c r="H1543" i="4"/>
  <c r="H1351" i="4"/>
  <c r="H1281" i="4"/>
  <c r="H1228" i="4"/>
  <c r="H1196" i="4"/>
  <c r="H1108" i="4"/>
  <c r="H595" i="4"/>
  <c r="H526" i="4"/>
  <c r="H510" i="4"/>
  <c r="H461" i="4"/>
  <c r="H425" i="4"/>
  <c r="H339" i="4"/>
  <c r="H1729" i="4"/>
  <c r="H1384" i="4"/>
  <c r="H1316" i="4"/>
  <c r="H933" i="4"/>
  <c r="H559" i="4"/>
  <c r="H542" i="4"/>
  <c r="H266" i="4"/>
  <c r="H1738" i="4"/>
  <c r="H1516" i="4"/>
  <c r="H1168" i="4"/>
  <c r="H1055" i="4"/>
  <c r="H888" i="4"/>
  <c r="H759" i="4"/>
  <c r="H743" i="4"/>
  <c r="H655" i="4"/>
  <c r="H568" i="4"/>
  <c r="H533" i="4"/>
  <c r="H357" i="4"/>
  <c r="H161" i="4"/>
  <c r="H776" i="4"/>
  <c r="H577" i="4"/>
  <c r="H203" i="4"/>
  <c r="H125" i="4"/>
  <c r="H88" i="4"/>
  <c r="H1754" i="4"/>
  <c r="H1650" i="4"/>
  <c r="H1566" i="4"/>
  <c r="H1557" i="4"/>
  <c r="H1541" i="4"/>
  <c r="H1314" i="4"/>
  <c r="H1149" i="4"/>
  <c r="H1140" i="4"/>
  <c r="H1131" i="4"/>
  <c r="H984" i="4"/>
  <c r="H975" i="4"/>
  <c r="H966" i="4"/>
  <c r="H670" i="4"/>
  <c r="H301" i="4"/>
  <c r="H1718" i="4"/>
  <c r="H1497" i="4"/>
  <c r="H1445" i="4"/>
  <c r="H1427" i="4"/>
  <c r="H1366" i="4"/>
  <c r="H1348" i="4"/>
  <c r="H1330" i="4"/>
  <c r="H1219" i="4"/>
  <c r="H1210" i="4"/>
  <c r="H956" i="4"/>
  <c r="H774" i="4"/>
  <c r="H704" i="4"/>
  <c r="H413" i="4"/>
  <c r="H201" i="4"/>
  <c r="H1701" i="4"/>
  <c r="H67" i="4"/>
  <c r="H1675" i="4"/>
  <c r="H1623" i="4"/>
  <c r="H1614" i="4"/>
  <c r="H1505" i="4"/>
  <c r="H1321" i="4"/>
  <c r="H1269" i="4"/>
  <c r="H1243" i="4"/>
  <c r="H1113" i="4"/>
  <c r="H860" i="4"/>
  <c r="H835" i="4"/>
  <c r="H818" i="4"/>
  <c r="H58" i="4"/>
  <c r="H1683" i="4"/>
  <c r="H1615" i="4"/>
  <c r="H1558" i="4"/>
  <c r="H1534" i="4"/>
  <c r="H1441" i="4"/>
  <c r="H1271" i="4"/>
  <c r="H1246" i="4"/>
  <c r="H1127" i="4"/>
  <c r="H1103" i="4"/>
  <c r="H1094" i="4"/>
  <c r="H1078" i="4"/>
  <c r="H1026" i="4"/>
  <c r="H667" i="4"/>
  <c r="H660" i="4"/>
  <c r="H282" i="4"/>
  <c r="H162" i="4"/>
  <c r="H46" i="4"/>
  <c r="H1731" i="4"/>
  <c r="H1715" i="4"/>
  <c r="H1305" i="4"/>
  <c r="H1278" i="4"/>
  <c r="H1086" i="4"/>
  <c r="H1060" i="4"/>
  <c r="H1025" i="4"/>
  <c r="H898" i="4"/>
  <c r="H855" i="4"/>
  <c r="H650" i="4"/>
  <c r="H575" i="4"/>
  <c r="H392" i="4"/>
  <c r="H263" i="4"/>
  <c r="H1448" i="4"/>
  <c r="H915" i="4"/>
  <c r="H503" i="4"/>
  <c r="H1673" i="4"/>
  <c r="H509" i="4"/>
  <c r="H2" i="4"/>
  <c r="H1647" i="4"/>
  <c r="H1371" i="4"/>
  <c r="H1024" i="4"/>
  <c r="H906" i="4"/>
  <c r="H845" i="4"/>
  <c r="H617" i="4"/>
  <c r="H608" i="4"/>
  <c r="H556" i="4"/>
  <c r="H443" i="4"/>
  <c r="H375" i="4"/>
  <c r="H236" i="4"/>
  <c r="H211" i="4"/>
  <c r="H26" i="4"/>
  <c r="H17" i="4"/>
  <c r="H1084" i="4"/>
  <c r="H1058" i="4"/>
  <c r="H914" i="4"/>
  <c r="H546" i="4"/>
  <c r="H508" i="4"/>
  <c r="H494" i="4"/>
  <c r="H433" i="4"/>
  <c r="H374" i="4"/>
  <c r="H341" i="4"/>
  <c r="H279" i="4"/>
  <c r="H252" i="4"/>
  <c r="H176" i="4"/>
  <c r="H1470" i="4"/>
  <c r="H1496" i="4"/>
  <c r="H1420" i="4"/>
  <c r="H1385" i="4"/>
  <c r="H1218" i="4"/>
  <c r="H784" i="4"/>
  <c r="H615" i="4"/>
  <c r="H441" i="4"/>
  <c r="H314" i="4"/>
  <c r="H24" i="4"/>
  <c r="H458" i="4"/>
  <c r="H398" i="4"/>
  <c r="H69" i="4"/>
  <c r="H42" i="4"/>
  <c r="H15" i="4"/>
  <c r="H972" i="4"/>
  <c r="H775" i="4"/>
  <c r="H758" i="4"/>
  <c r="H742" i="4"/>
  <c r="H733" i="4"/>
  <c r="H639" i="4"/>
  <c r="H537" i="4"/>
  <c r="H414" i="4"/>
  <c r="H305" i="4"/>
  <c r="H296" i="4"/>
  <c r="H158" i="4"/>
  <c r="H140" i="4"/>
  <c r="H87" i="4"/>
  <c r="H1021" i="4"/>
  <c r="H1627" i="4"/>
  <c r="H1528" i="4"/>
  <c r="H1503" i="4"/>
  <c r="H1494" i="4"/>
  <c r="H1324" i="4"/>
  <c r="H1240" i="4"/>
  <c r="H1216" i="4"/>
  <c r="H1173" i="4"/>
  <c r="H1038" i="4"/>
  <c r="H1029" i="4"/>
  <c r="H850" i="4"/>
  <c r="H570" i="4"/>
  <c r="H198" i="4"/>
  <c r="H1122" i="4"/>
  <c r="H604" i="4"/>
  <c r="H1767" i="4"/>
  <c r="H1758" i="4"/>
  <c r="H1643" i="4"/>
  <c r="H1569" i="4"/>
  <c r="H1485" i="4"/>
  <c r="H1155" i="4"/>
  <c r="H1129" i="4"/>
  <c r="H961" i="4"/>
  <c r="H756" i="4"/>
  <c r="H748" i="4"/>
  <c r="H740" i="4"/>
  <c r="H731" i="4"/>
  <c r="H713" i="4"/>
  <c r="H679" i="4"/>
  <c r="H421" i="4"/>
  <c r="H13" i="4"/>
  <c r="H1702" i="4"/>
  <c r="H1685" i="4"/>
  <c r="H1677" i="4"/>
  <c r="H1626" i="4"/>
  <c r="H1358" i="4"/>
  <c r="H1239" i="4"/>
  <c r="H1003" i="4"/>
  <c r="H995" i="4"/>
  <c r="H892" i="4"/>
  <c r="H883" i="4"/>
  <c r="H808" i="4"/>
  <c r="H662" i="4"/>
  <c r="H644" i="4"/>
  <c r="H275" i="4"/>
  <c r="H257" i="4"/>
  <c r="H206" i="4"/>
  <c r="H180" i="4"/>
  <c r="H1560" i="4"/>
  <c r="H1551" i="4"/>
  <c r="H1544" i="4"/>
  <c r="H1518" i="4"/>
  <c r="H1475" i="4"/>
  <c r="H1443" i="4"/>
  <c r="H1349" i="4"/>
  <c r="H901" i="4"/>
  <c r="H721" i="4"/>
  <c r="H578" i="4"/>
  <c r="H239" i="4"/>
  <c r="H1709" i="4"/>
  <c r="H1693" i="4"/>
  <c r="H1668" i="4"/>
  <c r="H1583" i="4"/>
  <c r="H1484" i="4"/>
  <c r="H1390" i="4"/>
  <c r="H1340" i="4"/>
  <c r="H1146" i="4"/>
  <c r="H1036" i="4"/>
  <c r="H875" i="4"/>
  <c r="H842" i="4"/>
  <c r="H730" i="4"/>
  <c r="H504" i="4"/>
  <c r="H456" i="4"/>
  <c r="H386" i="4"/>
  <c r="H66" i="4"/>
  <c r="H572" i="4"/>
  <c r="H515" i="4"/>
  <c r="H404" i="4"/>
  <c r="H359" i="4"/>
  <c r="H190" i="4"/>
  <c r="H799" i="4"/>
  <c r="H677" i="4"/>
  <c r="H412" i="4"/>
  <c r="H366" i="4"/>
  <c r="H291" i="4"/>
  <c r="H231" i="4"/>
  <c r="H197" i="4"/>
  <c r="H1602" i="4"/>
  <c r="H1229" i="4"/>
  <c r="H809" i="4"/>
  <c r="H1114" i="4"/>
  <c r="H925" i="4"/>
  <c r="H396" i="4"/>
  <c r="H1455" i="4"/>
  <c r="H1334" i="4"/>
  <c r="H411" i="4"/>
  <c r="H1725" i="4"/>
  <c r="H1694" i="4"/>
  <c r="H1686" i="4"/>
  <c r="H1640" i="4"/>
  <c r="H1447" i="4"/>
  <c r="H1342" i="4"/>
  <c r="H1047" i="4"/>
  <c r="H908" i="4"/>
  <c r="H899" i="4"/>
  <c r="H857" i="4"/>
  <c r="H798" i="4"/>
  <c r="H308" i="4"/>
  <c r="H281" i="4"/>
  <c r="H272" i="4"/>
  <c r="H254" i="4"/>
  <c r="H221" i="4"/>
  <c r="H213" i="4"/>
  <c r="H1632" i="4"/>
  <c r="H1511" i="4"/>
  <c r="H765" i="4"/>
  <c r="H684" i="4"/>
  <c r="H507" i="4"/>
  <c r="H1678" i="4"/>
  <c r="H1607" i="4"/>
  <c r="H1367" i="4"/>
  <c r="H1203" i="4"/>
  <c r="H1161" i="4"/>
  <c r="H1104" i="4"/>
  <c r="H1046" i="4"/>
  <c r="H907" i="4"/>
  <c r="H889" i="4"/>
  <c r="H856" i="4"/>
  <c r="H332" i="4"/>
  <c r="H315" i="4"/>
  <c r="H289" i="4"/>
  <c r="H121" i="4"/>
  <c r="H7" i="4"/>
  <c r="H741" i="4"/>
  <c r="H707" i="4"/>
  <c r="H619" i="4"/>
  <c r="H535" i="4"/>
  <c r="H395" i="4"/>
  <c r="H356" i="4"/>
  <c r="H68" i="4"/>
  <c r="H475" i="4"/>
  <c r="H313" i="4"/>
  <c r="H1044" i="4"/>
  <c r="H830" i="4"/>
  <c r="H698" i="4"/>
  <c r="H499" i="4"/>
  <c r="H416" i="4"/>
  <c r="H354" i="4"/>
  <c r="H338" i="4"/>
  <c r="H278" i="4"/>
  <c r="H260" i="4"/>
  <c r="H226" i="4"/>
  <c r="H136" i="4"/>
  <c r="H84" i="4"/>
  <c r="H1019" i="4"/>
  <c r="H1636" i="4"/>
  <c r="H1435" i="4"/>
  <c r="H1410" i="4"/>
  <c r="H1255" i="4"/>
  <c r="H1117" i="4"/>
  <c r="H1034" i="4"/>
  <c r="H1009" i="4"/>
  <c r="H1001" i="4"/>
  <c r="H895" i="4"/>
  <c r="H829" i="4"/>
  <c r="H794" i="4"/>
  <c r="H697" i="4"/>
  <c r="H450" i="4"/>
  <c r="H369" i="4"/>
  <c r="H177" i="4"/>
  <c r="H1652" i="4"/>
  <c r="H1473" i="4"/>
  <c r="H1459" i="4"/>
  <c r="H1451" i="4"/>
  <c r="H1402" i="4"/>
  <c r="H1394" i="4"/>
  <c r="H878" i="4"/>
  <c r="H821" i="4"/>
  <c r="H624" i="4"/>
  <c r="H400" i="4"/>
  <c r="H216" i="4"/>
  <c r="H1436" i="4"/>
  <c r="H1612" i="4"/>
  <c r="H1579" i="4"/>
  <c r="H1515" i="4"/>
  <c r="H1490" i="4"/>
  <c r="H1386" i="4"/>
  <c r="H1363" i="4"/>
  <c r="H1354" i="4"/>
  <c r="H1289" i="4"/>
  <c r="H1272" i="4"/>
  <c r="H557" i="4"/>
  <c r="H532" i="4"/>
  <c r="H490" i="4"/>
  <c r="H431" i="4"/>
  <c r="H233" i="4"/>
  <c r="H117" i="4"/>
  <c r="H99" i="4"/>
  <c r="H30" i="4"/>
  <c r="H1593" i="4"/>
  <c r="H144" i="4"/>
  <c r="H1759" i="4"/>
  <c r="H1704" i="4"/>
  <c r="H1697" i="4"/>
  <c r="H1200" i="4"/>
  <c r="H1042" i="4"/>
  <c r="H1008" i="4"/>
  <c r="H943" i="4"/>
  <c r="H936" i="4"/>
  <c r="H811" i="4"/>
  <c r="H696" i="4"/>
  <c r="H688" i="4"/>
  <c r="H671" i="4"/>
  <c r="H574" i="4"/>
  <c r="H368" i="4"/>
  <c r="H126" i="4"/>
  <c r="H1434" i="4"/>
  <c r="H1409" i="4"/>
  <c r="H1370" i="4"/>
  <c r="H1306" i="4"/>
  <c r="G1229" i="4"/>
  <c r="H1067" i="4"/>
  <c r="H1059" i="4"/>
  <c r="H920" i="4"/>
  <c r="H737" i="4"/>
  <c r="H422" i="4"/>
  <c r="H399" i="4"/>
  <c r="H151" i="4"/>
  <c r="H1500" i="4"/>
  <c r="H993" i="4"/>
  <c r="H635" i="4"/>
  <c r="H300" i="4"/>
  <c r="H1771" i="4"/>
  <c r="H1724" i="4"/>
  <c r="H1508" i="4"/>
  <c r="H1359" i="4"/>
  <c r="H1326" i="4"/>
  <c r="H1165" i="4"/>
  <c r="H977" i="4"/>
  <c r="G642" i="4"/>
  <c r="H642" i="4"/>
  <c r="G611" i="4"/>
  <c r="H611" i="4"/>
  <c r="H445" i="4"/>
  <c r="H484" i="4"/>
  <c r="H114" i="4"/>
  <c r="H371" i="4"/>
  <c r="G1706" i="4"/>
  <c r="H1706" i="4"/>
  <c r="G1311" i="4"/>
  <c r="H1311" i="4"/>
  <c r="H1768" i="4"/>
  <c r="H1684" i="4"/>
  <c r="H1669" i="4"/>
  <c r="H1661" i="4"/>
  <c r="H1562" i="4"/>
  <c r="H1365" i="4"/>
  <c r="H1121" i="4"/>
  <c r="H893" i="4"/>
  <c r="H801" i="4"/>
  <c r="H648" i="4"/>
  <c r="H8" i="4"/>
  <c r="G1244" i="4"/>
  <c r="H1244" i="4"/>
  <c r="H1553" i="4"/>
  <c r="H1529" i="4"/>
  <c r="H1380" i="4"/>
  <c r="H1372" i="4"/>
  <c r="G919" i="4"/>
  <c r="H919" i="4"/>
  <c r="H347" i="4"/>
  <c r="H219" i="4"/>
  <c r="G1056" i="4"/>
  <c r="H1056" i="4"/>
  <c r="G1038" i="4"/>
  <c r="H548" i="4"/>
  <c r="G1744" i="4"/>
  <c r="H1744" i="4"/>
  <c r="H1552" i="4"/>
  <c r="H218" i="4"/>
  <c r="G112" i="4"/>
  <c r="H112" i="4"/>
  <c r="H51" i="4"/>
  <c r="G273" i="4"/>
  <c r="H273" i="4"/>
  <c r="H1014" i="4"/>
  <c r="G1014" i="4"/>
  <c r="H242" i="4"/>
  <c r="H217" i="4"/>
  <c r="H50" i="4"/>
  <c r="H1433" i="4"/>
  <c r="H1299" i="4"/>
  <c r="H1290" i="4"/>
  <c r="H1160" i="4"/>
  <c r="H1152" i="4"/>
  <c r="H817" i="4"/>
  <c r="H678" i="4"/>
  <c r="G1527" i="4"/>
  <c r="H1527" i="4"/>
  <c r="G1598" i="4"/>
  <c r="H1598" i="4"/>
  <c r="G1540" i="4"/>
  <c r="H1540" i="4"/>
  <c r="G1721" i="4"/>
  <c r="H1721" i="4"/>
  <c r="H1635" i="4"/>
  <c r="H1604" i="4"/>
  <c r="H1574" i="4"/>
  <c r="H1431" i="4"/>
  <c r="H1297" i="4"/>
  <c r="H1288" i="4"/>
  <c r="H1175" i="4"/>
  <c r="H693" i="4"/>
  <c r="H1764" i="4"/>
  <c r="H1656" i="4"/>
  <c r="H1469" i="4"/>
  <c r="H1344" i="4"/>
  <c r="H1201" i="4"/>
  <c r="H962" i="4"/>
  <c r="G1766" i="4"/>
  <c r="H1766" i="4"/>
  <c r="H1717" i="4"/>
  <c r="H1648" i="4"/>
  <c r="G636" i="4"/>
  <c r="H636" i="4"/>
  <c r="H1755" i="4"/>
  <c r="H1748" i="4"/>
  <c r="H1619" i="4"/>
  <c r="H1573" i="4"/>
  <c r="H1509" i="4"/>
  <c r="H1157" i="4"/>
  <c r="H839" i="4"/>
  <c r="H159" i="4"/>
  <c r="H1100" i="4"/>
  <c r="H1031" i="4"/>
  <c r="H902" i="4"/>
  <c r="H793" i="4"/>
  <c r="H785" i="4"/>
  <c r="H702" i="4"/>
  <c r="H665" i="4"/>
  <c r="H628" i="4"/>
  <c r="H621" i="4"/>
  <c r="H590" i="4"/>
  <c r="H479" i="4"/>
  <c r="H251" i="4"/>
  <c r="H204" i="4"/>
  <c r="H131" i="4"/>
  <c r="H43" i="4"/>
  <c r="H1432" i="4"/>
  <c r="H1401" i="4"/>
  <c r="H1319" i="4"/>
  <c r="H1257" i="4"/>
  <c r="H1234" i="4"/>
  <c r="H1107" i="4"/>
  <c r="H1077" i="4"/>
  <c r="H1054" i="4"/>
  <c r="H976" i="4"/>
  <c r="H884" i="4"/>
  <c r="H870" i="4"/>
  <c r="H485" i="4"/>
  <c r="H469" i="4"/>
  <c r="H430" i="4"/>
  <c r="H406" i="4"/>
  <c r="H377" i="4"/>
  <c r="H274" i="4"/>
  <c r="H153" i="4"/>
  <c r="H113" i="4"/>
  <c r="H81" i="4"/>
  <c r="H57" i="4"/>
  <c r="H49" i="4"/>
  <c r="H1567" i="4"/>
  <c r="H1537" i="4"/>
  <c r="H1514" i="4"/>
  <c r="H1439" i="4"/>
  <c r="H1415" i="4"/>
  <c r="H1393" i="4"/>
  <c r="H1190" i="4"/>
  <c r="H1134" i="4"/>
  <c r="H1068" i="4"/>
  <c r="H1053" i="4"/>
  <c r="H1006" i="4"/>
  <c r="H1379" i="4"/>
  <c r="H1318" i="4"/>
  <c r="H1264" i="4"/>
  <c r="H1233" i="4"/>
  <c r="H1198" i="4"/>
  <c r="H1076" i="4"/>
  <c r="H930" i="4"/>
  <c r="H869" i="4"/>
  <c r="H815" i="4"/>
  <c r="H768" i="4"/>
  <c r="H754" i="4"/>
  <c r="H647" i="4"/>
  <c r="H511" i="4"/>
  <c r="H362" i="4"/>
  <c r="H202" i="4"/>
  <c r="H56" i="4"/>
  <c r="H48" i="4"/>
  <c r="H40" i="4"/>
  <c r="H1013" i="4"/>
  <c r="H997" i="4"/>
  <c r="H852" i="4"/>
  <c r="H753" i="4"/>
  <c r="H699" i="4"/>
  <c r="H646" i="4"/>
  <c r="H453" i="4"/>
  <c r="H420" i="4"/>
  <c r="H346" i="4"/>
  <c r="H264" i="4"/>
  <c r="H224" i="4"/>
  <c r="H187" i="4"/>
  <c r="H127" i="4"/>
  <c r="H119" i="4"/>
  <c r="H47" i="4"/>
  <c r="H1119" i="4"/>
  <c r="H1020" i="4"/>
  <c r="H1739" i="4"/>
  <c r="H1659" i="4"/>
  <c r="H1452" i="4"/>
  <c r="H1429" i="4"/>
  <c r="H1421" i="4"/>
  <c r="H1406" i="4"/>
  <c r="H1355" i="4"/>
  <c r="H1294" i="4"/>
  <c r="H1231" i="4"/>
  <c r="H1188" i="4"/>
  <c r="H1172" i="4"/>
  <c r="H1132" i="4"/>
  <c r="H922" i="4"/>
  <c r="H813" i="4"/>
  <c r="H782" i="4"/>
  <c r="H692" i="4"/>
  <c r="H653" i="4"/>
  <c r="H645" i="4"/>
  <c r="H498" i="4"/>
  <c r="H452" i="4"/>
  <c r="H419" i="4"/>
  <c r="H78" i="4"/>
  <c r="H54" i="4"/>
  <c r="H38" i="4"/>
  <c r="H14" i="4"/>
  <c r="H118" i="4"/>
  <c r="H222" i="4"/>
  <c r="H85" i="4"/>
  <c r="H21" i="4"/>
  <c r="H1585" i="4"/>
  <c r="H1480" i="4"/>
  <c r="H1465" i="4"/>
  <c r="H1293" i="4"/>
  <c r="H927" i="4"/>
  <c r="H905" i="4"/>
  <c r="H796" i="4"/>
  <c r="H773" i="4"/>
  <c r="H751" i="4"/>
  <c r="H691" i="4"/>
  <c r="H683" i="4"/>
  <c r="H592" i="4"/>
  <c r="H530" i="4"/>
  <c r="H523" i="4"/>
  <c r="H497" i="4"/>
  <c r="H344" i="4"/>
  <c r="H262" i="4"/>
  <c r="H246" i="4"/>
  <c r="H163" i="4"/>
  <c r="H61" i="4"/>
  <c r="H53" i="4"/>
  <c r="H403" i="4"/>
  <c r="H352" i="4"/>
  <c r="H320" i="4"/>
  <c r="H304" i="4"/>
  <c r="H45" i="4"/>
  <c r="H37" i="4"/>
  <c r="H4" i="4"/>
  <c r="H926" i="4"/>
  <c r="H727" i="4"/>
  <c r="H584" i="4"/>
  <c r="H496" i="4"/>
  <c r="H473" i="4"/>
  <c r="H465" i="4"/>
  <c r="H417" i="4"/>
  <c r="H410" i="4"/>
  <c r="H387" i="4"/>
  <c r="H343" i="4"/>
  <c r="H287" i="4"/>
  <c r="H245" i="4"/>
  <c r="H229" i="4"/>
  <c r="H133" i="4"/>
  <c r="H1680" i="4"/>
  <c r="H1665" i="4"/>
  <c r="H1657" i="4"/>
  <c r="H1584" i="4"/>
  <c r="H1563" i="4"/>
  <c r="H1525" i="4"/>
  <c r="H1245" i="4"/>
  <c r="H1209" i="4"/>
  <c r="H1186" i="4"/>
  <c r="H1178" i="4"/>
  <c r="H1102" i="4"/>
  <c r="H1080" i="4"/>
  <c r="H1072" i="4"/>
  <c r="H1057" i="4"/>
  <c r="H1049" i="4"/>
  <c r="H1018" i="4"/>
  <c r="H987" i="4"/>
  <c r="H904" i="4"/>
  <c r="H896" i="4"/>
  <c r="H880" i="4"/>
  <c r="H795" i="4"/>
  <c r="H560" i="4"/>
  <c r="H481" i="4"/>
  <c r="H380" i="4"/>
  <c r="H108" i="4"/>
  <c r="H3" i="4"/>
  <c r="H155" i="4"/>
  <c r="H1751" i="4"/>
  <c r="H1630" i="4"/>
  <c r="H1622" i="4"/>
  <c r="H1591" i="4"/>
  <c r="H1555" i="4"/>
  <c r="H1471" i="4"/>
  <c r="H1463" i="4"/>
  <c r="H1457" i="4"/>
  <c r="H1411" i="4"/>
  <c r="H1389" i="4"/>
  <c r="H1382" i="4"/>
  <c r="H1345" i="4"/>
  <c r="H1040" i="4"/>
  <c r="H1002" i="4"/>
  <c r="H994" i="4"/>
  <c r="H750" i="4"/>
  <c r="H712" i="4"/>
  <c r="H703" i="4"/>
  <c r="H689" i="4"/>
  <c r="H659" i="4"/>
  <c r="H551" i="4"/>
  <c r="H544" i="4"/>
  <c r="H495" i="4"/>
  <c r="H472" i="4"/>
  <c r="H342" i="4"/>
  <c r="H277" i="4"/>
  <c r="H244" i="4"/>
  <c r="H147" i="4"/>
  <c r="H1716" i="4"/>
  <c r="H1230" i="4"/>
  <c r="H1714" i="4"/>
  <c r="H1679" i="4"/>
  <c r="H1664" i="4"/>
  <c r="H1577" i="4"/>
  <c r="H1532" i="4"/>
  <c r="H1501" i="4"/>
  <c r="H1449" i="4"/>
  <c r="H1426" i="4"/>
  <c r="H1396" i="4"/>
  <c r="H1381" i="4"/>
  <c r="H1328" i="4"/>
  <c r="H1236" i="4"/>
  <c r="H1208" i="4"/>
  <c r="H1185" i="4"/>
  <c r="H1137" i="4"/>
  <c r="H1063" i="4"/>
  <c r="H1017" i="4"/>
  <c r="H986" i="4"/>
  <c r="H872" i="4"/>
  <c r="H834" i="4"/>
  <c r="H779" i="4"/>
  <c r="H734" i="4"/>
  <c r="H598" i="4"/>
  <c r="H567" i="4"/>
  <c r="H513" i="4"/>
  <c r="H432" i="4"/>
  <c r="H139" i="4"/>
  <c r="H35" i="4"/>
  <c r="H27" i="4"/>
  <c r="G1206" i="4"/>
  <c r="H1206" i="4"/>
  <c r="H1760" i="4"/>
  <c r="G1760" i="4"/>
  <c r="G1498" i="4"/>
  <c r="H1498" i="4"/>
  <c r="H1164" i="4"/>
  <c r="G1164" i="4"/>
  <c r="H478" i="4"/>
  <c r="G220" i="4"/>
  <c r="H220" i="4"/>
  <c r="H1749" i="4"/>
  <c r="H1712" i="4"/>
  <c r="G1712" i="4"/>
  <c r="H605" i="4"/>
  <c r="G605" i="4"/>
  <c r="H596" i="4"/>
  <c r="G1275" i="4"/>
  <c r="H1275" i="4"/>
  <c r="G1464" i="4"/>
  <c r="H1464" i="4"/>
  <c r="H1391" i="4"/>
  <c r="G1176" i="4"/>
  <c r="H1176" i="4"/>
  <c r="G1550" i="4"/>
  <c r="H1550" i="4"/>
  <c r="H1235" i="4"/>
  <c r="G1235" i="4"/>
  <c r="H633" i="4"/>
  <c r="G633" i="4"/>
  <c r="G1169" i="4"/>
  <c r="H1169" i="4"/>
  <c r="H746" i="4"/>
  <c r="G746" i="4"/>
  <c r="G355" i="4"/>
  <c r="H355" i="4"/>
  <c r="G1600" i="4"/>
  <c r="H1600" i="4"/>
  <c r="H1041" i="4"/>
  <c r="G1041" i="4"/>
  <c r="H1033" i="4"/>
  <c r="G1033" i="4"/>
  <c r="H1477" i="4"/>
  <c r="H1740" i="4"/>
  <c r="H1629" i="4"/>
  <c r="H1499" i="4"/>
  <c r="H1325" i="4"/>
  <c r="G1123" i="4"/>
  <c r="H1123" i="4"/>
  <c r="H1071" i="4"/>
  <c r="H957" i="4"/>
  <c r="H594" i="4"/>
  <c r="H525" i="4"/>
  <c r="G96" i="4"/>
  <c r="H96" i="4"/>
  <c r="H64" i="4"/>
  <c r="H1703" i="4"/>
  <c r="H1642" i="4"/>
  <c r="H1599" i="4"/>
  <c r="H1506" i="4"/>
  <c r="H1491" i="4"/>
  <c r="H1369" i="4"/>
  <c r="H1333" i="4"/>
  <c r="H1167" i="4"/>
  <c r="H897" i="4"/>
  <c r="G1732" i="4"/>
  <c r="H1732" i="4"/>
  <c r="H1621" i="4"/>
  <c r="H1296" i="4"/>
  <c r="H1136" i="4"/>
  <c r="H752" i="4"/>
  <c r="H729" i="4"/>
  <c r="H766" i="4"/>
  <c r="G766" i="4"/>
  <c r="H1620" i="4"/>
  <c r="G1620" i="4"/>
  <c r="H1461" i="4"/>
  <c r="H172" i="4"/>
  <c r="G172" i="4"/>
  <c r="G1144" i="4"/>
  <c r="H1144" i="4"/>
  <c r="H103" i="4"/>
  <c r="G103" i="4"/>
  <c r="G1696" i="4"/>
  <c r="H1696" i="4"/>
  <c r="H1708" i="4"/>
  <c r="G1634" i="4"/>
  <c r="H1634" i="4"/>
  <c r="H538" i="4"/>
  <c r="H1519" i="4"/>
  <c r="H1212" i="4"/>
  <c r="G978" i="4"/>
  <c r="H978" i="4"/>
  <c r="H963" i="4"/>
  <c r="G208" i="4"/>
  <c r="H208" i="4"/>
  <c r="H164" i="4"/>
  <c r="G1688" i="4"/>
  <c r="H1688" i="4"/>
  <c r="H1667" i="4"/>
  <c r="H1582" i="4"/>
  <c r="G1114" i="4"/>
  <c r="H886" i="4"/>
  <c r="H1526" i="4"/>
  <c r="H1504" i="4"/>
  <c r="H1482" i="4"/>
  <c r="H1467" i="4"/>
  <c r="H1395" i="4"/>
  <c r="H1388" i="4"/>
  <c r="G1388" i="4"/>
  <c r="H1374" i="4"/>
  <c r="G1374" i="4"/>
  <c r="G1263" i="4"/>
  <c r="H1263" i="4"/>
  <c r="G1248" i="4"/>
  <c r="H1248" i="4"/>
  <c r="G1181" i="4"/>
  <c r="H1181" i="4"/>
  <c r="G787" i="4"/>
  <c r="H787" i="4"/>
  <c r="H673" i="4"/>
  <c r="G434" i="4"/>
  <c r="H434" i="4"/>
  <c r="H1106" i="4"/>
  <c r="G992" i="4"/>
  <c r="H992" i="4"/>
  <c r="G1628" i="4"/>
  <c r="H1628" i="4"/>
  <c r="G531" i="4"/>
  <c r="H531" i="4"/>
  <c r="G397" i="4"/>
  <c r="H397" i="4"/>
  <c r="H1547" i="4"/>
  <c r="H1454" i="4"/>
  <c r="H1460" i="4"/>
  <c r="G1460" i="4"/>
  <c r="H1338" i="4"/>
  <c r="G1338" i="4"/>
  <c r="G1254" i="4"/>
  <c r="H1254" i="4"/>
  <c r="H894" i="4"/>
  <c r="G894" i="4"/>
  <c r="G643" i="4"/>
  <c r="H643" i="4"/>
  <c r="G1270" i="4"/>
  <c r="H1270" i="4"/>
  <c r="H1743" i="4"/>
  <c r="H1658" i="4"/>
  <c r="H1610" i="4"/>
  <c r="H1603" i="4"/>
  <c r="H1517" i="4"/>
  <c r="H1446" i="4"/>
  <c r="H1352" i="4"/>
  <c r="H550" i="4"/>
  <c r="G449" i="4"/>
  <c r="H449" i="4"/>
  <c r="H1300" i="4"/>
  <c r="G1300" i="4"/>
  <c r="G1284" i="4"/>
  <c r="H1284" i="4"/>
  <c r="G809" i="4"/>
  <c r="H1735" i="4"/>
  <c r="H1720" i="4"/>
  <c r="H1595" i="4"/>
  <c r="H1539" i="4"/>
  <c r="H1524" i="4"/>
  <c r="H1179" i="4"/>
  <c r="G1179" i="4"/>
  <c r="H710" i="4"/>
  <c r="H582" i="4"/>
  <c r="H471" i="4"/>
  <c r="G268" i="4"/>
  <c r="H268" i="4"/>
  <c r="H1742" i="4"/>
  <c r="H1587" i="4"/>
  <c r="H1422" i="4"/>
  <c r="H1407" i="4"/>
  <c r="H1307" i="4"/>
  <c r="H990" i="4"/>
  <c r="G859" i="4"/>
  <c r="H859" i="4"/>
  <c r="H597" i="4"/>
  <c r="G597" i="4"/>
  <c r="H1286" i="4"/>
  <c r="H1265" i="4"/>
  <c r="H1251" i="4"/>
  <c r="H1237" i="4"/>
  <c r="H1199" i="4"/>
  <c r="H1191" i="4"/>
  <c r="H1050" i="4"/>
  <c r="H999" i="4"/>
  <c r="H985" i="4"/>
  <c r="H916" i="4"/>
  <c r="H772" i="4"/>
  <c r="H724" i="4"/>
  <c r="H486" i="4"/>
  <c r="H464" i="4"/>
  <c r="H276" i="4"/>
  <c r="H230" i="4"/>
  <c r="H18" i="4"/>
  <c r="H283" i="4"/>
  <c r="H102" i="4"/>
  <c r="H95" i="4"/>
  <c r="H79" i="4"/>
  <c r="H1062" i="4"/>
  <c r="H588" i="4"/>
  <c r="H1204" i="4"/>
  <c r="G1204" i="4"/>
  <c r="H822" i="4"/>
  <c r="H792" i="4"/>
  <c r="H722" i="4"/>
  <c r="H687" i="4"/>
  <c r="H638" i="4"/>
  <c r="H566" i="4"/>
  <c r="H243" i="4"/>
  <c r="H149" i="4"/>
  <c r="H1747" i="4"/>
  <c r="H1707" i="4"/>
  <c r="H1645" i="4"/>
  <c r="H1565" i="4"/>
  <c r="H1533" i="4"/>
  <c r="H1513" i="4"/>
  <c r="H1400" i="4"/>
  <c r="H1298" i="4"/>
  <c r="H1105" i="4"/>
  <c r="H1097" i="4"/>
  <c r="H970" i="4"/>
  <c r="H778" i="4"/>
  <c r="H738" i="4"/>
  <c r="H708" i="4"/>
  <c r="H573" i="4"/>
  <c r="H529" i="4"/>
  <c r="H462" i="4"/>
  <c r="H388" i="4"/>
  <c r="H381" i="4"/>
  <c r="H330" i="4"/>
  <c r="G330" i="4"/>
  <c r="H258" i="4"/>
  <c r="H228" i="4"/>
  <c r="H214" i="4"/>
  <c r="H86" i="4"/>
  <c r="H1159" i="4"/>
  <c r="H1112" i="4"/>
  <c r="H942" i="4"/>
  <c r="H891" i="4"/>
  <c r="H807" i="4"/>
  <c r="H686" i="4"/>
  <c r="H580" i="4"/>
  <c r="H447" i="4"/>
  <c r="H424" i="4"/>
  <c r="H360" i="4"/>
  <c r="H156" i="4"/>
  <c r="G141" i="4"/>
  <c r="H141" i="4"/>
  <c r="H55" i="4"/>
  <c r="H23" i="4"/>
  <c r="H935" i="4"/>
  <c r="H921" i="4"/>
  <c r="H828" i="4"/>
  <c r="H658" i="4"/>
  <c r="H558" i="4"/>
  <c r="H476" i="4"/>
  <c r="H337" i="4"/>
  <c r="H306" i="4"/>
  <c r="H205" i="4"/>
  <c r="H191" i="4"/>
  <c r="H1346" i="4"/>
  <c r="G587" i="4"/>
  <c r="H587" i="4"/>
  <c r="H543" i="4"/>
  <c r="H169" i="4"/>
  <c r="H100" i="4"/>
  <c r="H408" i="4"/>
  <c r="H820" i="4"/>
  <c r="H649" i="4"/>
  <c r="H571" i="4"/>
  <c r="G264" i="4"/>
  <c r="H1399" i="4"/>
  <c r="H1700" i="4"/>
  <c r="H1576" i="4"/>
  <c r="H1412" i="4"/>
  <c r="H1261" i="4"/>
  <c r="H1222" i="4"/>
  <c r="H1195" i="4"/>
  <c r="H1151" i="4"/>
  <c r="H862" i="4"/>
  <c r="H854" i="4"/>
  <c r="H846" i="4"/>
  <c r="H783" i="4"/>
  <c r="G783" i="4"/>
  <c r="H564" i="4"/>
  <c r="H460" i="4"/>
  <c r="H372" i="4"/>
  <c r="H241" i="4"/>
  <c r="H234" i="4"/>
  <c r="H182" i="4"/>
  <c r="H124" i="4"/>
  <c r="H974" i="4"/>
  <c r="H968" i="4"/>
  <c r="H841" i="4"/>
  <c r="H805" i="4"/>
  <c r="H749" i="4"/>
  <c r="H629" i="4"/>
  <c r="G534" i="4"/>
  <c r="H534" i="4"/>
  <c r="H401" i="4"/>
  <c r="H379" i="4"/>
  <c r="H812" i="4"/>
  <c r="H437" i="4"/>
  <c r="H407" i="4"/>
  <c r="H393" i="4"/>
  <c r="H335" i="4"/>
  <c r="H312" i="4"/>
  <c r="H248" i="4"/>
  <c r="H146" i="4"/>
  <c r="H115" i="4"/>
  <c r="H107" i="4"/>
  <c r="H91" i="4"/>
  <c r="H75" i="4"/>
  <c r="H1066" i="4"/>
  <c r="H761" i="4"/>
  <c r="H319" i="4"/>
  <c r="G175" i="4"/>
  <c r="H175" i="4"/>
  <c r="H52" i="4"/>
  <c r="H1128" i="4"/>
  <c r="H520" i="4"/>
  <c r="G520" i="4"/>
  <c r="G429" i="4"/>
  <c r="H429" i="4"/>
  <c r="H853" i="4"/>
  <c r="H295" i="4"/>
  <c r="H210" i="4"/>
  <c r="H195" i="4"/>
  <c r="H106" i="4"/>
  <c r="H668" i="4"/>
  <c r="G547" i="4"/>
  <c r="H547" i="4"/>
  <c r="H1737" i="4"/>
  <c r="H1699" i="4"/>
  <c r="H1631" i="4"/>
  <c r="H1259" i="4"/>
  <c r="H1051" i="4"/>
  <c r="H918" i="4"/>
  <c r="H767" i="4"/>
  <c r="H747" i="4"/>
  <c r="H562" i="4"/>
  <c r="G488" i="4"/>
  <c r="H488" i="4"/>
  <c r="H1763" i="4"/>
  <c r="G1509" i="4"/>
  <c r="H1444" i="4"/>
  <c r="H1377" i="4"/>
  <c r="H1350" i="4"/>
  <c r="H1336" i="4"/>
  <c r="H1266" i="4"/>
  <c r="H1043" i="4"/>
  <c r="H979" i="4"/>
  <c r="H945" i="4"/>
  <c r="H591" i="4"/>
  <c r="H569" i="4"/>
  <c r="G554" i="4"/>
  <c r="H554" i="4"/>
  <c r="H502" i="4"/>
  <c r="H435" i="4"/>
  <c r="H405" i="4"/>
  <c r="H333" i="4"/>
  <c r="H269" i="4"/>
  <c r="H209" i="4"/>
  <c r="H1611" i="4"/>
  <c r="H1468" i="4"/>
  <c r="H1357" i="4"/>
  <c r="H1252" i="4"/>
  <c r="G1252" i="4"/>
  <c r="H1015" i="4"/>
  <c r="H931" i="4"/>
  <c r="H917" i="4"/>
  <c r="H832" i="4"/>
  <c r="H788" i="4"/>
  <c r="H682" i="4"/>
  <c r="H675" i="4"/>
  <c r="H519" i="4"/>
  <c r="H383" i="4"/>
  <c r="H152" i="4"/>
  <c r="H89" i="4"/>
  <c r="G89" i="4"/>
  <c r="H1756" i="4"/>
  <c r="H1692" i="4"/>
  <c r="H1654" i="4"/>
  <c r="H1548" i="4"/>
  <c r="H1502" i="4"/>
  <c r="H1489" i="4"/>
  <c r="G1382" i="4"/>
  <c r="H1364" i="4"/>
  <c r="H1154" i="4"/>
  <c r="H1148" i="4"/>
  <c r="H1133" i="4"/>
  <c r="H1064" i="4"/>
  <c r="H1022" i="4"/>
  <c r="H952" i="4"/>
  <c r="H909" i="4"/>
  <c r="H867" i="4"/>
  <c r="H626" i="4"/>
  <c r="H442" i="4"/>
  <c r="H317" i="4"/>
  <c r="G317" i="4"/>
  <c r="H129" i="4"/>
  <c r="H65" i="4"/>
  <c r="H1166" i="4"/>
  <c r="H1109" i="4"/>
  <c r="H1035" i="4"/>
  <c r="H955" i="4"/>
  <c r="H949" i="4"/>
  <c r="H849" i="4"/>
  <c r="H680" i="4"/>
  <c r="H603" i="4"/>
  <c r="H549" i="4"/>
  <c r="H334" i="4"/>
  <c r="H327" i="4"/>
  <c r="H196" i="4"/>
  <c r="H157" i="4"/>
  <c r="H929" i="4"/>
  <c r="H876" i="4"/>
  <c r="H837" i="4"/>
  <c r="H831" i="4"/>
  <c r="H706" i="4"/>
  <c r="H623" i="4"/>
  <c r="H536" i="4"/>
  <c r="H385" i="4"/>
  <c r="H150" i="4"/>
  <c r="H71" i="4"/>
  <c r="H31" i="4"/>
  <c r="H1337" i="4"/>
  <c r="H1138" i="4"/>
  <c r="H973" i="4"/>
  <c r="H941" i="4"/>
  <c r="H861" i="4"/>
  <c r="H823" i="4"/>
  <c r="H816" i="4"/>
  <c r="H732" i="4"/>
  <c r="H725" i="4"/>
  <c r="H528" i="4"/>
  <c r="H457" i="4"/>
  <c r="H391" i="4"/>
  <c r="H240" i="4"/>
  <c r="H227" i="4"/>
  <c r="H194" i="4"/>
  <c r="H168" i="4"/>
  <c r="H29" i="4"/>
  <c r="H1376" i="4"/>
  <c r="H1343" i="4"/>
  <c r="H1093" i="4"/>
  <c r="H1079" i="4"/>
  <c r="H960" i="4"/>
  <c r="H947" i="4"/>
  <c r="H934" i="4"/>
  <c r="H900" i="4"/>
  <c r="H874" i="4"/>
  <c r="H719" i="4"/>
  <c r="H627" i="4"/>
  <c r="H607" i="4"/>
  <c r="H593" i="4"/>
  <c r="H365" i="4"/>
  <c r="H267" i="4"/>
  <c r="H253" i="4"/>
  <c r="H77" i="4"/>
  <c r="H36" i="4"/>
  <c r="H553" i="4"/>
  <c r="H521" i="4"/>
  <c r="H487" i="4"/>
  <c r="H474" i="4"/>
  <c r="H364" i="4"/>
  <c r="H303" i="4"/>
  <c r="H200" i="4"/>
  <c r="H167" i="4"/>
  <c r="H134" i="4"/>
  <c r="H28" i="4"/>
  <c r="H316" i="4"/>
  <c r="H193" i="4"/>
  <c r="H186" i="4"/>
  <c r="G61" i="4"/>
  <c r="G13" i="4"/>
  <c r="H1335" i="4"/>
  <c r="H1302" i="4"/>
  <c r="H1242" i="4"/>
  <c r="H1184" i="4"/>
  <c r="H1177" i="4"/>
  <c r="H1150" i="4"/>
  <c r="H1085" i="4"/>
  <c r="H1070" i="4"/>
  <c r="H885" i="4"/>
  <c r="H800" i="4"/>
  <c r="H760" i="4"/>
  <c r="H664" i="4"/>
  <c r="H613" i="4"/>
  <c r="H579" i="4"/>
  <c r="H540" i="4"/>
  <c r="H493" i="4"/>
  <c r="H480" i="4"/>
  <c r="H382" i="4"/>
  <c r="H363" i="4"/>
  <c r="H225" i="4"/>
  <c r="H199" i="4"/>
  <c r="H179" i="4"/>
  <c r="H166" i="4"/>
  <c r="H20" i="4"/>
  <c r="H5" i="4"/>
  <c r="H351" i="4"/>
  <c r="H323" i="4"/>
  <c r="H309" i="4"/>
  <c r="H302" i="4"/>
  <c r="H212" i="4"/>
  <c r="H173" i="4"/>
  <c r="H160" i="4"/>
  <c r="H83" i="4"/>
  <c r="H1037" i="4"/>
  <c r="H996" i="4"/>
  <c r="H964" i="4"/>
  <c r="H912" i="4"/>
  <c r="H865" i="4"/>
  <c r="H806" i="4"/>
  <c r="H716" i="4"/>
  <c r="H676" i="4"/>
  <c r="H656" i="4"/>
  <c r="H612" i="4"/>
  <c r="H492" i="4"/>
  <c r="H322" i="4"/>
  <c r="H192" i="4"/>
  <c r="H185" i="4"/>
  <c r="H165" i="4"/>
  <c r="H111" i="4"/>
  <c r="H41" i="4"/>
  <c r="H12" i="4"/>
  <c r="H350" i="4"/>
  <c r="H329" i="4"/>
  <c r="H294" i="4"/>
  <c r="H132" i="4"/>
  <c r="H82" i="4"/>
  <c r="H33" i="4"/>
  <c r="H439" i="4"/>
  <c r="H394" i="4"/>
  <c r="H321" i="4"/>
  <c r="H184" i="4"/>
  <c r="H178" i="4"/>
  <c r="H138" i="4"/>
  <c r="H110" i="4"/>
  <c r="H73" i="4"/>
  <c r="H1292" i="4"/>
  <c r="H1174" i="4"/>
  <c r="H1089" i="4"/>
  <c r="H982" i="4"/>
  <c r="H863" i="4"/>
  <c r="H804" i="4"/>
  <c r="H797" i="4"/>
  <c r="H777" i="4"/>
  <c r="H764" i="4"/>
  <c r="H661" i="4"/>
  <c r="H610" i="4"/>
  <c r="H373" i="4"/>
  <c r="H348" i="4"/>
  <c r="H143" i="4"/>
  <c r="H130" i="4"/>
  <c r="H123" i="4"/>
  <c r="H1762" i="4"/>
  <c r="H1531" i="4"/>
  <c r="H1398" i="4"/>
  <c r="G998" i="4"/>
  <c r="H998" i="4"/>
  <c r="H620" i="4"/>
  <c r="G362" i="4"/>
  <c r="H223" i="4"/>
  <c r="G179" i="4"/>
  <c r="H174" i="4"/>
  <c r="G109" i="4"/>
  <c r="H109" i="4"/>
  <c r="G448" i="4"/>
  <c r="H448" i="4"/>
  <c r="G6" i="4"/>
  <c r="H6" i="4"/>
  <c r="G298" i="4"/>
  <c r="H298" i="4"/>
  <c r="G762" i="4"/>
  <c r="H762" i="4"/>
  <c r="G669" i="4"/>
  <c r="H669" i="4"/>
  <c r="G76" i="4"/>
  <c r="H76" i="4"/>
  <c r="G1308" i="4"/>
  <c r="H1308" i="4"/>
  <c r="G284" i="4"/>
  <c r="H284" i="4"/>
  <c r="G436" i="4"/>
  <c r="H436" i="4"/>
  <c r="H1761" i="4"/>
  <c r="H1745" i="4"/>
  <c r="H1728" i="4"/>
  <c r="H1711" i="4"/>
  <c r="H1651" i="4"/>
  <c r="H1608" i="4"/>
  <c r="H1580" i="4"/>
  <c r="H1530" i="4"/>
  <c r="H1478" i="4"/>
  <c r="H1472" i="4"/>
  <c r="H1456" i="4"/>
  <c r="H1403" i="4"/>
  <c r="H1397" i="4"/>
  <c r="H1392" i="4"/>
  <c r="H1341" i="4"/>
  <c r="H1323" i="4"/>
  <c r="H1295" i="4"/>
  <c r="H1241" i="4"/>
  <c r="H1171" i="4"/>
  <c r="H1101" i="4"/>
  <c r="H1095" i="4"/>
  <c r="G1010" i="4"/>
  <c r="H1010" i="4"/>
  <c r="H980" i="4"/>
  <c r="H950" i="4"/>
  <c r="H864" i="4"/>
  <c r="G468" i="4"/>
  <c r="H468" i="4"/>
  <c r="H122" i="4"/>
  <c r="G122" i="4"/>
  <c r="H1570" i="4"/>
  <c r="H1329" i="4"/>
  <c r="H1183" i="4"/>
  <c r="H1147" i="4"/>
  <c r="H1083" i="4"/>
  <c r="H851" i="4"/>
  <c r="H625" i="4"/>
  <c r="H455" i="4"/>
  <c r="H336" i="4"/>
  <c r="G336" i="4"/>
  <c r="H1674" i="4"/>
  <c r="H1564" i="4"/>
  <c r="H1375" i="4"/>
  <c r="H1141" i="4"/>
  <c r="H932" i="4"/>
  <c r="H810" i="4"/>
  <c r="G561" i="4"/>
  <c r="H561" i="4"/>
  <c r="H555" i="4"/>
  <c r="H467" i="4"/>
  <c r="H409" i="4"/>
  <c r="H349" i="4"/>
  <c r="H261" i="4"/>
  <c r="H235" i="4"/>
  <c r="H128" i="4"/>
  <c r="H94" i="4"/>
  <c r="G34" i="4"/>
  <c r="H34" i="4"/>
  <c r="H1450" i="4"/>
  <c r="H1247" i="4"/>
  <c r="H1028" i="4"/>
  <c r="H938" i="4"/>
  <c r="H803" i="4"/>
  <c r="G705" i="4"/>
  <c r="H705" i="4"/>
  <c r="H518" i="4"/>
  <c r="H415" i="4"/>
  <c r="G25" i="4"/>
  <c r="H25" i="4"/>
  <c r="H1753" i="4"/>
  <c r="H1007" i="4"/>
  <c r="H1770" i="4"/>
  <c r="H1639" i="4"/>
  <c r="H1617" i="4"/>
  <c r="H1556" i="4"/>
  <c r="H1545" i="4"/>
  <c r="H1493" i="4"/>
  <c r="H1430" i="4"/>
  <c r="H1424" i="4"/>
  <c r="H1418" i="4"/>
  <c r="H1356" i="4"/>
  <c r="H1304" i="4"/>
  <c r="H1262" i="4"/>
  <c r="H1250" i="4"/>
  <c r="H1187" i="4"/>
  <c r="H1156" i="4"/>
  <c r="G717" i="4"/>
  <c r="H717" i="4"/>
  <c r="H552" i="4"/>
  <c r="H207" i="4"/>
  <c r="G189" i="4"/>
  <c r="H189" i="4"/>
  <c r="G39" i="4"/>
  <c r="H39" i="4"/>
  <c r="H11" i="4"/>
  <c r="G1737" i="4"/>
  <c r="H1660" i="4"/>
  <c r="H1522" i="4"/>
  <c r="H1481" i="4"/>
  <c r="H1442" i="4"/>
  <c r="H1280" i="4"/>
  <c r="H1268" i="4"/>
  <c r="H1238" i="4"/>
  <c r="H1126" i="4"/>
  <c r="G1087" i="4"/>
  <c r="H1087" i="4"/>
  <c r="H989" i="4"/>
  <c r="H959" i="4"/>
  <c r="H911" i="4"/>
  <c r="H814" i="4"/>
  <c r="H757" i="4"/>
  <c r="H565" i="4"/>
  <c r="H522" i="4"/>
  <c r="H426" i="4"/>
  <c r="H376" i="4"/>
  <c r="H370" i="4"/>
  <c r="H265" i="4"/>
  <c r="H259" i="4"/>
  <c r="H170" i="4"/>
  <c r="H105" i="4"/>
  <c r="G98" i="4"/>
  <c r="H98" i="4"/>
  <c r="H1310" i="4"/>
  <c r="H1274" i="4"/>
  <c r="H1256" i="4"/>
  <c r="H1226" i="4"/>
  <c r="H1193" i="4"/>
  <c r="H1162" i="4"/>
  <c r="H1116" i="4"/>
  <c r="H1098" i="4"/>
  <c r="H1092" i="4"/>
  <c r="H838" i="4"/>
  <c r="H826" i="4"/>
  <c r="G616" i="4"/>
  <c r="H616" i="4"/>
  <c r="H286" i="4"/>
  <c r="G144" i="4"/>
  <c r="G72" i="4"/>
  <c r="H72" i="4"/>
  <c r="H1061" i="4"/>
  <c r="H1000" i="4"/>
  <c r="H965" i="4"/>
  <c r="H910" i="4"/>
  <c r="H690" i="4"/>
  <c r="H489" i="4"/>
  <c r="H299" i="4"/>
  <c r="G271" i="4"/>
  <c r="H271" i="4"/>
  <c r="H181" i="4"/>
  <c r="G728" i="4"/>
  <c r="H728" i="4"/>
  <c r="H501" i="4"/>
  <c r="G501" i="4"/>
  <c r="H1769" i="4"/>
  <c r="H1752" i="4"/>
  <c r="H1736" i="4"/>
  <c r="H1638" i="4"/>
  <c r="H1616" i="4"/>
  <c r="H1549" i="4"/>
  <c r="H1521" i="4"/>
  <c r="H1462" i="4"/>
  <c r="H1423" i="4"/>
  <c r="H1417" i="4"/>
  <c r="H1332" i="4"/>
  <c r="H1309" i="4"/>
  <c r="H1303" i="4"/>
  <c r="H1225" i="4"/>
  <c r="H1192" i="4"/>
  <c r="H940" i="4"/>
  <c r="H923" i="4"/>
  <c r="H843" i="4"/>
  <c r="H825" i="4"/>
  <c r="G709" i="4"/>
  <c r="H709" i="4"/>
  <c r="H505" i="4"/>
  <c r="H500" i="4"/>
  <c r="H318" i="4"/>
  <c r="G292" i="4"/>
  <c r="H292" i="4"/>
  <c r="H285" i="4"/>
  <c r="H137" i="4"/>
  <c r="G517" i="4"/>
  <c r="H517" i="4"/>
  <c r="H1713" i="4"/>
  <c r="H1698" i="4"/>
  <c r="H1538" i="4"/>
  <c r="H1361" i="4"/>
  <c r="H1285" i="4"/>
  <c r="H1267" i="4"/>
  <c r="H1120" i="4"/>
  <c r="H988" i="4"/>
  <c r="H890" i="4"/>
  <c r="H847" i="4"/>
  <c r="H651" i="4"/>
  <c r="H576" i="4"/>
  <c r="H270" i="4"/>
  <c r="H90" i="4"/>
  <c r="H1682" i="4"/>
  <c r="H1486" i="4"/>
  <c r="H1279" i="4"/>
  <c r="H1221" i="4"/>
  <c r="H1115" i="4"/>
  <c r="H946" i="4"/>
  <c r="H928" i="4"/>
  <c r="H879" i="4"/>
  <c r="H715" i="4"/>
  <c r="H602" i="4"/>
  <c r="G539" i="4"/>
  <c r="H539" i="4"/>
  <c r="H451" i="4"/>
  <c r="H311" i="4"/>
  <c r="H1194" i="4"/>
  <c r="H1170" i="4"/>
  <c r="H1158" i="4"/>
  <c r="H939" i="4"/>
  <c r="H873" i="4"/>
  <c r="H477" i="4"/>
  <c r="H427" i="4"/>
  <c r="H145" i="4"/>
  <c r="H1287" i="4"/>
  <c r="H1213" i="4"/>
  <c r="H1207" i="4"/>
  <c r="H1110" i="4"/>
  <c r="H1081" i="4"/>
  <c r="H1052" i="4"/>
  <c r="H585" i="4"/>
  <c r="H423" i="4"/>
  <c r="H345" i="4"/>
  <c r="H1320" i="4"/>
  <c r="H1125" i="4"/>
  <c r="H771" i="4"/>
  <c r="H726" i="4"/>
  <c r="G631" i="4"/>
  <c r="H631" i="4"/>
  <c r="H440" i="4"/>
  <c r="H63" i="4"/>
  <c r="H19" i="4"/>
  <c r="H1045" i="4"/>
  <c r="H1004" i="4"/>
  <c r="H983" i="4"/>
  <c r="H903" i="4"/>
  <c r="H694" i="4"/>
  <c r="H444" i="4"/>
  <c r="H361" i="4"/>
  <c r="H16" i="4"/>
  <c r="H389" i="4"/>
  <c r="H307" i="4"/>
  <c r="H92" i="4"/>
  <c r="H60" i="4"/>
  <c r="H10" i="4"/>
  <c r="H681" i="4"/>
  <c r="H640" i="4"/>
  <c r="G418" i="4"/>
  <c r="H418" i="4"/>
  <c r="H256" i="4"/>
  <c r="H237" i="4"/>
  <c r="G104" i="4"/>
  <c r="H104" i="4"/>
  <c r="H848" i="4"/>
  <c r="H735" i="4"/>
  <c r="H657" i="4"/>
  <c r="H293" i="4"/>
  <c r="G280" i="4"/>
  <c r="H280" i="4"/>
  <c r="H1099" i="4"/>
  <c r="H786" i="4"/>
  <c r="H769" i="4"/>
  <c r="H600" i="4"/>
  <c r="H583" i="4"/>
  <c r="H183" i="4"/>
  <c r="H120" i="4"/>
  <c r="H80" i="4"/>
  <c r="H840" i="4"/>
  <c r="H654" i="4"/>
  <c r="H637" i="4"/>
  <c r="H470" i="4"/>
  <c r="H454" i="4"/>
  <c r="H390" i="4"/>
  <c r="H74" i="4"/>
  <c r="H9" i="4"/>
  <c r="H116" i="4"/>
</calcChain>
</file>

<file path=xl/sharedStrings.xml><?xml version="1.0" encoding="utf-8"?>
<sst xmlns="http://schemas.openxmlformats.org/spreadsheetml/2006/main" count="30777" uniqueCount="7903">
  <si>
    <t>Наименование</t>
  </si>
  <si>
    <t>Регистрационный номер</t>
  </si>
  <si>
    <t>Статус</t>
  </si>
  <si>
    <t>Код налогоплательщика</t>
  </si>
  <si>
    <t>Регион регистрации</t>
  </si>
  <si>
    <t>Организационно-правовая форма</t>
  </si>
  <si>
    <t>2017, Среднесписочная численность работников</t>
  </si>
  <si>
    <t>2018, Среднесписочная численность работников</t>
  </si>
  <si>
    <t>2017, Всего поступило средств, RUB</t>
  </si>
  <si>
    <t>2018, Всего поступило средств, RUB</t>
  </si>
  <si>
    <t>2017, Всего использовано средств, RUB</t>
  </si>
  <si>
    <t>2018, Всего использовано средств, RUB</t>
  </si>
  <si>
    <t>Действующая</t>
  </si>
  <si>
    <t>Москва</t>
  </si>
  <si>
    <t>Благотворительные фонды</t>
  </si>
  <si>
    <r>
      <rPr>
        <sz val="11"/>
        <color rgb="FF000000"/>
        <rFont val="Calibri"/>
      </rPr>
      <t>1ПОМОГАЕТ, БФ</t>
    </r>
  </si>
  <si>
    <t>1167700056347</t>
  </si>
  <si>
    <t>9718005523</t>
  </si>
  <si>
    <t>0 - 5</t>
  </si>
  <si>
    <r>
      <rPr>
        <sz val="11"/>
        <color rgb="FF000000"/>
        <rFont val="Calibri"/>
      </rPr>
      <t>5541 ДОБРО, БФ</t>
    </r>
  </si>
  <si>
    <t>1147799011612</t>
  </si>
  <si>
    <t>7743111095</t>
  </si>
  <si>
    <t>11 - 15</t>
  </si>
  <si>
    <t>51 - 100</t>
  </si>
  <si>
    <t>Фонды</t>
  </si>
  <si>
    <t>Общественные фонды</t>
  </si>
  <si>
    <r>
      <rPr>
        <sz val="11"/>
        <color rgb="FF000000"/>
        <rFont val="Calibri"/>
      </rPr>
      <t>А.УСМАНОВА, ФОНД</t>
    </r>
  </si>
  <si>
    <t>1027729004269</t>
  </si>
  <si>
    <t>7729418938</t>
  </si>
  <si>
    <r>
      <rPr>
        <sz val="11"/>
        <color rgb="FF000000"/>
        <rFont val="Calibri"/>
      </rPr>
      <t>АВИАЦИОННО-КОСМИЧЕСКИЙ ФОНД, МОФ</t>
    </r>
  </si>
  <si>
    <t>1037746023061</t>
  </si>
  <si>
    <t>7730175408</t>
  </si>
  <si>
    <r>
      <rPr>
        <sz val="11"/>
        <color rgb="FF000000"/>
        <rFont val="Calibri"/>
      </rPr>
      <t>АДВОКАТСКАЯ ИНИЦИАТИВА, ФОНД</t>
    </r>
  </si>
  <si>
    <t>1037739896226</t>
  </si>
  <si>
    <t>7704502779</t>
  </si>
  <si>
    <r>
      <rPr>
        <sz val="11"/>
        <color rgb="FF000000"/>
        <rFont val="Calibri"/>
      </rPr>
      <t>АДЫГИ ИМ. Ю.Х. КАЛМЫКОВА, ФОНД</t>
    </r>
  </si>
  <si>
    <t>1117799020283</t>
  </si>
  <si>
    <t>7701167716</t>
  </si>
  <si>
    <r>
      <rPr>
        <sz val="11"/>
        <color rgb="FF000000"/>
        <rFont val="Calibri"/>
      </rPr>
      <t>АЛЕКСАНДР, БФ</t>
    </r>
  </si>
  <si>
    <t>1127799000262</t>
  </si>
  <si>
    <t>7718747095</t>
  </si>
  <si>
    <r>
      <rPr>
        <sz val="11"/>
        <color rgb="FF000000"/>
        <rFont val="Calibri"/>
      </rPr>
      <t>АЛИНЫ КАБАЕВОЙ, ФОНД</t>
    </r>
  </si>
  <si>
    <t>1087799027007</t>
  </si>
  <si>
    <t>7731282240</t>
  </si>
  <si>
    <r>
      <rPr>
        <sz val="11"/>
        <color rgb="FF000000"/>
        <rFont val="Calibri"/>
      </rPr>
      <t>АЛФАВИТ, БЛАГОТВОРИТЕЛЬНЫЙ ФОНД</t>
    </r>
  </si>
  <si>
    <t>1047796688642</t>
  </si>
  <si>
    <t>7710556980</t>
  </si>
  <si>
    <r>
      <rPr>
        <sz val="11"/>
        <color rgb="FF000000"/>
        <rFont val="Calibri"/>
      </rPr>
      <t>АЛЬФА-ШАНС, БФ</t>
    </r>
  </si>
  <si>
    <t>1137799022481</t>
  </si>
  <si>
    <t>7708241493</t>
  </si>
  <si>
    <r>
      <rPr>
        <sz val="11"/>
        <color rgb="FF000000"/>
        <rFont val="Calibri"/>
      </rPr>
      <t>АНАЛИТИЧЕСКИЙ ЦЕНТР ФОРУМ, ФОНД</t>
    </r>
  </si>
  <si>
    <t>1107799031801</t>
  </si>
  <si>
    <t>7706414895</t>
  </si>
  <si>
    <r>
      <rPr>
        <sz val="11"/>
        <color rgb="FF000000"/>
        <rFont val="Calibri"/>
      </rPr>
      <t>АНАСТАСИЯ, БЛАГОТВОРИТЕЛЬНЫЙ ФОНД</t>
    </r>
  </si>
  <si>
    <t>1132300004209</t>
  </si>
  <si>
    <t>2311981014</t>
  </si>
  <si>
    <r>
      <rPr>
        <sz val="11"/>
        <color rgb="FF000000"/>
        <rFont val="Calibri"/>
      </rPr>
      <t>АНДРЕЯ БОГОЛЮБСКОГО, ФОНД</t>
    </r>
  </si>
  <si>
    <t>1117799010230</t>
  </si>
  <si>
    <t>7718746380</t>
  </si>
  <si>
    <r>
      <rPr>
        <sz val="11"/>
        <color rgb="FF000000"/>
        <rFont val="Calibri"/>
      </rPr>
      <t>АПОСТОЛА АНДРЕЯ ПЕРВОЗВАННОГО; ФОНД АНДРЕЯ ПЕРВОЗВАННОГО, ФОНД</t>
    </r>
  </si>
  <si>
    <t>1027746000446</t>
  </si>
  <si>
    <t>7704243940</t>
  </si>
  <si>
    <r>
      <rPr>
        <sz val="11"/>
        <color rgb="FF000000"/>
        <rFont val="Calibri"/>
      </rPr>
      <t>АРИФМЕТИКА ДОБРА, БФ</t>
    </r>
  </si>
  <si>
    <t>1147799003770</t>
  </si>
  <si>
    <t>7701093849</t>
  </si>
  <si>
    <r>
      <rPr>
        <sz val="11"/>
        <color rgb="FF000000"/>
        <rFont val="Calibri"/>
      </rPr>
      <t>АРТ ФЕСТИВАЛЬ-РОЗА ВЕТРОВ, ДБФ</t>
    </r>
  </si>
  <si>
    <t>1027739678724</t>
  </si>
  <si>
    <t>7734211777</t>
  </si>
  <si>
    <r>
      <rPr>
        <sz val="11"/>
        <color rgb="FF000000"/>
        <rFont val="Calibri"/>
      </rPr>
      <t>АРТЕМИДА, БЛАГОТВОРИТЕЛЬНЫЙ ФОНД</t>
    </r>
  </si>
  <si>
    <t>1157700019916</t>
  </si>
  <si>
    <t>7708276104</t>
  </si>
  <si>
    <r>
      <rPr>
        <sz val="11"/>
        <color rgb="FF000000"/>
        <rFont val="Calibri"/>
      </rPr>
      <t>АРТИСТ, БЛАГОТВОРИТЕЛЬНЫЙ ФОНД</t>
    </r>
  </si>
  <si>
    <t>1087799033630</t>
  </si>
  <si>
    <t>7705520001</t>
  </si>
  <si>
    <r>
      <rPr>
        <sz val="11"/>
        <color rgb="FF000000"/>
        <rFont val="Calibri"/>
      </rPr>
      <t>АРТЭС, КБФ</t>
    </r>
  </si>
  <si>
    <t>1027739859663</t>
  </si>
  <si>
    <t>7705328820</t>
  </si>
  <si>
    <t>6 - 10</t>
  </si>
  <si>
    <r>
      <rPr>
        <sz val="11"/>
        <color rgb="FF000000"/>
        <rFont val="Calibri"/>
      </rPr>
      <t>БЕЗРАЗЛИЧИЯ. НЕТ, БФ</t>
    </r>
  </si>
  <si>
    <t>1157700020345</t>
  </si>
  <si>
    <t>9705056954</t>
  </si>
  <si>
    <r>
      <rPr>
        <sz val="11"/>
        <color rgb="FF000000"/>
        <rFont val="Calibri"/>
      </rPr>
      <t>БЕЛЫЙ ИРИС, ФОНД</t>
    </r>
  </si>
  <si>
    <t>1167700056270</t>
  </si>
  <si>
    <t>7721486189</t>
  </si>
  <si>
    <r>
      <rPr>
        <sz val="11"/>
        <color rgb="FF000000"/>
        <rFont val="Calibri"/>
      </rPr>
      <t>БЕЛЬКАНТО, БЛАГОТВОРИТЕЛЬНЫЙ ФОНД</t>
    </r>
  </si>
  <si>
    <t>1067746154904</t>
  </si>
  <si>
    <t>7703578750</t>
  </si>
  <si>
    <r>
      <rPr>
        <sz val="11"/>
        <color rgb="FF000000"/>
        <rFont val="Calibri"/>
      </rPr>
      <t>БЕНЕФИС, ФОНД</t>
    </r>
  </si>
  <si>
    <t>1027700084829</t>
  </si>
  <si>
    <t>7707174999</t>
  </si>
  <si>
    <r>
      <rPr>
        <sz val="11"/>
        <color rgb="FF000000"/>
        <rFont val="Calibri"/>
      </rPr>
      <t>БИМ, ФОНД</t>
    </r>
  </si>
  <si>
    <t>1027700592138</t>
  </si>
  <si>
    <t>7701274845</t>
  </si>
  <si>
    <r>
      <rPr>
        <sz val="11"/>
        <color rgb="FF000000"/>
        <rFont val="Calibri"/>
      </rPr>
      <t>БИФ ПОМОГИ.ОРГ</t>
    </r>
  </si>
  <si>
    <t>1057748529684</t>
  </si>
  <si>
    <t>7702579448</t>
  </si>
  <si>
    <r>
      <rPr>
        <sz val="11"/>
        <color rgb="FF000000"/>
        <rFont val="Calibri"/>
      </rPr>
      <t>БЛАГО, БФ</t>
    </r>
  </si>
  <si>
    <t>1027700129918</t>
  </si>
  <si>
    <t>7709223761</t>
  </si>
  <si>
    <r>
      <rPr>
        <sz val="11"/>
        <color rgb="FF000000"/>
        <rFont val="Calibri"/>
      </rPr>
      <t>БЛАГОВЕСТ, РОФПСППМ</t>
    </r>
  </si>
  <si>
    <t>1037739344169</t>
  </si>
  <si>
    <t>7704200577</t>
  </si>
  <si>
    <r>
      <rPr>
        <sz val="11"/>
        <color rgb="FF000000"/>
        <rFont val="Calibri"/>
      </rPr>
      <t>БЛАГОДАТЬ, БФ</t>
    </r>
  </si>
  <si>
    <t>1137799022580</t>
  </si>
  <si>
    <t>7704281713</t>
  </si>
  <si>
    <r>
      <rPr>
        <sz val="11"/>
        <color rgb="FF000000"/>
        <rFont val="Calibri"/>
      </rPr>
      <t>БЛАГОЕ ДЕЛО В СТАРЫХ ЧЕРЕМУШКАХ, БФ</t>
    </r>
  </si>
  <si>
    <t>1107799031560</t>
  </si>
  <si>
    <t>7727002596</t>
  </si>
  <si>
    <r>
      <rPr>
        <sz val="11"/>
        <color rgb="FF000000"/>
        <rFont val="Calibri"/>
      </rPr>
      <t>БЛАГОКРОВ, БФ</t>
    </r>
  </si>
  <si>
    <t>1147799006321</t>
  </si>
  <si>
    <t>7709473761</t>
  </si>
  <si>
    <r>
      <rPr>
        <sz val="11"/>
        <color rgb="FF000000"/>
        <rFont val="Calibri"/>
      </rPr>
      <t>БЛАГОТВОРИТЕЛЬНЫЙ ФОНД ДМИТРИЯ КОРОБКОВА</t>
    </r>
  </si>
  <si>
    <t>1077799021871</t>
  </si>
  <si>
    <t>7704274226</t>
  </si>
  <si>
    <r>
      <rPr>
        <sz val="11"/>
        <color rgb="FF000000"/>
        <rFont val="Calibri"/>
      </rPr>
      <t>БЛАГОТВОРИТЕЛЬНЫЙ ФОНД ЕЛЕНЫ ОБРАЗЦОВОЙ</t>
    </r>
  </si>
  <si>
    <t>1127799000515</t>
  </si>
  <si>
    <t>7710479630</t>
  </si>
  <si>
    <r>
      <rPr>
        <sz val="11"/>
        <color rgb="FF000000"/>
        <rFont val="Calibri"/>
      </rPr>
      <t>БЛАГОТВОРИТЕЛЬНЫЙ ФОНД ЗАБОТА О БУДУЩЕМ, НКО</t>
    </r>
  </si>
  <si>
    <t>1127799013572</t>
  </si>
  <si>
    <t>7704279778</t>
  </si>
  <si>
    <r>
      <rPr>
        <sz val="11"/>
        <color rgb="FF000000"/>
        <rFont val="Calibri"/>
      </rPr>
      <t>БЛАГОТВОРИТЕЛЬНЫЙ ФОНД ИМ. МЕЙЕРХОЛЬДА</t>
    </r>
  </si>
  <si>
    <t>1027739480614</t>
  </si>
  <si>
    <t>7710374290</t>
  </si>
  <si>
    <r>
      <rPr>
        <sz val="11"/>
        <color rgb="FF000000"/>
        <rFont val="Calibri"/>
      </rPr>
      <t>БЛАГОТВОРИТЕЛЬНЫЙ ФОНД ИМЕНИ Д. ОЙСТРАХА, НО</t>
    </r>
  </si>
  <si>
    <t>1057746156456</t>
  </si>
  <si>
    <t>7703541239</t>
  </si>
  <si>
    <r>
      <rPr>
        <sz val="11"/>
        <color rgb="FF000000"/>
        <rFont val="Calibri"/>
      </rPr>
      <t>БЛАГОТВОРИТЕЛЬНЫЙ ФОНД ИМЕНИ Е.И. РЕРИХ</t>
    </r>
  </si>
  <si>
    <t>1037700099161</t>
  </si>
  <si>
    <t>7705205585</t>
  </si>
  <si>
    <r>
      <rPr>
        <sz val="11"/>
        <color rgb="FF000000"/>
        <rFont val="Calibri"/>
      </rPr>
      <t>БЛАГОТВОРИТЕЛЬНЫЙ ФОНД КУЛЬТУРЫ ИМ. Ю.Н. ДОЛЖИКОВА</t>
    </r>
  </si>
  <si>
    <t>1167700055808</t>
  </si>
  <si>
    <t>7714385292</t>
  </si>
  <si>
    <r>
      <rPr>
        <sz val="11"/>
        <color rgb="FF000000"/>
        <rFont val="Calibri"/>
      </rPr>
      <t>БЛАГОТВОРИТЕЛЬНЫЙ ФОНД ЛИГИ ЗДОРОВЬЯ НАЦИИ</t>
    </r>
  </si>
  <si>
    <t>1037789076490</t>
  </si>
  <si>
    <t>7706518132</t>
  </si>
  <si>
    <r>
      <rPr>
        <sz val="11"/>
        <color rgb="FF000000"/>
        <rFont val="Calibri"/>
      </rPr>
      <t>БЛАГОТВОРИТЕЛЬНЫЙ ФОНД ЛИЦО РЕБЕНКА, НО</t>
    </r>
  </si>
  <si>
    <t>1037701912720</t>
  </si>
  <si>
    <t>7701340199</t>
  </si>
  <si>
    <r>
      <rPr>
        <sz val="11"/>
        <color rgb="FF000000"/>
        <rFont val="Calibri"/>
      </rPr>
      <t>БЛАГОТВОРИТЕЛЬНЫЙ ФОНД НАТАЛИИ КУЗЬМИНОЙ</t>
    </r>
  </si>
  <si>
    <t>1067799022840</t>
  </si>
  <si>
    <t>7704272540</t>
  </si>
  <si>
    <r>
      <rPr>
        <sz val="11"/>
        <color rgb="FF000000"/>
        <rFont val="Calibri"/>
      </rPr>
      <t>БЛАГОТВОРИТЕЛЬНЫЙ ФОНД ПО ВОССТАНОВЛЕНИЮ ВОСКРЕСЕНСКОГО НОВО-ИЕРУСАЛИМСКОГО МОНАСТЫРЯ</t>
    </r>
  </si>
  <si>
    <t>1087799035796</t>
  </si>
  <si>
    <t>7705520019</t>
  </si>
  <si>
    <r>
      <rPr>
        <sz val="11"/>
        <color rgb="FF000000"/>
        <rFont val="Calibri"/>
      </rPr>
      <t>БЛАГОТВОРИТЕЛЬНЫЙ ФОНД ПОДДЕРЖКИ И РАЗВИТИЯ РУССКОЙ ЭКОНОМИКИ</t>
    </r>
  </si>
  <si>
    <t>1127799010690</t>
  </si>
  <si>
    <t>7722400709</t>
  </si>
  <si>
    <r>
      <rPr>
        <sz val="11"/>
        <color rgb="FF000000"/>
        <rFont val="Calibri"/>
      </rPr>
      <t>БЛАГОТВОРИТЕЛЬНЫЙ ФОНД ПОМОЩНИК И ПОКРОВИТЕЛЬ</t>
    </r>
  </si>
  <si>
    <t>1057601585030</t>
  </si>
  <si>
    <t>7609018818</t>
  </si>
  <si>
    <r>
      <rPr>
        <sz val="11"/>
        <color rgb="FF000000"/>
        <rFont val="Calibri"/>
      </rPr>
      <t>БЛАГОТВОРИТЕЛЬНЫЙ ФОНД ПРОФИЛАКТИКИ СОЦИАЛЬНОГО СИРОТСТВА</t>
    </r>
  </si>
  <si>
    <t>1117799012319</t>
  </si>
  <si>
    <t>7734269752</t>
  </si>
  <si>
    <r>
      <rPr>
        <sz val="11"/>
        <color rgb="FF000000"/>
        <rFont val="Calibri"/>
      </rPr>
      <t>БЛАГОТВОРИТЕЛЬНЫЙ ФОНД РАЗВИТИЯ МШЭ МГУ</t>
    </r>
  </si>
  <si>
    <t>1057746008704</t>
  </si>
  <si>
    <t>7727531350</t>
  </si>
  <si>
    <r>
      <rPr>
        <sz val="11"/>
        <color rgb="FF000000"/>
        <rFont val="Calibri"/>
      </rPr>
      <t>БЛАГОТВОРИТЕЛЬНЫЙ ФОНД РЕАБИЛИТАЦИИ БОЛЬНЫХ НАРКОМАНИЕЙ (НЕКОММЕРЧЕСКАЯ ОРГАНИЗАЦИЯ)</t>
    </r>
  </si>
  <si>
    <t>1027739327208</t>
  </si>
  <si>
    <t>7708102267</t>
  </si>
  <si>
    <r>
      <rPr>
        <sz val="11"/>
        <color rgb="FF000000"/>
        <rFont val="Calibri"/>
      </rPr>
      <t>БЛАГОТВОРИТЕЛЬНЫЙ ФОНД СВЯТИТЕЛЯ НИКОЛАЯ ЧУДОТВОРЦА, НО</t>
    </r>
  </si>
  <si>
    <t>1027700096126</t>
  </si>
  <si>
    <t>7707307350</t>
  </si>
  <si>
    <r>
      <rPr>
        <sz val="11"/>
        <color rgb="FF000000"/>
        <rFont val="Calibri"/>
      </rPr>
      <t>БЛАГОТВОРИТЕЛЬНЫЙ ФОНД СВЯТОЙ ГОРЫ АФОН</t>
    </r>
  </si>
  <si>
    <t>1057748254211</t>
  </si>
  <si>
    <t>7705686991</t>
  </si>
  <si>
    <r>
      <rPr>
        <sz val="11"/>
        <color rgb="FF000000"/>
        <rFont val="Calibri"/>
      </rPr>
      <t>БЛАГОТВОРИТЕЛЬНЫЙ ФОНД СЕРГЕЯ САРКИСОВА</t>
    </r>
  </si>
  <si>
    <t>1067799021850</t>
  </si>
  <si>
    <t>7710475435</t>
  </si>
  <si>
    <r>
      <rPr>
        <sz val="11"/>
        <color rgb="FF000000"/>
        <rFont val="Calibri"/>
      </rPr>
      <t>БОЛЬШАЯ ПЕРЕМЕНА, БФ</t>
    </r>
  </si>
  <si>
    <t>1027725001732</t>
  </si>
  <si>
    <t>7725203709</t>
  </si>
  <si>
    <r>
      <rPr>
        <sz val="11"/>
        <color rgb="FF000000"/>
        <rFont val="Calibri"/>
      </rPr>
      <t>БОРОВИКА, ФОНД</t>
    </r>
  </si>
  <si>
    <t>1107799019261</t>
  </si>
  <si>
    <t>7727290305</t>
  </si>
  <si>
    <r>
      <rPr>
        <sz val="11"/>
        <color rgb="FF000000"/>
        <rFont val="Calibri"/>
      </rPr>
      <t>БРАТСТВО, БЛАГОТВОРИТЕЛЬНЫЙ ФОНД</t>
    </r>
  </si>
  <si>
    <t>1037739017414</t>
  </si>
  <si>
    <t>7708159270</t>
  </si>
  <si>
    <r>
      <rPr>
        <sz val="11"/>
        <color rgb="FF000000"/>
        <rFont val="Calibri"/>
      </rPr>
      <t>БЛАГОТВОРИТЕЛЬНЫЙ ФОНД ИМЕНИ ПРИМАКОВА Е.М.</t>
    </r>
  </si>
  <si>
    <t>1037739365135</t>
  </si>
  <si>
    <t>7701295193</t>
  </si>
  <si>
    <r>
      <rPr>
        <sz val="11"/>
        <color rgb="FF000000"/>
        <rFont val="Calibri"/>
      </rPr>
      <t>БЛАГОТВОРИТЕЛЬНЫЙ ФОНД МАРКА КАУФМАНА</t>
    </r>
  </si>
  <si>
    <t>1027700436829</t>
  </si>
  <si>
    <t>7706274310</t>
  </si>
  <si>
    <r>
      <rPr>
        <sz val="11"/>
        <color rgb="FF000000"/>
        <rFont val="Calibri"/>
      </rPr>
      <t>БЛАГОТВОРИТЕЛЬНЫЙ ФОНД РАЗВИТИЯ ФИЛАНТРОПИИ</t>
    </r>
  </si>
  <si>
    <t>1127799000560</t>
  </si>
  <si>
    <t>7701168082</t>
  </si>
  <si>
    <r>
      <rPr>
        <sz val="11"/>
        <color rgb="FF000000"/>
        <rFont val="Calibri"/>
      </rPr>
      <t>БУДЕМ ЖИТЬ! ИМ. М.БАСЮКА, ФОНД</t>
    </r>
  </si>
  <si>
    <t>1087799008956</t>
  </si>
  <si>
    <t>7706413531</t>
  </si>
  <si>
    <r>
      <rPr>
        <sz val="11"/>
        <color rgb="FF000000"/>
        <rFont val="Calibri"/>
      </rPr>
      <t>БУДУЩЕЕ ДЛЯ ДЕТЕЙ!, БФ</t>
    </r>
  </si>
  <si>
    <t>1147799005012</t>
  </si>
  <si>
    <t>7743110976</t>
  </si>
  <si>
    <r>
      <rPr>
        <sz val="11"/>
        <color rgb="FF000000"/>
        <rFont val="Calibri"/>
      </rPr>
      <t>БУДУЩЕЕ-СЕГОДНЯ, БФ</t>
    </r>
  </si>
  <si>
    <t>1137799023658</t>
  </si>
  <si>
    <t>7703480811</t>
  </si>
  <si>
    <r>
      <rPr>
        <sz val="11"/>
        <color rgb="FF000000"/>
        <rFont val="Calibri"/>
      </rPr>
      <t>БУМЕРАНГ, БЛАГОТВОРИТЕЛЬНЫЙ ФОНД</t>
    </r>
  </si>
  <si>
    <t>1147799018036</t>
  </si>
  <si>
    <t>7718490146</t>
  </si>
  <si>
    <r>
      <rPr>
        <sz val="11"/>
        <color rgb="FF000000"/>
        <rFont val="Calibri"/>
      </rPr>
      <t>БФ ГИМНАЗИИ № 1520 ИМЕНИ КАПЦОВЫХ</t>
    </r>
  </si>
  <si>
    <t>1147799010402</t>
  </si>
  <si>
    <t>7725352796</t>
  </si>
  <si>
    <r>
      <rPr>
        <sz val="11"/>
        <color rgb="FF000000"/>
        <rFont val="Calibri"/>
      </rPr>
      <t>БФ ИМ.ГЕРОЯ РФ ГРОМОВА С.С.</t>
    </r>
  </si>
  <si>
    <t>1047797042127</t>
  </si>
  <si>
    <t>7730517620</t>
  </si>
  <si>
    <r>
      <rPr>
        <sz val="11"/>
        <color rgb="FF000000"/>
        <rFont val="Calibri"/>
      </rPr>
      <t>БФ МАРИНЫ СИЛКОВОЙ</t>
    </r>
  </si>
  <si>
    <t>1167700058657</t>
  </si>
  <si>
    <t>9729011399</t>
  </si>
  <si>
    <r>
      <rPr>
        <sz val="11"/>
        <color rgb="FF000000"/>
        <rFont val="Calibri"/>
      </rPr>
      <t>БФ МОЛОДЕЖНЫХ ПРОГРАММ</t>
    </r>
  </si>
  <si>
    <t>1056405440772</t>
  </si>
  <si>
    <t>6454075223</t>
  </si>
  <si>
    <r>
      <rPr>
        <sz val="11"/>
        <color rgb="FF000000"/>
        <rFont val="Calibri"/>
      </rPr>
      <t>БФ МЭШ, ФОНД</t>
    </r>
  </si>
  <si>
    <t>1037700206235</t>
  </si>
  <si>
    <t>7703259257</t>
  </si>
  <si>
    <r>
      <rPr>
        <sz val="11"/>
        <color rgb="FF000000"/>
        <rFont val="Calibri"/>
      </rPr>
      <t>БФ НАША СЕМЬЯ</t>
    </r>
  </si>
  <si>
    <t>1077799003721</t>
  </si>
  <si>
    <t>7701359055</t>
  </si>
  <si>
    <r>
      <rPr>
        <sz val="11"/>
        <color rgb="FF000000"/>
        <rFont val="Calibri"/>
      </rPr>
      <t>БФ ПОМОЩИ БОЛЬНЫМ С ХИРУРГИЧЕСКИМИ И ИНЫМИ ТЯЖЕЛЫМИ ЗАБОЛЕВАНИЯМИ</t>
    </r>
  </si>
  <si>
    <t>1157700010995</t>
  </si>
  <si>
    <t>9705044282</t>
  </si>
  <si>
    <r>
      <rPr>
        <sz val="11"/>
        <color rgb="FF000000"/>
        <rFont val="Calibri"/>
      </rPr>
      <t>БФ СВ. ПРАВ. ИОАННА КРОНШТАДТСКОГО</t>
    </r>
  </si>
  <si>
    <t>1117799015432</t>
  </si>
  <si>
    <t>7707490232</t>
  </si>
  <si>
    <r>
      <rPr>
        <sz val="11"/>
        <color rgb="FF000000"/>
        <rFont val="Calibri"/>
      </rPr>
      <t>БФ СВ.ТАТИАНЫ</t>
    </r>
  </si>
  <si>
    <t>1167700069240</t>
  </si>
  <si>
    <t>7726389492</t>
  </si>
  <si>
    <r>
      <rPr>
        <sz val="11"/>
        <color rgb="FF000000"/>
        <rFont val="Calibri"/>
      </rPr>
      <t>БФ СОЦИАЛЬНОГО РАЗВИТИЯ РЕГИОНОВ</t>
    </r>
  </si>
  <si>
    <t>1066454041895</t>
  </si>
  <si>
    <t>6454079387</t>
  </si>
  <si>
    <r>
      <rPr>
        <sz val="11"/>
        <color rgb="FF000000"/>
        <rFont val="Calibri"/>
      </rPr>
      <t>БФ СОЦИАЛЬНОЙ ПОДДЕРЖКИ ВЕТЕРАНОВ ТАМОЖЕННОЙ СЛУЖБЫ</t>
    </r>
  </si>
  <si>
    <t>1027739913420</t>
  </si>
  <si>
    <t>7701236991</t>
  </si>
  <si>
    <r>
      <rPr>
        <sz val="11"/>
        <color rgb="FF000000"/>
        <rFont val="Calibri"/>
      </rPr>
      <t>БФ ЦССКН</t>
    </r>
  </si>
  <si>
    <t>1167700052453</t>
  </si>
  <si>
    <t>7702398089</t>
  </si>
  <si>
    <r>
      <rPr>
        <sz val="11"/>
        <color rgb="FF000000"/>
        <rFont val="Calibri"/>
      </rPr>
      <t>БФПСД</t>
    </r>
  </si>
  <si>
    <t>1097799033859</t>
  </si>
  <si>
    <t>7703394376</t>
  </si>
  <si>
    <r>
      <rPr>
        <sz val="11"/>
        <color rgb="FF000000"/>
        <rFont val="Calibri"/>
      </rPr>
      <t>БЭЛА. ДЕТИ-БАБОЧКИ, БФ</t>
    </r>
  </si>
  <si>
    <t>1117799003794</t>
  </si>
  <si>
    <t>7718002430</t>
  </si>
  <si>
    <r>
      <rPr>
        <sz val="11"/>
        <color rgb="FF000000"/>
        <rFont val="Calibri"/>
      </rPr>
      <t>БЮРО ДОБРЫХ ДЕЛ, БЛАГОТВОРИТЕЛЬНЫЙ ФОНД</t>
    </r>
  </si>
  <si>
    <t>1127799011856</t>
  </si>
  <si>
    <t>7705520900</t>
  </si>
  <si>
    <r>
      <rPr>
        <sz val="11"/>
        <color rgb="FF000000"/>
        <rFont val="Calibri"/>
      </rPr>
      <t>В ОТВЕТЕ ЗА БУДУЩЕЕ, БФ</t>
    </r>
  </si>
  <si>
    <t>1137799015750</t>
  </si>
  <si>
    <t>7707491660</t>
  </si>
  <si>
    <r>
      <rPr>
        <sz val="11"/>
        <color rgb="FF000000"/>
        <rFont val="Calibri"/>
      </rPr>
      <t>В ТВОИХ РУКАХ, БФ</t>
    </r>
  </si>
  <si>
    <t>1127799023527</t>
  </si>
  <si>
    <t>7718748155</t>
  </si>
  <si>
    <t>Экологические фонды</t>
  </si>
  <si>
    <r>
      <rPr>
        <sz val="11"/>
        <color rgb="FF000000"/>
        <rFont val="Calibri"/>
      </rPr>
      <t>БЛАГОТВОРИТЕЛЬНЫЙ ФОНД ВЕТЕРАНОВ СПОРТА Г.МОСКВЫ</t>
    </r>
  </si>
  <si>
    <t>1027739739400</t>
  </si>
  <si>
    <t>7711076916</t>
  </si>
  <si>
    <r>
      <rPr>
        <sz val="11"/>
        <color rgb="FF000000"/>
        <rFont val="Calibri"/>
      </rPr>
      <t>ВАХТАНГОВСКАЯ ШКОЛА, БФ</t>
    </r>
  </si>
  <si>
    <t>1047796054459</t>
  </si>
  <si>
    <t>7704511413</t>
  </si>
  <si>
    <r>
      <rPr>
        <sz val="11"/>
        <color rgb="FF000000"/>
        <rFont val="Calibri"/>
      </rPr>
      <t>ВЕРА, БЛАГОТВОРИТЕЛЬНЫЙ ФОНД</t>
    </r>
  </si>
  <si>
    <t>1067799030826</t>
  </si>
  <si>
    <t>7724296034</t>
  </si>
  <si>
    <r>
      <rPr>
        <sz val="11"/>
        <color rgb="FF000000"/>
        <rFont val="Calibri"/>
      </rPr>
      <t>ВЕРШИНА СПОРТА, БЛАГОТВОРИТЕЛЬНЫЙ ФОНД</t>
    </r>
  </si>
  <si>
    <t>1117799005390</t>
  </si>
  <si>
    <t>7704278358</t>
  </si>
  <si>
    <r>
      <rPr>
        <sz val="11"/>
        <color rgb="FF000000"/>
        <rFont val="Calibri"/>
      </rPr>
      <t>ВЕРШИНА, БФ</t>
    </r>
  </si>
  <si>
    <t>1117800018159</t>
  </si>
  <si>
    <t>7801350345</t>
  </si>
  <si>
    <r>
      <rPr>
        <sz val="11"/>
        <color rgb="FF000000"/>
        <rFont val="Calibri"/>
      </rPr>
      <t>ВЕТЕРАН НЕФТЕГАЗСТРОЯ ИМ. Б.Е. ЩЕРБИНЫ, ФОНД</t>
    </r>
  </si>
  <si>
    <t>1037739738453</t>
  </si>
  <si>
    <t>7706001256</t>
  </si>
  <si>
    <r>
      <rPr>
        <sz val="11"/>
        <color rgb="FF000000"/>
        <rFont val="Calibri"/>
      </rPr>
      <t>ВЕТЕРАНОВ ПОДРАЗДЕЛЕНИЙ ЭКОНОМИЧЕСКОЙ БЕЗОПАСНОСТИ ОРГАНОВ ВНУТРЕННИХ ДЕЛ, ФОНД</t>
    </r>
  </si>
  <si>
    <t>1087799030615</t>
  </si>
  <si>
    <t>7709441897</t>
  </si>
  <si>
    <r>
      <rPr>
        <sz val="11"/>
        <color rgb="FF000000"/>
        <rFont val="Calibri"/>
      </rPr>
      <t>ВЕТЕРАНЫ ЛУБЯНКИ, РОФ</t>
    </r>
  </si>
  <si>
    <t>1037739059874</t>
  </si>
  <si>
    <t>7737123310</t>
  </si>
  <si>
    <r>
      <rPr>
        <sz val="11"/>
        <color rgb="FF000000"/>
        <rFont val="Calibri"/>
      </rPr>
      <t>ВИКТОРИЯ, БДФ</t>
    </r>
  </si>
  <si>
    <t>1047796863179</t>
  </si>
  <si>
    <t>7704537281</t>
  </si>
  <si>
    <r>
      <rPr>
        <sz val="11"/>
        <color rgb="FF000000"/>
        <rFont val="Calibri"/>
      </rPr>
      <t>ВИНЗАВОД, ФОНД</t>
    </r>
  </si>
  <si>
    <t>1087799006570</t>
  </si>
  <si>
    <t>7709441456</t>
  </si>
  <si>
    <t>201 - 250</t>
  </si>
  <si>
    <r>
      <rPr>
        <sz val="11"/>
        <color rgb="FF000000"/>
        <rFont val="Calibri"/>
      </rPr>
      <t>ВКЛАД В БУДУЩЕЕ</t>
    </r>
  </si>
  <si>
    <t>1157700017518</t>
  </si>
  <si>
    <t>7736255272</t>
  </si>
  <si>
    <r>
      <rPr>
        <sz val="11"/>
        <color rgb="FF000000"/>
        <rFont val="Calibri"/>
      </rPr>
      <t>ВМЕСТЕ МЫ МОЖЕМ, БЛАГОТВОРИТЕЛЬНЫЙ ФОНД</t>
    </r>
  </si>
  <si>
    <t>1027739589052</t>
  </si>
  <si>
    <t>7715043870</t>
  </si>
  <si>
    <r>
      <rPr>
        <sz val="11"/>
        <color rgb="FF000000"/>
        <rFont val="Calibri"/>
      </rPr>
      <t>ВМЕСТЕ ПРОТИВ РАКА, ФОНД</t>
    </r>
  </si>
  <si>
    <t>1097799007492</t>
  </si>
  <si>
    <t>7704275879</t>
  </si>
  <si>
    <r>
      <rPr>
        <sz val="11"/>
        <color rgb="FF000000"/>
        <rFont val="Calibri"/>
      </rPr>
      <t>ВО ИМЯ АРХАНГЕЛА ГАВРИИЛА, ФОНД</t>
    </r>
  </si>
  <si>
    <t>1137799009094</t>
  </si>
  <si>
    <t>7724301534</t>
  </si>
  <si>
    <r>
      <rPr>
        <sz val="11"/>
        <color rgb="FF000000"/>
        <rFont val="Calibri"/>
      </rPr>
      <t>ВО ИМЯ ЖИЗНИ, БЛАГОТВОРИТЕЛЬНЫЙ ФОНД</t>
    </r>
  </si>
  <si>
    <t>1077799002820</t>
  </si>
  <si>
    <t>7719286880</t>
  </si>
  <si>
    <r>
      <rPr>
        <sz val="11"/>
        <color rgb="FF000000"/>
        <rFont val="Calibri"/>
      </rPr>
      <t>ВОЗМОЖНОСТЬ, БФ</t>
    </r>
  </si>
  <si>
    <t>1047796761484</t>
  </si>
  <si>
    <t>7721516764</t>
  </si>
  <si>
    <r>
      <rPr>
        <sz val="11"/>
        <color rgb="FF000000"/>
        <rFont val="Calibri"/>
      </rPr>
      <t>ВОЛОНТЕРЫ В ПОМОЩЬ ДЕТЯМ-СИРОТАМ, БФ</t>
    </r>
  </si>
  <si>
    <t>1077799002490</t>
  </si>
  <si>
    <t>7706412841</t>
  </si>
  <si>
    <t>101 - 150</t>
  </si>
  <si>
    <r>
      <rPr>
        <sz val="11"/>
        <color rgb="FF000000"/>
        <rFont val="Calibri"/>
      </rPr>
      <t>ВОЛЬНОЕ ДЕЛО, НФ</t>
    </r>
  </si>
  <si>
    <t>1027701021589</t>
  </si>
  <si>
    <t>7701318997</t>
  </si>
  <si>
    <r>
      <rPr>
        <sz val="11"/>
        <color rgb="FF000000"/>
        <rFont val="Calibri"/>
      </rPr>
      <t>ВОСКРЕСЕНИЕ, БФ</t>
    </r>
  </si>
  <si>
    <t>1047796109327</t>
  </si>
  <si>
    <t>7701525175</t>
  </si>
  <si>
    <r>
      <rPr>
        <sz val="11"/>
        <color rgb="FF000000"/>
        <rFont val="Calibri"/>
      </rPr>
      <t>ВПЕРЕД, РОФ</t>
    </r>
  </si>
  <si>
    <t>1037739032858</t>
  </si>
  <si>
    <t>7715185698</t>
  </si>
  <si>
    <r>
      <rPr>
        <sz val="11"/>
        <color rgb="FF000000"/>
        <rFont val="Calibri"/>
      </rPr>
      <t>ВРАЧЕБНОЕ БРАТСТВО, БФ</t>
    </r>
  </si>
  <si>
    <t>1117799002420</t>
  </si>
  <si>
    <t>7710478958</t>
  </si>
  <si>
    <r>
      <rPr>
        <sz val="11"/>
        <color rgb="FF000000"/>
        <rFont val="Calibri"/>
      </rPr>
      <t>ВСЕМИРНАЯ ЭСТАФЕТА ГАРМОНИИ, ФСКС</t>
    </r>
  </si>
  <si>
    <t>1107799017996</t>
  </si>
  <si>
    <t>7713387843</t>
  </si>
  <si>
    <r>
      <rPr>
        <sz val="11"/>
        <color rgb="FF000000"/>
        <rFont val="Calibri"/>
      </rPr>
      <t>ВТБ-СТРАНА, БФ</t>
    </r>
  </si>
  <si>
    <t>1067799023632</t>
  </si>
  <si>
    <t>7702368944</t>
  </si>
  <si>
    <r>
      <rPr>
        <sz val="11"/>
        <color rgb="FF000000"/>
        <rFont val="Calibri"/>
      </rPr>
      <t>ВТОРОЕ ДЫХАНИЕ, БФ</t>
    </r>
  </si>
  <si>
    <t>1157700017463</t>
  </si>
  <si>
    <t>7716807831</t>
  </si>
  <si>
    <r>
      <rPr>
        <sz val="11"/>
        <color rgb="FF000000"/>
        <rFont val="Calibri"/>
      </rPr>
      <t>ВЫМПЕЛ, БЛАГОТВОРИТЕЛЬНЫЙ ФОНД</t>
    </r>
  </si>
  <si>
    <t>1087799036050</t>
  </si>
  <si>
    <t>7731158878</t>
  </si>
  <si>
    <r>
      <rPr>
        <sz val="11"/>
        <color rgb="FF000000"/>
        <rFont val="Calibri"/>
      </rPr>
      <t>ВЫХОД, БЛАГОТВОРИТЕЛЬНЫЙ ФОНД</t>
    </r>
  </si>
  <si>
    <t>1127799025320</t>
  </si>
  <si>
    <t>7702471437</t>
  </si>
  <si>
    <r>
      <rPr>
        <sz val="11"/>
        <color rgb="FF000000"/>
        <rFont val="Calibri"/>
      </rPr>
      <t>Г.П.ЩЕДРОВИЦКОГО, ФОНД ИМ.</t>
    </r>
  </si>
  <si>
    <t>1057746255885</t>
  </si>
  <si>
    <t>7729520924</t>
  </si>
  <si>
    <r>
      <rPr>
        <sz val="11"/>
        <color rgb="FF000000"/>
        <rFont val="Calibri"/>
      </rPr>
      <t>ГАЛЧОНОК, БЛАГОТВОРИТЕЛЬНЫЙ ФОНД</t>
    </r>
  </si>
  <si>
    <t>1127799008611</t>
  </si>
  <si>
    <t>7722400642</t>
  </si>
  <si>
    <r>
      <rPr>
        <sz val="11"/>
        <color rgb="FF000000"/>
        <rFont val="Calibri"/>
      </rPr>
      <t>ГАРМОНИЯ, БЛАГОТВОРИТЕЛЬНЫЙ ФОНД</t>
    </r>
  </si>
  <si>
    <t>1037739715254</t>
  </si>
  <si>
    <t>7706227535</t>
  </si>
  <si>
    <r>
      <rPr>
        <sz val="11"/>
        <color rgb="FF000000"/>
        <rFont val="Calibri"/>
      </rPr>
      <t>БЛАГОТВОРИТЕЛЬНЫЙ ФОНД ЕГОРА ГАЙДАРА</t>
    </r>
  </si>
  <si>
    <t>1137799011129</t>
  </si>
  <si>
    <t>7715492547</t>
  </si>
  <si>
    <r>
      <rPr>
        <sz val="11"/>
        <color rgb="FF000000"/>
        <rFont val="Calibri"/>
      </rPr>
      <t>ГОЛОС ТИШИНЫ, БЛАГОТВОРИТЕЛЬНЫЙ ФОНД</t>
    </r>
  </si>
  <si>
    <t>1127799025023</t>
  </si>
  <si>
    <t>7701169128</t>
  </si>
  <si>
    <r>
      <rPr>
        <sz val="11"/>
        <color rgb="FF000000"/>
        <rFont val="Calibri"/>
      </rPr>
      <t>ГОЛЬФСТРИМ, БФ</t>
    </r>
  </si>
  <si>
    <t>1115000002160</t>
  </si>
  <si>
    <t>5017998033</t>
  </si>
  <si>
    <r>
      <rPr>
        <sz val="11"/>
        <color rgb="FF000000"/>
        <rFont val="Calibri"/>
      </rPr>
      <t>ГОРОД БЕЗ БАРЬЕРОВ, НБФ</t>
    </r>
  </si>
  <si>
    <t>1127799009271</t>
  </si>
  <si>
    <t>7729451043</t>
  </si>
  <si>
    <r>
      <rPr>
        <sz val="11"/>
        <color rgb="FF000000"/>
        <rFont val="Calibri"/>
      </rPr>
      <t>ГРИГОРИЯ БОГОСЛОВА, ФОНД</t>
    </r>
  </si>
  <si>
    <t>1097799013180</t>
  </si>
  <si>
    <t>7726366110</t>
  </si>
  <si>
    <r>
      <rPr>
        <sz val="11"/>
        <color rgb="FF000000"/>
        <rFont val="Calibri"/>
      </rPr>
      <t>ГУРЬЕВА, ФОНД</t>
    </r>
  </si>
  <si>
    <t>1127799011911</t>
  </si>
  <si>
    <t>7736128690</t>
  </si>
  <si>
    <r>
      <rPr>
        <sz val="11"/>
        <color rgb="FF000000"/>
        <rFont val="Calibri"/>
      </rPr>
      <t>ДАЛЬШЕ, БЛАГОТВОРИТЕЛЬНЫЙ ФОНД</t>
    </r>
  </si>
  <si>
    <t>1117799007314</t>
  </si>
  <si>
    <t>7702470070</t>
  </si>
  <si>
    <r>
      <rPr>
        <sz val="11"/>
        <color rgb="FF000000"/>
        <rFont val="Calibri"/>
      </rPr>
      <t>ДАРЯЩИЕ НАДЕЖДУ, БЛАГОТВОРИТЕЛЬНЫЙ ФОНД</t>
    </r>
  </si>
  <si>
    <t>1107799036740</t>
  </si>
  <si>
    <t>7733185267</t>
  </si>
  <si>
    <r>
      <rPr>
        <sz val="11"/>
        <color rgb="FF000000"/>
        <rFont val="Calibri"/>
      </rPr>
      <t>ДАУНСАЙД АП</t>
    </r>
  </si>
  <si>
    <t>1027739619500</t>
  </si>
  <si>
    <t>7705159882</t>
  </si>
  <si>
    <r>
      <rPr>
        <sz val="11"/>
        <color rgb="FF000000"/>
        <rFont val="Calibri"/>
      </rPr>
      <t>ДБФ ИНТЕЛЛЕКТ-КЛУБ, НО</t>
    </r>
  </si>
  <si>
    <t>1027700235573</t>
  </si>
  <si>
    <t>7710210809</t>
  </si>
  <si>
    <r>
      <rPr>
        <sz val="11"/>
        <color rgb="FF000000"/>
        <rFont val="Calibri"/>
      </rPr>
      <t>ДВА ПОЛУШАРИЯ, ФОНД</t>
    </r>
  </si>
  <si>
    <t>1127799025551</t>
  </si>
  <si>
    <t>7743110119</t>
  </si>
  <si>
    <r>
      <rPr>
        <sz val="11"/>
        <color rgb="FF000000"/>
        <rFont val="Calibri"/>
      </rPr>
      <t>ДЕЙСТВУЮЩИЕ ЛИЦА, БЛАГОТВОРИТЕЛЬНЫЙ ФОНД</t>
    </r>
  </si>
  <si>
    <t>1097799003499</t>
  </si>
  <si>
    <t>7715046581</t>
  </si>
  <si>
    <r>
      <rPr>
        <sz val="11"/>
        <color rgb="FF000000"/>
        <rFont val="Calibri"/>
      </rPr>
      <t>ДЕЛО ЖИЗНИ, БФ</t>
    </r>
  </si>
  <si>
    <t>1107799019404</t>
  </si>
  <si>
    <t>7728114976</t>
  </si>
  <si>
    <r>
      <rPr>
        <sz val="11"/>
        <color rgb="FF000000"/>
        <rFont val="Calibri"/>
      </rPr>
      <t>ДЕЛОВАЯ ПЕРСПЕКТИВА, МЕЖРЕГИОНАЛЬНЫЙ ОБЩЕСТВЕННЫЙ ФОНД СОДЕЙСТВИЯ ЗАЩИТЕ ПРАВ ПРЕДПРИНИМАТЕЛЕЙ</t>
    </r>
  </si>
  <si>
    <t>1037739756009</t>
  </si>
  <si>
    <t>7705325900</t>
  </si>
  <si>
    <r>
      <rPr>
        <sz val="11"/>
        <color rgb="FF000000"/>
        <rFont val="Calibri"/>
      </rPr>
      <t>ДЕЛОЙТ, ФОНД</t>
    </r>
  </si>
  <si>
    <t>1077799010002</t>
  </si>
  <si>
    <t>7704273744</t>
  </si>
  <si>
    <r>
      <rPr>
        <sz val="11"/>
        <color rgb="FF000000"/>
        <rFont val="Calibri"/>
      </rPr>
      <t>ДЕНЕЖНЫЙ, 5, БФ</t>
    </r>
  </si>
  <si>
    <t>1157700007530</t>
  </si>
  <si>
    <t>7716795294</t>
  </si>
  <si>
    <r>
      <rPr>
        <sz val="11"/>
        <color rgb="FF000000"/>
        <rFont val="Calibri"/>
      </rPr>
      <t>ДЕРЕВНЯ РОМАНОВО МЕДЫНСКОГО РАЙОНА КАЛУЖСКОЙ ОБЛАСТИ, РЕГИОНАЛЬНЫЙ ОБЩЕСТВЕННЫЙ ФОНД ПОМОЩИ ШКОЛЕ И ДЕТСКОМУ САДУ СЕЛЬСКОГО ПОСЕЛЕНИЯ</t>
    </r>
  </si>
  <si>
    <t>1057700028044</t>
  </si>
  <si>
    <t>7710475139</t>
  </si>
  <si>
    <r>
      <rPr>
        <sz val="11"/>
        <color rgb="FF000000"/>
        <rFont val="Calibri"/>
      </rPr>
      <t>ДЕРЖАВА, БФ ПСП</t>
    </r>
  </si>
  <si>
    <t>1107799007953</t>
  </si>
  <si>
    <t>7743089185</t>
  </si>
  <si>
    <r>
      <rPr>
        <sz val="11"/>
        <color rgb="FF000000"/>
        <rFont val="Calibri"/>
      </rPr>
      <t>ДЕТИ ДОЖДЯ, РОФ</t>
    </r>
  </si>
  <si>
    <t>1147799015770</t>
  </si>
  <si>
    <t>7702472913</t>
  </si>
  <si>
    <r>
      <rPr>
        <sz val="11"/>
        <color rgb="FF000000"/>
        <rFont val="Calibri"/>
      </rPr>
      <t>ДЕТИ ЗЕМЛИ, БФ</t>
    </r>
  </si>
  <si>
    <t>1084800000064</t>
  </si>
  <si>
    <t>4826060434</t>
  </si>
  <si>
    <r>
      <rPr>
        <sz val="11"/>
        <color rgb="FF000000"/>
        <rFont val="Calibri"/>
      </rPr>
      <t>ДЕТИ МАРИИ, БФ</t>
    </r>
  </si>
  <si>
    <t>1207700187815</t>
  </si>
  <si>
    <t>7707440295</t>
  </si>
  <si>
    <r>
      <rPr>
        <sz val="11"/>
        <color rgb="FF000000"/>
        <rFont val="Calibri"/>
      </rPr>
      <t>ДЕТИ НАШИ, БЛАГОТВОРИТЕЛЬНЫЙ ФОНД</t>
    </r>
  </si>
  <si>
    <t>1067799022060</t>
  </si>
  <si>
    <t>7710475499</t>
  </si>
  <si>
    <r>
      <rPr>
        <sz val="11"/>
        <color rgb="FF000000"/>
        <rFont val="Calibri"/>
      </rPr>
      <t>ДЕТИ.МСК.РУ, ФОНД</t>
    </r>
  </si>
  <si>
    <t>1037739354916</t>
  </si>
  <si>
    <t>7730098129</t>
  </si>
  <si>
    <r>
      <rPr>
        <sz val="11"/>
        <color rgb="FF000000"/>
        <rFont val="Calibri"/>
      </rPr>
      <t>ДЕТСКАЯ БОЛЬНИЦА, БЛАГОТВОРИТЕЛЬНЫЙ ФОНД</t>
    </r>
  </si>
  <si>
    <t>1027700543782</t>
  </si>
  <si>
    <t>7703279944</t>
  </si>
  <si>
    <r>
      <rPr>
        <sz val="11"/>
        <color rgb="FF000000"/>
        <rFont val="Calibri"/>
      </rPr>
      <t>ДЕТСКИЙ КИНОМАЙ, БФ</t>
    </r>
  </si>
  <si>
    <t>1097799014477</t>
  </si>
  <si>
    <t>7704276255</t>
  </si>
  <si>
    <r>
      <rPr>
        <sz val="11"/>
        <color rgb="FF000000"/>
        <rFont val="Calibri"/>
      </rPr>
      <t>ДЕТСКИЙ ПАЛЛИАТИВ, БФ</t>
    </r>
  </si>
  <si>
    <t>1117799024485</t>
  </si>
  <si>
    <t>7713429927</t>
  </si>
  <si>
    <r>
      <rPr>
        <sz val="11"/>
        <color rgb="FF000000"/>
        <rFont val="Calibri"/>
      </rPr>
      <t>ДЕТСКОГО ДОКТОРА РОШАЛЯ, ФОНД</t>
    </r>
  </si>
  <si>
    <t>1137799023031</t>
  </si>
  <si>
    <t>7706471332</t>
  </si>
  <si>
    <r>
      <rPr>
        <sz val="11"/>
        <color rgb="FF000000"/>
        <rFont val="Calibri"/>
      </rPr>
      <t>ДЕТСКОЕ СЕРДЦЕ, БФ</t>
    </r>
  </si>
  <si>
    <t>1167700053289</t>
  </si>
  <si>
    <t>9710008610</t>
  </si>
  <si>
    <r>
      <rPr>
        <sz val="11"/>
        <color rgb="FF000000"/>
        <rFont val="Calibri"/>
      </rPr>
      <t>ДЕТЯМ С ЛЮБОВЬЮ, БЛАГОТВОРИТЕЛЬНЫЙ ФОНД ПОМОЩИ ДЕТЯМ-СИРОТАМ</t>
    </r>
  </si>
  <si>
    <t>1097799032528</t>
  </si>
  <si>
    <t>7709443460</t>
  </si>
  <si>
    <r>
      <rPr>
        <sz val="11"/>
        <color rgb="FF000000"/>
        <rFont val="Calibri"/>
      </rPr>
      <t>ДЖОЙНТ, ФОНД</t>
    </r>
  </si>
  <si>
    <t>1027700305280</t>
  </si>
  <si>
    <t>7717093611</t>
  </si>
  <si>
    <r>
      <rPr>
        <sz val="11"/>
        <color rgb="FF000000"/>
        <rFont val="Calibri"/>
      </rPr>
      <t>ДИАЛОГ КУЛЬТУР-ЕДИНЫЙ МИР, МБОФ</t>
    </r>
  </si>
  <si>
    <t>1057700023897</t>
  </si>
  <si>
    <t>7731281342</t>
  </si>
  <si>
    <r>
      <rPr>
        <sz val="11"/>
        <color rgb="FF000000"/>
        <rFont val="Calibri"/>
      </rPr>
      <t>ДИМИНА МЕЧТА, БЛАГОТВОРИТЕЛЬНЫЙ ФОНД</t>
    </r>
  </si>
  <si>
    <t>1067746380096</t>
  </si>
  <si>
    <t>7724571178</t>
  </si>
  <si>
    <r>
      <rPr>
        <sz val="11"/>
        <color rgb="FF000000"/>
        <rFont val="Calibri"/>
      </rPr>
      <t>ДИРЕКЦИЯ БЛАГОТВОРИТЕЛЬНЫХ ПРОГРАММ СТАРКО, БЛАГОТВОРИТЕЛЬНЫЙ ФОНД</t>
    </r>
  </si>
  <si>
    <t>1037739217340</t>
  </si>
  <si>
    <t>7703261753</t>
  </si>
  <si>
    <r>
      <rPr>
        <sz val="11"/>
        <color rgb="FF000000"/>
        <rFont val="Calibri"/>
      </rPr>
      <t>ДОБРОДЕТЕЛЬ, БЛАГОТВОРИТЕЛЬНЫЙ ФОНД ПОДДЕРЖКИ И РАЗВИТИЯ</t>
    </r>
  </si>
  <si>
    <t>1127799003309</t>
  </si>
  <si>
    <t>7704279224</t>
  </si>
  <si>
    <r>
      <rPr>
        <sz val="11"/>
        <color rgb="FF000000"/>
        <rFont val="Calibri"/>
      </rPr>
      <t>ДОБРОЕ ДЕЛО, БЛАГОТВОРИТЕЛЬНЫЙ ФОНД</t>
    </r>
  </si>
  <si>
    <t>1157700011578</t>
  </si>
  <si>
    <t>9701002122</t>
  </si>
  <si>
    <r>
      <rPr>
        <sz val="11"/>
        <color rgb="FF000000"/>
        <rFont val="Calibri"/>
      </rPr>
      <t>ДОБРОЕ ДЕЛО, БЛАГОТВОРИТЕЛЬНЫЙ ФОНД</t>
    </r>
  </si>
  <si>
    <t>1077799016723</t>
  </si>
  <si>
    <t>7743087727</t>
  </si>
  <si>
    <r>
      <rPr>
        <sz val="11"/>
        <color rgb="FF000000"/>
        <rFont val="Calibri"/>
      </rPr>
      <t>ДОБРОСЕРДИЕ, БФ</t>
    </r>
  </si>
  <si>
    <t>1077799034785</t>
  </si>
  <si>
    <t>7704274603</t>
  </si>
  <si>
    <r>
      <rPr>
        <sz val="11"/>
        <color rgb="FF000000"/>
        <rFont val="Calibri"/>
      </rPr>
      <t>ДОБРОСОСЕДСТВО, ФРМС</t>
    </r>
  </si>
  <si>
    <t>1097799002476</t>
  </si>
  <si>
    <t>7731006530</t>
  </si>
  <si>
    <r>
      <rPr>
        <sz val="11"/>
        <color rgb="FF000000"/>
        <rFont val="Calibri"/>
      </rPr>
      <t>ДОКТОР КЛОУН, БФ</t>
    </r>
  </si>
  <si>
    <t>1137799020633</t>
  </si>
  <si>
    <t>7717163717</t>
  </si>
  <si>
    <r>
      <rPr>
        <sz val="11"/>
        <color rgb="FF000000"/>
        <rFont val="Calibri"/>
      </rPr>
      <t>ДОМ ЕВРЕЙСКОЙ КНИГИ, ФОНД</t>
    </r>
  </si>
  <si>
    <t>1037739269094</t>
  </si>
  <si>
    <t>7725134759</t>
  </si>
  <si>
    <r>
      <rPr>
        <sz val="11"/>
        <color rgb="FF000000"/>
        <rFont val="Calibri"/>
      </rPr>
      <t>ДОМ РОНАЛДА МАКДОНАЛДА, БФ</t>
    </r>
  </si>
  <si>
    <t>1027700516678</t>
  </si>
  <si>
    <t>7710397699</t>
  </si>
  <si>
    <r>
      <rPr>
        <sz val="11"/>
        <color rgb="FF000000"/>
        <rFont val="Calibri"/>
      </rPr>
      <t>ДОРБАРИ, ФОНД</t>
    </r>
  </si>
  <si>
    <t>1157700004164</t>
  </si>
  <si>
    <t>7715460633</t>
  </si>
  <si>
    <r>
      <rPr>
        <sz val="11"/>
        <color rgb="FF000000"/>
        <rFont val="Calibri"/>
      </rPr>
      <t>ДОРОГА В ЖИЗНЬ, БЛАГОТВОРИТЕЛЬНЫЙ ФОНД</t>
    </r>
  </si>
  <si>
    <t>1127799008281</t>
  </si>
  <si>
    <t>7736128644</t>
  </si>
  <si>
    <r>
      <rPr>
        <sz val="11"/>
        <color rgb="FF000000"/>
        <rFont val="Calibri"/>
      </rPr>
      <t>ДОРОГАМИ ОТКРЫТИЙ, МЕЖДУНАРОДНЫЙ ФОНД</t>
    </r>
  </si>
  <si>
    <t>1037739836859</t>
  </si>
  <si>
    <t>7734502744</t>
  </si>
  <si>
    <r>
      <rPr>
        <sz val="11"/>
        <color rgb="FF000000"/>
        <rFont val="Calibri"/>
      </rPr>
      <t>ДОСТОИНСТВО, БЛАГОТВОРИТЕЛЬНЫЙ ФОНД</t>
    </r>
  </si>
  <si>
    <t>1107799018106</t>
  </si>
  <si>
    <t>7705099866</t>
  </si>
  <si>
    <r>
      <rPr>
        <sz val="11"/>
        <color rgb="FF000000"/>
        <rFont val="Calibri"/>
      </rPr>
      <t>ДОСТОЙНАЯ ПАМЯТЬ, БЛАГОТВОРИТЕЛЬНЫЙ ФОНД</t>
    </r>
  </si>
  <si>
    <t>1117799001803</t>
  </si>
  <si>
    <t>7733185355</t>
  </si>
  <si>
    <r>
      <rPr>
        <sz val="11"/>
        <color rgb="FF000000"/>
        <rFont val="Calibri"/>
      </rPr>
      <t>ДРУЗЬЯ, БЛАГОТВОРИТЕЛЬНЫЙ ФОНД</t>
    </r>
  </si>
  <si>
    <t>1157700005561</t>
  </si>
  <si>
    <t>7704314253</t>
  </si>
  <si>
    <r>
      <rPr>
        <sz val="11"/>
        <color rgb="FF000000"/>
        <rFont val="Calibri"/>
      </rPr>
      <t>ЕДИНСТВО ПРОСВЕЩЕНИЕ ДУХОВНОСТЬ, БЛАГОТВОРИТЕЛЬНЫЙ ФОНД</t>
    </r>
  </si>
  <si>
    <t>1057746172880</t>
  </si>
  <si>
    <t>7724535010</t>
  </si>
  <si>
    <r>
      <rPr>
        <sz val="11"/>
        <color rgb="FF000000"/>
        <rFont val="Calibri"/>
      </rPr>
      <t>ЕЛИЗАВЕТА, БЛАГОТВОРИТЕЛЬНЫЙ ФОНД</t>
    </r>
  </si>
  <si>
    <t>1027700518339</t>
  </si>
  <si>
    <t>7727190886</t>
  </si>
  <si>
    <r>
      <rPr>
        <sz val="11"/>
        <color rgb="FF000000"/>
        <rFont val="Calibri"/>
      </rPr>
      <t>ЕСПО, ФОНД</t>
    </r>
  </si>
  <si>
    <t>1117799017786</t>
  </si>
  <si>
    <t>7706470201</t>
  </si>
  <si>
    <r>
      <rPr>
        <sz val="11"/>
        <color rgb="FF000000"/>
        <rFont val="Calibri"/>
      </rPr>
      <t>ЖИВИ СЕЙЧАС, БФ</t>
    </r>
  </si>
  <si>
    <t>1157700009994</t>
  </si>
  <si>
    <t>7719417621</t>
  </si>
  <si>
    <r>
      <rPr>
        <sz val="11"/>
        <color rgb="FF000000"/>
        <rFont val="Calibri"/>
      </rPr>
      <t>ЖИВИ, БЛАГОТВОРИТЕЛЬНЫЙ ФОНД</t>
    </r>
  </si>
  <si>
    <t>1137799008654</t>
  </si>
  <si>
    <t>7717163361</t>
  </si>
  <si>
    <r>
      <rPr>
        <sz val="11"/>
        <color rgb="FF000000"/>
        <rFont val="Calibri"/>
      </rPr>
      <t>ЖИВОЙ, БЛАГОТВОРИТЕЛЬНЫЙ ФОНД</t>
    </r>
  </si>
  <si>
    <t>1107799024937</t>
  </si>
  <si>
    <t>7730184057</t>
  </si>
  <si>
    <r>
      <rPr>
        <sz val="11"/>
        <color rgb="FF000000"/>
        <rFont val="Calibri"/>
      </rPr>
      <t>ЖИЗНЕННЫЙ ПУТЬ, БФ</t>
    </r>
  </si>
  <si>
    <t>1095000002756</t>
  </si>
  <si>
    <t>5024104294</t>
  </si>
  <si>
    <r>
      <rPr>
        <sz val="11"/>
        <color rgb="FF000000"/>
        <rFont val="Calibri"/>
      </rPr>
      <t>ЖИЗНЬ В ДВИЖЕНИИ, БЛАГОТВОРИТЕЛЬНЫЙ ФОНД</t>
    </r>
  </si>
  <si>
    <t>1147800006804</t>
  </si>
  <si>
    <t>7842291770</t>
  </si>
  <si>
    <r>
      <rPr>
        <sz val="11"/>
        <color rgb="FF000000"/>
        <rFont val="Calibri"/>
      </rPr>
      <t>ЖИЗНЬ КАК ЧУДО, БЛАГОТВОРИТЕЛЬНЫЙ ФОНД</t>
    </r>
  </si>
  <si>
    <t>1097799007602</t>
  </si>
  <si>
    <t>7714322119</t>
  </si>
  <si>
    <r>
      <rPr>
        <sz val="11"/>
        <color rgb="FF000000"/>
        <rFont val="Calibri"/>
      </rPr>
      <t>ЖИЗНЬ, БФ</t>
    </r>
  </si>
  <si>
    <t>1077799015480</t>
  </si>
  <si>
    <t>7715399731</t>
  </si>
  <si>
    <r>
      <rPr>
        <sz val="11"/>
        <color rgb="FF000000"/>
        <rFont val="Calibri"/>
      </rPr>
      <t>ЖИТЬ ВМЕСТЕ , БФ ЖИТЬ ВМЕСТЕ, БЛАГОТВОРИТЕЛЬНЫЙ ФОНД</t>
    </r>
  </si>
  <si>
    <t>1117799003960</t>
  </si>
  <si>
    <t>7701064358</t>
  </si>
  <si>
    <r>
      <rPr>
        <sz val="11"/>
        <color rgb="FF000000"/>
        <rFont val="Calibri"/>
      </rPr>
      <t>ЗА СЛОВОМ ДЕЛО, БФ</t>
    </r>
  </si>
  <si>
    <t>1157700016671</t>
  </si>
  <si>
    <t>7730188703</t>
  </si>
  <si>
    <r>
      <rPr>
        <sz val="11"/>
        <color rgb="FF000000"/>
        <rFont val="Calibri"/>
      </rPr>
      <t>ЗАБОТА О БЛИЖНЕМ, БЛАГОТВОРИТЕЛЬНЫЙ ФОНД</t>
    </r>
  </si>
  <si>
    <t>1117799008194</t>
  </si>
  <si>
    <t>7733190080</t>
  </si>
  <si>
    <r>
      <rPr>
        <sz val="11"/>
        <color rgb="FF000000"/>
        <rFont val="Calibri"/>
      </rPr>
      <t>ЗАБОТА, БЛАГОТВОРИТЕЛЬНЫЙ ФОНД</t>
    </r>
  </si>
  <si>
    <t>1037739043726</t>
  </si>
  <si>
    <t>7713155634</t>
  </si>
  <si>
    <r>
      <rPr>
        <sz val="11"/>
        <color rgb="FF000000"/>
        <rFont val="Calibri"/>
      </rPr>
      <t>ЗАВЕТ, БЛАГОТВОРИТЕЛЬНЫЙ ФОНД</t>
    </r>
  </si>
  <si>
    <t>1067799018638</t>
  </si>
  <si>
    <t>7726340715</t>
  </si>
  <si>
    <r>
      <rPr>
        <sz val="11"/>
        <color rgb="FF000000"/>
        <rFont val="Calibri"/>
      </rPr>
      <t>ЗАЖГИ СВЕЧУ, ФОНД</t>
    </r>
  </si>
  <si>
    <t>1057746211775</t>
  </si>
  <si>
    <t>7727533702</t>
  </si>
  <si>
    <r>
      <rPr>
        <sz val="11"/>
        <color rgb="FF000000"/>
        <rFont val="Calibri"/>
      </rPr>
      <t>ЗАКЯТ, ФОНД</t>
    </r>
  </si>
  <si>
    <t>1117799007534</t>
  </si>
  <si>
    <t>7702470088</t>
  </si>
  <si>
    <r>
      <rPr>
        <sz val="11"/>
        <color rgb="FF000000"/>
        <rFont val="Calibri"/>
      </rPr>
      <t>ЗАМОСКВОРЕЧЬЕ, ФОНД</t>
    </r>
  </si>
  <si>
    <t>1067799018143</t>
  </si>
  <si>
    <t>7705516037</t>
  </si>
  <si>
    <r>
      <rPr>
        <sz val="11"/>
        <color rgb="FF000000"/>
        <rFont val="Calibri"/>
      </rPr>
      <t>ЗАПОВЕДНИК ИСКУСТВ, ФОНД</t>
    </r>
  </si>
  <si>
    <t>1047707025453</t>
  </si>
  <si>
    <t>7707300146</t>
  </si>
  <si>
    <r>
      <rPr>
        <sz val="11"/>
        <color rgb="FF000000"/>
        <rFont val="Calibri"/>
      </rPr>
      <t>ЗАСТАВА СВЯТОГО ИЛЬИ МУРОМЦА, БВПФ</t>
    </r>
  </si>
  <si>
    <t>1077799029175</t>
  </si>
  <si>
    <t>7719287348</t>
  </si>
  <si>
    <r>
      <rPr>
        <sz val="11"/>
        <color rgb="FF000000"/>
        <rFont val="Calibri"/>
      </rPr>
      <t>ЗАЩИТА ДЕТЕЙ ОТ НАСИЛИЯ, НЕКОММЕРЧЕСКАЯ ОРГАНИЗАЦИЯ БЛАГОТВОРИТЕЛЬНЫЙ ФОНД</t>
    </r>
  </si>
  <si>
    <t>1037739350923</t>
  </si>
  <si>
    <t>7736203740</t>
  </si>
  <si>
    <r>
      <rPr>
        <sz val="11"/>
        <color rgb="FF000000"/>
        <rFont val="Calibri"/>
      </rPr>
      <t>ЗАЩИТЫ СЕМЬИ, ФОНД</t>
    </r>
  </si>
  <si>
    <t>1037735025240</t>
  </si>
  <si>
    <t>7735127430</t>
  </si>
  <si>
    <r>
      <rPr>
        <sz val="11"/>
        <color rgb="FF000000"/>
        <rFont val="Calibri"/>
      </rPr>
      <t>ЗВЕЗДА МАЙТРЕЙИ, БФ</t>
    </r>
  </si>
  <si>
    <t>1157700005968</t>
  </si>
  <si>
    <t>7722326212</t>
  </si>
  <si>
    <r>
      <rPr>
        <sz val="11"/>
        <color rgb="FF000000"/>
        <rFont val="Calibri"/>
      </rPr>
      <t>ЗДЕСЬ И СЕЙЧАС, БФ</t>
    </r>
  </si>
  <si>
    <t>1057747353950</t>
  </si>
  <si>
    <t>7718552191</t>
  </si>
  <si>
    <r>
      <rPr>
        <sz val="11"/>
        <color rgb="FF000000"/>
        <rFont val="Calibri"/>
      </rPr>
      <t>ЗДОРОВЬЕ, БФ ПЗ</t>
    </r>
  </si>
  <si>
    <t>1037739431113</t>
  </si>
  <si>
    <t>7730096643</t>
  </si>
  <si>
    <r>
      <rPr>
        <sz val="11"/>
        <color rgb="FF000000"/>
        <rFont val="Calibri"/>
      </rPr>
      <t>ЗЕЛЕНЫЙ СВЕТ, НЕКОММЕРЧЕСКАЯ ОРГАНИЗАЦИЯ БЛАГОТВОРИТЕЛЬНЫЙ ФОНД</t>
    </r>
  </si>
  <si>
    <t>1047796595770</t>
  </si>
  <si>
    <t>7705613048</t>
  </si>
  <si>
    <r>
      <rPr>
        <sz val="11"/>
        <color rgb="FF000000"/>
        <rFont val="Calibri"/>
      </rPr>
      <t>ЗИИ БАЖАЕВА, ФОНД</t>
    </r>
  </si>
  <si>
    <t>1027739706961</t>
  </si>
  <si>
    <t>7717116770</t>
  </si>
  <si>
    <r>
      <rPr>
        <sz val="11"/>
        <color rgb="FF000000"/>
        <rFont val="Calibri"/>
      </rPr>
      <t>ЗИМНИЙ БАЛ, БЛАГОТВОРИТЕЛЬНЫЙ ФОНД</t>
    </r>
  </si>
  <si>
    <t>1067799002820</t>
  </si>
  <si>
    <t>7703388781</t>
  </si>
  <si>
    <r>
      <rPr>
        <sz val="11"/>
        <color rgb="FF000000"/>
        <rFont val="Calibri"/>
      </rPr>
      <t>ЗНАНИЕ ИМ.С.И.ВАВИЛОВА, РЕГИОНАЛЬНЫЙ БЛАГОТВОРИТЕЛЬНЫЙ ОБЩЕСТВЕННЫЙ ФОНД</t>
    </r>
  </si>
  <si>
    <t>1027700405732</t>
  </si>
  <si>
    <t>7701024250</t>
  </si>
  <si>
    <r>
      <rPr>
        <sz val="11"/>
        <color rgb="FF000000"/>
        <rFont val="Calibri"/>
      </rPr>
      <t>ЗНАНИЕ, МГОФ</t>
    </r>
  </si>
  <si>
    <t>1027700322726</t>
  </si>
  <si>
    <t>7706020026</t>
  </si>
  <si>
    <r>
      <rPr>
        <sz val="11"/>
        <color rgb="FF000000"/>
        <rFont val="Calibri"/>
      </rPr>
      <t>ЗОЛОТОЙ ПЕЛИКАН, ФОНД</t>
    </r>
  </si>
  <si>
    <t>1037700237002</t>
  </si>
  <si>
    <t>7717093700</t>
  </si>
  <si>
    <r>
      <rPr>
        <sz val="11"/>
        <color rgb="FF000000"/>
        <rFont val="Calibri"/>
      </rPr>
      <t>ИЗМЕНИ ОДНУ ЖИЗНЬ, БЛАГОТВОРИТЕЛЬНЫЙ ФОНД</t>
    </r>
  </si>
  <si>
    <t>1127799005443</t>
  </si>
  <si>
    <t>7707490747</t>
  </si>
  <si>
    <r>
      <rPr>
        <sz val="11"/>
        <color rgb="FF000000"/>
        <rFont val="Calibri"/>
      </rPr>
      <t>ИЛЛЮСТРИРОВАННЫЕ КНИЖКИ..., ФОНД</t>
    </r>
  </si>
  <si>
    <t>1027700516227</t>
  </si>
  <si>
    <t>7710018647</t>
  </si>
  <si>
    <r>
      <rPr>
        <sz val="11"/>
        <color rgb="FF000000"/>
        <rFont val="Calibri"/>
      </rPr>
      <t>ИМЕНИ В. С. ЗОЛОТУХИНА, РБОФ</t>
    </r>
  </si>
  <si>
    <t>1037739763852</t>
  </si>
  <si>
    <t>7727059031</t>
  </si>
  <si>
    <r>
      <rPr>
        <sz val="11"/>
        <color rgb="FF000000"/>
        <rFont val="Calibri"/>
      </rPr>
      <t>ИМЕНИ В.Н. БУЧИНА, ФОНД</t>
    </r>
  </si>
  <si>
    <t>1157700019840</t>
  </si>
  <si>
    <t>7704339138</t>
  </si>
  <si>
    <r>
      <rPr>
        <sz val="11"/>
        <color rgb="FF000000"/>
        <rFont val="Calibri"/>
      </rPr>
      <t>ИНСТИТУТ ЗЕМЕЛЬНЫХ ОТНОШЕНИЙ, РЕГИОНАЛЬНЫЙ ОБЩЕСТВЕННЫЙ ФОНД</t>
    </r>
  </si>
  <si>
    <t>1027739176607</t>
  </si>
  <si>
    <t>7708084280</t>
  </si>
  <si>
    <r>
      <rPr>
        <sz val="11"/>
        <color rgb="FF000000"/>
        <rFont val="Calibri"/>
      </rPr>
      <t>ИНСТИТУТ ЭКОНОМИКИ ГОРОДА, ИЭГ</t>
    </r>
  </si>
  <si>
    <t>1037700031808</t>
  </si>
  <si>
    <t>7702153836</t>
  </si>
  <si>
    <r>
      <rPr>
        <sz val="11"/>
        <color rgb="FF000000"/>
        <rFont val="Calibri"/>
      </rPr>
      <t>ИНТЕРКУЛЬТУРА, МЕЖРЕГИОНАЛЬНЫЙ БЛАГОТВОРИТЕЛЬНЫЙ ОБЩЕСТВЕННЫЙ ФОНД</t>
    </r>
  </si>
  <si>
    <t>1027739318529</t>
  </si>
  <si>
    <t>7709306464</t>
  </si>
  <si>
    <r>
      <rPr>
        <sz val="11"/>
        <color rgb="FF000000"/>
        <rFont val="Calibri"/>
      </rPr>
      <t>ИРИНА, БФ</t>
    </r>
  </si>
  <si>
    <t>1157700006705</t>
  </si>
  <si>
    <t>7704316719</t>
  </si>
  <si>
    <r>
      <rPr>
        <sz val="11"/>
        <color rgb="FF000000"/>
        <rFont val="Calibri"/>
      </rPr>
      <t>ИСКУССТВО ДОБРА, ФОНД</t>
    </r>
  </si>
  <si>
    <t>1027739656515</t>
  </si>
  <si>
    <t>7708186355</t>
  </si>
  <si>
    <r>
      <rPr>
        <sz val="11"/>
        <color rgb="FF000000"/>
        <rFont val="Calibri"/>
      </rPr>
      <t>ИСКУССТВО, НАУКА И СПОРТ, ФОНД</t>
    </r>
  </si>
  <si>
    <t>1117799025508</t>
  </si>
  <si>
    <t>7731396632</t>
  </si>
  <si>
    <r>
      <rPr>
        <sz val="11"/>
        <color rgb="FF000000"/>
        <rFont val="Calibri"/>
      </rPr>
      <t>ИСТОРИЧЕСКАЯ МЕЧЕТЬ, БЛАГОТВОРИТЕЛЬНЫЙ ФОНД</t>
    </r>
  </si>
  <si>
    <t>1037705076012</t>
  </si>
  <si>
    <t>7705396650</t>
  </si>
  <si>
    <r>
      <rPr>
        <sz val="11"/>
        <color rgb="FF000000"/>
        <rFont val="Calibri"/>
      </rPr>
      <t>КАЧЕСТВО ЖИЗНИ, МОБФ</t>
    </r>
  </si>
  <si>
    <t>1027739859620</t>
  </si>
  <si>
    <t>7706207987</t>
  </si>
  <si>
    <r>
      <rPr>
        <sz val="11"/>
        <color rgb="FF000000"/>
        <rFont val="Calibri"/>
      </rPr>
      <t>КИРИЛЕНКО-ДЕТЯМ!, НКО БЛАГОТВОРИТЕЛЬНЫЙ ФОНД</t>
    </r>
  </si>
  <si>
    <t>1067799019815</t>
  </si>
  <si>
    <t>7703390910</t>
  </si>
  <si>
    <r>
      <rPr>
        <sz val="11"/>
        <color rgb="FF000000"/>
        <rFont val="Calibri"/>
      </rPr>
      <t>КЛУБ ПРИКЛЮЧЕНИЕ, ФОНД</t>
    </r>
  </si>
  <si>
    <t>1027739036269</t>
  </si>
  <si>
    <t>7702054137</t>
  </si>
  <si>
    <r>
      <rPr>
        <sz val="11"/>
        <color rgb="FF000000"/>
        <rFont val="Calibri"/>
      </rPr>
      <t>БЛАГОТВОРИТЕЛЬНЫЙ ФОНД ПОМОЩИ И ВЗАИМОДЕЙСТВИЯ ИМЕНИ ПРЕПОДОБНОГО СЕРГИЯ РАДОНЕЖСКОГО</t>
    </r>
  </si>
  <si>
    <t>1037724060032</t>
  </si>
  <si>
    <t>7724289397</t>
  </si>
  <si>
    <r>
      <rPr>
        <sz val="11"/>
        <color rgb="FF000000"/>
        <rFont val="Calibri"/>
      </rPr>
      <t>КОНСТАНТИНА ХАБЕНСКОГО, ФОНД</t>
    </r>
  </si>
  <si>
    <t>1087799008967</t>
  </si>
  <si>
    <t>7708236775</t>
  </si>
  <si>
    <r>
      <rPr>
        <sz val="11"/>
        <color rgb="FF000000"/>
        <rFont val="Calibri"/>
      </rPr>
      <t>КОРАБЛИК, БЛАГОТВОРИТЕЛЬНЫЙ ФОНД</t>
    </r>
  </si>
  <si>
    <t>1127799025529</t>
  </si>
  <si>
    <t>7707491204</t>
  </si>
  <si>
    <r>
      <rPr>
        <sz val="11"/>
        <color rgb="FF000000"/>
        <rFont val="Calibri"/>
      </rPr>
      <t>КРАСИВЫЕ ДЕТИ В КРАСИВОМ МИРЕ, БФ</t>
    </r>
  </si>
  <si>
    <t>1137799003605</t>
  </si>
  <si>
    <t>7719290380</t>
  </si>
  <si>
    <r>
      <rPr>
        <sz val="11"/>
        <color rgb="FF000000"/>
        <rFont val="Calibri"/>
      </rPr>
      <t>КРУГОЗОР, РБОФ</t>
    </r>
  </si>
  <si>
    <t>1087799028206</t>
  </si>
  <si>
    <t>7743088632</t>
  </si>
  <si>
    <r>
      <rPr>
        <sz val="11"/>
        <color rgb="FF000000"/>
        <rFont val="Calibri"/>
      </rPr>
      <t>КУЛЬТУРНЫЕ СЕЗОНЫ, БФ</t>
    </r>
  </si>
  <si>
    <t>1137799011932</t>
  </si>
  <si>
    <t>7723212105</t>
  </si>
  <si>
    <r>
      <rPr>
        <sz val="11"/>
        <color rgb="FF000000"/>
        <rFont val="Calibri"/>
      </rPr>
      <t>МЕЖДУНАРОДНЫЙ ФОНД К.С. СТАНИСЛАВСКОГО</t>
    </r>
  </si>
  <si>
    <t>1037700160827</t>
  </si>
  <si>
    <t>7710064097</t>
  </si>
  <si>
    <r>
      <rPr>
        <sz val="11"/>
        <color rgb="FF000000"/>
        <rFont val="Calibri"/>
      </rPr>
      <t>КУЛЬТУРЫ И ЗАЩИТЫ ИНТЕЛЛЕКТУАЛЬНОЙ СОБСТВЕННОСТИ, ФОНД</t>
    </r>
  </si>
  <si>
    <t>1067799024435</t>
  </si>
  <si>
    <t>7705517087</t>
  </si>
  <si>
    <r>
      <rPr>
        <sz val="11"/>
        <color rgb="FF000000"/>
        <rFont val="Calibri"/>
      </rPr>
      <t>ЛАВ ЭНИМАЛС, БЛАГОТВОРИТЕЛЬНЫЙ ФОНД</t>
    </r>
  </si>
  <si>
    <t>1127799025298</t>
  </si>
  <si>
    <t>7719290206</t>
  </si>
  <si>
    <r>
      <rPr>
        <sz val="11"/>
        <color rgb="FF000000"/>
        <rFont val="Calibri"/>
      </rPr>
      <t>ЛАДА, БЛАГОТВОРИТЕЛЬНЫЙ ФОНД</t>
    </r>
  </si>
  <si>
    <t>1137799008577</t>
  </si>
  <si>
    <t>7704280815</t>
  </si>
  <si>
    <r>
      <rPr>
        <sz val="11"/>
        <color rgb="FF000000"/>
        <rFont val="Calibri"/>
      </rPr>
      <t>ЛЕМНИСКАТА, БЛАГОТВОРИТЕЛЬНЫЙ ФОНД</t>
    </r>
  </si>
  <si>
    <t>1027700379211</t>
  </si>
  <si>
    <t>7726309634</t>
  </si>
  <si>
    <r>
      <rPr>
        <sz val="11"/>
        <color rgb="FF000000"/>
        <rFont val="Calibri"/>
      </rPr>
      <t>ЛЕЧИМ ВМЕСТЕ, РБОФ</t>
    </r>
  </si>
  <si>
    <t>1037739535690</t>
  </si>
  <si>
    <t>7704201235</t>
  </si>
  <si>
    <r>
      <rPr>
        <sz val="11"/>
        <color rgb="FF000000"/>
        <rFont val="Calibri"/>
      </rPr>
      <t>ЛИНИЯ ЖИЗНИ, БЛАГОТВОРИТЕЛЬНЫЙ ФОНД СПАСЕНИЯ ТЯЖЕЛОБОЛЬНЫХ ДЕТЕЙ</t>
    </r>
  </si>
  <si>
    <t>1087799004468</t>
  </si>
  <si>
    <t>7704274681</t>
  </si>
  <si>
    <r>
      <rPr>
        <sz val="11"/>
        <color rgb="FF000000"/>
        <rFont val="Calibri"/>
      </rPr>
      <t>ЛОНДЖЭВИТИ, ФОНД</t>
    </r>
  </si>
  <si>
    <t>1117799010284</t>
  </si>
  <si>
    <t>7734269689</t>
  </si>
  <si>
    <r>
      <rPr>
        <sz val="11"/>
        <color rgb="FF000000"/>
        <rFont val="Calibri"/>
      </rPr>
      <t>ЛУКОЙЛ, БФ</t>
    </r>
  </si>
  <si>
    <t>1037736006560</t>
  </si>
  <si>
    <t>7736231994</t>
  </si>
  <si>
    <r>
      <rPr>
        <sz val="11"/>
        <color rgb="FF000000"/>
        <rFont val="Calibri"/>
      </rPr>
      <t>ПОДДЕРЖКИ И РАЗВИТИЯ МУЗЫКАЛЬНОГО ОБРАЗОВАНИЯ, БЛАГОТВОРИТЕЛЬНЫЙ ФОНД</t>
    </r>
  </si>
  <si>
    <t>1087799004996</t>
  </si>
  <si>
    <t>7720285828</t>
  </si>
  <si>
    <r>
      <rPr>
        <sz val="11"/>
        <color rgb="FF000000"/>
        <rFont val="Calibri"/>
      </rPr>
      <t>ЛУЧИК СЧАСТЬЯ, БФ</t>
    </r>
  </si>
  <si>
    <t>1147799011810</t>
  </si>
  <si>
    <t>7705591980</t>
  </si>
  <si>
    <r>
      <rPr>
        <sz val="11"/>
        <color rgb="FF000000"/>
        <rFont val="Calibri"/>
      </rPr>
      <t>ЛУЧШИЕ ДРУЗЬЯ, БФ</t>
    </r>
  </si>
  <si>
    <t>1107799013520</t>
  </si>
  <si>
    <t>7704277026</t>
  </si>
  <si>
    <r>
      <rPr>
        <sz val="11"/>
        <color rgb="FF000000"/>
        <rFont val="Calibri"/>
      </rPr>
      <t>ЛЮБЛЮ ЖИЗНЬ, БЛАГОТВОРИТЕЛЬНЫЙ ФОНД</t>
    </r>
  </si>
  <si>
    <t>1137799013329</t>
  </si>
  <si>
    <t>7718748885</t>
  </si>
  <si>
    <r>
      <rPr>
        <sz val="11"/>
        <color rgb="FF000000"/>
        <rFont val="Calibri"/>
      </rPr>
      <t>МАЛЬТИЙСКАЯ СЛУЖБА ПОМОЩИ В ГОРОДЕ МОСКВЕ, БЛАГОТВОРИТЕЛЬНЫЙ ФОНД</t>
    </r>
  </si>
  <si>
    <t>1027700000712</t>
  </si>
  <si>
    <t>7708081793</t>
  </si>
  <si>
    <r>
      <rPr>
        <sz val="11"/>
        <color rgb="FF000000"/>
        <rFont val="Calibri"/>
      </rPr>
      <t>МАНЕЖ, БФ</t>
    </r>
  </si>
  <si>
    <t>1137799003715</t>
  </si>
  <si>
    <t>7710480516</t>
  </si>
  <si>
    <r>
      <rPr>
        <sz val="11"/>
        <color rgb="FF000000"/>
        <rFont val="Calibri"/>
      </rPr>
      <t>МАПСФ</t>
    </r>
  </si>
  <si>
    <t>1027700272346</t>
  </si>
  <si>
    <t>7703047894</t>
  </si>
  <si>
    <r>
      <rPr>
        <sz val="11"/>
        <color rgb="FF000000"/>
        <rFont val="Calibri"/>
      </rPr>
      <t>МАРИИ МАГДАЛИНЫ, ФОНД</t>
    </r>
  </si>
  <si>
    <t>1127799016113</t>
  </si>
  <si>
    <t>7709472334</t>
  </si>
  <si>
    <r>
      <rPr>
        <sz val="11"/>
        <color rgb="FF000000"/>
        <rFont val="Calibri"/>
      </rPr>
      <t>МАСТ, БЛАГОТВОРИТЕЛЬНЫЙ ФОНД</t>
    </r>
  </si>
  <si>
    <t>1167700051617</t>
  </si>
  <si>
    <t>7709483583</t>
  </si>
  <si>
    <r>
      <rPr>
        <sz val="11"/>
        <color rgb="FF000000"/>
        <rFont val="Calibri"/>
      </rPr>
      <t>МБОФСРС ИМ. ИВАНА ЯРЫГИНА</t>
    </r>
  </si>
  <si>
    <t>1027739572630</t>
  </si>
  <si>
    <t>7701156506</t>
  </si>
  <si>
    <r>
      <rPr>
        <sz val="11"/>
        <color rgb="FF000000"/>
        <rFont val="Calibri"/>
      </rPr>
      <t>МГФПШК, НО</t>
    </r>
  </si>
  <si>
    <t>1027739870377</t>
  </si>
  <si>
    <t>7714112200</t>
  </si>
  <si>
    <r>
      <rPr>
        <sz val="11"/>
        <color rgb="FF000000"/>
        <rFont val="Calibri"/>
      </rPr>
      <t>МЕД-РЕСУРС, БФ</t>
    </r>
  </si>
  <si>
    <t>1127799007390</t>
  </si>
  <si>
    <t>7713430055</t>
  </si>
  <si>
    <r>
      <rPr>
        <sz val="11"/>
        <color rgb="FF000000"/>
        <rFont val="Calibri"/>
      </rPr>
      <t>МЕЖДУНАР. БЛАГОТВОР. ОБЩЕСТВЕН. ФОНД ПОМОЩИ ДЕТЯМ ПРИ КАТАСТРОФАХ И ВОЙНАХ</t>
    </r>
  </si>
  <si>
    <t>1027739764546</t>
  </si>
  <si>
    <t>7706039813</t>
  </si>
  <si>
    <r>
      <rPr>
        <sz val="11"/>
        <color rgb="FF000000"/>
        <rFont val="Calibri"/>
      </rPr>
      <t>МЕЛОДИЯ ЖИЗНИ, БФ</t>
    </r>
  </si>
  <si>
    <t>1157700001832</t>
  </si>
  <si>
    <t>7743059279</t>
  </si>
  <si>
    <r>
      <rPr>
        <sz val="11"/>
        <color rgb="FF000000"/>
        <rFont val="Calibri"/>
      </rPr>
      <t>МЕТА, ФОНД ПРОСВЕЩЕНИЯ</t>
    </r>
  </si>
  <si>
    <t>1047796727923</t>
  </si>
  <si>
    <t>7704532798</t>
  </si>
  <si>
    <r>
      <rPr>
        <sz val="11"/>
        <color rgb="FF000000"/>
        <rFont val="Calibri"/>
      </rPr>
      <t>МЖК-ФОНД, БЛАГОТВОРИТЕЛЬНЫЙ ФОНД</t>
    </r>
  </si>
  <si>
    <t>1027739010111</t>
  </si>
  <si>
    <t>7727114194</t>
  </si>
  <si>
    <r>
      <rPr>
        <sz val="11"/>
        <color rgb="FF000000"/>
        <rFont val="Calibri"/>
      </rPr>
      <t>МИЛОСЕРДИЕ, БЛАГОТВОРИТЕЛЬНЫЙ ФОНД</t>
    </r>
  </si>
  <si>
    <t>1057746192019</t>
  </si>
  <si>
    <t>7715553101</t>
  </si>
  <si>
    <r>
      <rPr>
        <sz val="11"/>
        <color rgb="FF000000"/>
        <rFont val="Calibri"/>
      </rPr>
      <t>МИЛОСЕРДИЕ, РБОФ</t>
    </r>
  </si>
  <si>
    <t>1037746022500</t>
  </si>
  <si>
    <t>7706404079</t>
  </si>
  <si>
    <r>
      <rPr>
        <sz val="11"/>
        <color rgb="FF000000"/>
        <rFont val="Calibri"/>
      </rPr>
      <t>МИЛОСТЬ, БЛАГОТВОРИТЕЛЬНЫЙ ФОНД</t>
    </r>
  </si>
  <si>
    <t>1167700051584</t>
  </si>
  <si>
    <t>7703405780</t>
  </si>
  <si>
    <r>
      <rPr>
        <sz val="11"/>
        <color rgb="FF000000"/>
        <rFont val="Calibri"/>
      </rPr>
      <t>МИР ДЕТЕЙ, БФ</t>
    </r>
  </si>
  <si>
    <t>1147799003330</t>
  </si>
  <si>
    <t>7724301894</t>
  </si>
  <si>
    <r>
      <rPr>
        <sz val="11"/>
        <color rgb="FF000000"/>
        <rFont val="Calibri"/>
      </rPr>
      <t>МИР И ГАРМОНИЯ, БФ СОЦИАЛЬНЫХ ИНИЦИАТИВ</t>
    </r>
  </si>
  <si>
    <t>1107799016775</t>
  </si>
  <si>
    <t>7723368688</t>
  </si>
  <si>
    <r>
      <rPr>
        <sz val="11"/>
        <color rgb="FF000000"/>
        <rFont val="Calibri"/>
      </rPr>
      <t>МИР РУССКОЙ ДУШИ ИМЕНИ ЗАСЛУЖЕННОГО ДЕЯТЕЛЯ ИСКУССТВ РОССИЙСКОЙ ФЕДЕРАЦИИ Н.ЯРОСЛАВЦЕВОЙ, РОФ МУЗЕЙНОГО КОМПЛЕКСА</t>
    </r>
  </si>
  <si>
    <t>1027739492538</t>
  </si>
  <si>
    <t>7702025351</t>
  </si>
  <si>
    <r>
      <rPr>
        <sz val="11"/>
        <color rgb="FF000000"/>
        <rFont val="Calibri"/>
      </rPr>
      <t>МИР СЕРДЦА, БЛАГОТВОРИТЕЛЬНЫЙ ФОНД</t>
    </r>
  </si>
  <si>
    <t>1127799024671</t>
  </si>
  <si>
    <t>7730185029</t>
  </si>
  <si>
    <r>
      <rPr>
        <sz val="11"/>
        <color rgb="FF000000"/>
        <rFont val="Calibri"/>
      </rPr>
      <t>МИРОЗДАНИЕ, БФ</t>
    </r>
  </si>
  <si>
    <t>1067746315537</t>
  </si>
  <si>
    <t>7709661564</t>
  </si>
  <si>
    <r>
      <rPr>
        <sz val="11"/>
        <color rgb="FF000000"/>
        <rFont val="Calibri"/>
      </rPr>
      <t>МИССИЯ, БЛАГОТВОРИТЕЛЬНЫЙ ФОНД</t>
    </r>
  </si>
  <si>
    <t>1047796643003</t>
  </si>
  <si>
    <t>7726509513</t>
  </si>
  <si>
    <r>
      <rPr>
        <sz val="11"/>
        <color rgb="FF000000"/>
        <rFont val="Calibri"/>
      </rPr>
      <t>МОЗАИКА СЧАСТЬЯ, БЛАГОТВОРИТЕЛЬНЫЙ ФОНД</t>
    </r>
  </si>
  <si>
    <t>1127799014727</t>
  </si>
  <si>
    <t>7719289803</t>
  </si>
  <si>
    <r>
      <rPr>
        <sz val="11"/>
        <color rgb="FF000000"/>
        <rFont val="Calibri"/>
      </rPr>
      <t>МОИ ДРУЗЬЯ, БФ</t>
    </r>
  </si>
  <si>
    <t>1097799012343</t>
  </si>
  <si>
    <t>7714322278</t>
  </si>
  <si>
    <r>
      <rPr>
        <sz val="11"/>
        <color rgb="FF000000"/>
        <rFont val="Calibri"/>
      </rPr>
      <t>МОЙ ЭКВАТОР, ФОНД</t>
    </r>
  </si>
  <si>
    <t>1167700073056</t>
  </si>
  <si>
    <t>7714957870</t>
  </si>
  <si>
    <r>
      <rPr>
        <sz val="11"/>
        <color rgb="FF000000"/>
        <rFont val="Calibri"/>
      </rPr>
      <t>МОЙМИО ФОНД</t>
    </r>
  </si>
  <si>
    <t>1157700002305</t>
  </si>
  <si>
    <t>7713391127</t>
  </si>
  <si>
    <r>
      <rPr>
        <sz val="11"/>
        <color rgb="FF000000"/>
        <rFont val="Calibri"/>
      </rPr>
      <t>МОСКОВСКИЙ ОБЩЕСТВЕННЫЙ ФОНД КУЛЬТУРЫ (ОБЩЕСТВЕННЫЙ ФОНД)</t>
    </r>
  </si>
  <si>
    <t>1027739651873</t>
  </si>
  <si>
    <t>7707054476</t>
  </si>
  <si>
    <r>
      <rPr>
        <sz val="11"/>
        <color rgb="FF000000"/>
        <rFont val="Calibri"/>
      </rPr>
      <t>МОСКОВСКИЙ ГОРОДСКОЙ ФОНД ПОДДЕРЖКИ ФИЗИЧЕСКОЙ КУЛЬТУРЫ И СПОРТА</t>
    </r>
  </si>
  <si>
    <t>1157700015054</t>
  </si>
  <si>
    <t>9715216886</t>
  </si>
  <si>
    <r>
      <rPr>
        <sz val="11"/>
        <color rgb="FF000000"/>
        <rFont val="Calibri"/>
      </rPr>
      <t>МСКД, ФОНД</t>
    </r>
  </si>
  <si>
    <t>1107799011792</t>
  </si>
  <si>
    <t>7708237867</t>
  </si>
  <si>
    <r>
      <rPr>
        <sz val="11"/>
        <color rgb="FF000000"/>
        <rFont val="Calibri"/>
      </rPr>
      <t>МУРЛАНДИЯ, БФ</t>
    </r>
  </si>
  <si>
    <t>1037739485244</t>
  </si>
  <si>
    <t>7719245059</t>
  </si>
  <si>
    <r>
      <rPr>
        <sz val="11"/>
        <color rgb="FF000000"/>
        <rFont val="Calibri"/>
      </rPr>
      <t>МФДЕН</t>
    </r>
  </si>
  <si>
    <t>1037739179060</t>
  </si>
  <si>
    <t>7704041158</t>
  </si>
  <si>
    <r>
      <rPr>
        <sz val="11"/>
        <color rgb="FF000000"/>
        <rFont val="Calibri"/>
      </rPr>
      <t>МФСРС, НО</t>
    </r>
  </si>
  <si>
    <t>1037739054088</t>
  </si>
  <si>
    <t>7704140712</t>
  </si>
  <si>
    <r>
      <rPr>
        <sz val="11"/>
        <color rgb="FF000000"/>
        <rFont val="Calibri"/>
      </rPr>
      <t>МЫСЛИТЕЛЬ, ФОНД</t>
    </r>
  </si>
  <si>
    <t>1117799000780</t>
  </si>
  <si>
    <t>7723369321</t>
  </si>
  <si>
    <r>
      <rPr>
        <sz val="11"/>
        <color rgb="FF000000"/>
        <rFont val="Calibri"/>
      </rPr>
      <t>МЭДДОКС, БЛАГОТВОРИТЕЛЬНЫЙ ФОНД</t>
    </r>
  </si>
  <si>
    <t>1127799006390</t>
  </si>
  <si>
    <t>7704279369</t>
  </si>
  <si>
    <r>
      <rPr>
        <sz val="11"/>
        <color rgb="FF000000"/>
        <rFont val="Calibri"/>
      </rPr>
      <t>МЭЙДЖОР ОПЕКА, БФ</t>
    </r>
  </si>
  <si>
    <t>1117799012308</t>
  </si>
  <si>
    <t>7734269745</t>
  </si>
  <si>
    <r>
      <rPr>
        <sz val="11"/>
        <color rgb="FF000000"/>
        <rFont val="Calibri"/>
      </rPr>
      <t>МЭФ-ПОКОЛЕНИЕ, БЛАГОТВОРИТЕЛЬНЫЙ ФОНД</t>
    </r>
  </si>
  <si>
    <t>1107799029546</t>
  </si>
  <si>
    <t>7704277812</t>
  </si>
  <si>
    <r>
      <rPr>
        <sz val="11"/>
        <color rgb="FF000000"/>
        <rFont val="Calibri"/>
      </rPr>
      <t>НАБАТ РОДИНЫ, БЛАГОТВОРИТЕЛЬНЫЙ ФОНД</t>
    </r>
  </si>
  <si>
    <t>1167700052222</t>
  </si>
  <si>
    <t>7743140226</t>
  </si>
  <si>
    <r>
      <rPr>
        <sz val="11"/>
        <color rgb="FF000000"/>
        <rFont val="Calibri"/>
      </rPr>
      <t>НАДЕЖДА НА ЗАВТРА, БФ</t>
    </r>
  </si>
  <si>
    <t>1127799000988</t>
  </si>
  <si>
    <t>7701168124</t>
  </si>
  <si>
    <r>
      <rPr>
        <sz val="11"/>
        <color rgb="FF000000"/>
        <rFont val="Calibri"/>
      </rPr>
      <t>НАДЕЖДА ПО ВСЕМУ МИРУ (НЕКОММЕРЧЕСКАЯ ОРГАНИЗАЦИЯ), БЛАГОТВОРИТЕЛЬНЫЙ ФОНД</t>
    </r>
  </si>
  <si>
    <t>1027700070177</t>
  </si>
  <si>
    <t>7736151097</t>
  </si>
  <si>
    <r>
      <rPr>
        <sz val="11"/>
        <color rgb="FF000000"/>
        <rFont val="Calibri"/>
      </rPr>
      <t>НАДЕЖДА, БЛАГОТВОРИТЕЛЬНЫЙ ФОНД</t>
    </r>
  </si>
  <si>
    <t>1047796779843</t>
  </si>
  <si>
    <t>7725522279</t>
  </si>
  <si>
    <r>
      <rPr>
        <sz val="11"/>
        <color rgb="FF000000"/>
        <rFont val="Calibri"/>
      </rPr>
      <t>НАДЕЖДА, РЕГИОНАЛЬНЫЙ ОБЩЕСТВЕННЫЙ БЛАГОТВОРИТЕЛЬНЫЙ ФОНД ВЕТЕРАНОВ ВОЕННОЙ РАЗВЕДКИ</t>
    </r>
  </si>
  <si>
    <t>1037739288256</t>
  </si>
  <si>
    <t>7731170674</t>
  </si>
  <si>
    <r>
      <rPr>
        <sz val="11"/>
        <color rgb="FF000000"/>
        <rFont val="Calibri"/>
      </rPr>
      <t>НАДЕЖНАЯ СМЕНА, БЛАГОТВОРИТЕЛЬНЫЙ ФОНД</t>
    </r>
  </si>
  <si>
    <t>1076600004766</t>
  </si>
  <si>
    <t>6671220365</t>
  </si>
  <si>
    <r>
      <rPr>
        <sz val="11"/>
        <color rgb="FF000000"/>
        <rFont val="Calibri"/>
      </rPr>
      <t>НАРОДНОЕ ЕДИНСТВО, БФ</t>
    </r>
  </si>
  <si>
    <t>1127799026431</t>
  </si>
  <si>
    <t>7730185090</t>
  </si>
  <si>
    <r>
      <rPr>
        <sz val="11"/>
        <color rgb="FF000000"/>
        <rFont val="Calibri"/>
      </rPr>
      <t>НАСЛЕДИЕ СВ. АП. ПАВЛА, ОФ</t>
    </r>
  </si>
  <si>
    <t>1047746004327</t>
  </si>
  <si>
    <t>7728308770</t>
  </si>
  <si>
    <r>
      <rPr>
        <sz val="11"/>
        <color rgb="FF000000"/>
        <rFont val="Calibri"/>
      </rPr>
      <t>НАСЛЕДИЕ, БЛАГОТВОРИТЕЛЬНЫЙ ФОНД</t>
    </r>
  </si>
  <si>
    <t>1147799013230</t>
  </si>
  <si>
    <t>7724302111</t>
  </si>
  <si>
    <r>
      <rPr>
        <sz val="11"/>
        <color rgb="FF000000"/>
        <rFont val="Calibri"/>
      </rPr>
      <t>НАСЛЕДИЯ МЕНДЕЛЕЕВА, ФОНД</t>
    </r>
  </si>
  <si>
    <t>1077799006229</t>
  </si>
  <si>
    <t>7713386342</t>
  </si>
  <si>
    <t>151 - 200</t>
  </si>
  <si>
    <r>
      <rPr>
        <sz val="11"/>
        <color rgb="FF000000"/>
        <rFont val="Calibri"/>
      </rPr>
      <t>НАСТЕНЬКА, БЛАГОТВОРИТЕЛЬНЫЙ ФОНД</t>
    </r>
  </si>
  <si>
    <t>1027739606399</t>
  </si>
  <si>
    <t>7724239357</t>
  </si>
  <si>
    <r>
      <rPr>
        <sz val="11"/>
        <color rgb="FF000000"/>
        <rFont val="Calibri"/>
      </rPr>
      <t>НАЦИОНАЛЬНЫЙ БЛАГОТВОРИТЕЛЬНЫЙ ФОНД</t>
    </r>
  </si>
  <si>
    <t>1027739262210</t>
  </si>
  <si>
    <t>7705305491</t>
  </si>
  <si>
    <r>
      <rPr>
        <sz val="11"/>
        <color rgb="FF000000"/>
        <rFont val="Calibri"/>
      </rPr>
      <t>НАША ИНИЦИАТИВА, БФ</t>
    </r>
  </si>
  <si>
    <t>1057746416430</t>
  </si>
  <si>
    <t>7705650794</t>
  </si>
  <si>
    <r>
      <rPr>
        <sz val="11"/>
        <color rgb="FF000000"/>
        <rFont val="Calibri"/>
      </rPr>
      <t>НАША СИЛА ВЕРЫ, БЛАГОТВОРИТЕЛЬНЫЙ ФОНД</t>
    </r>
  </si>
  <si>
    <t>1117799014442</t>
  </si>
  <si>
    <t>7725350340</t>
  </si>
  <si>
    <r>
      <rPr>
        <sz val="11"/>
        <color rgb="FF000000"/>
        <rFont val="Calibri"/>
      </rPr>
      <t>НЕБЕСНЫЙ ФЕНИКС, ФОНД</t>
    </r>
  </si>
  <si>
    <t>1087799004215</t>
  </si>
  <si>
    <t>7723366377</t>
  </si>
  <si>
    <r>
      <rPr>
        <sz val="11"/>
        <color rgb="FF000000"/>
        <rFont val="Calibri"/>
      </rPr>
      <t>НЕОПАЛИМАЯ КУПИНА, БЛАГОТВОРИТЕЛЬНЫЙ ФОНД</t>
    </r>
  </si>
  <si>
    <t>1067799019034</t>
  </si>
  <si>
    <t>7723361890</t>
  </si>
  <si>
    <r>
      <rPr>
        <sz val="11"/>
        <color rgb="FF000000"/>
        <rFont val="Calibri"/>
      </rPr>
      <t>НОВАЯ ЖИЗНЬ, БЛАГОТВОРИТЕЛЬНЫЙ ФОНД</t>
    </r>
  </si>
  <si>
    <t>1137799021084</t>
  </si>
  <si>
    <t>7714402526</t>
  </si>
  <si>
    <r>
      <rPr>
        <sz val="11"/>
        <color rgb="FF000000"/>
        <rFont val="Calibri"/>
      </rPr>
      <t>НОВЫЙ ДОМ, БФ</t>
    </r>
  </si>
  <si>
    <t>1137799009578</t>
  </si>
  <si>
    <t>7708241180</t>
  </si>
  <si>
    <r>
      <rPr>
        <sz val="11"/>
        <color rgb="FF000000"/>
        <rFont val="Calibri"/>
      </rPr>
      <t>НОВЫЙ МИР, РЕГИОНАЛЬНЫЙ ОБЩЕСТВЕННЫЙ ФОНД</t>
    </r>
  </si>
  <si>
    <t>1137799018906</t>
  </si>
  <si>
    <t>7710480996</t>
  </si>
  <si>
    <r>
      <rPr>
        <sz val="11"/>
        <color rgb="FF000000"/>
        <rFont val="Calibri"/>
      </rPr>
      <t>НОВЫЙ УЧИТЕЛЬ, БЛАГОТВОРИТЕЛЬНЫЙ ФОНД</t>
    </r>
  </si>
  <si>
    <t>1157700003999</t>
  </si>
  <si>
    <t>7710493032</t>
  </si>
  <si>
    <r>
      <rPr>
        <sz val="11"/>
        <color rgb="FF000000"/>
        <rFont val="Calibri"/>
      </rPr>
      <t>НОРМА, БФ</t>
    </r>
  </si>
  <si>
    <t>1157700011897</t>
  </si>
  <si>
    <t>7714349167</t>
  </si>
  <si>
    <r>
      <rPr>
        <sz val="11"/>
        <color rgb="FF000000"/>
        <rFont val="Calibri"/>
      </rPr>
      <t>НУЖНА ПОМОЩЬ, БФ</t>
    </r>
  </si>
  <si>
    <t>1157700014053</t>
  </si>
  <si>
    <t>9710001171</t>
  </si>
  <si>
    <r>
      <rPr>
        <sz val="11"/>
        <color rgb="FF000000"/>
        <rFont val="Calibri"/>
      </rPr>
      <t>МЕЖРЕГИОНАЛЬНЫЙ ОБЩЕСТВЕННЫЙ ФОНД СОДЕЙСТВИЯ РАЗВИТИЮ МЕДИЦИНЫ, ВЫСОКИХ ТЕХНОЛОГИЙ ИМЕНИ АКАДЕМИКА ШУМАКОВА В.И.</t>
    </r>
  </si>
  <si>
    <t>1037739177299</t>
  </si>
  <si>
    <t>7701218801</t>
  </si>
  <si>
    <r>
      <rPr>
        <sz val="11"/>
        <color rgb="FF000000"/>
        <rFont val="Calibri"/>
      </rPr>
      <t>НАЦИОНАЛЬНЫЙ РДКМ, БЛАГОТВОРИТЕЛЬНЫЙ ФОНД</t>
    </r>
  </si>
  <si>
    <t>1177700013853</t>
  </si>
  <si>
    <t>7714999817</t>
  </si>
  <si>
    <r>
      <rPr>
        <sz val="11"/>
        <color rgb="FF000000"/>
        <rFont val="Calibri"/>
      </rPr>
      <t>ОБРАЗОВАНИЕ В ТРЕТЬЕМ ТЫСЯЧЕЛЕТИИ, МОФ</t>
    </r>
  </si>
  <si>
    <t>1037700063697</t>
  </si>
  <si>
    <t>7710312712</t>
  </si>
  <si>
    <r>
      <rPr>
        <sz val="11"/>
        <color rgb="FF000000"/>
        <rFont val="Calibri"/>
      </rPr>
      <t>ОБЩЕЕ ДЕЛО, БЛАГОТВОРИТЕЛЬНЫЙ ФОНД</t>
    </r>
  </si>
  <si>
    <t>1146952018861</t>
  </si>
  <si>
    <t>6913999094</t>
  </si>
  <si>
    <r>
      <rPr>
        <sz val="11"/>
        <color rgb="FF000000"/>
        <rFont val="Calibri"/>
      </rPr>
      <t>ОБЩЕСТВЕННОЕ ДОСТОЯНИЕ, ФОНД</t>
    </r>
  </si>
  <si>
    <t>1117799009261</t>
  </si>
  <si>
    <t>7702470169</t>
  </si>
  <si>
    <r>
      <rPr>
        <sz val="11"/>
        <color rgb="FF000000"/>
        <rFont val="Calibri"/>
      </rPr>
      <t>ОБЩЕСТВЕННОЕ МНЕНИЕ, ФОНД</t>
    </r>
  </si>
  <si>
    <t>1027739287432</t>
  </si>
  <si>
    <t>7710042086</t>
  </si>
  <si>
    <r>
      <rPr>
        <sz val="11"/>
        <color rgb="FF000000"/>
        <rFont val="Calibri"/>
      </rPr>
      <t>ОБЩЕЧЕЛОВЕЧЕСКИЕ ЦЕННОСТИ, БФ</t>
    </r>
  </si>
  <si>
    <t>1097799007052</t>
  </si>
  <si>
    <t>7723367652</t>
  </si>
  <si>
    <r>
      <rPr>
        <sz val="11"/>
        <color rgb="FF000000"/>
        <rFont val="Calibri"/>
      </rPr>
      <t>ОДУХОТВОРЕНИЕ, РОБФ СОРАСЧЕЛ</t>
    </r>
  </si>
  <si>
    <t>1037739472836</t>
  </si>
  <si>
    <t>7718104707</t>
  </si>
  <si>
    <r>
      <rPr>
        <sz val="11"/>
        <color rgb="FF000000"/>
        <rFont val="Calibri"/>
      </rPr>
      <t>ОКСАНЫ ФЕДОРОВОЙ, ФОНД</t>
    </r>
  </si>
  <si>
    <t>1097799044420</t>
  </si>
  <si>
    <t>7701056639</t>
  </si>
  <si>
    <r>
      <rPr>
        <sz val="11"/>
        <color rgb="FF000000"/>
        <rFont val="Calibri"/>
      </rPr>
      <t>ОЛЕГА ТАБАКОВА, ФОНД</t>
    </r>
  </si>
  <si>
    <t>1027739299004</t>
  </si>
  <si>
    <t>7701268369</t>
  </si>
  <si>
    <r>
      <rPr>
        <sz val="11"/>
        <color rgb="FF000000"/>
        <rFont val="Calibri"/>
      </rPr>
      <t>ОМК-УЧАСТИЕ, БЛАГОТВОРИТЕЛЬНЫЙ ФОНД</t>
    </r>
  </si>
  <si>
    <t>1097799002399</t>
  </si>
  <si>
    <t>7705002835</t>
  </si>
  <si>
    <r>
      <rPr>
        <sz val="11"/>
        <color rgb="FF000000"/>
        <rFont val="Calibri"/>
      </rPr>
      <t>ОМФСПИК</t>
    </r>
  </si>
  <si>
    <t>1027739502372</t>
  </si>
  <si>
    <t>7704080005</t>
  </si>
  <si>
    <r>
      <rPr>
        <sz val="11"/>
        <color rgb="FF000000"/>
        <rFont val="Calibri"/>
      </rPr>
      <t>ОПК, МОФ СРОИК</t>
    </r>
  </si>
  <si>
    <t>1057700016880</t>
  </si>
  <si>
    <t>7725249421</t>
  </si>
  <si>
    <r>
      <rPr>
        <sz val="11"/>
        <color rgb="FF000000"/>
        <rFont val="Calibri"/>
      </rPr>
      <t>ОПОРА, БЛАГОТВОРИТЕЛЬНЫЙ ФОНД</t>
    </r>
  </si>
  <si>
    <t>1087799029240</t>
  </si>
  <si>
    <t>7718270937</t>
  </si>
  <si>
    <r>
      <rPr>
        <sz val="11"/>
        <color rgb="FF000000"/>
        <rFont val="Calibri"/>
      </rPr>
      <t>ОР АВНЕР, МБФ</t>
    </r>
  </si>
  <si>
    <t>1027739515650</t>
  </si>
  <si>
    <t>7701166751</t>
  </si>
  <si>
    <r>
      <rPr>
        <sz val="11"/>
        <color rgb="FF000000"/>
        <rFont val="Calibri"/>
      </rPr>
      <t>ОТКРЫВАЯ ГОРИЗОНТЫ, БФ</t>
    </r>
  </si>
  <si>
    <t>1157700017860</t>
  </si>
  <si>
    <t>7743127017</t>
  </si>
  <si>
    <r>
      <rPr>
        <sz val="11"/>
        <color rgb="FF000000"/>
        <rFont val="Calibri"/>
      </rPr>
      <t>ОТКРЫТОЕ СЕРДЦЕ, БФ ПОМОЩИ И СОЦИАЛЬНОЙ ПОДДЕРЖКИ</t>
    </r>
  </si>
  <si>
    <t>1117799004432</t>
  </si>
  <si>
    <t>7706415088</t>
  </si>
  <si>
    <r>
      <rPr>
        <sz val="11"/>
        <color rgb="FF000000"/>
        <rFont val="Calibri"/>
      </rPr>
      <t>ОТЧИЙ ДОМ, БФ</t>
    </r>
  </si>
  <si>
    <t>1037700124923</t>
  </si>
  <si>
    <t>7721118957</t>
  </si>
  <si>
    <r>
      <rPr>
        <sz val="11"/>
        <color rgb="FF000000"/>
        <rFont val="Calibri"/>
      </rPr>
      <t>ПАМЯТЬ МУЧЕНИКОВ И ИСПОВЕДНИКОВ РУССКОЙ ПРАВОСЛАВНОЙ ЦЕРКВИ, РЕГИОНАЛЬНЫЙ ОБЩЕСТВЕННЫЙ ФОНД</t>
    </r>
  </si>
  <si>
    <t>1037739759617</t>
  </si>
  <si>
    <t>7710259025</t>
  </si>
  <si>
    <r>
      <rPr>
        <sz val="11"/>
        <color rgb="FF000000"/>
        <rFont val="Calibri"/>
      </rPr>
      <t>ПАМЯТЬ ПОКОЛЕНИЙ, БФ</t>
    </r>
  </si>
  <si>
    <t>1157700007410</t>
  </si>
  <si>
    <t>7726340546</t>
  </si>
  <si>
    <r>
      <rPr>
        <sz val="11"/>
        <color rgb="FF000000"/>
        <rFont val="Calibri"/>
      </rPr>
      <t>ПЕРСПЕКТИВА, БЛАГОТВОРИТЕЛЬНЫЙ ФОНД</t>
    </r>
  </si>
  <si>
    <t>1137799002560</t>
  </si>
  <si>
    <t>7715492219</t>
  </si>
  <si>
    <r>
      <rPr>
        <sz val="11"/>
        <color rgb="FF000000"/>
        <rFont val="Calibri"/>
      </rPr>
      <t>ПЕРСПЕКТИВА, БРОФ</t>
    </r>
  </si>
  <si>
    <t>1027739315064</t>
  </si>
  <si>
    <t>7705155430</t>
  </si>
  <si>
    <r>
      <rPr>
        <sz val="11"/>
        <color rgb="FF000000"/>
        <rFont val="Calibri"/>
      </rPr>
      <t>ПЕТРОВКА, 38, БЛАГОТВОРИТЕЛЬНЫЙ ФОНД</t>
    </r>
  </si>
  <si>
    <t>1027700368354</t>
  </si>
  <si>
    <t>7707044735</t>
  </si>
  <si>
    <r>
      <rPr>
        <sz val="11"/>
        <color rgb="FF000000"/>
        <rFont val="Calibri"/>
      </rPr>
      <t>ПРАВОПОРЯДОК-СЕВЕРО-ЗАПАД, ФОНД</t>
    </r>
  </si>
  <si>
    <t>1027739102490</t>
  </si>
  <si>
    <t>7733006214</t>
  </si>
  <si>
    <r>
      <rPr>
        <sz val="11"/>
        <color rgb="FF000000"/>
        <rFont val="Calibri"/>
      </rPr>
      <t>ПЛАНЕТА ДОБРА, БЛАГОТВОРИТЕЛЬНЫЙ ФОНД</t>
    </r>
  </si>
  <si>
    <t>1107799024343</t>
  </si>
  <si>
    <t>7731022718</t>
  </si>
  <si>
    <r>
      <rPr>
        <sz val="11"/>
        <color rgb="FF000000"/>
        <rFont val="Calibri"/>
      </rPr>
      <t>ПО ПОДДЕРЖКЕ СОЦИАЛЬНО-НЕЗАЩИЩЁННЫХ КАТЕГОРИЙ ГРАЖДАН, РБО ФОНД</t>
    </r>
  </si>
  <si>
    <t>1117799007798</t>
  </si>
  <si>
    <t>7702470105</t>
  </si>
  <si>
    <r>
      <rPr>
        <sz val="11"/>
        <color rgb="FF000000"/>
        <rFont val="Calibri"/>
      </rPr>
      <t>ПОБЕДИМ ВМЕСТЕ, БФ</t>
    </r>
  </si>
  <si>
    <t>1167700067479</t>
  </si>
  <si>
    <t>7706442236</t>
  </si>
  <si>
    <r>
      <rPr>
        <sz val="11"/>
        <color rgb="FF000000"/>
        <rFont val="Calibri"/>
      </rPr>
      <t>ПОВЕРЬ В МЕЧТУ, БФ</t>
    </r>
  </si>
  <si>
    <t>1107799022066</t>
  </si>
  <si>
    <t>7724298867</t>
  </si>
  <si>
    <r>
      <rPr>
        <sz val="11"/>
        <color rgb="FF000000"/>
        <rFont val="Calibri"/>
      </rPr>
      <t>ПОД ЗВЕЗДОЙ НАДЕЖДЫ, БФ</t>
    </r>
  </si>
  <si>
    <t>1097799007888</t>
  </si>
  <si>
    <t>7706414140</t>
  </si>
  <si>
    <r>
      <rPr>
        <sz val="11"/>
        <color rgb="FF000000"/>
        <rFont val="Calibri"/>
      </rPr>
      <t>ПОДАРИ ЖИЗНЬ, ФОНД</t>
    </r>
  </si>
  <si>
    <t>1067799030639</t>
  </si>
  <si>
    <t>7714320009</t>
  </si>
  <si>
    <r>
      <rPr>
        <sz val="11"/>
        <color rgb="FF000000"/>
        <rFont val="Calibri"/>
      </rPr>
      <t>ПОДАРИ НАДЕЖДУ, БФ</t>
    </r>
  </si>
  <si>
    <t>1047796466849</t>
  </si>
  <si>
    <t>7714558298</t>
  </si>
  <si>
    <r>
      <rPr>
        <sz val="11"/>
        <color rgb="FF000000"/>
        <rFont val="Calibri"/>
      </rPr>
      <t>ПОДАРОК АНГЕЛУ, БФ</t>
    </r>
  </si>
  <si>
    <t>1167700074662</t>
  </si>
  <si>
    <t>9705083059</t>
  </si>
  <si>
    <r>
      <rPr>
        <sz val="11"/>
        <color rgb="FF000000"/>
        <rFont val="Calibri"/>
      </rPr>
      <t>ПОДСОЛНУХ, БЛАГОТВОРИТЕЛЬНЫЙ ФОНД</t>
    </r>
  </si>
  <si>
    <t>1067799031178</t>
  </si>
  <si>
    <t>7723364443</t>
  </si>
  <si>
    <r>
      <rPr>
        <sz val="11"/>
        <color rgb="FF000000"/>
        <rFont val="Calibri"/>
      </rPr>
      <t>ПОКОЛЕНИЕ АШАН, БЛАГОТВОРИТЕЛЬНЫЙ ФОНД</t>
    </r>
  </si>
  <si>
    <t>1117799009349</t>
  </si>
  <si>
    <t>7708240080</t>
  </si>
  <si>
    <r>
      <rPr>
        <sz val="11"/>
        <color rgb="FF000000"/>
        <rFont val="Calibri"/>
      </rPr>
      <t>ПОКРОВКА, РЕГИОНАЛЬНЫЙ ОБЩЕСТВЕННЫЙ ФОНД СОЦИАЛЬНОЙ ЗАЩИТЫ ВЕТЕРАНОВ И СОТРУДНИКОВ ОРГАНОВ ПРАВОПОРЯДКА</t>
    </r>
  </si>
  <si>
    <t>1037739694409</t>
  </si>
  <si>
    <t>7709207079</t>
  </si>
  <si>
    <r>
      <rPr>
        <sz val="11"/>
        <color rgb="FF000000"/>
        <rFont val="Calibri"/>
      </rPr>
      <t>ПОМИДОР, БФ</t>
    </r>
  </si>
  <si>
    <t>1037789056084</t>
  </si>
  <si>
    <t>7733512299</t>
  </si>
  <si>
    <r>
      <rPr>
        <sz val="11"/>
        <color rgb="FF000000"/>
        <rFont val="Calibri"/>
      </rPr>
      <t>ПОМОГИ РЕБЕНКУ.РУ, БФ</t>
    </r>
  </si>
  <si>
    <t>1117799007963</t>
  </si>
  <si>
    <t>7701167177</t>
  </si>
  <si>
    <r>
      <rPr>
        <sz val="11"/>
        <color rgb="FF000000"/>
        <rFont val="Calibri"/>
      </rPr>
      <t>ПОМОЩЬ БЕЗДОМНЫМ БЕСПОРОДНЫМ ЖИВОТНЫМ, БФ</t>
    </r>
  </si>
  <si>
    <t>1147700000722</t>
  </si>
  <si>
    <t>7707225918</t>
  </si>
  <si>
    <r>
      <rPr>
        <sz val="11"/>
        <color rgb="FF000000"/>
        <rFont val="Calibri"/>
      </rPr>
      <t>ПОМОЩЬ, БФ</t>
    </r>
  </si>
  <si>
    <t>1027700287670</t>
  </si>
  <si>
    <t>7743016733</t>
  </si>
  <si>
    <r>
      <rPr>
        <sz val="11"/>
        <color rgb="FF000000"/>
        <rFont val="Calibri"/>
      </rPr>
      <t>ПОТАНИНА, ФОНД</t>
    </r>
  </si>
  <si>
    <t>1027739445250</t>
  </si>
  <si>
    <t>7702231587</t>
  </si>
  <si>
    <r>
      <rPr>
        <sz val="11"/>
        <color rgb="FF000000"/>
        <rFont val="Calibri"/>
      </rPr>
      <t>ПОЧЕТ, БФ</t>
    </r>
  </si>
  <si>
    <t>1027739566084</t>
  </si>
  <si>
    <t>7708123958</t>
  </si>
  <si>
    <r>
      <rPr>
        <sz val="11"/>
        <color rgb="FF000000"/>
        <rFont val="Calibri"/>
      </rPr>
      <t>ПОЧУВСТВУЙ ЖИЗНЬ, БЛАГОТВОРИТЕЛЬНЫЙ ФОНД</t>
    </r>
  </si>
  <si>
    <t>1167700073650</t>
  </si>
  <si>
    <t>7751031686</t>
  </si>
  <si>
    <r>
      <rPr>
        <sz val="11"/>
        <color rgb="FF000000"/>
        <rFont val="Calibri"/>
      </rPr>
      <t>ПРАВМИР, БЛАГОТВОРИТЕЛЬНЫЙ ФОНД</t>
    </r>
  </si>
  <si>
    <t>1157700002680</t>
  </si>
  <si>
    <t>7743069277</t>
  </si>
  <si>
    <r>
      <rPr>
        <sz val="11"/>
        <color rgb="FF000000"/>
        <rFont val="Calibri"/>
      </rPr>
      <t>ПРАВО МАТЕРИ, ФОНД</t>
    </r>
  </si>
  <si>
    <t>1027739823539</t>
  </si>
  <si>
    <t>7710043971</t>
  </si>
  <si>
    <r>
      <rPr>
        <sz val="11"/>
        <color rgb="FF000000"/>
        <rFont val="Calibri"/>
      </rPr>
      <t>ПРАВО НА ЧУДО, БЛАГОТВОРИТЕЛЬНЫЙ ФОНД</t>
    </r>
  </si>
  <si>
    <t>1157700005308</t>
  </si>
  <si>
    <t>7718145439</t>
  </si>
  <si>
    <r>
      <rPr>
        <sz val="11"/>
        <color rgb="FF000000"/>
        <rFont val="Calibri"/>
      </rPr>
      <t>Правопорядок, РБОФСПО и ЗПГ</t>
    </r>
  </si>
  <si>
    <t>1027739919767</t>
  </si>
  <si>
    <t>7716160103</t>
  </si>
  <si>
    <r>
      <rPr>
        <sz val="11"/>
        <color rgb="FF000000"/>
        <rFont val="Calibri"/>
      </rPr>
      <t>ПРАВОПОРЯДОК-ЦЕНТР В ЦАО Г.МОСКВЫ, ОТДЕЛЕНИЕ МОФ</t>
    </r>
  </si>
  <si>
    <t>1037700109699</t>
  </si>
  <si>
    <t>7703196705</t>
  </si>
  <si>
    <r>
      <rPr>
        <sz val="11"/>
        <color rgb="FF000000"/>
        <rFont val="Calibri"/>
      </rPr>
      <t>ПРАВОПОРЯДОК-ЩИТ, ФОНД</t>
    </r>
  </si>
  <si>
    <t>1137799008786</t>
  </si>
  <si>
    <t>7725351898</t>
  </si>
  <si>
    <r>
      <rPr>
        <sz val="11"/>
        <color rgb="FF000000"/>
        <rFont val="Calibri"/>
      </rPr>
      <t>ПРЕДАНИЕ, БФ</t>
    </r>
  </si>
  <si>
    <t>1087799040383</t>
  </si>
  <si>
    <t>7706413901</t>
  </si>
  <si>
    <r>
      <rPr>
        <sz val="11"/>
        <color rgb="FF000000"/>
        <rFont val="Calibri"/>
      </rPr>
      <t>ПРЕСНЯ, БФ</t>
    </r>
  </si>
  <si>
    <t>1157700003086</t>
  </si>
  <si>
    <t>7703103901</t>
  </si>
  <si>
    <r>
      <rPr>
        <sz val="11"/>
        <color rgb="FF000000"/>
        <rFont val="Calibri"/>
      </rPr>
      <t>РЕГИОНАЛЬНЫЙ ОБЩЕСТВЕННЫЙ ФОНД ПОДДЕРЖКИ КУЛЬТУРЫ И ИСКУССТВА</t>
    </r>
  </si>
  <si>
    <t>1027739698898</t>
  </si>
  <si>
    <t>7709377761</t>
  </si>
  <si>
    <r>
      <rPr>
        <sz val="11"/>
        <color rgb="FF000000"/>
        <rFont val="Calibri"/>
      </rPr>
      <t>ПРИЗВАНИЕ (НЕКОММЕРЧЕСКАЯ ОРГАНИЗАЦИЯ), БЛАГОТВОРИТЕЛЬНЫЙ ФОНД ПОДДЕРЖКИ ДОСТИЖЕНИЙ В ОБЛАСТИ МЕДИЦИНЫ</t>
    </r>
  </si>
  <si>
    <t>1037700149013</t>
  </si>
  <si>
    <t>7702310912</t>
  </si>
  <si>
    <r>
      <rPr>
        <sz val="11"/>
        <color rgb="FF000000"/>
        <rFont val="Calibri"/>
      </rPr>
      <t>ПРОДВИЖЕНИЕ, БФ</t>
    </r>
  </si>
  <si>
    <t>1127799002770</t>
  </si>
  <si>
    <t>7734270109</t>
  </si>
  <si>
    <r>
      <rPr>
        <sz val="11"/>
        <color rgb="FF000000"/>
        <rFont val="Calibri"/>
      </rPr>
      <t>ПРОНИКАЯ В СЕРДЦЕ, БЛАГОТВОРИТЕЛЬНЫЙ ФОНД</t>
    </r>
  </si>
  <si>
    <t>1117799010614</t>
  </si>
  <si>
    <t>7724300121</t>
  </si>
  <si>
    <r>
      <rPr>
        <sz val="11"/>
        <color rgb="FF000000"/>
        <rFont val="Calibri"/>
      </rPr>
      <t>ПРОСВЕЩЕНИЕ, ФОНД</t>
    </r>
  </si>
  <si>
    <t>1037739404207</t>
  </si>
  <si>
    <t>7707189106</t>
  </si>
  <si>
    <r>
      <rPr>
        <sz val="11"/>
        <color rgb="FF000000"/>
        <rFont val="Calibri"/>
      </rPr>
      <t>ПРОСВЕЩЕНИЕ-БЛАГОМЕД, ФОНД</t>
    </r>
  </si>
  <si>
    <t>1027739302733</t>
  </si>
  <si>
    <t>7726300399</t>
  </si>
  <si>
    <r>
      <rPr>
        <sz val="11"/>
        <color rgb="FF000000"/>
        <rFont val="Calibri"/>
      </rPr>
      <t>ПРОТЕК, ФОНД</t>
    </r>
  </si>
  <si>
    <t>1067799032278</t>
  </si>
  <si>
    <t>7724296059</t>
  </si>
  <si>
    <r>
      <rPr>
        <sz val="11"/>
        <color rgb="FF000000"/>
        <rFont val="Calibri"/>
      </rPr>
      <t>ПРОФЕССИЯ, ФОНД</t>
    </r>
  </si>
  <si>
    <t>1037739713901</t>
  </si>
  <si>
    <t>7719066275</t>
  </si>
  <si>
    <r>
      <rPr>
        <sz val="11"/>
        <color rgb="FF000000"/>
        <rFont val="Calibri"/>
      </rPr>
      <t>РЕГИОНАЛЬНЫЙ ОБЩЕСТВЕННЫЙ ФОНД ПОДДЕРЖКИ КУЛЬТУРЫ</t>
    </r>
  </si>
  <si>
    <t>1027739428067</t>
  </si>
  <si>
    <t>7703191351</t>
  </si>
  <si>
    <r>
      <rPr>
        <sz val="11"/>
        <color rgb="FF000000"/>
        <rFont val="Calibri"/>
      </rPr>
      <t>ПСИОЗ, БЛАГОТВОРИТЕЛЬНЫЙ ФОНД</t>
    </r>
  </si>
  <si>
    <t>1097799006910</t>
  </si>
  <si>
    <t>7714322084</t>
  </si>
  <si>
    <r>
      <rPr>
        <sz val="11"/>
        <color rgb="FF000000"/>
        <rFont val="Calibri"/>
      </rPr>
      <t>ПУТЁВКА В ЖИЗНЬ, БЛАГОТВОРИТЕЛЬНЫЙ ФОНД</t>
    </r>
  </si>
  <si>
    <t>1167700063618</t>
  </si>
  <si>
    <t>7751026911</t>
  </si>
  <si>
    <r>
      <rPr>
        <sz val="11"/>
        <color rgb="FF000000"/>
        <rFont val="Calibri"/>
      </rPr>
      <t>Р.О.Ф. СОДЕЙСТВИЯ РАЗВИТИЮ КИНЕМАТОГРАФИИ</t>
    </r>
  </si>
  <si>
    <t>1037739774786</t>
  </si>
  <si>
    <t>7710426406</t>
  </si>
  <si>
    <r>
      <rPr>
        <sz val="11"/>
        <color rgb="FF000000"/>
        <rFont val="Calibri"/>
      </rPr>
      <t>РАДОСТЬ ДАРЕНИЯ, ФОНД</t>
    </r>
  </si>
  <si>
    <t>1147799008279</t>
  </si>
  <si>
    <t>7710481397</t>
  </si>
  <si>
    <r>
      <rPr>
        <sz val="11"/>
        <color rgb="FF000000"/>
        <rFont val="Calibri"/>
      </rPr>
      <t>РАДУГА, НО БФ</t>
    </r>
  </si>
  <si>
    <t>1037739079839</t>
  </si>
  <si>
    <t>7716189007</t>
  </si>
  <si>
    <r>
      <rPr>
        <sz val="11"/>
        <color rgb="FF000000"/>
        <rFont val="Calibri"/>
      </rPr>
      <t>РАЗВИТИЯ БОЕВЫХ ИСКУССТВ, ФОНД</t>
    </r>
  </si>
  <si>
    <t>1047796166670</t>
  </si>
  <si>
    <t>7706527539</t>
  </si>
  <si>
    <r>
      <rPr>
        <sz val="11"/>
        <color rgb="FF000000"/>
        <rFont val="Calibri"/>
      </rPr>
      <t>РАЗВИТИЯ ВЕНЧУРНОГО ИНВЕСТИРОВАНИЯ ГОРОДА МОСКВЫ, ФОНД</t>
    </r>
  </si>
  <si>
    <t>1057749323202</t>
  </si>
  <si>
    <t>7715585216</t>
  </si>
  <si>
    <r>
      <rPr>
        <sz val="11"/>
        <color rgb="FF000000"/>
        <rFont val="Calibri"/>
      </rPr>
      <t>РАЗВИТИЯ МАДИ, ФОНД</t>
    </r>
  </si>
  <si>
    <t>1037739112476</t>
  </si>
  <si>
    <t>7714004927</t>
  </si>
  <si>
    <r>
      <rPr>
        <sz val="11"/>
        <color rgb="FF000000"/>
        <rFont val="Calibri"/>
      </rPr>
      <t>РАЗВИТИЯ ТЕАТРАЛЬНОГО ИСКУССТВА, ФОНД</t>
    </r>
  </si>
  <si>
    <t>1067746236326</t>
  </si>
  <si>
    <t>7730535869</t>
  </si>
  <si>
    <r>
      <rPr>
        <sz val="11"/>
        <color rgb="FF000000"/>
        <rFont val="Calibri"/>
      </rPr>
      <t>РАСПРАВЬ КРЫЛЬЯ!, БФ</t>
    </r>
  </si>
  <si>
    <t>1077799009837</t>
  </si>
  <si>
    <t>7714320305</t>
  </si>
  <si>
    <r>
      <rPr>
        <sz val="11"/>
        <color rgb="FF000000"/>
        <rFont val="Calibri"/>
      </rPr>
      <t>РАССВЕТ, БЛАГОТВОРИТЕЛЬНЫЙ ФОНД</t>
    </r>
  </si>
  <si>
    <t>1147799000942</t>
  </si>
  <si>
    <t>7709473521</t>
  </si>
  <si>
    <r>
      <rPr>
        <sz val="11"/>
        <color rgb="FF000000"/>
        <rFont val="Calibri"/>
      </rPr>
      <t>РАТИБОР, МОФ</t>
    </r>
  </si>
  <si>
    <t>1067799018320</t>
  </si>
  <si>
    <t>7737132160</t>
  </si>
  <si>
    <r>
      <rPr>
        <sz val="11"/>
        <color rgb="FF000000"/>
        <rFont val="Calibri"/>
      </rPr>
      <t>РАТНИКИ ОТЕЧЕСТВА, БЛАГОТВОРИТЕЛЬНЫЙ ФОНД</t>
    </r>
  </si>
  <si>
    <t>1027739340837</t>
  </si>
  <si>
    <t>7707279889</t>
  </si>
  <si>
    <r>
      <rPr>
        <sz val="11"/>
        <color rgb="FF000000"/>
        <rFont val="Calibri"/>
      </rPr>
      <t>РДФ, ООБФ</t>
    </r>
  </si>
  <si>
    <t>1027700123681</t>
  </si>
  <si>
    <t>7701014068</t>
  </si>
  <si>
    <r>
      <rPr>
        <sz val="11"/>
        <color rgb="FF000000"/>
        <rFont val="Calibri"/>
      </rPr>
      <t>РЕГБИВЕТЕРАН, БЛАГОТВОРИТЕЛЬНЫЙ ФОНД</t>
    </r>
  </si>
  <si>
    <t>1087799031935</t>
  </si>
  <si>
    <t>7704275332</t>
  </si>
  <si>
    <r>
      <rPr>
        <sz val="11"/>
        <color rgb="FF000000"/>
        <rFont val="Calibri"/>
      </rPr>
      <t>РЕГИОН, ФПП</t>
    </r>
  </si>
  <si>
    <t>1027739726640</t>
  </si>
  <si>
    <t>7726081436</t>
  </si>
  <si>
    <r>
      <rPr>
        <sz val="11"/>
        <color rgb="FF000000"/>
        <rFont val="Calibri"/>
      </rPr>
      <t>РЕГИОНАЛЬНАЯ ПЛАТФОРМА, ФОНД</t>
    </r>
  </si>
  <si>
    <t>1137799006927</t>
  </si>
  <si>
    <t>7707491395</t>
  </si>
  <si>
    <r>
      <rPr>
        <sz val="11"/>
        <color rgb="FF000000"/>
        <rFont val="Calibri"/>
      </rPr>
      <t>РЕГИОНАЛЬНЫЙ БЛАГОТВОРИТЕЛЬНЫЙ ОБЩЕСТВЕННЫЙ ФОНД СОДЕЙСТВИЯ ОТЕЧЕСТВЕННОЙ МЕДИЦИНЕ И КАРДИОЛОГИИ</t>
    </r>
  </si>
  <si>
    <t>1037700227400</t>
  </si>
  <si>
    <t>7709346026</t>
  </si>
  <si>
    <r>
      <rPr>
        <sz val="11"/>
        <color rgb="FF000000"/>
        <rFont val="Calibri"/>
      </rPr>
      <t>РЕГИОНАЛЬНЫЙ ОБЩЕСТВЕННЫЙ ФОНД ПОДДЕРЖКИ ОПЕРАТИВНЫХ ПОДРАЗДЕЛЕНИЙ ОВД И ИХ ВЕТЕРАНОВ</t>
    </r>
  </si>
  <si>
    <t>1027739755911</t>
  </si>
  <si>
    <t>7725180970</t>
  </si>
  <si>
    <r>
      <rPr>
        <sz val="11"/>
        <color rgb="FF000000"/>
        <rFont val="Calibri"/>
      </rPr>
      <t>РЕЗЕРВ, ФОНД</t>
    </r>
  </si>
  <si>
    <t>1037739478700</t>
  </si>
  <si>
    <t>7704205092</t>
  </si>
  <si>
    <r>
      <rPr>
        <sz val="11"/>
        <color rgb="FF000000"/>
        <rFont val="Calibri"/>
      </rPr>
      <t>РЕНОВА, ФОНД</t>
    </r>
  </si>
  <si>
    <t>1077799019869</t>
  </si>
  <si>
    <t>7705518997</t>
  </si>
  <si>
    <r>
      <rPr>
        <sz val="11"/>
        <color rgb="FF000000"/>
        <rFont val="Calibri"/>
      </rPr>
      <t>РЕТО НАДЕЖДА, БФ</t>
    </r>
  </si>
  <si>
    <t>1037739146708</t>
  </si>
  <si>
    <t>7733070361</t>
  </si>
  <si>
    <r>
      <rPr>
        <sz val="11"/>
        <color rgb="FF000000"/>
        <rFont val="Calibri"/>
      </rPr>
      <t>РОБФПВПОР</t>
    </r>
  </si>
  <si>
    <t>1027739829380</t>
  </si>
  <si>
    <t>7704136610</t>
  </si>
  <si>
    <r>
      <rPr>
        <sz val="11"/>
        <color rgb="FF000000"/>
        <rFont val="Calibri"/>
      </rPr>
      <t>РОГФ СИЖИТ Ф.М, ДОСТОЕВСКОГО</t>
    </r>
  </si>
  <si>
    <t>1037739666634</t>
  </si>
  <si>
    <t>7728175954</t>
  </si>
  <si>
    <r>
      <rPr>
        <sz val="11"/>
        <color rgb="FF000000"/>
        <rFont val="Calibri"/>
      </rPr>
      <t>РОЖДЕСТВЕНСКИЙ, МБОФ СОДЕЙСТВИЯ СОЦИАЛЬНОЙ ЗАЩИТЕ ДЕТЕЙ</t>
    </r>
  </si>
  <si>
    <t>1047746001445</t>
  </si>
  <si>
    <t>7723352141</t>
  </si>
  <si>
    <r>
      <rPr>
        <sz val="11"/>
        <color rgb="FF000000"/>
        <rFont val="Calibri"/>
      </rPr>
      <t>РОЗУМА, ФОНД ЮРИЯ</t>
    </r>
  </si>
  <si>
    <t>1055014107103</t>
  </si>
  <si>
    <t>5050052042</t>
  </si>
  <si>
    <r>
      <rPr>
        <sz val="11"/>
        <color rgb="FF000000"/>
        <rFont val="Calibri"/>
      </rPr>
      <t>РОМАНСИАДА , БФ РОМАНСИАДА, БЛАГОТВОРИТЕЛЬНЫЙ ФОНД</t>
    </r>
  </si>
  <si>
    <t>1097799009395</t>
  </si>
  <si>
    <t>7734268445</t>
  </si>
  <si>
    <r>
      <rPr>
        <sz val="11"/>
        <color rgb="FF000000"/>
        <rFont val="Calibri"/>
      </rPr>
      <t>РЕГИОНАЛЬНЫЙ ОБЩЕСТВЕННЫЙ ФОНД СОДЕЙСТВИЯ ПАТРИОТИЧЕСКОМУ ВОСПИТАНИЮ ДЕТЕЙ И МОЛОДЕЖИ</t>
    </r>
  </si>
  <si>
    <t>1037739520477</t>
  </si>
  <si>
    <t>7743033471</t>
  </si>
  <si>
    <r>
      <rPr>
        <sz val="11"/>
        <color rgb="FF000000"/>
        <rFont val="Calibri"/>
      </rPr>
      <t>РОССИЙСКИЙ ФОНД МИРА</t>
    </r>
  </si>
  <si>
    <t>1037739383219</t>
  </si>
  <si>
    <t>7704015302</t>
  </si>
  <si>
    <r>
      <rPr>
        <sz val="11"/>
        <color rgb="FF000000"/>
        <rFont val="Calibri"/>
      </rPr>
      <t>РОССИЙСКИЙ ЕВРЕЙСКИЙ КОНГРЕСС</t>
    </r>
  </si>
  <si>
    <t>1027700134571</t>
  </si>
  <si>
    <t>7706121994</t>
  </si>
  <si>
    <r>
      <rPr>
        <sz val="11"/>
        <color rgb="FF000000"/>
        <rFont val="Calibri"/>
      </rPr>
      <t>РОССИЙСКИЙ ФОНД ВЕТЕРАНОВ</t>
    </r>
  </si>
  <si>
    <t>1027739897063</t>
  </si>
  <si>
    <t>7704058560</t>
  </si>
  <si>
    <r>
      <rPr>
        <sz val="11"/>
        <color rgb="FF000000"/>
        <rFont val="Calibri"/>
      </rPr>
      <t>РОСТРОПОВИЧА-ВИШНЕВСКОЙ, ФОНД</t>
    </r>
  </si>
  <si>
    <t>1037843042720</t>
  </si>
  <si>
    <t>7825496216</t>
  </si>
  <si>
    <r>
      <rPr>
        <sz val="11"/>
        <color rgb="FF000000"/>
        <rFont val="Calibri"/>
      </rPr>
      <t>РОФИВС</t>
    </r>
  </si>
  <si>
    <t>1037739705046</t>
  </si>
  <si>
    <t>7703096965</t>
  </si>
  <si>
    <r>
      <rPr>
        <sz val="11"/>
        <color rgb="FF000000"/>
        <rFont val="Calibri"/>
      </rPr>
      <t>РОФПВОС</t>
    </r>
  </si>
  <si>
    <t>1037700043842</t>
  </si>
  <si>
    <t>7708080863</t>
  </si>
  <si>
    <r>
      <rPr>
        <sz val="11"/>
        <color rgb="FF000000"/>
        <rFont val="Calibri"/>
      </rPr>
      <t>РОФСПИСРВИ</t>
    </r>
  </si>
  <si>
    <t>1027700290342</t>
  </si>
  <si>
    <t>7713063574</t>
  </si>
  <si>
    <r>
      <rPr>
        <sz val="11"/>
        <color rgb="FF000000"/>
        <rFont val="Calibri"/>
      </rPr>
      <t>РОФССЗЭ</t>
    </r>
  </si>
  <si>
    <t>1027700370719</t>
  </si>
  <si>
    <t>7702241955</t>
  </si>
  <si>
    <r>
      <rPr>
        <sz val="11"/>
        <color rgb="FF000000"/>
        <rFont val="Calibri"/>
      </rPr>
      <t>ФОНД МЕЖДУНАРОДНЫХ ПРОГРАММ ПОЗНАНИЕ МИРА, РОО</t>
    </r>
  </si>
  <si>
    <t>1037739067926</t>
  </si>
  <si>
    <t>7709046819</t>
  </si>
  <si>
    <r>
      <rPr>
        <sz val="11"/>
        <color rgb="FF000000"/>
        <rFont val="Calibri"/>
      </rPr>
      <t>РУКА ПОМОЩИ, РОЕБФ</t>
    </r>
  </si>
  <si>
    <t>1037739753700</t>
  </si>
  <si>
    <t>7709122234</t>
  </si>
  <si>
    <t>251 - 500</t>
  </si>
  <si>
    <t>501 - 1 000</t>
  </si>
  <si>
    <r>
      <rPr>
        <sz val="11"/>
        <color rgb="FF000000"/>
        <rFont val="Calibri"/>
      </rPr>
      <t>РУССКИЙ БУКЕР, ФОНД</t>
    </r>
  </si>
  <si>
    <t>1037739565610</t>
  </si>
  <si>
    <t>7710419543</t>
  </si>
  <si>
    <r>
      <rPr>
        <sz val="11"/>
        <color rgb="FF000000"/>
        <rFont val="Calibri"/>
      </rPr>
      <t>РУССКИЙ ХОР, БФ</t>
    </r>
  </si>
  <si>
    <t>1117799017841</t>
  </si>
  <si>
    <t>7736128450</t>
  </si>
  <si>
    <r>
      <rPr>
        <sz val="11"/>
        <color rgb="FF000000"/>
        <rFont val="Calibri"/>
      </rPr>
      <t>РУССКО-ФРАНЦУЗСКИЙ КЛУБ, БЛАГОТВОРИТЕЛЬНЫЙ ФОНД</t>
    </r>
  </si>
  <si>
    <t>1167700053608</t>
  </si>
  <si>
    <t>9717019058</t>
  </si>
  <si>
    <r>
      <rPr>
        <sz val="11"/>
        <color rgb="FF000000"/>
        <rFont val="Calibri"/>
      </rPr>
      <t>РУССКОЕ ИСПОЛНИТЕЛЬСКОЕ ИСКУССТВО, РБОФ</t>
    </r>
  </si>
  <si>
    <t>1027700540120</t>
  </si>
  <si>
    <t>7704237104</t>
  </si>
  <si>
    <r>
      <rPr>
        <sz val="11"/>
        <color rgb="FF000000"/>
        <rFont val="Calibri"/>
      </rPr>
      <t>РУСФОНД, БЛАГОТВОРИТЕЛЬНЫЙ ФОНД</t>
    </r>
  </si>
  <si>
    <t>1097799029580</t>
  </si>
  <si>
    <t>7743089883</t>
  </si>
  <si>
    <r>
      <rPr>
        <sz val="11"/>
        <color rgb="FF000000"/>
        <rFont val="Calibri"/>
      </rPr>
      <t>САМЮ СОСЬЯЛЬ МОСКВА, ФОНД</t>
    </r>
  </si>
  <si>
    <t>1037739947190</t>
  </si>
  <si>
    <t>7709513929</t>
  </si>
  <si>
    <r>
      <rPr>
        <sz val="11"/>
        <color rgb="FF000000"/>
        <rFont val="Calibri"/>
      </rPr>
      <t>САРОВ, ФОНД</t>
    </r>
  </si>
  <si>
    <t>1117799001154</t>
  </si>
  <si>
    <t>7707049719</t>
  </si>
  <si>
    <r>
      <rPr>
        <sz val="11"/>
        <color rgb="FF000000"/>
        <rFont val="Calibri"/>
      </rPr>
      <t>САТР-ФОНД</t>
    </r>
  </si>
  <si>
    <t>1027739132530</t>
  </si>
  <si>
    <t>7733054480</t>
  </si>
  <si>
    <r>
      <rPr>
        <sz val="11"/>
        <color rgb="FF000000"/>
        <rFont val="Calibri"/>
      </rPr>
      <t>РЕГИОНАЛЬНЫЙ ОБЩЕСТВЕННЫЙ ФОНД СОДЕЙСТВИЯ РАЗВИТИЮ ОТНОШЕНИЙ С ЯПОНИЕЙ В ОБЛАСТИ НАУКИ,ТЕХНИКИ И КУЛЬТУРЫ</t>
    </r>
  </si>
  <si>
    <t>1037700139278</t>
  </si>
  <si>
    <t>7707271706</t>
  </si>
  <si>
    <r>
      <rPr>
        <sz val="11"/>
        <color rgb="FF000000"/>
        <rFont val="Calibri"/>
      </rPr>
      <t>САФМАР, БФ</t>
    </r>
  </si>
  <si>
    <t>1137799017245</t>
  </si>
  <si>
    <t>7705521823</t>
  </si>
  <si>
    <r>
      <rPr>
        <sz val="11"/>
        <color rgb="FF000000"/>
        <rFont val="Calibri"/>
      </rPr>
      <t>СВОЕ ДЕЛО, БЛАГОТВОРИТЕЛЬНЫЙ ФОНД</t>
    </r>
  </si>
  <si>
    <t>1117799010988</t>
  </si>
  <si>
    <t>7701167297</t>
  </si>
  <si>
    <r>
      <rPr>
        <sz val="11"/>
        <color rgb="FF000000"/>
        <rFont val="Calibri"/>
      </rPr>
      <t>СВЯТОГО МАРКА, БФ</t>
    </r>
  </si>
  <si>
    <t>1127799001285</t>
  </si>
  <si>
    <t>7724300611</t>
  </si>
  <si>
    <r>
      <rPr>
        <sz val="11"/>
        <color rgb="FF000000"/>
        <rFont val="Calibri"/>
      </rPr>
      <t>СГК-СОГРЕВАЕМ СЕРДЦА, БФ</t>
    </r>
  </si>
  <si>
    <t>1157700009004</t>
  </si>
  <si>
    <t>7725277154</t>
  </si>
  <si>
    <r>
      <rPr>
        <sz val="11"/>
        <color rgb="FF000000"/>
        <rFont val="Calibri"/>
      </rPr>
      <t>СЕВЕРНАЯ КОРОНА, ФОНД</t>
    </r>
  </si>
  <si>
    <t>1027700122790</t>
  </si>
  <si>
    <t>7718158999</t>
  </si>
  <si>
    <r>
      <rPr>
        <sz val="11"/>
        <color rgb="FF000000"/>
        <rFont val="Calibri"/>
      </rPr>
      <t>СЕЛО, БЛАГОТВОРИТЕЛЬНЫЙ ФОНД</t>
    </r>
  </si>
  <si>
    <t>1160571053697</t>
  </si>
  <si>
    <t>0573006884</t>
  </si>
  <si>
    <r>
      <rPr>
        <sz val="11"/>
        <color rgb="FF000000"/>
        <rFont val="Calibri"/>
      </rPr>
      <t>СЕМЬЯ ДЛЯ КАЖДОГО РЕБЕНКА, ФОНД</t>
    </r>
  </si>
  <si>
    <t>1087799003490</t>
  </si>
  <si>
    <t>7726352407</t>
  </si>
  <si>
    <r>
      <rPr>
        <sz val="11"/>
        <color rgb="FF000000"/>
        <rFont val="Calibri"/>
      </rPr>
      <t>СИ ЦСКА, БФ</t>
    </r>
  </si>
  <si>
    <t>1157700005715</t>
  </si>
  <si>
    <t>7704315031</t>
  </si>
  <si>
    <r>
      <rPr>
        <sz val="11"/>
        <color rgb="FF000000"/>
        <rFont val="Calibri"/>
      </rPr>
      <t>СИЛА ДУХА, БЛАГОТВОРИТЕЛЬНЫЙ ФОНД</t>
    </r>
  </si>
  <si>
    <t>1147799005177</t>
  </si>
  <si>
    <t>7706471460</t>
  </si>
  <si>
    <r>
      <rPr>
        <sz val="11"/>
        <color rgb="FF000000"/>
        <rFont val="Calibri"/>
      </rPr>
      <t>СИЛЬНАЯ АРМИЯ, БЛАГОТВОРИТЕЛЬНЫЙ ФОНД</t>
    </r>
  </si>
  <si>
    <t>1047796673704</t>
  </si>
  <si>
    <t>7709566342</t>
  </si>
  <si>
    <r>
      <rPr>
        <sz val="11"/>
        <color rgb="FF000000"/>
        <rFont val="Calibri"/>
      </rPr>
      <t>СИМОНЯН, ФОНД</t>
    </r>
  </si>
  <si>
    <t>1077799008044</t>
  </si>
  <si>
    <t>7715399629</t>
  </si>
  <si>
    <r>
      <rPr>
        <sz val="11"/>
        <color rgb="FF000000"/>
        <rFont val="Calibri"/>
      </rPr>
      <t>СИНДРОМ ЛЮБВИ, БФ</t>
    </r>
  </si>
  <si>
    <t>1167700059262</t>
  </si>
  <si>
    <t>7719449616</t>
  </si>
  <si>
    <r>
      <rPr>
        <sz val="11"/>
        <color rgb="FF000000"/>
        <rFont val="Calibri"/>
      </rPr>
      <t>СИСТЕМА, БФ</t>
    </r>
  </si>
  <si>
    <t>1047796025419</t>
  </si>
  <si>
    <t>7704510770</t>
  </si>
  <si>
    <r>
      <rPr>
        <sz val="11"/>
        <color rgb="FF000000"/>
        <rFont val="Calibri"/>
      </rPr>
      <t>СЛУЖЕНИЕ ОТЕЧЕСТВУ, РБОФ</t>
    </r>
  </si>
  <si>
    <t>1157700012535</t>
  </si>
  <si>
    <t>7704325569</t>
  </si>
  <si>
    <r>
      <rPr>
        <sz val="11"/>
        <color rgb="FF000000"/>
        <rFont val="Calibri"/>
      </rPr>
      <t>СЛУЖУ РОССИИ, ООФ</t>
    </r>
  </si>
  <si>
    <t>1147799010226</t>
  </si>
  <si>
    <t>7703481149</t>
  </si>
  <si>
    <r>
      <rPr>
        <sz val="11"/>
        <color rgb="FF000000"/>
        <rFont val="Calibri"/>
      </rPr>
      <t>СОДЕЙСТВИЯ КАДЕТСКИМ КОРПУСАМ ИМЕНИ АЛЕКСЕЯ ЙОРДАНА, ФОНД</t>
    </r>
  </si>
  <si>
    <t>1027739446393</t>
  </si>
  <si>
    <t>7710341463</t>
  </si>
  <si>
    <r>
      <rPr>
        <sz val="11"/>
        <color rgb="FF000000"/>
        <rFont val="Calibri"/>
      </rPr>
      <t>СОВРЕМЕННОЕ ОБЩЕСТВО, ФОНД</t>
    </r>
  </si>
  <si>
    <t>1127799018753</t>
  </si>
  <si>
    <t>7724301069</t>
  </si>
  <si>
    <t>Реорганизуется</t>
  </si>
  <si>
    <r>
      <rPr>
        <sz val="11"/>
        <color rgb="FF000000"/>
        <rFont val="Calibri"/>
      </rPr>
      <t>СОДЕЙСТВИЕ И ПОДДЕРЖКА, ФОНД</t>
    </r>
  </si>
  <si>
    <t>1027700289044</t>
  </si>
  <si>
    <t>7704149183</t>
  </si>
  <si>
    <r>
      <rPr>
        <sz val="11"/>
        <color rgb="FF000000"/>
        <rFont val="Calibri"/>
      </rPr>
      <t>СОДЕЙСТВИЕ, ФОНД</t>
    </r>
  </si>
  <si>
    <t>1027739055123</t>
  </si>
  <si>
    <t>7703143862</t>
  </si>
  <si>
    <r>
      <rPr>
        <sz val="11"/>
        <color rgb="FF000000"/>
        <rFont val="Calibri"/>
      </rPr>
      <t>СОДЕЙСТВИЯ НТП, МО ФОНД</t>
    </r>
  </si>
  <si>
    <t>1037739763720</t>
  </si>
  <si>
    <t>7704032121</t>
  </si>
  <si>
    <r>
      <rPr>
        <sz val="11"/>
        <color rgb="FF000000"/>
        <rFont val="Calibri"/>
      </rPr>
      <t>СОДЕЙСТВИЯ ОПК, ФОНД</t>
    </r>
  </si>
  <si>
    <t>1117799022703</t>
  </si>
  <si>
    <t>7734269960</t>
  </si>
  <si>
    <r>
      <rPr>
        <sz val="11"/>
        <color rgb="FF000000"/>
        <rFont val="Calibri"/>
      </rPr>
      <t>РЕГИОНАЛЬНЫЙ ОБЩЕСТВЕННЫЙ ФОНД СОДЕЙСТВИЯ ОПЕРАТИВНЫМ ПОДРАЗДЕЛЕНИЯМ МВД</t>
    </r>
  </si>
  <si>
    <t>1027700443935</t>
  </si>
  <si>
    <t>7706127805</t>
  </si>
  <si>
    <r>
      <rPr>
        <sz val="11"/>
        <color rgb="FF000000"/>
        <rFont val="Calibri"/>
      </rPr>
      <t>СОДЕЙСТВИЯ ОТЕЧЕСТВЕННОЙ НАУКЕ, РОФ</t>
    </r>
  </si>
  <si>
    <t>1027739771696</t>
  </si>
  <si>
    <t>7736209460</t>
  </si>
  <si>
    <r>
      <rPr>
        <sz val="11"/>
        <color rgb="FF000000"/>
        <rFont val="Calibri"/>
      </rPr>
      <t>СОДЕЙСТВИЯ СТРАТЕГИЧЕСКОЙ БЕЗОПАСНОСТИ, МОФ</t>
    </r>
  </si>
  <si>
    <t>1037739573893</t>
  </si>
  <si>
    <t>7734190090</t>
  </si>
  <si>
    <r>
      <rPr>
        <sz val="11"/>
        <color rgb="FF000000"/>
        <rFont val="Calibri"/>
      </rPr>
      <t>ФОНД СОДЕЙСТВИЯ УКРЕПЛЕНИЮ ЗАКОННОСТИ И ПРАВОПОРЯДКА, ОБЩЕСТВЕННОЕ ОБЪЕДИНЕНИЕ</t>
    </r>
  </si>
  <si>
    <t>1027739063395</t>
  </si>
  <si>
    <t>7707017957</t>
  </si>
  <si>
    <r>
      <rPr>
        <sz val="11"/>
        <color rgb="FF000000"/>
        <rFont val="Calibri"/>
      </rPr>
      <t>СОЗДАЕМ БУДУЩЕЕ, БЛАГОТВОРИТЕЛЬНЫЙ ФОНД</t>
    </r>
  </si>
  <si>
    <t>1147799013724</t>
  </si>
  <si>
    <t>7729452819</t>
  </si>
  <si>
    <r>
      <rPr>
        <sz val="11"/>
        <color rgb="FF000000"/>
        <rFont val="Calibri"/>
      </rPr>
      <t>СОЗИДАНИЕ, ФОНД</t>
    </r>
  </si>
  <si>
    <t>1027739370669</t>
  </si>
  <si>
    <t>7705401519</t>
  </si>
  <si>
    <r>
      <rPr>
        <sz val="11"/>
        <color rgb="FF000000"/>
        <rFont val="Calibri"/>
      </rPr>
      <t>СОЗИДАНИЕ, ФОНД</t>
    </r>
  </si>
  <si>
    <t>1037700022843</t>
  </si>
  <si>
    <t>7705343659</t>
  </si>
  <si>
    <r>
      <rPr>
        <sz val="11"/>
        <color rgb="FF000000"/>
        <rFont val="Calibri"/>
      </rPr>
      <t>СОЛИДАРНОСТЬ, ФОНД</t>
    </r>
  </si>
  <si>
    <t>1097799006095</t>
  </si>
  <si>
    <t>7702371513</t>
  </si>
  <si>
    <r>
      <rPr>
        <sz val="11"/>
        <color rgb="FF000000"/>
        <rFont val="Calibri"/>
      </rPr>
      <t>СООТЕЧЕСТВЕННИКИ, ООБФ РФПБ</t>
    </r>
  </si>
  <si>
    <t>1027739671948</t>
  </si>
  <si>
    <t>7708052993</t>
  </si>
  <si>
    <r>
      <rPr>
        <sz val="11"/>
        <color rgb="FF000000"/>
        <rFont val="Calibri"/>
      </rPr>
      <t>СОПРИЧАСТНОСТЬ, НО БФ</t>
    </r>
  </si>
  <si>
    <t>1127799021668</t>
  </si>
  <si>
    <t>7728401258</t>
  </si>
  <si>
    <r>
      <rPr>
        <sz val="11"/>
        <color rgb="FF000000"/>
        <rFont val="Calibri"/>
      </rPr>
      <t>СОФИЯ, БЛАГОТВОРИТЕЛЬНЫЙ ФОНД</t>
    </r>
  </si>
  <si>
    <t>1027700078823</t>
  </si>
  <si>
    <t>7731195982</t>
  </si>
  <si>
    <r>
      <rPr>
        <sz val="11"/>
        <color rgb="FF000000"/>
        <rFont val="Calibri"/>
      </rPr>
      <t>СОЦГОСПРОЕКТ, ФОНД</t>
    </r>
  </si>
  <si>
    <t>1097799018844</t>
  </si>
  <si>
    <t>7729441013</t>
  </si>
  <si>
    <r>
      <rPr>
        <sz val="11"/>
        <color rgb="FF000000"/>
        <rFont val="Calibri"/>
      </rPr>
      <t>СОЦИАЛЬНАЯ ОТВЕТСТВЕННОСТЬ, ФОНД</t>
    </r>
  </si>
  <si>
    <t>1077799034609</t>
  </si>
  <si>
    <t>7727277921</t>
  </si>
  <si>
    <r>
      <rPr>
        <sz val="11"/>
        <color rgb="FF000000"/>
        <rFont val="Calibri"/>
      </rPr>
      <t>СОЦИАЛЬНОЕ ПАРТНЕРСТВО, МОСКОВСКИЙ РЕГИОНАЛЬНЫЙ ОБЩЕСТВЕННЫЙ БЛАГОТВОРИТЕЛЬНЫЙ ФОНД</t>
    </r>
  </si>
  <si>
    <t>1037739048016</t>
  </si>
  <si>
    <t>7720134949</t>
  </si>
  <si>
    <r>
      <rPr>
        <sz val="11"/>
        <color rgb="FF000000"/>
        <rFont val="Calibri"/>
      </rPr>
      <t>СОЦИАЛЬНОЕ РАЗВИТИЕ РОССИИ, ОБЩЕРОССИЙСКИЙ ФОНД</t>
    </r>
  </si>
  <si>
    <t>1037739223950</t>
  </si>
  <si>
    <t>7722185064</t>
  </si>
  <si>
    <r>
      <rPr>
        <sz val="11"/>
        <color rgb="FF000000"/>
        <rFont val="Calibri"/>
      </rPr>
      <t>СПАРТАК-МОСКВА, БФ ПВИМ ФК</t>
    </r>
  </si>
  <si>
    <t>1087799036160</t>
  </si>
  <si>
    <t>7703393460</t>
  </si>
  <si>
    <r>
      <rPr>
        <sz val="11"/>
        <color rgb="FF000000"/>
        <rFont val="Calibri"/>
      </rPr>
      <t>СПЕЦНАЗ ВДВ, ФОНД</t>
    </r>
  </si>
  <si>
    <t>1037718007480</t>
  </si>
  <si>
    <t>7718236171</t>
  </si>
  <si>
    <r>
      <rPr>
        <sz val="11"/>
        <color rgb="FF000000"/>
        <rFont val="Calibri"/>
      </rPr>
      <t>СПИНА БИФИДА, БФ</t>
    </r>
  </si>
  <si>
    <t>1167700055380</t>
  </si>
  <si>
    <t>7727287817</t>
  </si>
  <si>
    <r>
      <rPr>
        <sz val="11"/>
        <color rgb="FF000000"/>
        <rFont val="Calibri"/>
      </rPr>
      <t>СПОРТ ДЛЯ ЖИЗНИ, БЛАГОТВОРИТЕЛЬНЫЙ ФОНД</t>
    </r>
  </si>
  <si>
    <t>1167700051947</t>
  </si>
  <si>
    <t>7731306981</t>
  </si>
  <si>
    <r>
      <rPr>
        <sz val="11"/>
        <color rgb="FF000000"/>
        <rFont val="Calibri"/>
      </rPr>
      <t>СПОРТ, БФ</t>
    </r>
  </si>
  <si>
    <t>1167700051936</t>
  </si>
  <si>
    <t>7731306950</t>
  </si>
  <si>
    <r>
      <rPr>
        <sz val="11"/>
        <color rgb="FF000000"/>
        <rFont val="Calibri"/>
      </rPr>
      <t>СПОРТИВНАЯ АКАДЕМИЯ ТРЕТЬЯКА, ФОНД</t>
    </r>
  </si>
  <si>
    <t>1027700175227</t>
  </si>
  <si>
    <t>7704184396</t>
  </si>
  <si>
    <r>
      <rPr>
        <sz val="11"/>
        <color rgb="FF000000"/>
        <rFont val="Calibri"/>
      </rPr>
      <t>СПРАВЕДЛИВОСТЬ, РОФ</t>
    </r>
  </si>
  <si>
    <t>1097799022529</t>
  </si>
  <si>
    <t>7721278083</t>
  </si>
  <si>
    <r>
      <rPr>
        <sz val="11"/>
        <color rgb="FF000000"/>
        <rFont val="Calibri"/>
      </rPr>
      <t>СТАРОСТЬ В РАДОСТЬ, БФ</t>
    </r>
  </si>
  <si>
    <t>1117799022516</t>
  </si>
  <si>
    <t>7710479486</t>
  </si>
  <si>
    <r>
      <rPr>
        <sz val="11"/>
        <color rgb="FF000000"/>
        <rFont val="Calibri"/>
      </rPr>
      <t>СТМЭГИ, БЛАГОТВОРИТЕЛЬНЫЙ ФОНД</t>
    </r>
  </si>
  <si>
    <t>1027739269799</t>
  </si>
  <si>
    <t>7718220012</t>
  </si>
  <si>
    <r>
      <rPr>
        <sz val="11"/>
        <color rgb="FF000000"/>
        <rFont val="Calibri"/>
      </rPr>
      <t>СТОЛИЦА, ФОНД</t>
    </r>
  </si>
  <si>
    <t>1117799012484</t>
  </si>
  <si>
    <t>7701167346</t>
  </si>
  <si>
    <r>
      <rPr>
        <sz val="11"/>
        <color rgb="FF000000"/>
        <rFont val="Calibri"/>
      </rPr>
      <t>СТУПЕНИ, БЛАГОТВОРИТЕЛЬНЫЙ ФОНД</t>
    </r>
  </si>
  <si>
    <t>1127799015046</t>
  </si>
  <si>
    <t>7714401339</t>
  </si>
  <si>
    <r>
      <rPr>
        <sz val="11"/>
        <color rgb="FF000000"/>
        <rFont val="Calibri"/>
      </rPr>
      <t>ФОНД ПРОДОВОЛЬСТВИЯ РУСЬ, БФ</t>
    </r>
  </si>
  <si>
    <t>1127799022658</t>
  </si>
  <si>
    <t>7708240852</t>
  </si>
  <si>
    <r>
      <rPr>
        <sz val="11"/>
        <color rgb="FF000000"/>
        <rFont val="Calibri"/>
      </rPr>
      <t>СУП ОБЩЕСТВО, ЗАКОН И ПОРЯДОК, РОФ</t>
    </r>
  </si>
  <si>
    <t>1147799009324</t>
  </si>
  <si>
    <t>7722401808</t>
  </si>
  <si>
    <r>
      <rPr>
        <sz val="11"/>
        <color rgb="FF000000"/>
        <rFont val="Calibri"/>
      </rPr>
      <t>СЧАСТЛИВЫЙ МИР, НКО БЛАГОТВОРИТЕЛЬНЫЙ ФОНД</t>
    </r>
  </si>
  <si>
    <t>1057748765909</t>
  </si>
  <si>
    <t>7705694150</t>
  </si>
  <si>
    <r>
      <rPr>
        <sz val="11"/>
        <color rgb="FF000000"/>
        <rFont val="Calibri"/>
      </rPr>
      <t>СЧАСТЬЕ, БЛАГОТВОРИТЕЛЬНЫЙ ФОНД</t>
    </r>
  </si>
  <si>
    <t>1147799016397</t>
  </si>
  <si>
    <t>7713430915</t>
  </si>
  <si>
    <r>
      <rPr>
        <sz val="11"/>
        <color rgb="FF000000"/>
        <rFont val="Calibri"/>
      </rPr>
      <t>ТАТЬЯНА, БФ АСП</t>
    </r>
  </si>
  <si>
    <t>1027739651610</t>
  </si>
  <si>
    <t>7702197424</t>
  </si>
  <si>
    <r>
      <rPr>
        <sz val="11"/>
        <color rgb="FF000000"/>
        <rFont val="Calibri"/>
      </rPr>
      <t>ТВАРДОВСКОГО, 2, БРОФ СОЦИАЛЬНЫХ ПРОГРАММ</t>
    </r>
  </si>
  <si>
    <t>1027739467172</t>
  </si>
  <si>
    <t>7734115907</t>
  </si>
  <si>
    <r>
      <rPr>
        <sz val="11"/>
        <color rgb="FF000000"/>
        <rFont val="Calibri"/>
      </rPr>
      <t>ТВОРЧЕСКОЕ ОБЪЕДИНЕНИЕ КРУГ, БФ</t>
    </r>
  </si>
  <si>
    <t>1147799013889</t>
  </si>
  <si>
    <t>7714403103</t>
  </si>
  <si>
    <r>
      <rPr>
        <sz val="11"/>
        <color rgb="FF000000"/>
        <rFont val="Calibri"/>
      </rPr>
      <t>ТЕАТРАЛЬНОЕ ДЕЛО, НБФ ТЕРЕЗЫ ДУРОВОЙ</t>
    </r>
  </si>
  <si>
    <t>1117799017775</t>
  </si>
  <si>
    <t>7725350527</t>
  </si>
  <si>
    <r>
      <rPr>
        <sz val="11"/>
        <color rgb="FF000000"/>
        <rFont val="Calibri"/>
      </rPr>
      <t>ТЕПЛЫЙ ДОМ, БФ</t>
    </r>
  </si>
  <si>
    <t>1137799015628</t>
  </si>
  <si>
    <t>7734270941</t>
  </si>
  <si>
    <r>
      <rPr>
        <sz val="11"/>
        <color rgb="FF000000"/>
        <rFont val="Calibri"/>
      </rPr>
      <t>ТЕПЛЫЙ СТАН, БЛАГОТВОРИТЕЛЬНЫЙ ФОНД</t>
    </r>
  </si>
  <si>
    <t>1027739787976</t>
  </si>
  <si>
    <t>7728110266</t>
  </si>
  <si>
    <r>
      <rPr>
        <sz val="11"/>
        <color rgb="FF000000"/>
        <rFont val="Calibri"/>
      </rPr>
      <t>ТИМЧЕНКО, ФОНД</t>
    </r>
  </si>
  <si>
    <t>1107799035563</t>
  </si>
  <si>
    <t>7714323553</t>
  </si>
  <si>
    <r>
      <rPr>
        <sz val="11"/>
        <color rgb="FF000000"/>
        <rFont val="Calibri"/>
      </rPr>
      <t>ТРАНССОЮЗ, БФ</t>
    </r>
  </si>
  <si>
    <t>1097799022727</t>
  </si>
  <si>
    <t>7708237553</t>
  </si>
  <si>
    <r>
      <rPr>
        <sz val="11"/>
        <color rgb="FF000000"/>
        <rFont val="Calibri"/>
      </rPr>
      <t>УРАЛЬСКИЕ СУВОРОВЦЫ, ФОНД</t>
    </r>
  </si>
  <si>
    <t>1127799001880</t>
  </si>
  <si>
    <t>7720490376</t>
  </si>
  <si>
    <r>
      <rPr>
        <sz val="11"/>
        <color rgb="FF000000"/>
        <rFont val="Calibri"/>
      </rPr>
      <t>УЧАСТИЕ, БЛАГОТВОРИТЕЛЬНЫЙ ФОНД</t>
    </r>
  </si>
  <si>
    <t>1027739758727</t>
  </si>
  <si>
    <t>7729049783</t>
  </si>
  <si>
    <r>
      <rPr>
        <sz val="11"/>
        <color rgb="FF000000"/>
        <rFont val="Calibri"/>
      </rPr>
      <t>ФВЖБ, БЛАГОТВОРИТЕЛЬНЫЙ ФОНД</t>
    </r>
  </si>
  <si>
    <t>1037700052191</t>
  </si>
  <si>
    <t>7708137750</t>
  </si>
  <si>
    <r>
      <rPr>
        <sz val="11"/>
        <color rgb="FF000000"/>
        <rFont val="Calibri"/>
      </rPr>
      <t>ФЕБК</t>
    </r>
  </si>
  <si>
    <t>1037725006395</t>
  </si>
  <si>
    <t>7725220528</t>
  </si>
  <si>
    <r>
      <rPr>
        <sz val="11"/>
        <color rgb="FF000000"/>
        <rFont val="Calibri"/>
      </rPr>
      <t>ФЕДЕРАЛЬНЫЙ ФОНД ПО ЗАЩИТЕ ПРАВ ВКЛАДЧИКОВ И АКЦИОНЕРОВ</t>
    </r>
  </si>
  <si>
    <t>1027739737728</t>
  </si>
  <si>
    <t>7719129207</t>
  </si>
  <si>
    <r>
      <rPr>
        <sz val="11"/>
        <color rgb="FF000000"/>
        <rFont val="Calibri"/>
      </rPr>
      <t>ФЕНИКС-9, ФСПВ</t>
    </r>
  </si>
  <si>
    <t>1127799018621</t>
  </si>
  <si>
    <t>7704280011</t>
  </si>
  <si>
    <r>
      <rPr>
        <sz val="11"/>
        <color rgb="FF000000"/>
        <rFont val="Calibri"/>
      </rPr>
      <t>ФИФ, ФОНД</t>
    </r>
  </si>
  <si>
    <t>1167700059746</t>
  </si>
  <si>
    <t>7709495941</t>
  </si>
  <si>
    <r>
      <rPr>
        <sz val="11"/>
        <color rgb="FF000000"/>
        <rFont val="Calibri"/>
      </rPr>
      <t>ФОНД БОРЬБЫ С ЛЕЙКЕМИЕЙ, БФ</t>
    </r>
  </si>
  <si>
    <t>1147799009863</t>
  </si>
  <si>
    <t>7704282227</t>
  </si>
  <si>
    <r>
      <rPr>
        <sz val="11"/>
        <color rgb="FF000000"/>
        <rFont val="Calibri"/>
      </rPr>
      <t>ФОНД ВАЛЕНТИНА СЕРОВА, РОФ</t>
    </r>
  </si>
  <si>
    <t>1027746001029</t>
  </si>
  <si>
    <t>7704245306</t>
  </si>
  <si>
    <r>
      <rPr>
        <sz val="11"/>
        <color rgb="FF000000"/>
        <rFont val="Calibri"/>
      </rPr>
      <t>ФОНД ВЕТЕРАНОВ СТРОИТЕЛЕЙ МОСКВЫ, БФ</t>
    </r>
  </si>
  <si>
    <t>1027739741897</t>
  </si>
  <si>
    <t>7704211057</t>
  </si>
  <si>
    <r>
      <rPr>
        <sz val="11"/>
        <color rgb="FF000000"/>
        <rFont val="Calibri"/>
      </rPr>
      <t>ФОНД ДРУЗЕЙ ВТОРОЙ ШКОЛЫ, БЛАГОТВОРИТЕЛЬНАЯ ОРГАНИЗАЦИЯ</t>
    </r>
  </si>
  <si>
    <t>1037736011147</t>
  </si>
  <si>
    <t>7736215625</t>
  </si>
  <si>
    <r>
      <rPr>
        <sz val="11"/>
        <color rgb="FF000000"/>
        <rFont val="Calibri"/>
      </rPr>
      <t>ФОНД ИМЕНИ МИХАИЛА АБРАМОВА, БФ</t>
    </r>
  </si>
  <si>
    <t>1067799025249</t>
  </si>
  <si>
    <t>7708235796</t>
  </si>
  <si>
    <r>
      <rPr>
        <sz val="11"/>
        <color rgb="FF000000"/>
        <rFont val="Calibri"/>
      </rPr>
      <t>ФОНД МИХАИЛА РУДЯКА, НО</t>
    </r>
  </si>
  <si>
    <t>1087799004248</t>
  </si>
  <si>
    <t>7709441375</t>
  </si>
  <si>
    <r>
      <rPr>
        <sz val="11"/>
        <color rgb="FF000000"/>
        <rFont val="Calibri"/>
      </rPr>
      <t>ФОНД ОЛИМПИЙСКИХ ПРОГРАММ, РЕГИОНАЛЬНЫЙ БЛАГОТВОРИТЕЛЬНЫЙ ОБЩЕСТВЕННЫЙ ФОНД</t>
    </r>
  </si>
  <si>
    <t>1027700430340</t>
  </si>
  <si>
    <t>7704183113</t>
  </si>
  <si>
    <r>
      <rPr>
        <sz val="11"/>
        <color rgb="FF000000"/>
        <rFont val="Calibri"/>
      </rPr>
      <t>ФОНД ОЛЬГИ И КЛАВДИИ</t>
    </r>
  </si>
  <si>
    <t>1157700003515</t>
  </si>
  <si>
    <t>7730082626</t>
  </si>
  <si>
    <r>
      <rPr>
        <sz val="11"/>
        <color rgb="FF000000"/>
        <rFont val="Calibri"/>
      </rPr>
      <t>ФОНД П.ЮРГЕНСОНА (НЕКОММЕРЧЕСКАЯ ОРГАНИЗАЦИЯ), БЛАГОТВОРИТЕЛЬНЫЙ ФОНД</t>
    </r>
  </si>
  <si>
    <t>1027739540212</t>
  </si>
  <si>
    <t>7703201137</t>
  </si>
  <si>
    <r>
      <rPr>
        <sz val="11"/>
        <color rgb="FF000000"/>
        <rFont val="Calibri"/>
      </rPr>
      <t>ФОНД ПОДДЕРЖКИ АВТОСПОРТА, НЕКОММЕРЧЕСКАЯ ОРГАНИЗАЦИЯ БЛАГОТВОРИТЕЛЬНЫЙ ФОНД</t>
    </r>
  </si>
  <si>
    <t>1027739051230</t>
  </si>
  <si>
    <t>7703253329</t>
  </si>
  <si>
    <r>
      <rPr>
        <sz val="11"/>
        <color rgb="FF000000"/>
        <rFont val="Calibri"/>
      </rPr>
      <t>ФОНД ПОДДЕРЖКИ ОЛИМПИЙЦЕВ РОССИИ, НБО</t>
    </r>
  </si>
  <si>
    <t>1057747594772</t>
  </si>
  <si>
    <t>7710592770</t>
  </si>
  <si>
    <r>
      <rPr>
        <sz val="11"/>
        <color rgb="FF000000"/>
        <rFont val="Calibri"/>
      </rPr>
      <t>ФОНД ПОДДЕРЖКИ СЛЕПОГЛУХИХ СО-ЕДИНЕНИЕ, БФ</t>
    </r>
  </si>
  <si>
    <t>1147799007707</t>
  </si>
  <si>
    <t>7710481372</t>
  </si>
  <si>
    <r>
      <rPr>
        <sz val="11"/>
        <color rgb="FF000000"/>
        <rFont val="Calibri"/>
      </rPr>
      <t>ФОНД ПОДЕЛИСЬ ТЕПЛОМ, НО</t>
    </r>
  </si>
  <si>
    <t>1077799005900</t>
  </si>
  <si>
    <t>7705518524</t>
  </si>
  <si>
    <r>
      <rPr>
        <sz val="11"/>
        <color rgb="FF000000"/>
        <rFont val="Calibri"/>
      </rPr>
      <t>ФОНД ПОМОЩИ ЗАКЛЮЧЕННЫМ</t>
    </r>
  </si>
  <si>
    <t>1037739089354</t>
  </si>
  <si>
    <t>7703290930</t>
  </si>
  <si>
    <r>
      <rPr>
        <sz val="11"/>
        <color rgb="FF000000"/>
        <rFont val="Calibri"/>
      </rPr>
      <t>ФОНД ЧЕХОВСКОГО ФЕСТИВАЛЯ, РОФ</t>
    </r>
  </si>
  <si>
    <t>1087799002356</t>
  </si>
  <si>
    <t>7703392964</t>
  </si>
  <si>
    <r>
      <rPr>
        <sz val="11"/>
        <color rgb="FF000000"/>
        <rFont val="Calibri"/>
      </rPr>
      <t>ФОНД ЧИСТЫЕ МОРЯ</t>
    </r>
  </si>
  <si>
    <t>1097799005248</t>
  </si>
  <si>
    <t>7705006011</t>
  </si>
  <si>
    <r>
      <rPr>
        <sz val="11"/>
        <color rgb="FF000000"/>
        <rFont val="Calibri"/>
      </rPr>
      <t>ФОНД ЮРИЯ НОРШТЕЙНА, РОФ</t>
    </r>
  </si>
  <si>
    <t>1037739771002</t>
  </si>
  <si>
    <t>7743011319</t>
  </si>
  <si>
    <r>
      <rPr>
        <sz val="11"/>
        <color rgb="FF000000"/>
        <rFont val="Calibri"/>
      </rPr>
      <t>ФПБ</t>
    </r>
  </si>
  <si>
    <t>1027739383231</t>
  </si>
  <si>
    <t>7706139328</t>
  </si>
  <si>
    <r>
      <rPr>
        <sz val="11"/>
        <color rgb="FF000000"/>
        <rFont val="Calibri"/>
      </rPr>
      <t>ФУТБОЛ-ДЕТЯМ, БЛАГОТВОРИТЕЛЬНЫЙ ФОНД</t>
    </r>
  </si>
  <si>
    <t>1107799014080</t>
  </si>
  <si>
    <t>7723368624</t>
  </si>
  <si>
    <r>
      <rPr>
        <sz val="11"/>
        <color rgb="FF000000"/>
        <rFont val="Calibri"/>
      </rPr>
      <t>ХАМА, ФОНД</t>
    </r>
  </si>
  <si>
    <t>1097799005116</t>
  </si>
  <si>
    <t>7714322045</t>
  </si>
  <si>
    <r>
      <rPr>
        <sz val="11"/>
        <color rgb="FF000000"/>
        <rFont val="Calibri"/>
      </rPr>
      <t>ХЕННЕССИ, СОЦИАЛЬНО-КУЛЬТУРНЫЙ ФОНД</t>
    </r>
  </si>
  <si>
    <t>1047796135419</t>
  </si>
  <si>
    <t>7702517226</t>
  </si>
  <si>
    <r>
      <rPr>
        <sz val="11"/>
        <color rgb="FF000000"/>
        <rFont val="Calibri"/>
      </rPr>
      <t>ХОФФ, БФ</t>
    </r>
  </si>
  <si>
    <t>1137799016310</t>
  </si>
  <si>
    <t>7709473225</t>
  </si>
  <si>
    <r>
      <rPr>
        <sz val="11"/>
        <color rgb="FF000000"/>
        <rFont val="Calibri"/>
      </rPr>
      <t>ХРИСТИАНСКОЙ КУЛЬТУРЫ И ОБРАЗОВАНИЯ, ФОНД</t>
    </r>
  </si>
  <si>
    <t>1157700009708</t>
  </si>
  <si>
    <t>7723396942</t>
  </si>
  <si>
    <r>
      <rPr>
        <sz val="11"/>
        <color rgb="FF000000"/>
        <rFont val="Calibri"/>
      </rPr>
      <t>ХРУПКИЕ ЛЮДИ, БЛАГОТВОРИТЕЛЬНЫЙ ФОНД</t>
    </r>
  </si>
  <si>
    <t>1147799018454</t>
  </si>
  <si>
    <t>7702473040</t>
  </si>
  <si>
    <r>
      <rPr>
        <sz val="11"/>
        <color rgb="FF000000"/>
        <rFont val="Calibri"/>
      </rPr>
      <t>ЦЕНТР ВОЗРОЖДЕНИЯ КУЛЬТУРНОГО НАСЛЕДИЯ КРОХИНО, БФ</t>
    </r>
  </si>
  <si>
    <t>1117799003673</t>
  </si>
  <si>
    <t>7723369459</t>
  </si>
  <si>
    <r>
      <rPr>
        <sz val="11"/>
        <color rgb="FF000000"/>
        <rFont val="Calibri"/>
      </rPr>
      <t>ЦЕНТР ГИЛЕЛЬ, ФОНД</t>
    </r>
  </si>
  <si>
    <t>1047796365011</t>
  </si>
  <si>
    <t>7708525449</t>
  </si>
  <si>
    <r>
      <rPr>
        <sz val="11"/>
        <color rgb="FF000000"/>
        <rFont val="Calibri"/>
      </rPr>
      <t>ЦЕНТР РАЗВИТИЯ МЕЖЛИЧНОСТНЫХ КОММУНИКАЦИЙ, МОФ</t>
    </r>
  </si>
  <si>
    <t>1037739349306</t>
  </si>
  <si>
    <t>7704218790</t>
  </si>
  <si>
    <r>
      <rPr>
        <sz val="11"/>
        <color rgb="FF000000"/>
        <rFont val="Calibri"/>
      </rPr>
      <t>ЦЕНТР РЕГИОН, БЛАГОТВОРИТЕЛЬНЫЙ ФОНД</t>
    </r>
  </si>
  <si>
    <t>1137799023526</t>
  </si>
  <si>
    <t>7707491846</t>
  </si>
  <si>
    <r>
      <rPr>
        <sz val="11"/>
        <color rgb="FF000000"/>
        <rFont val="Calibri"/>
      </rPr>
      <t>ЦЕНТРАЛЬНЫЙ ДОМ АКТЁРА ИМ. А.А. ЯБЛОЧКИНОЙ ИЛИ ЦДА ИМ. А.А. ЯБЛОЧКИНОЙ</t>
    </r>
  </si>
  <si>
    <t>1037739764094</t>
  </si>
  <si>
    <t>7704024890</t>
  </si>
  <si>
    <r>
      <rPr>
        <sz val="11"/>
        <color rgb="FF000000"/>
        <rFont val="Calibri"/>
      </rPr>
      <t>ЦИРК И МИЛОСЕРДИЕ, РЕГИОНАЛЬНЫЙ ОБЩЕСТВЕННЫЙ БЛАГОТВОРИТЕЛЬНЫЙ ФОНД ПОМОЩИ АРТИСТАМ ЦИРКА</t>
    </r>
  </si>
  <si>
    <t>1027739267863</t>
  </si>
  <si>
    <t>7707114319</t>
  </si>
  <si>
    <r>
      <rPr>
        <sz val="11"/>
        <color rgb="FF000000"/>
        <rFont val="Calibri"/>
      </rPr>
      <t>ЦРФР, ФОНД</t>
    </r>
  </si>
  <si>
    <t>1037739055551</t>
  </si>
  <si>
    <t>7710245512</t>
  </si>
  <si>
    <r>
      <rPr>
        <sz val="11"/>
        <color rgb="FF000000"/>
        <rFont val="Calibri"/>
      </rPr>
      <t>ЧЕРНОМЫРДИНА, ФОНД</t>
    </r>
  </si>
  <si>
    <t>1027739873127</t>
  </si>
  <si>
    <t>7703204473</t>
  </si>
  <si>
    <r>
      <rPr>
        <sz val="11"/>
        <color rgb="FF000000"/>
        <rFont val="Calibri"/>
      </rPr>
      <t>ЧЕСТЬ ИМЕЕМ, БФ</t>
    </r>
  </si>
  <si>
    <t>1137799022910</t>
  </si>
  <si>
    <t>7703480748</t>
  </si>
  <si>
    <r>
      <rPr>
        <sz val="11"/>
        <color rgb="FF000000"/>
        <rFont val="Calibri"/>
      </rPr>
      <t>ЧИСТОЕ НЕБО, БФ</t>
    </r>
  </si>
  <si>
    <t>1117799006577</t>
  </si>
  <si>
    <t>7726484668</t>
  </si>
  <si>
    <r>
      <rPr>
        <sz val="11"/>
        <color rgb="FF000000"/>
        <rFont val="Calibri"/>
      </rPr>
      <t>ЧУВСТВО ДОМА, БЛАГОТВОРИТЕЛЬНЫЙ ФОНД</t>
    </r>
  </si>
  <si>
    <t>1147799006343</t>
  </si>
  <si>
    <t>7735130009</t>
  </si>
  <si>
    <r>
      <rPr>
        <sz val="11"/>
        <color rgb="FF000000"/>
        <rFont val="Calibri"/>
      </rPr>
      <t>ШААРЕЙ ЦЕДЕК ГОРОДА МОСКВЫ, РБОФ ПТЕК</t>
    </r>
  </si>
  <si>
    <t>1027739434524</t>
  </si>
  <si>
    <t>7715295147</t>
  </si>
  <si>
    <r>
      <rPr>
        <sz val="11"/>
        <color rgb="FF000000"/>
        <rFont val="Calibri"/>
      </rPr>
      <t>ШАГ ВМЕСТЕ, БЛАГОТВОРИТЕЛЬНЫЙ ФОНД</t>
    </r>
  </si>
  <si>
    <t>1117799015960</t>
  </si>
  <si>
    <t>7726484788</t>
  </si>
  <si>
    <r>
      <rPr>
        <sz val="11"/>
        <color rgb="FF000000"/>
        <rFont val="Calibri"/>
      </rPr>
      <t>ШАГ ВПЕРЁД, МОБФ</t>
    </r>
  </si>
  <si>
    <t>1107799013453</t>
  </si>
  <si>
    <t>7729441430</t>
  </si>
  <si>
    <r>
      <rPr>
        <sz val="11"/>
        <color rgb="FF000000"/>
        <rFont val="Calibri"/>
      </rPr>
      <t>ШАМИР, БЛАГОТВОРИТЕЛЬНЫЙ ФОНД</t>
    </r>
  </si>
  <si>
    <t>1027739897921</t>
  </si>
  <si>
    <t>7720259641</t>
  </si>
  <si>
    <r>
      <rPr>
        <sz val="11"/>
        <color rgb="FF000000"/>
        <rFont val="Calibri"/>
      </rPr>
      <t>ШЕРИФ, ФОНД</t>
    </r>
  </si>
  <si>
    <t>1037739144651</t>
  </si>
  <si>
    <t>7703252170</t>
  </si>
  <si>
    <r>
      <rPr>
        <sz val="11"/>
        <color rgb="FF000000"/>
        <rFont val="Calibri"/>
      </rPr>
      <t>ШКОЛЫ МИРА, ФОНД</t>
    </r>
  </si>
  <si>
    <t>1107799008217</t>
  </si>
  <si>
    <t>7730183783</t>
  </si>
  <si>
    <r>
      <rPr>
        <sz val="11"/>
        <color rgb="FF000000"/>
        <rFont val="Calibri"/>
      </rPr>
      <t>ЩИТ И ЛИРА СОТРУДНИКОВ ГУВД Г.МОСКВЫ, РОБФ</t>
    </r>
  </si>
  <si>
    <t>1027700169276</t>
  </si>
  <si>
    <t>7707018809</t>
  </si>
  <si>
    <r>
      <rPr>
        <sz val="11"/>
        <color rgb="FF000000"/>
        <rFont val="Calibri"/>
      </rPr>
      <t>ЭКОНОМИКА И НАРОДОВЛАСТИЕ, РЕГИОНАЛЬНЫЙ ОБЩЕСТВЕННЫЙ ФОНД ЭКОНОМИЧЕСКИХ, ПРАВОВЫХ И ПОЛИТИЧЕСКИХ ИССЛЕДОВАНИЙ И ПРОСВЕЩЕНИЯ</t>
    </r>
  </si>
  <si>
    <t>1037739333378</t>
  </si>
  <si>
    <t>7728115835</t>
  </si>
  <si>
    <r>
      <rPr>
        <sz val="11"/>
        <color rgb="FF000000"/>
        <rFont val="Calibri"/>
      </rPr>
      <t>ЭКОСИСТЕМА, ФОНД СОДЕЙСТВИЯ БЛАГОУСТРОЙСТВУ И ОХРАНЕ ОКРУЖАЮЩЕЙ СРЕДЫ</t>
    </r>
  </si>
  <si>
    <t>1107799019206</t>
  </si>
  <si>
    <t>7718001476</t>
  </si>
  <si>
    <r>
      <rPr>
        <sz val="11"/>
        <color rgb="FF000000"/>
        <rFont val="Calibri"/>
      </rPr>
      <t>ЭТНОКУЛЬТУРНОГО НАСЛЕДИЯ, ФОНД</t>
    </r>
  </si>
  <si>
    <t>1087799037006</t>
  </si>
  <si>
    <t>7706413845</t>
  </si>
  <si>
    <r>
      <rPr>
        <sz val="11"/>
        <color rgb="FF000000"/>
        <rFont val="Calibri"/>
      </rPr>
      <t>ЭЦ РГО, ФОНД</t>
    </r>
  </si>
  <si>
    <t>1117799019370</t>
  </si>
  <si>
    <t>7707490320</t>
  </si>
  <si>
    <r>
      <rPr>
        <sz val="11"/>
        <color rgb="FF000000"/>
        <rFont val="Calibri"/>
      </rPr>
      <t>Я ЕСТЬ!, БЛАГОТВОРИТЕЛЬНЫЙ ФОНД</t>
    </r>
  </si>
  <si>
    <t>1127799008248</t>
  </si>
  <si>
    <t>7710479817</t>
  </si>
  <si>
    <t>Московская область</t>
  </si>
  <si>
    <t>Калужская область</t>
  </si>
  <si>
    <t>1131600002126</t>
  </si>
  <si>
    <t>1655258612</t>
  </si>
  <si>
    <t>Республика Татарстан</t>
  </si>
  <si>
    <t>Свердловская область</t>
  </si>
  <si>
    <t>Севастополь</t>
  </si>
  <si>
    <t>Саха (Республика) (Якутия)</t>
  </si>
  <si>
    <t>Кемеровская область</t>
  </si>
  <si>
    <t>Хакасия (Республика)</t>
  </si>
  <si>
    <t>1042401496565</t>
  </si>
  <si>
    <t>2457056084</t>
  </si>
  <si>
    <t>Красноярский край</t>
  </si>
  <si>
    <t>Ростовская область</t>
  </si>
  <si>
    <t>Башкортостан (Республика)</t>
  </si>
  <si>
    <t>Тюменская область</t>
  </si>
  <si>
    <t>Воронежская область</t>
  </si>
  <si>
    <t>Республика Крым</t>
  </si>
  <si>
    <t>1130200005275</t>
  </si>
  <si>
    <t>0274992653</t>
  </si>
  <si>
    <t>Новосибирская область</t>
  </si>
  <si>
    <t>Дагестан (Республика)</t>
  </si>
  <si>
    <t>Краснодарский край</t>
  </si>
  <si>
    <t>Бурятия (Республика)</t>
  </si>
  <si>
    <t>1110300000106</t>
  </si>
  <si>
    <t>0323831482</t>
  </si>
  <si>
    <t>1157800003008</t>
  </si>
  <si>
    <t>7838039545</t>
  </si>
  <si>
    <t>Санкт-Петербург</t>
  </si>
  <si>
    <t>Самарская область</t>
  </si>
  <si>
    <t>Оренбургская область</t>
  </si>
  <si>
    <t>Удмуртская Республика</t>
  </si>
  <si>
    <t>1142300003944</t>
  </si>
  <si>
    <t>2301980660</t>
  </si>
  <si>
    <t>1116300000860</t>
  </si>
  <si>
    <t>6311128188</t>
  </si>
  <si>
    <t>1117800005630</t>
  </si>
  <si>
    <t>7813290108</t>
  </si>
  <si>
    <t>1113600001294</t>
  </si>
  <si>
    <t>3624999011</t>
  </si>
  <si>
    <t>Ленинградская область</t>
  </si>
  <si>
    <t>1027806886612</t>
  </si>
  <si>
    <t>7813165562</t>
  </si>
  <si>
    <t>Ингушетия (Республика)</t>
  </si>
  <si>
    <t>1081600000690</t>
  </si>
  <si>
    <t>1657074586</t>
  </si>
  <si>
    <t>1021600008330</t>
  </si>
  <si>
    <t>1661005747</t>
  </si>
  <si>
    <t>1117800016333</t>
  </si>
  <si>
    <t>7805340242</t>
  </si>
  <si>
    <t>1067800031199</t>
  </si>
  <si>
    <t>7839016597</t>
  </si>
  <si>
    <t>1035500001602</t>
  </si>
  <si>
    <t>5509002024</t>
  </si>
  <si>
    <t>Омская область</t>
  </si>
  <si>
    <t>Липецкая область</t>
  </si>
  <si>
    <t>Нижегородская область</t>
  </si>
  <si>
    <t>1177800000025</t>
  </si>
  <si>
    <t>7806259548</t>
  </si>
  <si>
    <t>1123100000385</t>
  </si>
  <si>
    <t>3120088041</t>
  </si>
  <si>
    <t>Белгородская область</t>
  </si>
  <si>
    <t>Тыва (Республика)</t>
  </si>
  <si>
    <t>1061600052425</t>
  </si>
  <si>
    <t>1658079690</t>
  </si>
  <si>
    <t>1143600001005</t>
  </si>
  <si>
    <t>3661999429</t>
  </si>
  <si>
    <t>1145476119865</t>
  </si>
  <si>
    <t>5408310907</t>
  </si>
  <si>
    <t>1122900000563</t>
  </si>
  <si>
    <t>2901990660</t>
  </si>
  <si>
    <t>Архангельская область</t>
  </si>
  <si>
    <t>Кабардино-Балкарская Республика</t>
  </si>
  <si>
    <t>1021801142956</t>
  </si>
  <si>
    <t>1831066980</t>
  </si>
  <si>
    <t>Челябинская область</t>
  </si>
  <si>
    <t>Иркутская область</t>
  </si>
  <si>
    <t>1097800002398</t>
  </si>
  <si>
    <t>7805303459</t>
  </si>
  <si>
    <t>Карачаево-Черкесская Республика</t>
  </si>
  <si>
    <t>Северная Осетия-Алания (Республика)</t>
  </si>
  <si>
    <t>Чувашская Республика-Чувашия</t>
  </si>
  <si>
    <t>1056405522931</t>
  </si>
  <si>
    <t>6455041509</t>
  </si>
  <si>
    <t>Саратовская область</t>
  </si>
  <si>
    <t>Тверская область</t>
  </si>
  <si>
    <t>1036603994426</t>
  </si>
  <si>
    <t>6661075983</t>
  </si>
  <si>
    <t>Курганская область</t>
  </si>
  <si>
    <t>1047855033423</t>
  </si>
  <si>
    <t>7840302070</t>
  </si>
  <si>
    <t>Владимирская область</t>
  </si>
  <si>
    <t>1057812932803</t>
  </si>
  <si>
    <t>7839324376</t>
  </si>
  <si>
    <t>1118624000637</t>
  </si>
  <si>
    <t>8602999240</t>
  </si>
  <si>
    <t>1122100000901</t>
  </si>
  <si>
    <t>2130999242</t>
  </si>
  <si>
    <t>1167800055092</t>
  </si>
  <si>
    <t>7811624700</t>
  </si>
  <si>
    <t>Алтайский край</t>
  </si>
  <si>
    <t>Алтай (Республика)</t>
  </si>
  <si>
    <t>1022200526644</t>
  </si>
  <si>
    <t>2225056528</t>
  </si>
  <si>
    <t>1022200528470</t>
  </si>
  <si>
    <t>2225018635</t>
  </si>
  <si>
    <t>1125400004421</t>
  </si>
  <si>
    <t>5401980356</t>
  </si>
  <si>
    <t>1032335017802</t>
  </si>
  <si>
    <t>2315031704</t>
  </si>
  <si>
    <t>1117800009766</t>
  </si>
  <si>
    <t>7810436133</t>
  </si>
  <si>
    <t>1093000000719</t>
  </si>
  <si>
    <t>3015087539</t>
  </si>
  <si>
    <t>Астраханская область</t>
  </si>
  <si>
    <t>Ставропольский край</t>
  </si>
  <si>
    <t>Хабаровский край</t>
  </si>
  <si>
    <t>1157400001659</t>
  </si>
  <si>
    <t>7452126202</t>
  </si>
  <si>
    <t>1044221010602</t>
  </si>
  <si>
    <t>4221016486</t>
  </si>
  <si>
    <t>Сахалинская область</t>
  </si>
  <si>
    <t>1032500010421</t>
  </si>
  <si>
    <t>2528885316</t>
  </si>
  <si>
    <t>Приморский край</t>
  </si>
  <si>
    <t>Пермский край</t>
  </si>
  <si>
    <t>1162300052243</t>
  </si>
  <si>
    <t>2301092560</t>
  </si>
  <si>
    <t>1056114007289</t>
  </si>
  <si>
    <t>6114008766</t>
  </si>
  <si>
    <t>1114700001844</t>
  </si>
  <si>
    <t>4706470020</t>
  </si>
  <si>
    <t>1047831000348</t>
  </si>
  <si>
    <t>7838017090</t>
  </si>
  <si>
    <t>1132651021580</t>
  </si>
  <si>
    <t>2632809093</t>
  </si>
  <si>
    <t>1103400003464</t>
  </si>
  <si>
    <t>3435980720</t>
  </si>
  <si>
    <t>Волгоградская область</t>
  </si>
  <si>
    <t>Калининградская область</t>
  </si>
  <si>
    <t>1097400001270</t>
  </si>
  <si>
    <t>7451286179</t>
  </si>
  <si>
    <t>Ярославская область</t>
  </si>
  <si>
    <t>1034408616802</t>
  </si>
  <si>
    <t>4401025031</t>
  </si>
  <si>
    <t>Костромская область</t>
  </si>
  <si>
    <t>1127800009259</t>
  </si>
  <si>
    <t>7843290112</t>
  </si>
  <si>
    <t>1077800029350</t>
  </si>
  <si>
    <t>7839017230</t>
  </si>
  <si>
    <t>1147232036357</t>
  </si>
  <si>
    <t>7224053876</t>
  </si>
  <si>
    <t>1021300001953</t>
  </si>
  <si>
    <t>1326179468</t>
  </si>
  <si>
    <t>Мордовия (Республика)</t>
  </si>
  <si>
    <t>1141000000910</t>
  </si>
  <si>
    <t>1001992582</t>
  </si>
  <si>
    <t>Карелия (Республика)</t>
  </si>
  <si>
    <t>Вологодская область</t>
  </si>
  <si>
    <t>1047839009426</t>
  </si>
  <si>
    <t>7840013576</t>
  </si>
  <si>
    <t>1023001542255</t>
  </si>
  <si>
    <t>3006006614</t>
  </si>
  <si>
    <t>Ивановская область</t>
  </si>
  <si>
    <t>1137800004198</t>
  </si>
  <si>
    <t>7802291050</t>
  </si>
  <si>
    <t>1087800004160</t>
  </si>
  <si>
    <t>7802236155</t>
  </si>
  <si>
    <t>1124700000644</t>
  </si>
  <si>
    <t>4725470120</t>
  </si>
  <si>
    <t>1137800004748</t>
  </si>
  <si>
    <t>7813291528</t>
  </si>
  <si>
    <t>1025403220259</t>
  </si>
  <si>
    <t>5407191051</t>
  </si>
  <si>
    <t>1122202002196</t>
  </si>
  <si>
    <t>2221995340</t>
  </si>
  <si>
    <t>Марий Эл (Республика)</t>
  </si>
  <si>
    <t>1020300905195</t>
  </si>
  <si>
    <t>0323111942</t>
  </si>
  <si>
    <t>1050303253220</t>
  </si>
  <si>
    <t>0323122221</t>
  </si>
  <si>
    <t>1133850037694</t>
  </si>
  <si>
    <t>3808231741</t>
  </si>
  <si>
    <t>1135658013765</t>
  </si>
  <si>
    <t>5612082023</t>
  </si>
  <si>
    <t>1037858010013</t>
  </si>
  <si>
    <t>7816170232</t>
  </si>
  <si>
    <t>1177800001147</t>
  </si>
  <si>
    <t>7838067006</t>
  </si>
  <si>
    <t>1037858024841</t>
  </si>
  <si>
    <t>7825352849</t>
  </si>
  <si>
    <t>1150700000087</t>
  </si>
  <si>
    <t>0726011789</t>
  </si>
  <si>
    <t>1150280039029</t>
  </si>
  <si>
    <t>0274906069</t>
  </si>
  <si>
    <t>1107800005576</t>
  </si>
  <si>
    <t>7805303931</t>
  </si>
  <si>
    <t>1115900000314</t>
  </si>
  <si>
    <t>5905282978</t>
  </si>
  <si>
    <t>1021600019737</t>
  </si>
  <si>
    <t>1616007943</t>
  </si>
  <si>
    <t>1083100007451</t>
  </si>
  <si>
    <t>3123190565</t>
  </si>
  <si>
    <t>1087800004324</t>
  </si>
  <si>
    <t>7801268764</t>
  </si>
  <si>
    <t>1141600001124</t>
  </si>
  <si>
    <t>1655259373</t>
  </si>
  <si>
    <t>1157400001054</t>
  </si>
  <si>
    <t>7451391825</t>
  </si>
  <si>
    <t>1164027056544</t>
  </si>
  <si>
    <t>4027128541</t>
  </si>
  <si>
    <t>1135476152602</t>
  </si>
  <si>
    <t>5445990320</t>
  </si>
  <si>
    <t>1087800005248</t>
  </si>
  <si>
    <t>7806160010</t>
  </si>
  <si>
    <t>1103900003316</t>
  </si>
  <si>
    <t>3906188822</t>
  </si>
  <si>
    <t>1057806322232</t>
  </si>
  <si>
    <t>7843001353</t>
  </si>
  <si>
    <t>1095900001229</t>
  </si>
  <si>
    <t>5903093774</t>
  </si>
  <si>
    <t>1034700001709</t>
  </si>
  <si>
    <t>4704046288</t>
  </si>
  <si>
    <t>1101600002382</t>
  </si>
  <si>
    <t>1616021017</t>
  </si>
  <si>
    <t>1094200002907</t>
  </si>
  <si>
    <t>4221028354</t>
  </si>
  <si>
    <t>1037843036461</t>
  </si>
  <si>
    <t>7825111843</t>
  </si>
  <si>
    <t>1045600000885</t>
  </si>
  <si>
    <t>5610070294</t>
  </si>
  <si>
    <t>1164700050481</t>
  </si>
  <si>
    <t>4705070533</t>
  </si>
  <si>
    <t>Орловская область</t>
  </si>
  <si>
    <t>Рязанская область</t>
  </si>
  <si>
    <t>1171690022415</t>
  </si>
  <si>
    <t>1655382803</t>
  </si>
  <si>
    <t>1088600000631</t>
  </si>
  <si>
    <t>8602072134</t>
  </si>
  <si>
    <t>1073600001232</t>
  </si>
  <si>
    <t>3662121002</t>
  </si>
  <si>
    <t>1023501253687</t>
  </si>
  <si>
    <t>3528062642</t>
  </si>
  <si>
    <t>1076600001895</t>
  </si>
  <si>
    <t>6604018361</t>
  </si>
  <si>
    <t>Смоленская область</t>
  </si>
  <si>
    <t>1122700000730</t>
  </si>
  <si>
    <t>2703980290</t>
  </si>
  <si>
    <t>1167800052848</t>
  </si>
  <si>
    <t>7813254540</t>
  </si>
  <si>
    <t>Тульская область</t>
  </si>
  <si>
    <t>1113600000953</t>
  </si>
  <si>
    <t>3627999108</t>
  </si>
  <si>
    <t>1026303947670</t>
  </si>
  <si>
    <t>6382035035</t>
  </si>
  <si>
    <t>1133850036088</t>
  </si>
  <si>
    <t>3808231572</t>
  </si>
  <si>
    <t>1153600000180</t>
  </si>
  <si>
    <t>3665107260</t>
  </si>
  <si>
    <t>1097400002457</t>
  </si>
  <si>
    <t>7447161787</t>
  </si>
  <si>
    <t>1027000863702</t>
  </si>
  <si>
    <t>7017045309</t>
  </si>
  <si>
    <t>Томская область</t>
  </si>
  <si>
    <t>1084700000637</t>
  </si>
  <si>
    <t>4706028326</t>
  </si>
  <si>
    <t>1115200005139</t>
  </si>
  <si>
    <t>5243995068</t>
  </si>
  <si>
    <t>1081800000710</t>
  </si>
  <si>
    <t>1835085207</t>
  </si>
  <si>
    <t>1113200000594</t>
  </si>
  <si>
    <t>3250690151</t>
  </si>
  <si>
    <t>Брянская область</t>
  </si>
  <si>
    <t>1096100000710</t>
  </si>
  <si>
    <t>6143071508</t>
  </si>
  <si>
    <t>1131600002225</t>
  </si>
  <si>
    <t>1617004783</t>
  </si>
  <si>
    <t>Курская область</t>
  </si>
  <si>
    <t>1143400001656</t>
  </si>
  <si>
    <t>3435982936</t>
  </si>
  <si>
    <t>1106300002291</t>
  </si>
  <si>
    <t>6321247441</t>
  </si>
  <si>
    <t>1135200001683</t>
  </si>
  <si>
    <t>5243995163</t>
  </si>
  <si>
    <t>1087800007349</t>
  </si>
  <si>
    <t>7813203867</t>
  </si>
  <si>
    <t>1133400001228</t>
  </si>
  <si>
    <t>3435982598</t>
  </si>
  <si>
    <t>1143850037869</t>
  </si>
  <si>
    <t>3818999934</t>
  </si>
  <si>
    <t>Новгородская область</t>
  </si>
  <si>
    <t>Забайкальский край</t>
  </si>
  <si>
    <t>1116300005678</t>
  </si>
  <si>
    <t>6313540076</t>
  </si>
  <si>
    <t>Камчатский край</t>
  </si>
  <si>
    <t>1157800002832</t>
  </si>
  <si>
    <t>7801282504</t>
  </si>
  <si>
    <t>Пензенская область</t>
  </si>
  <si>
    <t>1093400001012</t>
  </si>
  <si>
    <t>3444169519</t>
  </si>
  <si>
    <t>1036605623141</t>
  </si>
  <si>
    <t>6632013358</t>
  </si>
  <si>
    <t>1075500003083</t>
  </si>
  <si>
    <t>5501110532</t>
  </si>
  <si>
    <t>1124700001436</t>
  </si>
  <si>
    <t>4707470150</t>
  </si>
  <si>
    <t>1026602973110</t>
  </si>
  <si>
    <t>6659076669</t>
  </si>
  <si>
    <t>1072600003860</t>
  </si>
  <si>
    <t>2631031893</t>
  </si>
  <si>
    <t>1153256004010</t>
  </si>
  <si>
    <t>3257028557</t>
  </si>
  <si>
    <t>1037835076608</t>
  </si>
  <si>
    <t>7816300393</t>
  </si>
  <si>
    <t>1125200001761</t>
  </si>
  <si>
    <t>5260985648</t>
  </si>
  <si>
    <t>Коми (Республика)</t>
  </si>
  <si>
    <t>1058900001082</t>
  </si>
  <si>
    <t>8902011051</t>
  </si>
  <si>
    <t>1064400004250</t>
  </si>
  <si>
    <t>4401071239</t>
  </si>
  <si>
    <t>1094200001994</t>
  </si>
  <si>
    <t>4217116921</t>
  </si>
  <si>
    <t>1047803022662</t>
  </si>
  <si>
    <t>7802233676</t>
  </si>
  <si>
    <t>Тамбовская область</t>
  </si>
  <si>
    <t>1028900708946</t>
  </si>
  <si>
    <t>8905029378</t>
  </si>
  <si>
    <t>1057200592921</t>
  </si>
  <si>
    <t>7204088831</t>
  </si>
  <si>
    <t>1027801539831</t>
  </si>
  <si>
    <t>7802180985</t>
  </si>
  <si>
    <t>1023900551762</t>
  </si>
  <si>
    <t>3902006165</t>
  </si>
  <si>
    <t>1027800013779</t>
  </si>
  <si>
    <t>7825373750</t>
  </si>
  <si>
    <t>1115400002145</t>
  </si>
  <si>
    <t>5404990144</t>
  </si>
  <si>
    <t>1088900000848</t>
  </si>
  <si>
    <t>8904058369</t>
  </si>
  <si>
    <t>1074200004570</t>
  </si>
  <si>
    <t>4220034531</t>
  </si>
  <si>
    <t>1076600008638</t>
  </si>
  <si>
    <t>6623041380</t>
  </si>
  <si>
    <t>1025403213626</t>
  </si>
  <si>
    <t>5407197462</t>
  </si>
  <si>
    <t>1077800029647</t>
  </si>
  <si>
    <t>7810330440</t>
  </si>
  <si>
    <t>1110200006025</t>
  </si>
  <si>
    <t>0277985598</t>
  </si>
  <si>
    <t>1022402295574</t>
  </si>
  <si>
    <t>2464040938</t>
  </si>
  <si>
    <t>1053848015220</t>
  </si>
  <si>
    <t>3821012509</t>
  </si>
  <si>
    <t>1157000000068</t>
  </si>
  <si>
    <t>7022000110</t>
  </si>
  <si>
    <t>1037804072921</t>
  </si>
  <si>
    <t>7802222113</t>
  </si>
  <si>
    <t>1050700005751</t>
  </si>
  <si>
    <t>0721012926</t>
  </si>
  <si>
    <t>1023601356118</t>
  </si>
  <si>
    <t>3629005270</t>
  </si>
  <si>
    <t>1126300005259</t>
  </si>
  <si>
    <t>6315990401</t>
  </si>
  <si>
    <t>Кировская область</t>
  </si>
  <si>
    <t>1037816020725</t>
  </si>
  <si>
    <t>7806110516</t>
  </si>
  <si>
    <t>1100400000128</t>
  </si>
  <si>
    <t>0411149656</t>
  </si>
  <si>
    <t>1072300000068</t>
  </si>
  <si>
    <t>2340018658</t>
  </si>
  <si>
    <t>1077800029779</t>
  </si>
  <si>
    <t>7820042120</t>
  </si>
  <si>
    <t>1147800004351</t>
  </si>
  <si>
    <t>7802291597</t>
  </si>
  <si>
    <t>1163025051815</t>
  </si>
  <si>
    <t>3015107577</t>
  </si>
  <si>
    <t>Псковская область</t>
  </si>
  <si>
    <t>1064200004450</t>
  </si>
  <si>
    <t>4205110072</t>
  </si>
  <si>
    <t>1107800005500</t>
  </si>
  <si>
    <t>7814160609</t>
  </si>
  <si>
    <t>1052901140742</t>
  </si>
  <si>
    <t>2901139210</t>
  </si>
  <si>
    <t>1121100000603</t>
  </si>
  <si>
    <t>1101990596</t>
  </si>
  <si>
    <t>1177800000806</t>
  </si>
  <si>
    <t>7805697965</t>
  </si>
  <si>
    <t>1020700000518</t>
  </si>
  <si>
    <t>0707010589</t>
  </si>
  <si>
    <t>1056109007767</t>
  </si>
  <si>
    <t>6109012260</t>
  </si>
  <si>
    <t>1087800005127</t>
  </si>
  <si>
    <t>7838029561</t>
  </si>
  <si>
    <t>Мурманская область</t>
  </si>
  <si>
    <t>1143400002316</t>
  </si>
  <si>
    <t>3443105008</t>
  </si>
  <si>
    <t>1133400000139</t>
  </si>
  <si>
    <t>3458050016</t>
  </si>
  <si>
    <t>1033400173894</t>
  </si>
  <si>
    <t>3442044553</t>
  </si>
  <si>
    <t>1145000005150</t>
  </si>
  <si>
    <t>5034998280</t>
  </si>
  <si>
    <t>1124000001014</t>
  </si>
  <si>
    <t>4027990352</t>
  </si>
  <si>
    <t>1116400000606</t>
  </si>
  <si>
    <t>6450946409</t>
  </si>
  <si>
    <t>1154100000240</t>
  </si>
  <si>
    <t>4107002544</t>
  </si>
  <si>
    <t>1074200001732</t>
  </si>
  <si>
    <t>4217092188</t>
  </si>
  <si>
    <t>1131600004800</t>
  </si>
  <si>
    <t>1650484590</t>
  </si>
  <si>
    <t>1077800027711</t>
  </si>
  <si>
    <t>7839017199</t>
  </si>
  <si>
    <t>1044221002198</t>
  </si>
  <si>
    <t>4221015570</t>
  </si>
  <si>
    <t>1101600003097</t>
  </si>
  <si>
    <t>1658089923</t>
  </si>
  <si>
    <t>1124700000875</t>
  </si>
  <si>
    <t>4705470323</t>
  </si>
  <si>
    <t>1044205045994</t>
  </si>
  <si>
    <t>4205071828</t>
  </si>
  <si>
    <t>1045403917569</t>
  </si>
  <si>
    <t>5410155751</t>
  </si>
  <si>
    <t>1057810418599</t>
  </si>
  <si>
    <t>7805371748</t>
  </si>
  <si>
    <t>1037858014105</t>
  </si>
  <si>
    <t>7803024918</t>
  </si>
  <si>
    <t>1147800003405</t>
  </si>
  <si>
    <t>7810437391</t>
  </si>
  <si>
    <t>1133400000326</t>
  </si>
  <si>
    <t>3458050023</t>
  </si>
  <si>
    <t>1026604958038</t>
  </si>
  <si>
    <t>6660043403</t>
  </si>
  <si>
    <t>1057813326097</t>
  </si>
  <si>
    <t>7811334448</t>
  </si>
  <si>
    <t>1144700000818</t>
  </si>
  <si>
    <t>4707470311</t>
  </si>
  <si>
    <t>1021601977847</t>
  </si>
  <si>
    <t>1649003951</t>
  </si>
  <si>
    <t>1065000030424</t>
  </si>
  <si>
    <t>5010033734</t>
  </si>
  <si>
    <t>1037858024600</t>
  </si>
  <si>
    <t>7801214896</t>
  </si>
  <si>
    <t>1085500000387</t>
  </si>
  <si>
    <t>5501111624</t>
  </si>
  <si>
    <t>1136400001022</t>
  </si>
  <si>
    <t>6451999820</t>
  </si>
  <si>
    <t>1064217048741</t>
  </si>
  <si>
    <t>4217082246</t>
  </si>
  <si>
    <t>1024201468917</t>
  </si>
  <si>
    <t>4217054016</t>
  </si>
  <si>
    <t>1057812891157</t>
  </si>
  <si>
    <t>7806325649</t>
  </si>
  <si>
    <t>1056603539409</t>
  </si>
  <si>
    <t>6670083469</t>
  </si>
  <si>
    <t>1110200002967</t>
  </si>
  <si>
    <t>0223995053</t>
  </si>
  <si>
    <t>1130700000254</t>
  </si>
  <si>
    <t>0701999091</t>
  </si>
  <si>
    <t>1102202004233</t>
  </si>
  <si>
    <t>2225113776</t>
  </si>
  <si>
    <t>1108600001883</t>
  </si>
  <si>
    <t>8610025314</t>
  </si>
  <si>
    <t>1094700000856</t>
  </si>
  <si>
    <t>4705046932</t>
  </si>
  <si>
    <t>1087800002982</t>
  </si>
  <si>
    <t>7816240419</t>
  </si>
  <si>
    <t>1159102038160</t>
  </si>
  <si>
    <t>9102163297</t>
  </si>
  <si>
    <t>1167800053222</t>
  </si>
  <si>
    <t>7814657422</t>
  </si>
  <si>
    <t>1165958081189</t>
  </si>
  <si>
    <t>5905041813</t>
  </si>
  <si>
    <t>Амурская область</t>
  </si>
  <si>
    <t>1157800001996</t>
  </si>
  <si>
    <t>7820043910</t>
  </si>
  <si>
    <t>1147800010093</t>
  </si>
  <si>
    <t>7841004091</t>
  </si>
  <si>
    <t>1047600404268</t>
  </si>
  <si>
    <t>7604065349</t>
  </si>
  <si>
    <t>1127800006289</t>
  </si>
  <si>
    <t>7810436542</t>
  </si>
  <si>
    <t>1062465004810</t>
  </si>
  <si>
    <t>2465097655</t>
  </si>
  <si>
    <t>1123850021272</t>
  </si>
  <si>
    <t>3816997152</t>
  </si>
  <si>
    <t>1157400002165</t>
  </si>
  <si>
    <t>7453288492</t>
  </si>
  <si>
    <t>1033600131234</t>
  </si>
  <si>
    <t>3666108482</t>
  </si>
  <si>
    <t>1088900000859</t>
  </si>
  <si>
    <t>8904058344</t>
  </si>
  <si>
    <t>1124200000484</t>
  </si>
  <si>
    <t>4205995756</t>
  </si>
  <si>
    <t>1118900000603</t>
  </si>
  <si>
    <t>8901997787</t>
  </si>
  <si>
    <t>1025204408470</t>
  </si>
  <si>
    <t>5263028238</t>
  </si>
  <si>
    <t>1167800051275</t>
  </si>
  <si>
    <t>7801304740</t>
  </si>
  <si>
    <t>1125800001909</t>
  </si>
  <si>
    <t>5835900360</t>
  </si>
  <si>
    <t>1103800001414</t>
  </si>
  <si>
    <t>3801109090</t>
  </si>
  <si>
    <t>1040204443300</t>
  </si>
  <si>
    <t>0277064340</t>
  </si>
  <si>
    <t>1127800003495</t>
  </si>
  <si>
    <t>7801350553</t>
  </si>
  <si>
    <t>1086600003434</t>
  </si>
  <si>
    <t>6617016107</t>
  </si>
  <si>
    <t>1117232046975</t>
  </si>
  <si>
    <t>7224046117</t>
  </si>
  <si>
    <t>1145749008008</t>
  </si>
  <si>
    <t>5752203398</t>
  </si>
  <si>
    <t>1026103170367</t>
  </si>
  <si>
    <t>6163059080</t>
  </si>
  <si>
    <t>1127154018837</t>
  </si>
  <si>
    <t>7107536870</t>
  </si>
  <si>
    <t>1137800011689</t>
  </si>
  <si>
    <t>7804291024</t>
  </si>
  <si>
    <t>Чеченская Республика</t>
  </si>
  <si>
    <t>1147800001128</t>
  </si>
  <si>
    <t>7813291920</t>
  </si>
  <si>
    <t>1037200006238</t>
  </si>
  <si>
    <t>7207007164</t>
  </si>
  <si>
    <t>1097800003289</t>
  </si>
  <si>
    <t>7810331370</t>
  </si>
  <si>
    <t>1033800835716</t>
  </si>
  <si>
    <t>3803204575</t>
  </si>
  <si>
    <t>1162300052254</t>
  </si>
  <si>
    <t>2308235295</t>
  </si>
  <si>
    <t>1149102012597</t>
  </si>
  <si>
    <t>9107000144</t>
  </si>
  <si>
    <t>1065000033823</t>
  </si>
  <si>
    <t>5056005176</t>
  </si>
  <si>
    <t>1157800004229</t>
  </si>
  <si>
    <t>7814281530</t>
  </si>
  <si>
    <t>1062460005552</t>
  </si>
  <si>
    <t>2460073675</t>
  </si>
  <si>
    <t>1025403654946</t>
  </si>
  <si>
    <t>5408165777</t>
  </si>
  <si>
    <t>1024201470688</t>
  </si>
  <si>
    <t>4217054457</t>
  </si>
  <si>
    <t>1146600003120</t>
  </si>
  <si>
    <t>6679996946</t>
  </si>
  <si>
    <t>1040204599830</t>
  </si>
  <si>
    <t>0278102100</t>
  </si>
  <si>
    <t>1062300009419</t>
  </si>
  <si>
    <t>2347012609</t>
  </si>
  <si>
    <t>1023100006269</t>
  </si>
  <si>
    <t>3123039726</t>
  </si>
  <si>
    <t>1123256008941</t>
  </si>
  <si>
    <t>3250530535</t>
  </si>
  <si>
    <t>1143256007070</t>
  </si>
  <si>
    <t>3257017636</t>
  </si>
  <si>
    <t>1053200053323</t>
  </si>
  <si>
    <t>3250061700</t>
  </si>
  <si>
    <t>1123600001139</t>
  </si>
  <si>
    <t>3664999258</t>
  </si>
  <si>
    <t>1125658008409</t>
  </si>
  <si>
    <t>5610144926</t>
  </si>
  <si>
    <t>1153850012128</t>
  </si>
  <si>
    <t>3810056462</t>
  </si>
  <si>
    <t>1026100009286</t>
  </si>
  <si>
    <t>6140018665</t>
  </si>
  <si>
    <t>1145658014919</t>
  </si>
  <si>
    <t>5610161230</t>
  </si>
  <si>
    <t>1037828047003</t>
  </si>
  <si>
    <t>7813184766</t>
  </si>
  <si>
    <t>1157800002304</t>
  </si>
  <si>
    <t>7843003417</t>
  </si>
  <si>
    <t>1162300051330</t>
  </si>
  <si>
    <t>2301091943</t>
  </si>
  <si>
    <t>1142500000170</t>
  </si>
  <si>
    <t>2543971048</t>
  </si>
  <si>
    <t>1142300003823</t>
  </si>
  <si>
    <t>2308981825</t>
  </si>
  <si>
    <t>1125543020998</t>
  </si>
  <si>
    <t>5503234660</t>
  </si>
  <si>
    <t>1070200003301</t>
  </si>
  <si>
    <t>0254011060</t>
  </si>
  <si>
    <t>1110200002990</t>
  </si>
  <si>
    <t>0258995103</t>
  </si>
  <si>
    <t>1028601261182</t>
  </si>
  <si>
    <t>8604025250</t>
  </si>
  <si>
    <t>1137500000054</t>
  </si>
  <si>
    <t>7536986187</t>
  </si>
  <si>
    <t>1110200000965</t>
  </si>
  <si>
    <t>0217995030</t>
  </si>
  <si>
    <t>1131600005118</t>
  </si>
  <si>
    <t>1621003711</t>
  </si>
  <si>
    <t>1130200002074</t>
  </si>
  <si>
    <t>0268980508</t>
  </si>
  <si>
    <t>1130200002437</t>
  </si>
  <si>
    <t>0279998063</t>
  </si>
  <si>
    <t>1156100002057</t>
  </si>
  <si>
    <t>6162069889</t>
  </si>
  <si>
    <t>1085700000100</t>
  </si>
  <si>
    <t>5751034725</t>
  </si>
  <si>
    <t>1147800001250</t>
  </si>
  <si>
    <t>7810437271</t>
  </si>
  <si>
    <t>1037858001906</t>
  </si>
  <si>
    <t>7825420030</t>
  </si>
  <si>
    <t>1133400000140</t>
  </si>
  <si>
    <t>3444409898</t>
  </si>
  <si>
    <t>1025403201867</t>
  </si>
  <si>
    <t>5407246293</t>
  </si>
  <si>
    <t>1147800006837</t>
  </si>
  <si>
    <t>7801352078</t>
  </si>
  <si>
    <t>1141000000074</t>
  </si>
  <si>
    <t>1007020128</t>
  </si>
  <si>
    <t>1165800050635</t>
  </si>
  <si>
    <t>5836677154</t>
  </si>
  <si>
    <t>1040700000329</t>
  </si>
  <si>
    <t>0708006200</t>
  </si>
  <si>
    <t>1090200001077</t>
  </si>
  <si>
    <t>0229950034</t>
  </si>
  <si>
    <t>1106700000153</t>
  </si>
  <si>
    <t>6723022769</t>
  </si>
  <si>
    <t>1110200002021</t>
  </si>
  <si>
    <t>0227995047</t>
  </si>
  <si>
    <t>1177800000377</t>
  </si>
  <si>
    <t>7842126335</t>
  </si>
  <si>
    <t>1135700000182</t>
  </si>
  <si>
    <t>5752060340</t>
  </si>
  <si>
    <t>1070200003279</t>
  </si>
  <si>
    <t>0239004974</t>
  </si>
  <si>
    <t>1125200001772</t>
  </si>
  <si>
    <t>5260985655</t>
  </si>
  <si>
    <t>1156100000231</t>
  </si>
  <si>
    <t>6125031083</t>
  </si>
  <si>
    <t>1146100002806</t>
  </si>
  <si>
    <t>6125200221</t>
  </si>
  <si>
    <t>Ульяновская область</t>
  </si>
  <si>
    <t>1021000922392</t>
  </si>
  <si>
    <t>1006004395</t>
  </si>
  <si>
    <t>1126100004249</t>
  </si>
  <si>
    <t>6144015055</t>
  </si>
  <si>
    <t>1055003942135</t>
  </si>
  <si>
    <t>5022065480</t>
  </si>
  <si>
    <t>1097800003290</t>
  </si>
  <si>
    <t>7802236469</t>
  </si>
  <si>
    <t>1167154079058</t>
  </si>
  <si>
    <t>7126020008</t>
  </si>
  <si>
    <t>1144200001208</t>
  </si>
  <si>
    <t>4253998612</t>
  </si>
  <si>
    <t>1091700000061</t>
  </si>
  <si>
    <t>1701045354</t>
  </si>
  <si>
    <t>1107800009635</t>
  </si>
  <si>
    <t>7810332800</t>
  </si>
  <si>
    <t>1132468006846</t>
  </si>
  <si>
    <t>2465286204</t>
  </si>
  <si>
    <t>1163850059108</t>
  </si>
  <si>
    <t>3812118844</t>
  </si>
  <si>
    <t>1069847008758</t>
  </si>
  <si>
    <t>7814341972</t>
  </si>
  <si>
    <t>1130200000776</t>
  </si>
  <si>
    <t>0218995178</t>
  </si>
  <si>
    <t>1060200012795</t>
  </si>
  <si>
    <t>0262014071</t>
  </si>
  <si>
    <t>1117800014826</t>
  </si>
  <si>
    <t>7842290279</t>
  </si>
  <si>
    <t>1022401418346</t>
  </si>
  <si>
    <t>2452020006</t>
  </si>
  <si>
    <t>1064218013936</t>
  </si>
  <si>
    <t>4218100032</t>
  </si>
  <si>
    <t>1140700000539</t>
  </si>
  <si>
    <t>0725991373</t>
  </si>
  <si>
    <t>1133600000071</t>
  </si>
  <si>
    <t>3666999510</t>
  </si>
  <si>
    <t>1145658017988</t>
  </si>
  <si>
    <t>5610161897</t>
  </si>
  <si>
    <t>1096400002544</t>
  </si>
  <si>
    <t>6452943989</t>
  </si>
  <si>
    <t>1147154027965</t>
  </si>
  <si>
    <t>7118507528</t>
  </si>
  <si>
    <t>1157800001391</t>
  </si>
  <si>
    <t>7840028004</t>
  </si>
  <si>
    <t>1157800001611</t>
  </si>
  <si>
    <t>7840029199</t>
  </si>
  <si>
    <t>1087100000900</t>
  </si>
  <si>
    <t>7107103121</t>
  </si>
  <si>
    <t>1094200003204</t>
  </si>
  <si>
    <t>4222012942</t>
  </si>
  <si>
    <t>1125200002256</t>
  </si>
  <si>
    <t>5262985308</t>
  </si>
  <si>
    <t>1130200001502</t>
  </si>
  <si>
    <t>0268980498</t>
  </si>
  <si>
    <t>1023000864072</t>
  </si>
  <si>
    <t>3008008600</t>
  </si>
  <si>
    <t>1117800007588</t>
  </si>
  <si>
    <t>7816290057</t>
  </si>
  <si>
    <t>1031608004922</t>
  </si>
  <si>
    <t>1644026923</t>
  </si>
  <si>
    <t>1030204224555</t>
  </si>
  <si>
    <t>0276077530</t>
  </si>
  <si>
    <t>1136600004133</t>
  </si>
  <si>
    <t>6685994383</t>
  </si>
  <si>
    <t>1145476061994</t>
  </si>
  <si>
    <t>5401379346</t>
  </si>
  <si>
    <t>1027809213849</t>
  </si>
  <si>
    <t>7825473709</t>
  </si>
  <si>
    <t>1054217125225</t>
  </si>
  <si>
    <t>4217079300</t>
  </si>
  <si>
    <t>1107800003717</t>
  </si>
  <si>
    <t>7807062054</t>
  </si>
  <si>
    <t>1162300050000</t>
  </si>
  <si>
    <t>2343009556</t>
  </si>
  <si>
    <t>1077800019362</t>
  </si>
  <si>
    <t>7806159617</t>
  </si>
  <si>
    <t>1097800006105</t>
  </si>
  <si>
    <t>7819030709</t>
  </si>
  <si>
    <t>1064400004074</t>
  </si>
  <si>
    <t>4401068564</t>
  </si>
  <si>
    <t>1074400000201</t>
  </si>
  <si>
    <t>4401073081</t>
  </si>
  <si>
    <t>1142468041748</t>
  </si>
  <si>
    <t>2465316191</t>
  </si>
  <si>
    <t>1022402492221</t>
  </si>
  <si>
    <t>2465072210</t>
  </si>
  <si>
    <t>1095900003836</t>
  </si>
  <si>
    <t>5911061215</t>
  </si>
  <si>
    <t>1045403224415</t>
  </si>
  <si>
    <t>5407270680</t>
  </si>
  <si>
    <t>1073300001411</t>
  </si>
  <si>
    <t>3324121272</t>
  </si>
  <si>
    <t>1064200003944</t>
  </si>
  <si>
    <t>4218100402</t>
  </si>
  <si>
    <t>1037200574740</t>
  </si>
  <si>
    <t>7202084172</t>
  </si>
  <si>
    <t>1044221001879</t>
  </si>
  <si>
    <t>4221015524</t>
  </si>
  <si>
    <t>1103800000105</t>
  </si>
  <si>
    <t>3808187531</t>
  </si>
  <si>
    <t>1132468020574</t>
  </si>
  <si>
    <t>2401195030</t>
  </si>
  <si>
    <t>1025500761208</t>
  </si>
  <si>
    <t>5503041524</t>
  </si>
  <si>
    <t>1045513009684</t>
  </si>
  <si>
    <t>5507070212</t>
  </si>
  <si>
    <t>1034212002736</t>
  </si>
  <si>
    <t>4212125471</t>
  </si>
  <si>
    <t>1131500000631</t>
  </si>
  <si>
    <t>1513011730</t>
  </si>
  <si>
    <t>1147800001755</t>
  </si>
  <si>
    <t>7801351691</t>
  </si>
  <si>
    <t>1101600001183</t>
  </si>
  <si>
    <t>1655069284</t>
  </si>
  <si>
    <t>1026200870706</t>
  </si>
  <si>
    <t>6227007690</t>
  </si>
  <si>
    <t>1020400000664</t>
  </si>
  <si>
    <t>0408005492</t>
  </si>
  <si>
    <t>1026500001208</t>
  </si>
  <si>
    <t>6509011246</t>
  </si>
  <si>
    <t>1133256004815</t>
  </si>
  <si>
    <t>3252501924</t>
  </si>
  <si>
    <t>1113700000490</t>
  </si>
  <si>
    <t>3703990011</t>
  </si>
  <si>
    <t>1023400006167</t>
  </si>
  <si>
    <t>3435210337</t>
  </si>
  <si>
    <t>1056143017787</t>
  </si>
  <si>
    <t>6143058592</t>
  </si>
  <si>
    <t>1082400000715</t>
  </si>
  <si>
    <t>2442011362</t>
  </si>
  <si>
    <t>1031900000340</t>
  </si>
  <si>
    <t>1901053539</t>
  </si>
  <si>
    <t>1025400006720</t>
  </si>
  <si>
    <t>5404129739</t>
  </si>
  <si>
    <t>1116300000981</t>
  </si>
  <si>
    <t>6319035150</t>
  </si>
  <si>
    <t>1115700000536</t>
  </si>
  <si>
    <t>5751040800</t>
  </si>
  <si>
    <t>1147800006199</t>
  </si>
  <si>
    <t>7810437539</t>
  </si>
  <si>
    <t>1047855013975</t>
  </si>
  <si>
    <t>7811301107</t>
  </si>
  <si>
    <t>1088900000760</t>
  </si>
  <si>
    <t>8905043809</t>
  </si>
  <si>
    <t>1127800004133</t>
  </si>
  <si>
    <t>7814290559</t>
  </si>
  <si>
    <t>1157800003680</t>
  </si>
  <si>
    <t>7842055557</t>
  </si>
  <si>
    <t>1097800001530</t>
  </si>
  <si>
    <t>7813204028</t>
  </si>
  <si>
    <t>1121600004954</t>
  </si>
  <si>
    <t>1646029486</t>
  </si>
  <si>
    <t>1123850026651</t>
  </si>
  <si>
    <t>3811997222</t>
  </si>
  <si>
    <t>1104700001911</t>
  </si>
  <si>
    <t>4705051957</t>
  </si>
  <si>
    <t>1155476060255</t>
  </si>
  <si>
    <t>5445019358</t>
  </si>
  <si>
    <t>1033600092591</t>
  </si>
  <si>
    <t>3666105354</t>
  </si>
  <si>
    <t>1080200000759</t>
  </si>
  <si>
    <t>0266030170</t>
  </si>
  <si>
    <t>1142300002173</t>
  </si>
  <si>
    <t>2310981244</t>
  </si>
  <si>
    <t>1030204117900</t>
  </si>
  <si>
    <t>0275033152</t>
  </si>
  <si>
    <t>1030303251791</t>
  </si>
  <si>
    <t>0323057050</t>
  </si>
  <si>
    <t>1027402231273</t>
  </si>
  <si>
    <t>7446037120</t>
  </si>
  <si>
    <t>1060200011519</t>
  </si>
  <si>
    <t>0275054321</t>
  </si>
  <si>
    <t>1037828035431</t>
  </si>
  <si>
    <t>7813131845</t>
  </si>
  <si>
    <t>1022500708922</t>
  </si>
  <si>
    <t>2508027461</t>
  </si>
  <si>
    <t>1032602097846</t>
  </si>
  <si>
    <t>2636040468</t>
  </si>
  <si>
    <t>1085800000780</t>
  </si>
  <si>
    <t>5837035600</t>
  </si>
  <si>
    <t>1033800002620</t>
  </si>
  <si>
    <t>3808061666</t>
  </si>
  <si>
    <t>1108900000770</t>
  </si>
  <si>
    <t>8905048740</t>
  </si>
  <si>
    <t>1025800006418</t>
  </si>
  <si>
    <t>5836111129</t>
  </si>
  <si>
    <t>1027200000651</t>
  </si>
  <si>
    <t>7203085605</t>
  </si>
  <si>
    <t>1031403919030</t>
  </si>
  <si>
    <t>1435142250</t>
  </si>
  <si>
    <t>1143400001612</t>
  </si>
  <si>
    <t>3443104903</t>
  </si>
  <si>
    <t>1165190053929</t>
  </si>
  <si>
    <t>5190058799</t>
  </si>
  <si>
    <t>1032335042343</t>
  </si>
  <si>
    <t>2310089316</t>
  </si>
  <si>
    <t>1028601845470</t>
  </si>
  <si>
    <t>8622008433</t>
  </si>
  <si>
    <t>1177800000355</t>
  </si>
  <si>
    <t>7843007926</t>
  </si>
  <si>
    <t>1025600004099</t>
  </si>
  <si>
    <t>5611024646</t>
  </si>
  <si>
    <t>1023801759618</t>
  </si>
  <si>
    <t>3812042514</t>
  </si>
  <si>
    <t>1137800002053</t>
  </si>
  <si>
    <t>7801351074</t>
  </si>
  <si>
    <t>1146900000400</t>
  </si>
  <si>
    <t>6950981793</t>
  </si>
  <si>
    <t>1123300000163</t>
  </si>
  <si>
    <t>3305999086</t>
  </si>
  <si>
    <t>1149102060580</t>
  </si>
  <si>
    <t>9103007117</t>
  </si>
  <si>
    <t>1036301403621</t>
  </si>
  <si>
    <t>6330024561</t>
  </si>
  <si>
    <t>1025200019360</t>
  </si>
  <si>
    <t>5246001701</t>
  </si>
  <si>
    <t>1169204058605</t>
  </si>
  <si>
    <t>9201516970</t>
  </si>
  <si>
    <t>1147800000370</t>
  </si>
  <si>
    <t>7802291406</t>
  </si>
  <si>
    <t>1155958123320</t>
  </si>
  <si>
    <t>5911074912</t>
  </si>
  <si>
    <t>1113800001710</t>
  </si>
  <si>
    <t>3817039089</t>
  </si>
  <si>
    <t>1025007515708</t>
  </si>
  <si>
    <t>5074022569</t>
  </si>
  <si>
    <t>1045901964261</t>
  </si>
  <si>
    <t>5941950155</t>
  </si>
  <si>
    <t>1102500001262</t>
  </si>
  <si>
    <t>2540162465</t>
  </si>
  <si>
    <t>1124200000561</t>
  </si>
  <si>
    <t>4252999081</t>
  </si>
  <si>
    <t>1147154037997</t>
  </si>
  <si>
    <t>7103522058</t>
  </si>
  <si>
    <t>1045400005640</t>
  </si>
  <si>
    <t>5405283780</t>
  </si>
  <si>
    <t>1159102080235</t>
  </si>
  <si>
    <t>9107037698</t>
  </si>
  <si>
    <t>1027810335244</t>
  </si>
  <si>
    <t>7826699201</t>
  </si>
  <si>
    <t>1102400001637</t>
  </si>
  <si>
    <t>2444000158</t>
  </si>
  <si>
    <t>1113500000195</t>
  </si>
  <si>
    <t>3525257690</t>
  </si>
  <si>
    <t>1023403435098</t>
  </si>
  <si>
    <t>3444066961</t>
  </si>
  <si>
    <t>1025900000279</t>
  </si>
  <si>
    <t>5904077824</t>
  </si>
  <si>
    <t>1026604972063</t>
  </si>
  <si>
    <t>6660010888</t>
  </si>
  <si>
    <t>1142225900101</t>
  </si>
  <si>
    <t>2222995777</t>
  </si>
  <si>
    <t>1037858022102</t>
  </si>
  <si>
    <t>7807023457</t>
  </si>
  <si>
    <t>1026600626766</t>
  </si>
  <si>
    <t>6603011589</t>
  </si>
  <si>
    <t>1063700002090</t>
  </si>
  <si>
    <t>3702087583</t>
  </si>
  <si>
    <t>1062300002148</t>
  </si>
  <si>
    <t>2308115640</t>
  </si>
  <si>
    <t>1095500000122</t>
  </si>
  <si>
    <t>5505046158</t>
  </si>
  <si>
    <t>1033000801448</t>
  </si>
  <si>
    <t>3015057566</t>
  </si>
  <si>
    <t>1053100006740</t>
  </si>
  <si>
    <t>3128051251</t>
  </si>
  <si>
    <t>1110500000137</t>
  </si>
  <si>
    <t>0542033535</t>
  </si>
  <si>
    <t>1037858004910</t>
  </si>
  <si>
    <t>7813120829</t>
  </si>
  <si>
    <t>1162651067523</t>
  </si>
  <si>
    <t>2615015774</t>
  </si>
  <si>
    <t>1036605604100</t>
  </si>
  <si>
    <t>6621009423</t>
  </si>
  <si>
    <t>1145200000010</t>
  </si>
  <si>
    <t>5236995028</t>
  </si>
  <si>
    <t>1027600010965</t>
  </si>
  <si>
    <t>7609002381</t>
  </si>
  <si>
    <t>1046800001247</t>
  </si>
  <si>
    <t>6829008309</t>
  </si>
  <si>
    <t>1143500001017</t>
  </si>
  <si>
    <t>3514007546</t>
  </si>
  <si>
    <t>1027200001223</t>
  </si>
  <si>
    <t>7206004996</t>
  </si>
  <si>
    <t>1084700000802</t>
  </si>
  <si>
    <t>4716031328</t>
  </si>
  <si>
    <t>1117800004508</t>
  </si>
  <si>
    <t>7814290090</t>
  </si>
  <si>
    <t>1153300000248</t>
  </si>
  <si>
    <t>3328004139</t>
  </si>
  <si>
    <t>Чукотский автономный округ</t>
  </si>
  <si>
    <t>1116800001966</t>
  </si>
  <si>
    <t>6805996018</t>
  </si>
  <si>
    <t>1024001185504</t>
  </si>
  <si>
    <t>4027050180</t>
  </si>
  <si>
    <t>1047422509969</t>
  </si>
  <si>
    <t>7449045553</t>
  </si>
  <si>
    <t>1137800000271</t>
  </si>
  <si>
    <t>7805340637</t>
  </si>
  <si>
    <t>1102600000800</t>
  </si>
  <si>
    <t>2613009670</t>
  </si>
  <si>
    <t>1028601496736</t>
  </si>
  <si>
    <t>8610011833</t>
  </si>
  <si>
    <t>1042600339540</t>
  </si>
  <si>
    <t>2636044906</t>
  </si>
  <si>
    <t>1088600000170</t>
  </si>
  <si>
    <t>8609320724</t>
  </si>
  <si>
    <t>1030303254552</t>
  </si>
  <si>
    <t>0326017507</t>
  </si>
  <si>
    <t>1141300000280</t>
  </si>
  <si>
    <t>1328700284</t>
  </si>
  <si>
    <t>1095000000963</t>
  </si>
  <si>
    <t>5027146951</t>
  </si>
  <si>
    <t>1032500012962</t>
  </si>
  <si>
    <t>2511012867</t>
  </si>
  <si>
    <t>1037858024335</t>
  </si>
  <si>
    <t>7810198672</t>
  </si>
  <si>
    <t>1127800008533</t>
  </si>
  <si>
    <t>7810436655</t>
  </si>
  <si>
    <t>1026104152667</t>
  </si>
  <si>
    <t>6167050433</t>
  </si>
  <si>
    <t>1023400008092</t>
  </si>
  <si>
    <t>3445057092</t>
  </si>
  <si>
    <t>1077800022607</t>
  </si>
  <si>
    <t>7841015880</t>
  </si>
  <si>
    <t>1104000000433</t>
  </si>
  <si>
    <t>4027099467</t>
  </si>
  <si>
    <t>1127800004750</t>
  </si>
  <si>
    <t>7806290298</t>
  </si>
  <si>
    <t>1113300000296</t>
  </si>
  <si>
    <t>3328999011</t>
  </si>
  <si>
    <t>1033801006612</t>
  </si>
  <si>
    <t>3808046555</t>
  </si>
  <si>
    <t>1137800007674</t>
  </si>
  <si>
    <t>7816290748</t>
  </si>
  <si>
    <t>1037821126089</t>
  </si>
  <si>
    <t>7810266570</t>
  </si>
  <si>
    <t>1125400002023</t>
  </si>
  <si>
    <t>5402980398</t>
  </si>
  <si>
    <t>1032500012115</t>
  </si>
  <si>
    <t>2539000621</t>
  </si>
  <si>
    <t>1124200000616</t>
  </si>
  <si>
    <t>4253998122</t>
  </si>
  <si>
    <t>1124000001102</t>
  </si>
  <si>
    <t>4025990244</t>
  </si>
  <si>
    <t>1167800054036</t>
  </si>
  <si>
    <t>7804574600</t>
  </si>
  <si>
    <t>1087800006887</t>
  </si>
  <si>
    <t>7801268919</t>
  </si>
  <si>
    <t>1023600005472</t>
  </si>
  <si>
    <t>3662072757</t>
  </si>
  <si>
    <t>1023400000931</t>
  </si>
  <si>
    <t>3444103589</t>
  </si>
  <si>
    <t>1146300001187</t>
  </si>
  <si>
    <t>6372016072</t>
  </si>
  <si>
    <t>1075800002464</t>
  </si>
  <si>
    <t>5835073953</t>
  </si>
  <si>
    <t>1127800003550</t>
  </si>
  <si>
    <t>7841290597</t>
  </si>
  <si>
    <t>1155658001146</t>
  </si>
  <si>
    <t>5614071059</t>
  </si>
  <si>
    <t>1031659011350</t>
  </si>
  <si>
    <t>1653007500</t>
  </si>
  <si>
    <t>1167800056500</t>
  </si>
  <si>
    <t>7811633783</t>
  </si>
  <si>
    <t>1023500000963</t>
  </si>
  <si>
    <t>3525122163</t>
  </si>
  <si>
    <t>1132468022917</t>
  </si>
  <si>
    <t>2424195068</t>
  </si>
  <si>
    <t>1026600000448</t>
  </si>
  <si>
    <t>6670001730</t>
  </si>
  <si>
    <t>1067800033575</t>
  </si>
  <si>
    <t>7802234912</t>
  </si>
  <si>
    <t>1163850091701</t>
  </si>
  <si>
    <t>3816027740</t>
  </si>
  <si>
    <t>1020300003107</t>
  </si>
  <si>
    <t>0323095698</t>
  </si>
  <si>
    <t>1107800002661</t>
  </si>
  <si>
    <t>7813204878</t>
  </si>
  <si>
    <t>1112900000267</t>
  </si>
  <si>
    <t>2901212357</t>
  </si>
  <si>
    <t>1037858022872</t>
  </si>
  <si>
    <t>7805224711</t>
  </si>
  <si>
    <t>1095500001893</t>
  </si>
  <si>
    <t>5507400541</t>
  </si>
  <si>
    <t>1027101414746</t>
  </si>
  <si>
    <t>7116016997</t>
  </si>
  <si>
    <t>1025401916451</t>
  </si>
  <si>
    <t>5405199986</t>
  </si>
  <si>
    <t>1022200809487</t>
  </si>
  <si>
    <t>2209022200</t>
  </si>
  <si>
    <t>1036303388802</t>
  </si>
  <si>
    <t>6323069843</t>
  </si>
  <si>
    <t>1022402646353</t>
  </si>
  <si>
    <t>2466101400</t>
  </si>
  <si>
    <t>1024200714207</t>
  </si>
  <si>
    <t>4207054169</t>
  </si>
  <si>
    <t>1024701759928</t>
  </si>
  <si>
    <t>4714013041</t>
  </si>
  <si>
    <t>1050600084765</t>
  </si>
  <si>
    <t>0601019373</t>
  </si>
  <si>
    <t>1154400010390</t>
  </si>
  <si>
    <t>4401165180</t>
  </si>
  <si>
    <t>1065473037398</t>
  </si>
  <si>
    <t>5409227610</t>
  </si>
  <si>
    <t>1024600008003</t>
  </si>
  <si>
    <t>4629035975</t>
  </si>
  <si>
    <t>1026403678620</t>
  </si>
  <si>
    <t>6455016527</t>
  </si>
  <si>
    <t>1103000000025</t>
  </si>
  <si>
    <t>3016062128</t>
  </si>
  <si>
    <t>1035500000348</t>
  </si>
  <si>
    <t>5501062039</t>
  </si>
  <si>
    <t>1035500005309</t>
  </si>
  <si>
    <t>5507059106</t>
  </si>
  <si>
    <t>1065908000014</t>
  </si>
  <si>
    <t>5908032214</t>
  </si>
  <si>
    <t>1044220000032</t>
  </si>
  <si>
    <t>4220025551</t>
  </si>
  <si>
    <t>1115500002078</t>
  </si>
  <si>
    <t>5501900058</t>
  </si>
  <si>
    <t>1144200001131</t>
  </si>
  <si>
    <t>4217997846</t>
  </si>
  <si>
    <t>1074400000267</t>
  </si>
  <si>
    <t>4401074208</t>
  </si>
  <si>
    <t>1031900000329</t>
  </si>
  <si>
    <t>1901057131</t>
  </si>
  <si>
    <t>1035003361689</t>
  </si>
  <si>
    <t>5018086304</t>
  </si>
  <si>
    <t>1137800010281</t>
  </si>
  <si>
    <t>7810437151</t>
  </si>
  <si>
    <t>1027100001686</t>
  </si>
  <si>
    <t>7105003749</t>
  </si>
  <si>
    <t>1022400005110</t>
  </si>
  <si>
    <t>2452023335</t>
  </si>
  <si>
    <t>1032401491430</t>
  </si>
  <si>
    <t>2457053291</t>
  </si>
  <si>
    <t>1026605390900</t>
  </si>
  <si>
    <t>6658084586</t>
  </si>
  <si>
    <t>1123000000661</t>
  </si>
  <si>
    <t>3023999419</t>
  </si>
  <si>
    <t>1056600673843</t>
  </si>
  <si>
    <t>6612017851</t>
  </si>
  <si>
    <t>1087800006447</t>
  </si>
  <si>
    <t>7801268860</t>
  </si>
  <si>
    <t>1145476007050</t>
  </si>
  <si>
    <t>5445990425</t>
  </si>
  <si>
    <t>1135476015707</t>
  </si>
  <si>
    <t>5407483022</t>
  </si>
  <si>
    <t>1025800003350</t>
  </si>
  <si>
    <t>5836115081</t>
  </si>
  <si>
    <t>1052463084410</t>
  </si>
  <si>
    <t>2463075007</t>
  </si>
  <si>
    <t>1027800006651</t>
  </si>
  <si>
    <t>7802128470</t>
  </si>
  <si>
    <t>1037843120226</t>
  </si>
  <si>
    <t>7825431699</t>
  </si>
  <si>
    <t>1096300001599</t>
  </si>
  <si>
    <t>6345019606</t>
  </si>
  <si>
    <t>1127800008170</t>
  </si>
  <si>
    <t>7842290670</t>
  </si>
  <si>
    <t>1037858012697</t>
  </si>
  <si>
    <t>7801183567</t>
  </si>
  <si>
    <t>1022501286697</t>
  </si>
  <si>
    <t>2536115367</t>
  </si>
  <si>
    <t>1100506000616</t>
  </si>
  <si>
    <t>0509106296</t>
  </si>
  <si>
    <t>1033700083075</t>
  </si>
  <si>
    <t>3702006866</t>
  </si>
  <si>
    <t>1062300009727</t>
  </si>
  <si>
    <t>2356045777</t>
  </si>
  <si>
    <t>1061600051864</t>
  </si>
  <si>
    <t>1656035601</t>
  </si>
  <si>
    <t>1093300000463</t>
  </si>
  <si>
    <t>3329060009</t>
  </si>
  <si>
    <t>1163525053890</t>
  </si>
  <si>
    <t>3525367519</t>
  </si>
  <si>
    <t>1097300000632</t>
  </si>
  <si>
    <t>7327051849</t>
  </si>
  <si>
    <t>1137800010370</t>
  </si>
  <si>
    <t>7814291471</t>
  </si>
  <si>
    <t>1155476062488</t>
  </si>
  <si>
    <t>5402007090</t>
  </si>
  <si>
    <t>1126100000674</t>
  </si>
  <si>
    <t>6164990238</t>
  </si>
  <si>
    <t>1137400001441</t>
  </si>
  <si>
    <t>7451990709</t>
  </si>
  <si>
    <t>1141600000211</t>
  </si>
  <si>
    <t>1655259197</t>
  </si>
  <si>
    <t>1066325003700</t>
  </si>
  <si>
    <t>6325038946</t>
  </si>
  <si>
    <t>1123850044790</t>
  </si>
  <si>
    <t>3812144266</t>
  </si>
  <si>
    <t>1057812644702</t>
  </si>
  <si>
    <t>7840325991</t>
  </si>
  <si>
    <t>1157800003910</t>
  </si>
  <si>
    <t>7814274860</t>
  </si>
  <si>
    <t>1070500001000</t>
  </si>
  <si>
    <t>0547007497</t>
  </si>
  <si>
    <t>1086300000753</t>
  </si>
  <si>
    <t>6321205152</t>
  </si>
  <si>
    <t>1057811285311</t>
  </si>
  <si>
    <t>7814321831</t>
  </si>
  <si>
    <t>1077400004330</t>
  </si>
  <si>
    <t>7449074032</t>
  </si>
  <si>
    <t>1149102110948</t>
  </si>
  <si>
    <t>9111006068</t>
  </si>
  <si>
    <t>1095900000085</t>
  </si>
  <si>
    <t>5903091880</t>
  </si>
  <si>
    <t>1027800002449</t>
  </si>
  <si>
    <t>7801151808</t>
  </si>
  <si>
    <t>1027800013163</t>
  </si>
  <si>
    <t>7814107813</t>
  </si>
  <si>
    <t>1135658036590</t>
  </si>
  <si>
    <t>5609093226</t>
  </si>
  <si>
    <t>1117800000933</t>
  </si>
  <si>
    <t>7801270097</t>
  </si>
  <si>
    <t>1137000001137</t>
  </si>
  <si>
    <t>7014998254</t>
  </si>
  <si>
    <t>1163850090579</t>
  </si>
  <si>
    <t>3808196938</t>
  </si>
  <si>
    <t>1115200003137</t>
  </si>
  <si>
    <t>5261985062</t>
  </si>
  <si>
    <t>1023400014582</t>
  </si>
  <si>
    <t>3435210016</t>
  </si>
  <si>
    <t>1057810359067</t>
  </si>
  <si>
    <t>7813321275</t>
  </si>
  <si>
    <t>1157800000621</t>
  </si>
  <si>
    <t>7805305199</t>
  </si>
  <si>
    <t>1041616081803</t>
  </si>
  <si>
    <t>1650122791</t>
  </si>
  <si>
    <t>1107800002716</t>
  </si>
  <si>
    <t>7841017118</t>
  </si>
  <si>
    <t>1074800000439</t>
  </si>
  <si>
    <t>4825052230</t>
  </si>
  <si>
    <t>1082500001627</t>
  </si>
  <si>
    <t>2536206102</t>
  </si>
  <si>
    <t>1036603497050</t>
  </si>
  <si>
    <t>6660135710</t>
  </si>
  <si>
    <t>1057813027139</t>
  </si>
  <si>
    <t>7816377759</t>
  </si>
  <si>
    <t>1045403235646</t>
  </si>
  <si>
    <t>5407272430</t>
  </si>
  <si>
    <t>1167800053178</t>
  </si>
  <si>
    <t>7813255671</t>
  </si>
  <si>
    <t>1147400000109</t>
  </si>
  <si>
    <t>7451990843</t>
  </si>
  <si>
    <t>1123700001039</t>
  </si>
  <si>
    <t>3705995054</t>
  </si>
  <si>
    <t>1046601228112</t>
  </si>
  <si>
    <t>6623017356</t>
  </si>
  <si>
    <t>1065200049870</t>
  </si>
  <si>
    <t>5263056860</t>
  </si>
  <si>
    <t>1107800008678</t>
  </si>
  <si>
    <t>7842015057</t>
  </si>
  <si>
    <t>1117800011890</t>
  </si>
  <si>
    <t>7838290163</t>
  </si>
  <si>
    <t>1065400014327</t>
  </si>
  <si>
    <t>5407014140</t>
  </si>
  <si>
    <t>1124700000831</t>
  </si>
  <si>
    <t>4703470416</t>
  </si>
  <si>
    <t>1046300911172</t>
  </si>
  <si>
    <t>6319109290</t>
  </si>
  <si>
    <t>1020700001541</t>
  </si>
  <si>
    <t>0711055335</t>
  </si>
  <si>
    <t>1054205063813</t>
  </si>
  <si>
    <t>4205082668</t>
  </si>
  <si>
    <t>1026100012135</t>
  </si>
  <si>
    <t>6102004904</t>
  </si>
  <si>
    <t>1065406046045</t>
  </si>
  <si>
    <t>5406341378</t>
  </si>
  <si>
    <t>1156600000105</t>
  </si>
  <si>
    <t>6670265677</t>
  </si>
  <si>
    <t>1025005321747</t>
  </si>
  <si>
    <t>5042070432</t>
  </si>
  <si>
    <t>1035900076321</t>
  </si>
  <si>
    <t>5902142355</t>
  </si>
  <si>
    <t>1140700000198</t>
  </si>
  <si>
    <t>0726995613</t>
  </si>
  <si>
    <t>1087800002608</t>
  </si>
  <si>
    <t>7811154156</t>
  </si>
  <si>
    <t>1055406100420</t>
  </si>
  <si>
    <t>5406308116</t>
  </si>
  <si>
    <t>1117200000994</t>
  </si>
  <si>
    <t>7203259820</t>
  </si>
  <si>
    <t>1127800002736</t>
  </si>
  <si>
    <t>7841290558</t>
  </si>
  <si>
    <t>1034700875208</t>
  </si>
  <si>
    <t>4704039393</t>
  </si>
  <si>
    <t>1123400000987</t>
  </si>
  <si>
    <t>3443104269</t>
  </si>
  <si>
    <t>1105000001952</t>
  </si>
  <si>
    <t>5007074829</t>
  </si>
  <si>
    <t>1146952023460</t>
  </si>
  <si>
    <t>6949014199</t>
  </si>
  <si>
    <t>1093800002053</t>
  </si>
  <si>
    <t>3834014510</t>
  </si>
  <si>
    <t>1043700055563</t>
  </si>
  <si>
    <t>3702051700</t>
  </si>
  <si>
    <t>1167800054124</t>
  </si>
  <si>
    <t>7840055865</t>
  </si>
  <si>
    <t>1116600002782</t>
  </si>
  <si>
    <t>6673996570</t>
  </si>
  <si>
    <t>1161690120690</t>
  </si>
  <si>
    <t>1650333175</t>
  </si>
  <si>
    <t>1128624000603</t>
  </si>
  <si>
    <t>8610999677</t>
  </si>
  <si>
    <t>1112400001471</t>
  </si>
  <si>
    <t>2462195051</t>
  </si>
  <si>
    <t>1136300002794</t>
  </si>
  <si>
    <t>6316998146</t>
  </si>
  <si>
    <t>1062600027489</t>
  </si>
  <si>
    <t>2635096330</t>
  </si>
  <si>
    <t>1160280067177</t>
  </si>
  <si>
    <t>0269996243</t>
  </si>
  <si>
    <t>1107800005356</t>
  </si>
  <si>
    <t>7842014960</t>
  </si>
  <si>
    <t>1155200000416</t>
  </si>
  <si>
    <t>5262314162</t>
  </si>
  <si>
    <t>1141800000870</t>
  </si>
  <si>
    <t>1841999248</t>
  </si>
  <si>
    <t>1145476149708</t>
  </si>
  <si>
    <t>5433200432</t>
  </si>
  <si>
    <t>1076600010343</t>
  </si>
  <si>
    <t>6672250355</t>
  </si>
  <si>
    <t>1046900070733</t>
  </si>
  <si>
    <t>6901062243</t>
  </si>
  <si>
    <t>1152300003657</t>
  </si>
  <si>
    <t>2301090386</t>
  </si>
  <si>
    <t>1077800030780</t>
  </si>
  <si>
    <t>7838029314</t>
  </si>
  <si>
    <t>1127400004093</t>
  </si>
  <si>
    <t>7404990194</t>
  </si>
  <si>
    <t>1125200001630</t>
  </si>
  <si>
    <t>5259985192</t>
  </si>
  <si>
    <t>1133600001150</t>
  </si>
  <si>
    <t>3662987105</t>
  </si>
  <si>
    <t>1146100003720</t>
  </si>
  <si>
    <t>6125200246</t>
  </si>
  <si>
    <t>1087800007085</t>
  </si>
  <si>
    <t>7807061822</t>
  </si>
  <si>
    <t>1037101580207</t>
  </si>
  <si>
    <t>7114008729</t>
  </si>
  <si>
    <t>1047855142455</t>
  </si>
  <si>
    <t>7814309746</t>
  </si>
  <si>
    <t>1155000004004</t>
  </si>
  <si>
    <t>5036152574</t>
  </si>
  <si>
    <t>1152300001941</t>
  </si>
  <si>
    <t>2315984023</t>
  </si>
  <si>
    <t>1167800050956</t>
  </si>
  <si>
    <t>7814643564</t>
  </si>
  <si>
    <t>1092202000770</t>
  </si>
  <si>
    <t>2225102301</t>
  </si>
  <si>
    <t>1116600004840</t>
  </si>
  <si>
    <t>6679996086</t>
  </si>
  <si>
    <t>1037000174518</t>
  </si>
  <si>
    <t>7017085735</t>
  </si>
  <si>
    <t>Магаданская область</t>
  </si>
  <si>
    <t>1114200001300</t>
  </si>
  <si>
    <t>4205995178</t>
  </si>
  <si>
    <t>1147800001260</t>
  </si>
  <si>
    <t>7801351660</t>
  </si>
  <si>
    <t>1117800000890</t>
  </si>
  <si>
    <t>7802237399</t>
  </si>
  <si>
    <t>1156000000078</t>
  </si>
  <si>
    <t>6027160436</t>
  </si>
  <si>
    <t>1166313136131</t>
  </si>
  <si>
    <t>6321417284</t>
  </si>
  <si>
    <t>1157800004548</t>
  </si>
  <si>
    <t>7807094313</t>
  </si>
  <si>
    <t>1113256020723</t>
  </si>
  <si>
    <t>3250527370</t>
  </si>
  <si>
    <t>1076900004994</t>
  </si>
  <si>
    <t>6950025607</t>
  </si>
  <si>
    <t>1107800007072</t>
  </si>
  <si>
    <t>7842015000</t>
  </si>
  <si>
    <t>1124800000456</t>
  </si>
  <si>
    <t>4825073254</t>
  </si>
  <si>
    <t>1156313075555</t>
  </si>
  <si>
    <t>6382071354</t>
  </si>
  <si>
    <t>1147800004516</t>
  </si>
  <si>
    <t>7802291614</t>
  </si>
  <si>
    <t>1096300004305</t>
  </si>
  <si>
    <t>6311117299</t>
  </si>
  <si>
    <t>1027802491133</t>
  </si>
  <si>
    <t>7804159763</t>
  </si>
  <si>
    <t>1078600002018</t>
  </si>
  <si>
    <t>8601032442</t>
  </si>
  <si>
    <t>1114000000685</t>
  </si>
  <si>
    <t>4009055570</t>
  </si>
  <si>
    <t>1167800050296</t>
  </si>
  <si>
    <t>7807106417</t>
  </si>
  <si>
    <t>1027810289902</t>
  </si>
  <si>
    <t>7826035955</t>
  </si>
  <si>
    <t>1025900005196</t>
  </si>
  <si>
    <t>5902700874</t>
  </si>
  <si>
    <t>1037858016536</t>
  </si>
  <si>
    <t>7805123495</t>
  </si>
  <si>
    <t>1083700000658</t>
  </si>
  <si>
    <t>3702565536</t>
  </si>
  <si>
    <t>1111600001853</t>
  </si>
  <si>
    <t>1651061735</t>
  </si>
  <si>
    <t>1045400005639</t>
  </si>
  <si>
    <t>5406296380</t>
  </si>
  <si>
    <t>1072400003884</t>
  </si>
  <si>
    <t>2466155420</t>
  </si>
  <si>
    <t>1026100018438</t>
  </si>
  <si>
    <t>6163047609</t>
  </si>
  <si>
    <t>1053500221092</t>
  </si>
  <si>
    <t>3528098649</t>
  </si>
  <si>
    <t>1117400005304</t>
  </si>
  <si>
    <t>7453990398</t>
  </si>
  <si>
    <t>1146000000574</t>
  </si>
  <si>
    <t>6027999581</t>
  </si>
  <si>
    <t>1035000004380</t>
  </si>
  <si>
    <t>5045021698</t>
  </si>
  <si>
    <t>1107400001862</t>
  </si>
  <si>
    <t>7447172732</t>
  </si>
  <si>
    <t>1156600003350</t>
  </si>
  <si>
    <t>6686074519</t>
  </si>
  <si>
    <t>1146600003351</t>
  </si>
  <si>
    <t>6686996827</t>
  </si>
  <si>
    <t>1157800001171</t>
  </si>
  <si>
    <t>7802280323</t>
  </si>
  <si>
    <t>1142300001062</t>
  </si>
  <si>
    <t>2312980937</t>
  </si>
  <si>
    <t>1097800006006</t>
  </si>
  <si>
    <t>7842014328</t>
  </si>
  <si>
    <t>1087800002498</t>
  </si>
  <si>
    <t>7806159906</t>
  </si>
  <si>
    <t>1054217107450</t>
  </si>
  <si>
    <t>4217077493</t>
  </si>
  <si>
    <t>1027800012052</t>
  </si>
  <si>
    <t>7825384150</t>
  </si>
  <si>
    <t>1037800022820</t>
  </si>
  <si>
    <t>7801112679</t>
  </si>
  <si>
    <t>1146400000416</t>
  </si>
  <si>
    <t>6450999400</t>
  </si>
  <si>
    <t>1077800031066</t>
  </si>
  <si>
    <t>7816240360</t>
  </si>
  <si>
    <t>1103200000254</t>
  </si>
  <si>
    <t>3243004468</t>
  </si>
  <si>
    <t>1137800010435</t>
  </si>
  <si>
    <t>7841291625</t>
  </si>
  <si>
    <t>1083800002208</t>
  </si>
  <si>
    <t>3808182928</t>
  </si>
  <si>
    <t>1032335039615</t>
  </si>
  <si>
    <t>2335014369</t>
  </si>
  <si>
    <t>1096600001695</t>
  </si>
  <si>
    <t>6634011839</t>
  </si>
  <si>
    <t>1036303386756</t>
  </si>
  <si>
    <t>6323036894</t>
  </si>
  <si>
    <t>1095500000530</t>
  </si>
  <si>
    <t>5503114959</t>
  </si>
  <si>
    <t>1143500001116</t>
  </si>
  <si>
    <t>3525314595</t>
  </si>
  <si>
    <t>1097800003014</t>
  </si>
  <si>
    <t>7805303515</t>
  </si>
  <si>
    <t>1121600004965</t>
  </si>
  <si>
    <t>1657115458</t>
  </si>
  <si>
    <t>1057810450422</t>
  </si>
  <si>
    <t>7806316877</t>
  </si>
  <si>
    <t>1057810449058</t>
  </si>
  <si>
    <t>7842315999</t>
  </si>
  <si>
    <t>1135476168937</t>
  </si>
  <si>
    <t>5401373707</t>
  </si>
  <si>
    <t>1046603997505</t>
  </si>
  <si>
    <t>6671150598</t>
  </si>
  <si>
    <t>1027400005808</t>
  </si>
  <si>
    <t>7447040775</t>
  </si>
  <si>
    <t>1031801050918</t>
  </si>
  <si>
    <t>1832033923</t>
  </si>
  <si>
    <t>1144400000282</t>
  </si>
  <si>
    <t>4401116352</t>
  </si>
  <si>
    <t>1045504016623</t>
  </si>
  <si>
    <t>5503081710</t>
  </si>
  <si>
    <t>1126100003754</t>
  </si>
  <si>
    <t>6162990218</t>
  </si>
  <si>
    <t>1103800000644</t>
  </si>
  <si>
    <t>3804010540</t>
  </si>
  <si>
    <t>1122202000690</t>
  </si>
  <si>
    <t>2266999264</t>
  </si>
  <si>
    <t>1145658008726</t>
  </si>
  <si>
    <t>5614067990</t>
  </si>
  <si>
    <t>1084600000792</t>
  </si>
  <si>
    <t>4633021478</t>
  </si>
  <si>
    <t>1025202408890</t>
  </si>
  <si>
    <t>5260051599</t>
  </si>
  <si>
    <t>1025900010982</t>
  </si>
  <si>
    <t>5902708898</t>
  </si>
  <si>
    <t>1037101133134</t>
  </si>
  <si>
    <t>7107007851</t>
  </si>
  <si>
    <t>1136100005590</t>
  </si>
  <si>
    <t>6150080937</t>
  </si>
  <si>
    <t>1165543060396</t>
  </si>
  <si>
    <t>5503160169</t>
  </si>
  <si>
    <t>1149102110937</t>
  </si>
  <si>
    <t>9102053417</t>
  </si>
  <si>
    <t>1163850076147</t>
  </si>
  <si>
    <t>3811436185</t>
  </si>
  <si>
    <t>1126600002781</t>
  </si>
  <si>
    <t>6623996366</t>
  </si>
  <si>
    <t>1062400023366</t>
  </si>
  <si>
    <t>2462038179</t>
  </si>
  <si>
    <t>1031659000119</t>
  </si>
  <si>
    <t>1655007383</t>
  </si>
  <si>
    <t>1167800055477</t>
  </si>
  <si>
    <t>7842120929</t>
  </si>
  <si>
    <t>1135900000477</t>
  </si>
  <si>
    <t>5908996515</t>
  </si>
  <si>
    <t>1159204024980</t>
  </si>
  <si>
    <t>9204555938</t>
  </si>
  <si>
    <t>1115200004259</t>
  </si>
  <si>
    <t>5243995036</t>
  </si>
  <si>
    <t>1143100001285</t>
  </si>
  <si>
    <t>3103997520</t>
  </si>
  <si>
    <t>1122600002073</t>
  </si>
  <si>
    <t>2634750536</t>
  </si>
  <si>
    <t>1118600000705</t>
  </si>
  <si>
    <t>8602999031</t>
  </si>
  <si>
    <t>1097800001683</t>
  </si>
  <si>
    <t>7807061893</t>
  </si>
  <si>
    <t>1035205406598</t>
  </si>
  <si>
    <t>5260121006</t>
  </si>
  <si>
    <t>1153256007123</t>
  </si>
  <si>
    <t>3245007432</t>
  </si>
  <si>
    <t>1073000000270</t>
  </si>
  <si>
    <t>3016052313</t>
  </si>
  <si>
    <t>1034700004789</t>
  </si>
  <si>
    <t>4705015300</t>
  </si>
  <si>
    <t>1035000019251</t>
  </si>
  <si>
    <t>5050036241</t>
  </si>
  <si>
    <t>1164700050822</t>
  </si>
  <si>
    <t>4703146787</t>
  </si>
  <si>
    <t>1033801010660</t>
  </si>
  <si>
    <t>3808061426</t>
  </si>
  <si>
    <t>1136200000584</t>
  </si>
  <si>
    <t>6225990069</t>
  </si>
  <si>
    <t>1105500001672</t>
  </si>
  <si>
    <t>5505046479</t>
  </si>
  <si>
    <t>1026601378341</t>
  </si>
  <si>
    <t>6623007566</t>
  </si>
  <si>
    <t>1123300000438</t>
  </si>
  <si>
    <t>3311999045</t>
  </si>
  <si>
    <t>1133600000588</t>
  </si>
  <si>
    <t>3601999030</t>
  </si>
  <si>
    <t>1023600007078</t>
  </si>
  <si>
    <t>3666095032</t>
  </si>
  <si>
    <t>1033700025600</t>
  </si>
  <si>
    <t>3701004190</t>
  </si>
  <si>
    <t>1142500002215</t>
  </si>
  <si>
    <t>2512999050</t>
  </si>
  <si>
    <t>1072600003046</t>
  </si>
  <si>
    <t>2607019990</t>
  </si>
  <si>
    <t>1047855037768</t>
  </si>
  <si>
    <t>7840302426</t>
  </si>
  <si>
    <t>1106600001551</t>
  </si>
  <si>
    <t>6627021635</t>
  </si>
  <si>
    <t>1096100003559</t>
  </si>
  <si>
    <t>6164294103</t>
  </si>
  <si>
    <t>1091600003153</t>
  </si>
  <si>
    <t>1655068682</t>
  </si>
  <si>
    <t>1161690079396</t>
  </si>
  <si>
    <t>1659169554</t>
  </si>
  <si>
    <t>1037858008121</t>
  </si>
  <si>
    <t>7811081726</t>
  </si>
  <si>
    <t>1037858024445</t>
  </si>
  <si>
    <t>7825466170</t>
  </si>
  <si>
    <t>1033700025930</t>
  </si>
  <si>
    <t>3702011619</t>
  </si>
  <si>
    <t>1025900012170</t>
  </si>
  <si>
    <t>5902701807</t>
  </si>
  <si>
    <t>1095400000112</t>
  </si>
  <si>
    <t>5433176660</t>
  </si>
  <si>
    <t>1154000000593</t>
  </si>
  <si>
    <t>4025444559</t>
  </si>
  <si>
    <t>1056400000920</t>
  </si>
  <si>
    <t>6454073466</t>
  </si>
  <si>
    <t>1065800026302</t>
  </si>
  <si>
    <t>5834034180</t>
  </si>
  <si>
    <t>1157400001164</t>
  </si>
  <si>
    <t>7455022360</t>
  </si>
  <si>
    <t>1146400001648</t>
  </si>
  <si>
    <t>6450999457</t>
  </si>
  <si>
    <t>1142225901267</t>
  </si>
  <si>
    <t>2223995603</t>
  </si>
  <si>
    <t>1157800002282</t>
  </si>
  <si>
    <t>7841023400</t>
  </si>
  <si>
    <t>1145476137773</t>
  </si>
  <si>
    <t>5405504781</t>
  </si>
  <si>
    <t>1157800004702</t>
  </si>
  <si>
    <t>7841029829</t>
  </si>
  <si>
    <t>1133256019027</t>
  </si>
  <si>
    <t>3257012733</t>
  </si>
  <si>
    <t>1091600002559</t>
  </si>
  <si>
    <t>1656056619</t>
  </si>
  <si>
    <t>1107800009460</t>
  </si>
  <si>
    <t>7802237310</t>
  </si>
  <si>
    <t>1090300000163</t>
  </si>
  <si>
    <t>0323830908</t>
  </si>
  <si>
    <t>1037858006427</t>
  </si>
  <si>
    <t>7803017491</t>
  </si>
  <si>
    <t>1047803014863</t>
  </si>
  <si>
    <t>7802230957</t>
  </si>
  <si>
    <t>1125543008480</t>
  </si>
  <si>
    <t>5503233593</t>
  </si>
  <si>
    <t>1031000001801</t>
  </si>
  <si>
    <t>1001039500</t>
  </si>
  <si>
    <t>1102400000581</t>
  </si>
  <si>
    <t>2455029977</t>
  </si>
  <si>
    <t>1134100000682</t>
  </si>
  <si>
    <t>4101996321</t>
  </si>
  <si>
    <t>1167800051803</t>
  </si>
  <si>
    <t>7810439487</t>
  </si>
  <si>
    <t>1136500000108</t>
  </si>
  <si>
    <t>6509999570</t>
  </si>
  <si>
    <t>1136300001750</t>
  </si>
  <si>
    <t>6372015960</t>
  </si>
  <si>
    <t>1131400000984</t>
  </si>
  <si>
    <t>1410990089</t>
  </si>
  <si>
    <t>1167800054872</t>
  </si>
  <si>
    <t>7814665889</t>
  </si>
  <si>
    <t>1135000003643</t>
  </si>
  <si>
    <t>5040998810</t>
  </si>
  <si>
    <t>1025200014322</t>
  </si>
  <si>
    <t>5260041689</t>
  </si>
  <si>
    <t>1157154005348</t>
  </si>
  <si>
    <t>7106020112</t>
  </si>
  <si>
    <t>1127232052650</t>
  </si>
  <si>
    <t>7203281896</t>
  </si>
  <si>
    <t>1135200000671</t>
  </si>
  <si>
    <t>5260986232</t>
  </si>
  <si>
    <t>1147800001073</t>
  </si>
  <si>
    <t>7814291584</t>
  </si>
  <si>
    <t>1056602832076</t>
  </si>
  <si>
    <t>6658216225</t>
  </si>
  <si>
    <t>1076300004263</t>
  </si>
  <si>
    <t>6317069612</t>
  </si>
  <si>
    <t>1160571065380</t>
  </si>
  <si>
    <t>0572015893</t>
  </si>
  <si>
    <t>1165800051075</t>
  </si>
  <si>
    <t>5836678831</t>
  </si>
  <si>
    <t>1027802509844</t>
  </si>
  <si>
    <t>7804150827</t>
  </si>
  <si>
    <t>1027800004033</t>
  </si>
  <si>
    <t>7813177127</t>
  </si>
  <si>
    <t>1102400001164</t>
  </si>
  <si>
    <t>2423013117</t>
  </si>
  <si>
    <t>1137232014083</t>
  </si>
  <si>
    <t>7202244299</t>
  </si>
  <si>
    <t>1137154037844</t>
  </si>
  <si>
    <t>7106528700</t>
  </si>
  <si>
    <t>1120500001049</t>
  </si>
  <si>
    <t>0573001205</t>
  </si>
  <si>
    <t>1127600000549</t>
  </si>
  <si>
    <t>7609024498</t>
  </si>
  <si>
    <t>1097600000728</t>
  </si>
  <si>
    <t>7604162832</t>
  </si>
  <si>
    <t>1126400004719</t>
  </si>
  <si>
    <t>6455999997</t>
  </si>
  <si>
    <t>1033501066048</t>
  </si>
  <si>
    <t>3528019735</t>
  </si>
  <si>
    <t>1033800007207</t>
  </si>
  <si>
    <t>3812052181</t>
  </si>
  <si>
    <t>1031616018752</t>
  </si>
  <si>
    <t>1650056316</t>
  </si>
  <si>
    <t>1177800001752</t>
  </si>
  <si>
    <t>7801331021</t>
  </si>
  <si>
    <t>1151800000230</t>
  </si>
  <si>
    <t>1840038354</t>
  </si>
  <si>
    <t>1127800015485</t>
  </si>
  <si>
    <t>7839290800</t>
  </si>
  <si>
    <t>1057810229950</t>
  </si>
  <si>
    <t>7840316122</t>
  </si>
  <si>
    <t>1037858013181</t>
  </si>
  <si>
    <t>7825072168</t>
  </si>
  <si>
    <t>1121600003920</t>
  </si>
  <si>
    <t>1644038189</t>
  </si>
  <si>
    <t>1135658031431</t>
  </si>
  <si>
    <t>5603040323</t>
  </si>
  <si>
    <t>1027402235904</t>
  </si>
  <si>
    <t>7446028782</t>
  </si>
  <si>
    <t>1132300004605</t>
  </si>
  <si>
    <t>2311981046</t>
  </si>
  <si>
    <t>1110600000170</t>
  </si>
  <si>
    <t>0608999040</t>
  </si>
  <si>
    <t>1042000001713</t>
  </si>
  <si>
    <t>2005504830</t>
  </si>
  <si>
    <t>1152300003481</t>
  </si>
  <si>
    <t>2304069015</t>
  </si>
  <si>
    <t>1025202196997</t>
  </si>
  <si>
    <t>5254022470</t>
  </si>
  <si>
    <t>1167500050244</t>
  </si>
  <si>
    <t>7536158352</t>
  </si>
  <si>
    <t>1024001194876</t>
  </si>
  <si>
    <t>4027039860</t>
  </si>
  <si>
    <t>1037811041575</t>
  </si>
  <si>
    <t>7805275106</t>
  </si>
  <si>
    <t>1086300000632</t>
  </si>
  <si>
    <t>6317072982</t>
  </si>
  <si>
    <t>1132651015408</t>
  </si>
  <si>
    <t>2630803106</t>
  </si>
  <si>
    <t>1120500000576</t>
  </si>
  <si>
    <t>0572001481</t>
  </si>
  <si>
    <t>1021400000192</t>
  </si>
  <si>
    <t>1435099205</t>
  </si>
  <si>
    <t>1147800005539</t>
  </si>
  <si>
    <t>7838291262</t>
  </si>
  <si>
    <t>1167800050538</t>
  </si>
  <si>
    <t>7813242993</t>
  </si>
  <si>
    <t>1033801755844</t>
  </si>
  <si>
    <t>3812070864</t>
  </si>
  <si>
    <t>1134600000776</t>
  </si>
  <si>
    <t>4632132633</t>
  </si>
  <si>
    <t>1096100003999</t>
  </si>
  <si>
    <t>6155057667</t>
  </si>
  <si>
    <t>1141900000032</t>
  </si>
  <si>
    <t>1905011233</t>
  </si>
  <si>
    <t>1024201467586</t>
  </si>
  <si>
    <t>4217053710</t>
  </si>
  <si>
    <t>1117400002004</t>
  </si>
  <si>
    <t>7448990057</t>
  </si>
  <si>
    <t>1045900351089</t>
  </si>
  <si>
    <t>5903017491</t>
  </si>
  <si>
    <t>1157400002231</t>
  </si>
  <si>
    <t>7413022129</t>
  </si>
  <si>
    <t>1075200008718</t>
  </si>
  <si>
    <t>5254081468</t>
  </si>
  <si>
    <t>1147800005198</t>
  </si>
  <si>
    <t>7841292107</t>
  </si>
  <si>
    <t>1121600001313</t>
  </si>
  <si>
    <t>1660163282</t>
  </si>
  <si>
    <t>1086600004369</t>
  </si>
  <si>
    <t>6612028959</t>
  </si>
  <si>
    <t>1147800004186</t>
  </si>
  <si>
    <t>7804291232</t>
  </si>
  <si>
    <t>1034100000307</t>
  </si>
  <si>
    <t>4100000058</t>
  </si>
  <si>
    <t>1145800000411</t>
  </si>
  <si>
    <t>5836900878</t>
  </si>
  <si>
    <t>1142700001278</t>
  </si>
  <si>
    <t>2724999920</t>
  </si>
  <si>
    <t>1167800053783</t>
  </si>
  <si>
    <t>7813257862</t>
  </si>
  <si>
    <t>1035400002417</t>
  </si>
  <si>
    <t>5403118798</t>
  </si>
  <si>
    <t>1041000039080</t>
  </si>
  <si>
    <t>1001048261</t>
  </si>
  <si>
    <t>1102400002760</t>
  </si>
  <si>
    <t>2466157434</t>
  </si>
  <si>
    <t>1035403648114</t>
  </si>
  <si>
    <t>5408190766</t>
  </si>
  <si>
    <t>1027800011755</t>
  </si>
  <si>
    <t>7817026496</t>
  </si>
  <si>
    <t>1132651019137</t>
  </si>
  <si>
    <t>2626802526</t>
  </si>
  <si>
    <t>1062700016170</t>
  </si>
  <si>
    <t>2721140946</t>
  </si>
  <si>
    <t>1037858003710</t>
  </si>
  <si>
    <t>7809024689</t>
  </si>
  <si>
    <t>1037858004084</t>
  </si>
  <si>
    <t>7825131945</t>
  </si>
  <si>
    <t>1141300000698</t>
  </si>
  <si>
    <t>1323900152</t>
  </si>
  <si>
    <t>1077800000442</t>
  </si>
  <si>
    <t>7842012970</t>
  </si>
  <si>
    <t>1142225900508</t>
  </si>
  <si>
    <t>2222995872</t>
  </si>
  <si>
    <t>1074700000528</t>
  </si>
  <si>
    <t>4708019542</t>
  </si>
  <si>
    <t>1167800054465</t>
  </si>
  <si>
    <t>7842116545</t>
  </si>
  <si>
    <t>1033303208476</t>
  </si>
  <si>
    <t>3311014080</t>
  </si>
  <si>
    <t>1131500000961</t>
  </si>
  <si>
    <t>1513011948</t>
  </si>
  <si>
    <t>1117800018038</t>
  </si>
  <si>
    <t>7838290290</t>
  </si>
  <si>
    <t>1052904005967</t>
  </si>
  <si>
    <t>2904014988</t>
  </si>
  <si>
    <t>1157800005164</t>
  </si>
  <si>
    <t>7814295363</t>
  </si>
  <si>
    <t>1115900002415</t>
  </si>
  <si>
    <t>5904988432</t>
  </si>
  <si>
    <t>1065900047883</t>
  </si>
  <si>
    <t>5981000689</t>
  </si>
  <si>
    <t>1033303600494</t>
  </si>
  <si>
    <t>3327700743</t>
  </si>
  <si>
    <t>1032335025359</t>
  </si>
  <si>
    <t>2309058465</t>
  </si>
  <si>
    <t>1087200001107</t>
  </si>
  <si>
    <t>7202172615</t>
  </si>
  <si>
    <t>1078600003899</t>
  </si>
  <si>
    <t>8616010106</t>
  </si>
  <si>
    <t>1112600002240</t>
  </si>
  <si>
    <t>2634750208</t>
  </si>
  <si>
    <t>1117799010878</t>
  </si>
  <si>
    <t>7704278510</t>
  </si>
  <si>
    <t>1037843079614</t>
  </si>
  <si>
    <t>7825445405</t>
  </si>
  <si>
    <t>1024400002967</t>
  </si>
  <si>
    <t>4442010330</t>
  </si>
  <si>
    <t>1024300003639</t>
  </si>
  <si>
    <t>4348014627</t>
  </si>
  <si>
    <t>1127800014187</t>
  </si>
  <si>
    <t>7813291207</t>
  </si>
  <si>
    <t>1023100013970</t>
  </si>
  <si>
    <t>3123009739</t>
  </si>
  <si>
    <t>1022700002896</t>
  </si>
  <si>
    <t>2722033150</t>
  </si>
  <si>
    <t>1034205009816</t>
  </si>
  <si>
    <t>4205004557</t>
  </si>
  <si>
    <t>1159204014738</t>
  </si>
  <si>
    <t>9201507260</t>
  </si>
  <si>
    <t>1151600001178</t>
  </si>
  <si>
    <t>1659158351</t>
  </si>
  <si>
    <t>1166313113592</t>
  </si>
  <si>
    <t>6312163530</t>
  </si>
  <si>
    <t>1132300005672</t>
  </si>
  <si>
    <t>2310981082</t>
  </si>
  <si>
    <t>1165476180363</t>
  </si>
  <si>
    <t>5433959678</t>
  </si>
  <si>
    <t>1122468031476</t>
  </si>
  <si>
    <t>2411195110</t>
  </si>
  <si>
    <t>1022400005132</t>
  </si>
  <si>
    <t>2466046406</t>
  </si>
  <si>
    <t>1042400001555</t>
  </si>
  <si>
    <t>2466115466</t>
  </si>
  <si>
    <t>1032400001842</t>
  </si>
  <si>
    <t>2466100149</t>
  </si>
  <si>
    <t>1157800001732</t>
  </si>
  <si>
    <t>7806163243</t>
  </si>
  <si>
    <t>1031500000014</t>
  </si>
  <si>
    <t>1502025586</t>
  </si>
  <si>
    <t>1076400002634</t>
  </si>
  <si>
    <t>6455045542</t>
  </si>
  <si>
    <t>1141900000439</t>
  </si>
  <si>
    <t>1910999153</t>
  </si>
  <si>
    <t>1026103177000</t>
  </si>
  <si>
    <t>6163021745</t>
  </si>
  <si>
    <t>1036166009110</t>
  </si>
  <si>
    <t>6166047396</t>
  </si>
  <si>
    <t>1097800004510</t>
  </si>
  <si>
    <t>7843001804</t>
  </si>
  <si>
    <t>1032335032454</t>
  </si>
  <si>
    <t>2311059770</t>
  </si>
  <si>
    <t>1137800006520</t>
  </si>
  <si>
    <t>7816290709</t>
  </si>
  <si>
    <t>1126000001049</t>
  </si>
  <si>
    <t>6027998789</t>
  </si>
  <si>
    <t>1145200000880</t>
  </si>
  <si>
    <t>5262985996</t>
  </si>
  <si>
    <t>1117800013176</t>
  </si>
  <si>
    <t>7802290201</t>
  </si>
  <si>
    <t>1123850004013</t>
  </si>
  <si>
    <t>3811157569</t>
  </si>
  <si>
    <t>1034200008480</t>
  </si>
  <si>
    <t>4207052563</t>
  </si>
  <si>
    <t>1146100001629</t>
  </si>
  <si>
    <t>6167111735</t>
  </si>
  <si>
    <t>1102700000897</t>
  </si>
  <si>
    <t>2721176340</t>
  </si>
  <si>
    <t>1055500003151</t>
  </si>
  <si>
    <t>5503033065</t>
  </si>
  <si>
    <t>1025203029390</t>
  </si>
  <si>
    <t>5260103705</t>
  </si>
  <si>
    <t>1145749006292</t>
  </si>
  <si>
    <t>5751201951</t>
  </si>
  <si>
    <t>1126300005040</t>
  </si>
  <si>
    <t>6319142392</t>
  </si>
  <si>
    <t>1127800003033</t>
  </si>
  <si>
    <t>7810436380</t>
  </si>
  <si>
    <t>1037858017394</t>
  </si>
  <si>
    <t>7813093702</t>
  </si>
  <si>
    <t>1027300002817</t>
  </si>
  <si>
    <t>7325019600</t>
  </si>
  <si>
    <t>1153300000479</t>
  </si>
  <si>
    <t>3312040269</t>
  </si>
  <si>
    <t>1081000000113</t>
  </si>
  <si>
    <t>1012008976</t>
  </si>
  <si>
    <t>1024600000028</t>
  </si>
  <si>
    <t>4632024980</t>
  </si>
  <si>
    <t>1024100002277</t>
  </si>
  <si>
    <t>4101006165</t>
  </si>
  <si>
    <t>1026402207028</t>
  </si>
  <si>
    <t>6450028550</t>
  </si>
  <si>
    <t>1167800051748</t>
  </si>
  <si>
    <t>7840050377</t>
  </si>
  <si>
    <t>1054700140142</t>
  </si>
  <si>
    <t>4704059110</t>
  </si>
  <si>
    <t>1127800008214</t>
  </si>
  <si>
    <t>7802290674</t>
  </si>
  <si>
    <t>1127800004420</t>
  </si>
  <si>
    <t>7813290700</t>
  </si>
  <si>
    <t>1026403061816</t>
  </si>
  <si>
    <t>6453061757</t>
  </si>
  <si>
    <t>1151400000982</t>
  </si>
  <si>
    <t>1417009696</t>
  </si>
  <si>
    <t>1155000002508</t>
  </si>
  <si>
    <t>5040120871</t>
  </si>
  <si>
    <t>1197800000342</t>
  </si>
  <si>
    <t>7807221402</t>
  </si>
  <si>
    <t>1160571050705</t>
  </si>
  <si>
    <t>0529116662</t>
  </si>
  <si>
    <t>1147800002470</t>
  </si>
  <si>
    <t>7810437345</t>
  </si>
  <si>
    <t>1085400003150</t>
  </si>
  <si>
    <t>5401316498</t>
  </si>
  <si>
    <t>1145000006711</t>
  </si>
  <si>
    <t>5047998922</t>
  </si>
  <si>
    <t>1093000000895</t>
  </si>
  <si>
    <t>3008012557</t>
  </si>
  <si>
    <t>1064800000099</t>
  </si>
  <si>
    <t>4825044133</t>
  </si>
  <si>
    <t>1022300005298</t>
  </si>
  <si>
    <t>2302044520</t>
  </si>
  <si>
    <t>1117800003056</t>
  </si>
  <si>
    <t>7802290032</t>
  </si>
  <si>
    <t>1026402003803</t>
  </si>
  <si>
    <t>6449026816</t>
  </si>
  <si>
    <t>1034690002940</t>
  </si>
  <si>
    <t>4630023220</t>
  </si>
  <si>
    <t>1153000000097</t>
  </si>
  <si>
    <t>3015104209</t>
  </si>
  <si>
    <t>1045400001877</t>
  </si>
  <si>
    <t>5404225390</t>
  </si>
  <si>
    <t>1056320072753</t>
  </si>
  <si>
    <t>6321149317</t>
  </si>
  <si>
    <t>1046405009815</t>
  </si>
  <si>
    <t>6450074050</t>
  </si>
  <si>
    <t>1141800000979</t>
  </si>
  <si>
    <t>1831165518</t>
  </si>
  <si>
    <t>1063400026238</t>
  </si>
  <si>
    <t>3443072169</t>
  </si>
  <si>
    <t>1146300000109</t>
  </si>
  <si>
    <t>6311998400</t>
  </si>
  <si>
    <t>1037858001741</t>
  </si>
  <si>
    <t>7805021341</t>
  </si>
  <si>
    <t>1032902533135</t>
  </si>
  <si>
    <t>2901054291</t>
  </si>
  <si>
    <t>1025200939862</t>
  </si>
  <si>
    <t>5222011482</t>
  </si>
  <si>
    <t>1135543029137</t>
  </si>
  <si>
    <t>5503243760</t>
  </si>
  <si>
    <t>1177800001653</t>
  </si>
  <si>
    <t>7813276311</t>
  </si>
  <si>
    <t>1030200016802</t>
  </si>
  <si>
    <t>0278061736</t>
  </si>
  <si>
    <t>1162300051320</t>
  </si>
  <si>
    <t>2301091936</t>
  </si>
  <si>
    <t>1108600000101</t>
  </si>
  <si>
    <t>8603170014</t>
  </si>
  <si>
    <t>1024800001973</t>
  </si>
  <si>
    <t>4825032480</t>
  </si>
  <si>
    <t>1143100000669</t>
  </si>
  <si>
    <t>3127030153</t>
  </si>
  <si>
    <t>1098600001356</t>
  </si>
  <si>
    <t>8603169080</t>
  </si>
  <si>
    <t>1072202002476</t>
  </si>
  <si>
    <t>2221126848</t>
  </si>
  <si>
    <t>1031659001879</t>
  </si>
  <si>
    <t>1655028680</t>
  </si>
  <si>
    <t>1024900002203</t>
  </si>
  <si>
    <t>4909062280</t>
  </si>
  <si>
    <t>1024900002962</t>
  </si>
  <si>
    <t>4909035287</t>
  </si>
  <si>
    <t>1026402200318</t>
  </si>
  <si>
    <t>6450527599</t>
  </si>
  <si>
    <t>1135543025793</t>
  </si>
  <si>
    <t>5503243288</t>
  </si>
  <si>
    <t>1027804875680</t>
  </si>
  <si>
    <t>7810390707</t>
  </si>
  <si>
    <t>1154000000263</t>
  </si>
  <si>
    <t>4004018863</t>
  </si>
  <si>
    <t>1150500001090</t>
  </si>
  <si>
    <t>0572011433</t>
  </si>
  <si>
    <t>1127600001748</t>
  </si>
  <si>
    <t>7602998188</t>
  </si>
  <si>
    <t>1121200000481</t>
  </si>
  <si>
    <t>1215192760</t>
  </si>
  <si>
    <t>1147400001980</t>
  </si>
  <si>
    <t>7459990179</t>
  </si>
  <si>
    <t>1177800002544</t>
  </si>
  <si>
    <t>7806269708</t>
  </si>
  <si>
    <t>1140700000627</t>
  </si>
  <si>
    <t>0725991447</t>
  </si>
  <si>
    <t>1053600401073</t>
  </si>
  <si>
    <t>3662101817</t>
  </si>
  <si>
    <t>1072800001592</t>
  </si>
  <si>
    <t>2801124629</t>
  </si>
  <si>
    <t>1155476033184</t>
  </si>
  <si>
    <t>5403003638</t>
  </si>
  <si>
    <t>1083300001960</t>
  </si>
  <si>
    <t>3329053273</t>
  </si>
  <si>
    <t>1091700000039</t>
  </si>
  <si>
    <t>1701045227</t>
  </si>
  <si>
    <t>1084900000140</t>
  </si>
  <si>
    <t>4908010988</t>
  </si>
  <si>
    <t>1023400015132</t>
  </si>
  <si>
    <t>3444057090</t>
  </si>
  <si>
    <t>1026500002319</t>
  </si>
  <si>
    <t>6509004873</t>
  </si>
  <si>
    <t>1064401015293</t>
  </si>
  <si>
    <t>4401062178</t>
  </si>
  <si>
    <t>1143850003054</t>
  </si>
  <si>
    <t>3808233668</t>
  </si>
  <si>
    <t>1100200003584</t>
  </si>
  <si>
    <t>0274990303</t>
  </si>
  <si>
    <t>1091000000211</t>
  </si>
  <si>
    <t>1001019550</t>
  </si>
  <si>
    <t>1163850087741</t>
  </si>
  <si>
    <t>3816027531</t>
  </si>
  <si>
    <t>1076500001390</t>
  </si>
  <si>
    <t>6504004848</t>
  </si>
  <si>
    <t>1107400001500</t>
  </si>
  <si>
    <t>7445047246</t>
  </si>
  <si>
    <t>1071200000310</t>
  </si>
  <si>
    <t>1215122138</t>
  </si>
  <si>
    <t>1037800064598</t>
  </si>
  <si>
    <t>7801177299</t>
  </si>
  <si>
    <t>1077800020187</t>
  </si>
  <si>
    <t>7810330088</t>
  </si>
  <si>
    <t>1161690179254</t>
  </si>
  <si>
    <t>1633006890</t>
  </si>
  <si>
    <t>1037816024454</t>
  </si>
  <si>
    <t>7806046780</t>
  </si>
  <si>
    <t>1051100570135</t>
  </si>
  <si>
    <t>1101500330</t>
  </si>
  <si>
    <t>1030204613460</t>
  </si>
  <si>
    <t>0278064906</t>
  </si>
  <si>
    <t>1065048001138</t>
  </si>
  <si>
    <t>5048092658</t>
  </si>
  <si>
    <t>1026402672317</t>
  </si>
  <si>
    <t>6452032337</t>
  </si>
  <si>
    <t>1034593000881</t>
  </si>
  <si>
    <t>4501003056</t>
  </si>
  <si>
    <t>1137800002152</t>
  </si>
  <si>
    <t>7801351099</t>
  </si>
  <si>
    <t>1027400001386</t>
  </si>
  <si>
    <t>7445040057</t>
  </si>
  <si>
    <t>1022402487623</t>
  </si>
  <si>
    <t>2465026189</t>
  </si>
  <si>
    <t>1137800006068</t>
  </si>
  <si>
    <t>7813291655</t>
  </si>
  <si>
    <t>1085500000948</t>
  </si>
  <si>
    <t>5504133640</t>
  </si>
  <si>
    <t>1151690083467</t>
  </si>
  <si>
    <t>1650316860</t>
  </si>
  <si>
    <t>1135543009942</t>
  </si>
  <si>
    <t>5503240992</t>
  </si>
  <si>
    <t>1071300002575</t>
  </si>
  <si>
    <t>1326203086</t>
  </si>
  <si>
    <t>1152300002172</t>
  </si>
  <si>
    <t>2320232043</t>
  </si>
  <si>
    <t>1061600052271</t>
  </si>
  <si>
    <t>1655066318</t>
  </si>
  <si>
    <t>1097800001287</t>
  </si>
  <si>
    <t>7814159875</t>
  </si>
  <si>
    <t>1107800009063</t>
  </si>
  <si>
    <t>7811155216</t>
  </si>
  <si>
    <t>1083600000626</t>
  </si>
  <si>
    <t>3662121718</t>
  </si>
  <si>
    <t>1157800003305</t>
  </si>
  <si>
    <t>7843004107</t>
  </si>
  <si>
    <t>1077800009671</t>
  </si>
  <si>
    <t>7840017683</t>
  </si>
  <si>
    <t>1080200001200</t>
  </si>
  <si>
    <t>0276114069</t>
  </si>
  <si>
    <t>1024600004384</t>
  </si>
  <si>
    <t>4633006208</t>
  </si>
  <si>
    <t>1036303399890</t>
  </si>
  <si>
    <t>6318134695</t>
  </si>
  <si>
    <t>1133256002329</t>
  </si>
  <si>
    <t>3257001467</t>
  </si>
  <si>
    <t>1033600028758</t>
  </si>
  <si>
    <t>3664027541</t>
  </si>
  <si>
    <t>1035010550904</t>
  </si>
  <si>
    <t>5052012944</t>
  </si>
  <si>
    <t>1051653034663</t>
  </si>
  <si>
    <t>1621002926</t>
  </si>
  <si>
    <t>1023102262336</t>
  </si>
  <si>
    <t>3127050576</t>
  </si>
  <si>
    <t>1132300005815</t>
  </si>
  <si>
    <t>2337980230</t>
  </si>
  <si>
    <t>1024840825250</t>
  </si>
  <si>
    <t>4823014990</t>
  </si>
  <si>
    <t>1133600001732</t>
  </si>
  <si>
    <t>3611999053</t>
  </si>
  <si>
    <t>1036601225979</t>
  </si>
  <si>
    <t>6623011717</t>
  </si>
  <si>
    <t>1085000005573</t>
  </si>
  <si>
    <t>5007067620</t>
  </si>
  <si>
    <t>1106300004106</t>
  </si>
  <si>
    <t>6312100019</t>
  </si>
  <si>
    <t>1123850013220</t>
  </si>
  <si>
    <t>3811159421</t>
  </si>
  <si>
    <t>1035000012035</t>
  </si>
  <si>
    <t>5036045607</t>
  </si>
  <si>
    <t>1023800519764</t>
  </si>
  <si>
    <t>3801038964</t>
  </si>
  <si>
    <t>1116800001922</t>
  </si>
  <si>
    <t>6829910203</t>
  </si>
  <si>
    <t>1097800005709</t>
  </si>
  <si>
    <t>7802236613</t>
  </si>
  <si>
    <t>1113850051655</t>
  </si>
  <si>
    <t>3849018853</t>
  </si>
  <si>
    <t>1137400002255</t>
  </si>
  <si>
    <t>7453991271</t>
  </si>
  <si>
    <t>1131900000022</t>
  </si>
  <si>
    <t>1901100891</t>
  </si>
  <si>
    <t>1096600002454</t>
  </si>
  <si>
    <t>6604024848</t>
  </si>
  <si>
    <t>1087800004830</t>
  </si>
  <si>
    <t>7841016386</t>
  </si>
  <si>
    <t>1085400003248</t>
  </si>
  <si>
    <t>5433175578</t>
  </si>
  <si>
    <t>1032500010245</t>
  </si>
  <si>
    <t>2511044354</t>
  </si>
  <si>
    <t>1151800000032</t>
  </si>
  <si>
    <t>1840034575</t>
  </si>
  <si>
    <t>1074700000792</t>
  </si>
  <si>
    <t>4705037462</t>
  </si>
  <si>
    <t>1077200003176</t>
  </si>
  <si>
    <t>7203198574</t>
  </si>
  <si>
    <t>1021200786397</t>
  </si>
  <si>
    <t>1215080512</t>
  </si>
  <si>
    <t>1167800051957</t>
  </si>
  <si>
    <t>7842107692</t>
  </si>
  <si>
    <t>1065400045270</t>
  </si>
  <si>
    <t>5408247959</t>
  </si>
  <si>
    <t>1114100001201</t>
  </si>
  <si>
    <t>4101995470</t>
  </si>
  <si>
    <t>1115100000872</t>
  </si>
  <si>
    <t>5190995488</t>
  </si>
  <si>
    <t>1167800050923</t>
  </si>
  <si>
    <t>7807113372</t>
  </si>
  <si>
    <t>1137300000122</t>
  </si>
  <si>
    <t>7326999197</t>
  </si>
  <si>
    <t>1166313108092</t>
  </si>
  <si>
    <t>6324072905</t>
  </si>
  <si>
    <t>1157800005220</t>
  </si>
  <si>
    <t>7802550570</t>
  </si>
  <si>
    <t>1051100455955</t>
  </si>
  <si>
    <t>1101500065</t>
  </si>
  <si>
    <t>1064100000469</t>
  </si>
  <si>
    <t>4101106650</t>
  </si>
  <si>
    <t>1067800033135</t>
  </si>
  <si>
    <t>7813202510</t>
  </si>
  <si>
    <t>1120200003703</t>
  </si>
  <si>
    <t>0278991481</t>
  </si>
  <si>
    <t>1107800003530</t>
  </si>
  <si>
    <t>7842014906</t>
  </si>
  <si>
    <t>1105000000600</t>
  </si>
  <si>
    <t>5027158749</t>
  </si>
  <si>
    <t>1147800000820</t>
  </si>
  <si>
    <t>7839291226</t>
  </si>
  <si>
    <t>1147800001381</t>
  </si>
  <si>
    <t>7814291601</t>
  </si>
  <si>
    <t>1037858027591</t>
  </si>
  <si>
    <t>7810397727</t>
  </si>
  <si>
    <t>1077800029460</t>
  </si>
  <si>
    <t>7805303064</t>
  </si>
  <si>
    <t>1022300003153</t>
  </si>
  <si>
    <t>2315083540</t>
  </si>
  <si>
    <t>1024000947145</t>
  </si>
  <si>
    <t>4025056764</t>
  </si>
  <si>
    <t>1057812685369</t>
  </si>
  <si>
    <t>7816375060</t>
  </si>
  <si>
    <t>1037858011179</t>
  </si>
  <si>
    <t>7801166297</t>
  </si>
  <si>
    <t>1145958018910</t>
  </si>
  <si>
    <t>5906997908</t>
  </si>
  <si>
    <t>1054217119131</t>
  </si>
  <si>
    <t>4217078899</t>
  </si>
  <si>
    <t>1023000868362</t>
  </si>
  <si>
    <t>3015035386</t>
  </si>
  <si>
    <t>1023000842480</t>
  </si>
  <si>
    <t>3015037070</t>
  </si>
  <si>
    <t>1022400015923</t>
  </si>
  <si>
    <t>2452020870</t>
  </si>
  <si>
    <t>1023800007758</t>
  </si>
  <si>
    <t>3812052907</t>
  </si>
  <si>
    <t>1052600805586</t>
  </si>
  <si>
    <t>2631027343</t>
  </si>
  <si>
    <t>1033600054201</t>
  </si>
  <si>
    <t>3665033202</t>
  </si>
  <si>
    <t>1152300001853</t>
  </si>
  <si>
    <t>2309146577</t>
  </si>
  <si>
    <t>1086300002117</t>
  </si>
  <si>
    <t>6318171560</t>
  </si>
  <si>
    <t>1037858007153</t>
  </si>
  <si>
    <t>7826700665</t>
  </si>
  <si>
    <t>1037843131886</t>
  </si>
  <si>
    <t>7825414171</t>
  </si>
  <si>
    <t>1067847065660</t>
  </si>
  <si>
    <t>7840331064</t>
  </si>
  <si>
    <t>1027200003192</t>
  </si>
  <si>
    <t>7202077320</t>
  </si>
  <si>
    <t>1036605609402</t>
  </si>
  <si>
    <t>6658068626</t>
  </si>
  <si>
    <t>1025203031260</t>
  </si>
  <si>
    <t>5260054053</t>
  </si>
  <si>
    <t>1116200001213</t>
  </si>
  <si>
    <t>6234990234</t>
  </si>
  <si>
    <t>1137800000326</t>
  </si>
  <si>
    <t>7813291221</t>
  </si>
  <si>
    <t>1155476046296</t>
  </si>
  <si>
    <t>5451000080</t>
  </si>
  <si>
    <t>1086600001795</t>
  </si>
  <si>
    <t>6670210124</t>
  </si>
  <si>
    <t>1145543041687</t>
  </si>
  <si>
    <t>5507251089</t>
  </si>
  <si>
    <t>1104400000100</t>
  </si>
  <si>
    <t>4401106756</t>
  </si>
  <si>
    <t>1122500001030</t>
  </si>
  <si>
    <t>2511990200</t>
  </si>
  <si>
    <t>1143600001170</t>
  </si>
  <si>
    <t>3604999180</t>
  </si>
  <si>
    <t>1137400001111</t>
  </si>
  <si>
    <t>7460990208</t>
  </si>
  <si>
    <t>1036405002358</t>
  </si>
  <si>
    <t>6450037643</t>
  </si>
  <si>
    <t>1042307188681</t>
  </si>
  <si>
    <t>2312115804</t>
  </si>
  <si>
    <t>1090600000138</t>
  </si>
  <si>
    <t>0608012458</t>
  </si>
  <si>
    <t>1055445043070</t>
  </si>
  <si>
    <t>5445121111</t>
  </si>
  <si>
    <t>1022400007475</t>
  </si>
  <si>
    <t>2464019862</t>
  </si>
  <si>
    <t>1025402486185</t>
  </si>
  <si>
    <t>5406183562</t>
  </si>
  <si>
    <t>1165543065423</t>
  </si>
  <si>
    <t>5506136171</t>
  </si>
  <si>
    <t>1151600002421</t>
  </si>
  <si>
    <t>1657198207</t>
  </si>
  <si>
    <t>1159102042660</t>
  </si>
  <si>
    <t>9102165640</t>
  </si>
  <si>
    <t>1117800018270</t>
  </si>
  <si>
    <t>7813290468</t>
  </si>
  <si>
    <t>1025200015830</t>
  </si>
  <si>
    <t>5250018232</t>
  </si>
  <si>
    <t>1155543033458</t>
  </si>
  <si>
    <t>5528031581</t>
  </si>
  <si>
    <t>1037800015384</t>
  </si>
  <si>
    <t>7801167734</t>
  </si>
  <si>
    <t>1123100000869</t>
  </si>
  <si>
    <t>3123231564</t>
  </si>
  <si>
    <t>1153025007321</t>
  </si>
  <si>
    <t>3025017266</t>
  </si>
  <si>
    <t>1037858007252</t>
  </si>
  <si>
    <t>7802084181</t>
  </si>
  <si>
    <t>1057813261076</t>
  </si>
  <si>
    <t>7839326359</t>
  </si>
  <si>
    <t>1156952016374</t>
  </si>
  <si>
    <t>6950038571</t>
  </si>
  <si>
    <t>1146400002583</t>
  </si>
  <si>
    <t>6455999429</t>
  </si>
  <si>
    <t>1044315502417</t>
  </si>
  <si>
    <t>4329008970</t>
  </si>
  <si>
    <t>1158900000269</t>
  </si>
  <si>
    <t>8911007460</t>
  </si>
  <si>
    <t>1120500000323</t>
  </si>
  <si>
    <t>0571000615</t>
  </si>
  <si>
    <t>1027801575537</t>
  </si>
  <si>
    <t>7802161679</t>
  </si>
  <si>
    <t>1023301285248</t>
  </si>
  <si>
    <t>3327814941</t>
  </si>
  <si>
    <t>1155200002704</t>
  </si>
  <si>
    <t>5250064045</t>
  </si>
  <si>
    <t>1035000020220</t>
  </si>
  <si>
    <t>5029012544</t>
  </si>
  <si>
    <t>1046300665674</t>
  </si>
  <si>
    <t>6317051118</t>
  </si>
  <si>
    <t>1022701133443</t>
  </si>
  <si>
    <t>2722030128</t>
  </si>
  <si>
    <t>1022100001131</t>
  </si>
  <si>
    <t>2124013736</t>
  </si>
  <si>
    <t>1025900001368</t>
  </si>
  <si>
    <t>5908004859</t>
  </si>
  <si>
    <t>1023302151850</t>
  </si>
  <si>
    <t>3307019078</t>
  </si>
  <si>
    <t>1022301432130</t>
  </si>
  <si>
    <t>2309075291</t>
  </si>
  <si>
    <t>1037400000604</t>
  </si>
  <si>
    <t>7448020490</t>
  </si>
  <si>
    <t>1031659011801</t>
  </si>
  <si>
    <t>1653018358</t>
  </si>
  <si>
    <t>1126200001730</t>
  </si>
  <si>
    <t>6205990021</t>
  </si>
  <si>
    <t>1137800011711</t>
  </si>
  <si>
    <t>7839291177</t>
  </si>
  <si>
    <t>1066300013680</t>
  </si>
  <si>
    <t>6319132690</t>
  </si>
  <si>
    <t>1035005012460</t>
  </si>
  <si>
    <t>5027066992</t>
  </si>
  <si>
    <t>1037843071485</t>
  </si>
  <si>
    <t>7825108777</t>
  </si>
  <si>
    <t>1154300000161</t>
  </si>
  <si>
    <t>4345415490</t>
  </si>
  <si>
    <t>1113800000588</t>
  </si>
  <si>
    <t>3811150549</t>
  </si>
  <si>
    <t>1125000001994</t>
  </si>
  <si>
    <t>5040998377</t>
  </si>
  <si>
    <t>1167800055246</t>
  </si>
  <si>
    <t>7811625493</t>
  </si>
  <si>
    <t>1147800005506</t>
  </si>
  <si>
    <t>7843290264</t>
  </si>
  <si>
    <t>1149102040141</t>
  </si>
  <si>
    <t>9102024945</t>
  </si>
  <si>
    <t>1107800003024</t>
  </si>
  <si>
    <t>7842014832</t>
  </si>
  <si>
    <t>1085200000160</t>
  </si>
  <si>
    <t>5256075759</t>
  </si>
  <si>
    <t>1087800001190</t>
  </si>
  <si>
    <t>7817047217</t>
  </si>
  <si>
    <t>1045006101480</t>
  </si>
  <si>
    <t>5031044230</t>
  </si>
  <si>
    <t>1033200005871</t>
  </si>
  <si>
    <t>3234045651</t>
  </si>
  <si>
    <t>1023600014569</t>
  </si>
  <si>
    <t>3662069063</t>
  </si>
  <si>
    <t>1027100008891</t>
  </si>
  <si>
    <t>7107061175</t>
  </si>
  <si>
    <t>1065400042498</t>
  </si>
  <si>
    <t>5402466954</t>
  </si>
  <si>
    <t>1142300004362</t>
  </si>
  <si>
    <t>2360980422</t>
  </si>
  <si>
    <t>1120200000491</t>
  </si>
  <si>
    <t>0277985622</t>
  </si>
  <si>
    <t>1147800001436</t>
  </si>
  <si>
    <t>7801351677</t>
  </si>
  <si>
    <t>1127800013428</t>
  </si>
  <si>
    <t>7813291140</t>
  </si>
  <si>
    <t>1151400000025</t>
  </si>
  <si>
    <t>1424009070</t>
  </si>
  <si>
    <t>1056414901608</t>
  </si>
  <si>
    <t>6449033764</t>
  </si>
  <si>
    <t>1153850018926</t>
  </si>
  <si>
    <t>3814023235</t>
  </si>
  <si>
    <t>1094700001769</t>
  </si>
  <si>
    <t>4704082254</t>
  </si>
  <si>
    <t>1037821022161</t>
  </si>
  <si>
    <t>7810141316</t>
  </si>
  <si>
    <t>1166313122172</t>
  </si>
  <si>
    <t>6312164284</t>
  </si>
  <si>
    <t>1156100000077</t>
  </si>
  <si>
    <t>6136016087</t>
  </si>
  <si>
    <t>1156733022270</t>
  </si>
  <si>
    <t>6732116540</t>
  </si>
  <si>
    <t>1105100000015</t>
  </si>
  <si>
    <t>5103111640</t>
  </si>
  <si>
    <t>1023404358086</t>
  </si>
  <si>
    <t>3448025324</t>
  </si>
  <si>
    <t>1126000000301</t>
  </si>
  <si>
    <t>6027998429</t>
  </si>
  <si>
    <t>Общественные организации</t>
  </si>
  <si>
    <t>1137800009269</t>
  </si>
  <si>
    <t>7805340940</t>
  </si>
  <si>
    <t>1086700000090</t>
  </si>
  <si>
    <t>6731067523</t>
  </si>
  <si>
    <t>1159102084130</t>
  </si>
  <si>
    <t>9102180341</t>
  </si>
  <si>
    <t>1163850087785</t>
  </si>
  <si>
    <t>3827052000</t>
  </si>
  <si>
    <t>1107400002841</t>
  </si>
  <si>
    <t>7422046310</t>
  </si>
  <si>
    <t>1097400000873</t>
  </si>
  <si>
    <t>7415065463</t>
  </si>
  <si>
    <t>1025901511426</t>
  </si>
  <si>
    <t>5907021611</t>
  </si>
  <si>
    <t>1070200000650</t>
  </si>
  <si>
    <t>0278134021</t>
  </si>
  <si>
    <t>1107800000076</t>
  </si>
  <si>
    <t>7814160292</t>
  </si>
  <si>
    <t>1110700000696</t>
  </si>
  <si>
    <t>0725990203</t>
  </si>
  <si>
    <t>1122468019266</t>
  </si>
  <si>
    <t>2462220660</t>
  </si>
  <si>
    <t>1126600002341</t>
  </si>
  <si>
    <t>6670993595</t>
  </si>
  <si>
    <t>1147800005693</t>
  </si>
  <si>
    <t>7806291076</t>
  </si>
  <si>
    <t>1057806315820</t>
  </si>
  <si>
    <t>7805302568</t>
  </si>
  <si>
    <t>1037858015425</t>
  </si>
  <si>
    <t>7825407329</t>
  </si>
  <si>
    <t>1057810064762</t>
  </si>
  <si>
    <t>7811313550</t>
  </si>
  <si>
    <t>Ликвидируется</t>
  </si>
  <si>
    <t>1116300000343</t>
  </si>
  <si>
    <t>6372015544</t>
  </si>
  <si>
    <t>1086300003657</t>
  </si>
  <si>
    <t>6312085530</t>
  </si>
  <si>
    <t>1117300000740</t>
  </si>
  <si>
    <t>7328998512</t>
  </si>
  <si>
    <t>1095900002395</t>
  </si>
  <si>
    <t>5918840450</t>
  </si>
  <si>
    <t>1076600011146</t>
  </si>
  <si>
    <t>6623044180</t>
  </si>
  <si>
    <t>1111800000146</t>
  </si>
  <si>
    <t>1831145230</t>
  </si>
  <si>
    <t>1077000000505</t>
  </si>
  <si>
    <t>7017175594</t>
  </si>
  <si>
    <t>1132900000892</t>
  </si>
  <si>
    <t>2983998957</t>
  </si>
  <si>
    <t>1145658024060</t>
  </si>
  <si>
    <t>5611071614</t>
  </si>
  <si>
    <t>1025001630631</t>
  </si>
  <si>
    <t>5013038071</t>
  </si>
  <si>
    <t>1026201270347</t>
  </si>
  <si>
    <t>6231047688</t>
  </si>
  <si>
    <t>1177154005390</t>
  </si>
  <si>
    <t>7112028511</t>
  </si>
  <si>
    <t>1135200002321</t>
  </si>
  <si>
    <t>5260986585</t>
  </si>
  <si>
    <t>1065262084711</t>
  </si>
  <si>
    <t>5262149039</t>
  </si>
  <si>
    <t>1122500002019</t>
  </si>
  <si>
    <t>2508993507</t>
  </si>
  <si>
    <t>1116600003849</t>
  </si>
  <si>
    <t>6679996047</t>
  </si>
  <si>
    <t>1086100000117</t>
  </si>
  <si>
    <t>6166064480</t>
  </si>
  <si>
    <t>1093100001060</t>
  </si>
  <si>
    <t>3123198910</t>
  </si>
  <si>
    <t>1165658055155</t>
  </si>
  <si>
    <t>5614075712</t>
  </si>
  <si>
    <t>1133100001539</t>
  </si>
  <si>
    <t>3123232582</t>
  </si>
  <si>
    <t>1113200000759</t>
  </si>
  <si>
    <t>3250690232</t>
  </si>
  <si>
    <t>1037832029432</t>
  </si>
  <si>
    <t>7814140480</t>
  </si>
  <si>
    <t>1143300000546</t>
  </si>
  <si>
    <t>3327999844</t>
  </si>
  <si>
    <t>1161690055174</t>
  </si>
  <si>
    <t>1651076763</t>
  </si>
  <si>
    <t>1034701420489</t>
  </si>
  <si>
    <t>4707012150</t>
  </si>
  <si>
    <t>1023801754437</t>
  </si>
  <si>
    <t>3812072639</t>
  </si>
  <si>
    <t>1156313048528</t>
  </si>
  <si>
    <t>6321391967</t>
  </si>
  <si>
    <t>1137800004429</t>
  </si>
  <si>
    <t>7807290364</t>
  </si>
  <si>
    <t>1036605604881</t>
  </si>
  <si>
    <t>6663068766</t>
  </si>
  <si>
    <t>1149102042187</t>
  </si>
  <si>
    <t>9102025900</t>
  </si>
  <si>
    <t>1145476007258</t>
  </si>
  <si>
    <t>5406771081</t>
  </si>
  <si>
    <t>1135200003180</t>
  </si>
  <si>
    <t>5243995220</t>
  </si>
  <si>
    <t>1043800520081</t>
  </si>
  <si>
    <t>3801070439</t>
  </si>
  <si>
    <t>1156400000261</t>
  </si>
  <si>
    <t>6439087513</t>
  </si>
  <si>
    <t>1133850000030</t>
  </si>
  <si>
    <t>3851998494</t>
  </si>
  <si>
    <t>1025902035411</t>
  </si>
  <si>
    <t>5920015705</t>
  </si>
  <si>
    <t>1142300000204</t>
  </si>
  <si>
    <t>2319980196</t>
  </si>
  <si>
    <t>1033802009009</t>
  </si>
  <si>
    <t>3817023949</t>
  </si>
  <si>
    <t>1045207474663</t>
  </si>
  <si>
    <t>5260139846</t>
  </si>
  <si>
    <t>1035204620395</t>
  </si>
  <si>
    <t>5262122904</t>
  </si>
  <si>
    <t>1037200001618</t>
  </si>
  <si>
    <t>7203111527</t>
  </si>
  <si>
    <t>1025200019130</t>
  </si>
  <si>
    <t>5259034800</t>
  </si>
  <si>
    <t>1075900005070</t>
  </si>
  <si>
    <t>5911053077</t>
  </si>
  <si>
    <t>1115543040282</t>
  </si>
  <si>
    <t>5503231405</t>
  </si>
  <si>
    <t>1086300003954</t>
  </si>
  <si>
    <t>6321221901</t>
  </si>
  <si>
    <t>1093800002548</t>
  </si>
  <si>
    <t>3811127860</t>
  </si>
  <si>
    <t>1036200003696</t>
  </si>
  <si>
    <t>6231013015</t>
  </si>
  <si>
    <t>1083800002835</t>
  </si>
  <si>
    <t>3834014126</t>
  </si>
  <si>
    <t>1075400003997</t>
  </si>
  <si>
    <t>5408253737</t>
  </si>
  <si>
    <t>1027000001511</t>
  </si>
  <si>
    <t>7018040085</t>
  </si>
  <si>
    <t>1052442011368</t>
  </si>
  <si>
    <t>2442010513</t>
  </si>
  <si>
    <t>1057811912960</t>
  </si>
  <si>
    <t>7811324383</t>
  </si>
  <si>
    <t>1076300002646</t>
  </si>
  <si>
    <t>6357080683</t>
  </si>
  <si>
    <t>1023100018116</t>
  </si>
  <si>
    <t>3124008287</t>
  </si>
  <si>
    <t>1127800002880</t>
  </si>
  <si>
    <t>7806290241</t>
  </si>
  <si>
    <t>1036920000688</t>
  </si>
  <si>
    <t>6913008730</t>
  </si>
  <si>
    <t>1035615372869</t>
  </si>
  <si>
    <t>5638021610</t>
  </si>
  <si>
    <t>1026402000844</t>
  </si>
  <si>
    <t>6449024738</t>
  </si>
  <si>
    <t>1027810302684</t>
  </si>
  <si>
    <t>7826010968</t>
  </si>
  <si>
    <t>1167800051583</t>
  </si>
  <si>
    <t>7816325863</t>
  </si>
  <si>
    <t>1063800024254</t>
  </si>
  <si>
    <t>3808149173</t>
  </si>
  <si>
    <t>1022400012271</t>
  </si>
  <si>
    <t>2463047144</t>
  </si>
  <si>
    <t>1025800000874</t>
  </si>
  <si>
    <t>5836113165</t>
  </si>
  <si>
    <t>1091400001660</t>
  </si>
  <si>
    <t>1401280780</t>
  </si>
  <si>
    <t>1067800032112</t>
  </si>
  <si>
    <t>7816236959</t>
  </si>
  <si>
    <t>1067800031947</t>
  </si>
  <si>
    <t>7816236910</t>
  </si>
  <si>
    <t>1037858013654</t>
  </si>
  <si>
    <t>7826031407</t>
  </si>
  <si>
    <t>1024000958464</t>
  </si>
  <si>
    <t>4025055560</t>
  </si>
  <si>
    <t>1063100000480</t>
  </si>
  <si>
    <t>3105003685</t>
  </si>
  <si>
    <t>1031659006356</t>
  </si>
  <si>
    <t>1655043705</t>
  </si>
  <si>
    <t>1055400013900</t>
  </si>
  <si>
    <t>5410002258</t>
  </si>
  <si>
    <t>1116600001275</t>
  </si>
  <si>
    <t>6672994509</t>
  </si>
  <si>
    <t>1137400002123</t>
  </si>
  <si>
    <t>7430990200</t>
  </si>
  <si>
    <t>1020300003492</t>
  </si>
  <si>
    <t>0323109446</t>
  </si>
  <si>
    <t>1037804081050</t>
  </si>
  <si>
    <t>7802224784</t>
  </si>
  <si>
    <t>1026400002606</t>
  </si>
  <si>
    <t>6450032589</t>
  </si>
  <si>
    <t>1054003514718</t>
  </si>
  <si>
    <t>4018008110</t>
  </si>
  <si>
    <t>1038600500784</t>
  </si>
  <si>
    <t>8602210779</t>
  </si>
  <si>
    <t>1177800002247</t>
  </si>
  <si>
    <t>7816640784</t>
  </si>
  <si>
    <t>1087000001692</t>
  </si>
  <si>
    <t>7017228221</t>
  </si>
  <si>
    <t>1024600000810</t>
  </si>
  <si>
    <t>4629052794</t>
  </si>
  <si>
    <t>1035500008774</t>
  </si>
  <si>
    <t>5507056560</t>
  </si>
  <si>
    <t>1045500003042</t>
  </si>
  <si>
    <t>5504060110</t>
  </si>
  <si>
    <t>1077800023069</t>
  </si>
  <si>
    <t>7806159688</t>
  </si>
  <si>
    <t>1102700001777</t>
  </si>
  <si>
    <t>2723134722</t>
  </si>
  <si>
    <t>1105700000230</t>
  </si>
  <si>
    <t>5754009364</t>
  </si>
  <si>
    <t>1021602856615</t>
  </si>
  <si>
    <t>1655032929</t>
  </si>
  <si>
    <t>1035000023519</t>
  </si>
  <si>
    <t>5039000690</t>
  </si>
  <si>
    <t>1027401865193</t>
  </si>
  <si>
    <t>7438015028</t>
  </si>
  <si>
    <t>1166234060981</t>
  </si>
  <si>
    <t>6230097284</t>
  </si>
  <si>
    <t>1095000002932</t>
  </si>
  <si>
    <t>5034037304</t>
  </si>
  <si>
    <t>1085000006816</t>
  </si>
  <si>
    <t>5001070095</t>
  </si>
  <si>
    <t>1156313008224</t>
  </si>
  <si>
    <t>6316208292</t>
  </si>
  <si>
    <t>1124700000050</t>
  </si>
  <si>
    <t>4703470286</t>
  </si>
  <si>
    <t>1131800000122</t>
  </si>
  <si>
    <t>1831155118</t>
  </si>
  <si>
    <t>1137800006398</t>
  </si>
  <si>
    <t>7806290756</t>
  </si>
  <si>
    <t>1037858009276</t>
  </si>
  <si>
    <t>7802072605</t>
  </si>
  <si>
    <t>1072600000582</t>
  </si>
  <si>
    <t>2634074687</t>
  </si>
  <si>
    <t>1085500000156</t>
  </si>
  <si>
    <t>5506074366</t>
  </si>
  <si>
    <t>1045500004989</t>
  </si>
  <si>
    <t>5503083813</t>
  </si>
  <si>
    <t>1165543056117</t>
  </si>
  <si>
    <t>5507137160</t>
  </si>
  <si>
    <t>1025500004177</t>
  </si>
  <si>
    <t>5502048968</t>
  </si>
  <si>
    <t>1035500012811</t>
  </si>
  <si>
    <t>5503077129</t>
  </si>
  <si>
    <t>1032602095250</t>
  </si>
  <si>
    <t>2636002134</t>
  </si>
  <si>
    <t>1166234069110</t>
  </si>
  <si>
    <t>6226012954</t>
  </si>
  <si>
    <t>1067400009390</t>
  </si>
  <si>
    <t>7453161785</t>
  </si>
  <si>
    <t>1075500003105</t>
  </si>
  <si>
    <t>5501110525</t>
  </si>
  <si>
    <t>1043000710323</t>
  </si>
  <si>
    <t>3015066909</t>
  </si>
  <si>
    <t>1022302940978</t>
  </si>
  <si>
    <t>2320104732</t>
  </si>
  <si>
    <t>1042306428966</t>
  </si>
  <si>
    <t>2311075789</t>
  </si>
  <si>
    <t>1046758319893</t>
  </si>
  <si>
    <t>6731047076</t>
  </si>
  <si>
    <t>1036301117324</t>
  </si>
  <si>
    <t>6321129134</t>
  </si>
  <si>
    <t>1147232000057</t>
  </si>
  <si>
    <t>7203302747</t>
  </si>
  <si>
    <t>1025203048023</t>
  </si>
  <si>
    <t>5263026618</t>
  </si>
  <si>
    <t>1027800000854</t>
  </si>
  <si>
    <t>7811060324</t>
  </si>
  <si>
    <t>1035600000149</t>
  </si>
  <si>
    <t>5610074267</t>
  </si>
  <si>
    <t>1146100002399</t>
  </si>
  <si>
    <t>6111021215</t>
  </si>
  <si>
    <t>1125543045594</t>
  </si>
  <si>
    <t>5507232826</t>
  </si>
  <si>
    <t>1125543013750</t>
  </si>
  <si>
    <t>5507229742</t>
  </si>
  <si>
    <t>1025700000809</t>
  </si>
  <si>
    <t>5752030096</t>
  </si>
  <si>
    <t>1105500001265</t>
  </si>
  <si>
    <t>5504144191</t>
  </si>
  <si>
    <t>1121000000109</t>
  </si>
  <si>
    <t>1001990659</t>
  </si>
  <si>
    <t>1160280056232</t>
  </si>
  <si>
    <t>0272902492</t>
  </si>
  <si>
    <t>1037843031137</t>
  </si>
  <si>
    <t>7825467141</t>
  </si>
  <si>
    <t>1107800010669</t>
  </si>
  <si>
    <t>7813205230</t>
  </si>
  <si>
    <t>1117800009029</t>
  </si>
  <si>
    <t>7842290134</t>
  </si>
  <si>
    <t>1152651029013</t>
  </si>
  <si>
    <t>2628057010</t>
  </si>
  <si>
    <t>1107800003750</t>
  </si>
  <si>
    <t>7840019120</t>
  </si>
  <si>
    <t>1116400003763</t>
  </si>
  <si>
    <t>6449999646</t>
  </si>
  <si>
    <t>1052700270710</t>
  </si>
  <si>
    <t>2724086091</t>
  </si>
  <si>
    <t>1092400002782</t>
  </si>
  <si>
    <t>2464115661</t>
  </si>
  <si>
    <t>1047407010265</t>
  </si>
  <si>
    <t>7415042811</t>
  </si>
  <si>
    <t>1027600010350</t>
  </si>
  <si>
    <t>7614004120</t>
  </si>
  <si>
    <t>1020202550884</t>
  </si>
  <si>
    <t>0274076690</t>
  </si>
  <si>
    <t>1103800000721</t>
  </si>
  <si>
    <t>3818027569</t>
  </si>
  <si>
    <t>1127400001783</t>
  </si>
  <si>
    <t>7456990131</t>
  </si>
  <si>
    <t>1057813215888</t>
  </si>
  <si>
    <t>7811333638</t>
  </si>
  <si>
    <t>1095200000895</t>
  </si>
  <si>
    <t>5260248549</t>
  </si>
  <si>
    <t>1027809239116</t>
  </si>
  <si>
    <t>7825492476</t>
  </si>
  <si>
    <t>1117800001780</t>
  </si>
  <si>
    <t>7801270139</t>
  </si>
  <si>
    <t>1033918508612</t>
  </si>
  <si>
    <t>3906093779</t>
  </si>
  <si>
    <t>1027800011909</t>
  </si>
  <si>
    <t>7815020114</t>
  </si>
  <si>
    <t>1122468072320</t>
  </si>
  <si>
    <t>2460243415</t>
  </si>
  <si>
    <t>1034900293670</t>
  </si>
  <si>
    <t>4900007870</t>
  </si>
  <si>
    <t>1105200004282</t>
  </si>
  <si>
    <t>5236008225</t>
  </si>
  <si>
    <t>1034100001693</t>
  </si>
  <si>
    <t>8202004676</t>
  </si>
  <si>
    <t>1142900000594</t>
  </si>
  <si>
    <t>2902990529</t>
  </si>
  <si>
    <t>1035400002550</t>
  </si>
  <si>
    <t>5408156733</t>
  </si>
  <si>
    <t>1037858006548</t>
  </si>
  <si>
    <t>7805166587</t>
  </si>
  <si>
    <t>1056400001140</t>
  </si>
  <si>
    <t>6450607773</t>
  </si>
  <si>
    <t>1035402465064</t>
  </si>
  <si>
    <t>5406233069</t>
  </si>
  <si>
    <t>1025200011462</t>
  </si>
  <si>
    <t>5260107058</t>
  </si>
  <si>
    <t>1147800002789</t>
  </si>
  <si>
    <t>7811291402</t>
  </si>
  <si>
    <t>1036000306803</t>
  </si>
  <si>
    <t>6027074882</t>
  </si>
  <si>
    <t>1110600000103</t>
  </si>
  <si>
    <t>0608016942</t>
  </si>
  <si>
    <t>1107800003156</t>
  </si>
  <si>
    <t>7805303890</t>
  </si>
  <si>
    <t>1042400005251</t>
  </si>
  <si>
    <t>2403006859</t>
  </si>
  <si>
    <t>1081600000921</t>
  </si>
  <si>
    <t>1661020671</t>
  </si>
  <si>
    <t>1058602080998</t>
  </si>
  <si>
    <t>8602211740</t>
  </si>
  <si>
    <t>1033800004171</t>
  </si>
  <si>
    <t>3808053457</t>
  </si>
  <si>
    <t>1165476057658</t>
  </si>
  <si>
    <t>5404028138</t>
  </si>
  <si>
    <t>1142300003130</t>
  </si>
  <si>
    <t>2301980653</t>
  </si>
  <si>
    <t>1107800003321</t>
  </si>
  <si>
    <t>7842014871</t>
  </si>
  <si>
    <t>1147400002090</t>
  </si>
  <si>
    <t>7447990914</t>
  </si>
  <si>
    <t>1147800005110</t>
  </si>
  <si>
    <t>7843290257</t>
  </si>
  <si>
    <t>1025800008200</t>
  </si>
  <si>
    <t>5836110774</t>
  </si>
  <si>
    <t>1052443001456</t>
  </si>
  <si>
    <t>2443024734</t>
  </si>
  <si>
    <t>1055400015450</t>
  </si>
  <si>
    <t>5409227056</t>
  </si>
  <si>
    <t>1036601476273</t>
  </si>
  <si>
    <t>6625024535</t>
  </si>
  <si>
    <t>1165300050046</t>
  </si>
  <si>
    <t>5320026550</t>
  </si>
  <si>
    <t>1026101942492</t>
  </si>
  <si>
    <t>6143047505</t>
  </si>
  <si>
    <t>1135900000378</t>
  </si>
  <si>
    <t>5905995111</t>
  </si>
  <si>
    <t>1134800000830</t>
  </si>
  <si>
    <t>4826090823</t>
  </si>
  <si>
    <t>1077800027183</t>
  </si>
  <si>
    <t>7816240289</t>
  </si>
  <si>
    <t>1036300115158</t>
  </si>
  <si>
    <t>6312049877</t>
  </si>
  <si>
    <t>1063800023429</t>
  </si>
  <si>
    <t>3811103242</t>
  </si>
  <si>
    <t>1045400002449</t>
  </si>
  <si>
    <t>5404227912</t>
  </si>
  <si>
    <t>1065500008936</t>
  </si>
  <si>
    <t>5501095845</t>
  </si>
  <si>
    <t>1057100005346</t>
  </si>
  <si>
    <t>7104047856</t>
  </si>
  <si>
    <t>1037858022806</t>
  </si>
  <si>
    <t>7805189369</t>
  </si>
  <si>
    <t>1045400003043</t>
  </si>
  <si>
    <t>5403171079</t>
  </si>
  <si>
    <t>1097800002123</t>
  </si>
  <si>
    <t>7813204109</t>
  </si>
  <si>
    <t>1077800025511</t>
  </si>
  <si>
    <t>7840017838</t>
  </si>
  <si>
    <t>1037858013270</t>
  </si>
  <si>
    <t>7801133372</t>
  </si>
  <si>
    <t>1162300051253</t>
  </si>
  <si>
    <t>2373010823</t>
  </si>
  <si>
    <t>1136400001121</t>
  </si>
  <si>
    <t>6444999995</t>
  </si>
  <si>
    <t>1121000000428</t>
  </si>
  <si>
    <t>1001990916</t>
  </si>
  <si>
    <t>1036303394082</t>
  </si>
  <si>
    <t>6315831320</t>
  </si>
  <si>
    <t>1044800154453</t>
  </si>
  <si>
    <t>4825037182</t>
  </si>
  <si>
    <t>1067847426899</t>
  </si>
  <si>
    <t>7814338240</t>
  </si>
  <si>
    <t>1087800004270</t>
  </si>
  <si>
    <t>7804182498</t>
  </si>
  <si>
    <t>1157800000071</t>
  </si>
  <si>
    <t>7814165928</t>
  </si>
  <si>
    <t>1021601628498</t>
  </si>
  <si>
    <t>1644018866</t>
  </si>
  <si>
    <t>1137154027636</t>
  </si>
  <si>
    <t>7103518809</t>
  </si>
  <si>
    <t>1083400006953</t>
  </si>
  <si>
    <t>3441034489</t>
  </si>
  <si>
    <t>1167800051902</t>
  </si>
  <si>
    <t>7813251420</t>
  </si>
  <si>
    <t>1163850097674</t>
  </si>
  <si>
    <t>3808197610</t>
  </si>
  <si>
    <t>1105400002091</t>
  </si>
  <si>
    <t>5451112362</t>
  </si>
  <si>
    <t>1167800055400</t>
  </si>
  <si>
    <t>7814670712</t>
  </si>
  <si>
    <t>1155000001771</t>
  </si>
  <si>
    <t>5075027560</t>
  </si>
  <si>
    <t>1027800007861</t>
  </si>
  <si>
    <t>7820028831</t>
  </si>
  <si>
    <t>1103300001485</t>
  </si>
  <si>
    <t>3329064317</t>
  </si>
  <si>
    <t>1133100001979</t>
  </si>
  <si>
    <t>3128970329</t>
  </si>
  <si>
    <t>1147800000941</t>
  </si>
  <si>
    <t>7842291473</t>
  </si>
  <si>
    <t>1081200000562</t>
  </si>
  <si>
    <t>1216017231</t>
  </si>
  <si>
    <t>1065200050035</t>
  </si>
  <si>
    <t>5249084833</t>
  </si>
  <si>
    <t>1143256009643</t>
  </si>
  <si>
    <t>3257019249</t>
  </si>
  <si>
    <t>1126000000500</t>
  </si>
  <si>
    <t>6027998524</t>
  </si>
  <si>
    <t>1131800001024</t>
  </si>
  <si>
    <t>1831155301</t>
  </si>
  <si>
    <t>1155000002695</t>
  </si>
  <si>
    <t>5001103833</t>
  </si>
  <si>
    <t>1162300050538</t>
  </si>
  <si>
    <t>2311208020</t>
  </si>
  <si>
    <t>1177800001807</t>
  </si>
  <si>
    <t>7813276880</t>
  </si>
  <si>
    <t>1137154022609</t>
  </si>
  <si>
    <t>7117503055</t>
  </si>
  <si>
    <t>1167800051561</t>
  </si>
  <si>
    <t>7840049572</t>
  </si>
  <si>
    <t>1162300050780</t>
  </si>
  <si>
    <t>2308229164</t>
  </si>
  <si>
    <t>1027600001824</t>
  </si>
  <si>
    <t>7627015930</t>
  </si>
  <si>
    <t>1150400000057</t>
  </si>
  <si>
    <t>0411171203</t>
  </si>
  <si>
    <t>1123600001854</t>
  </si>
  <si>
    <t>3605999030</t>
  </si>
  <si>
    <t>1037858006515</t>
  </si>
  <si>
    <t>7805193260</t>
  </si>
  <si>
    <t>1033692002960</t>
  </si>
  <si>
    <t>3664043141</t>
  </si>
  <si>
    <t>1147800000875</t>
  </si>
  <si>
    <t>7813291905</t>
  </si>
  <si>
    <t>1159102044375</t>
  </si>
  <si>
    <t>9101007707</t>
  </si>
  <si>
    <t>1027200829688</t>
  </si>
  <si>
    <t>7204014220</t>
  </si>
  <si>
    <t>1034302500099</t>
  </si>
  <si>
    <t>4322005441</t>
  </si>
  <si>
    <t>1055906295741</t>
  </si>
  <si>
    <t>5920022519</t>
  </si>
  <si>
    <t>1060500002243</t>
  </si>
  <si>
    <t>0561054026</t>
  </si>
  <si>
    <t>1151690096128</t>
  </si>
  <si>
    <t>1660257036</t>
  </si>
  <si>
    <t>1087800003961</t>
  </si>
  <si>
    <t>7813203585</t>
  </si>
  <si>
    <t>1077800027447</t>
  </si>
  <si>
    <t>7820042113</t>
  </si>
  <si>
    <t>1152700001431</t>
  </si>
  <si>
    <t>2703087383</t>
  </si>
  <si>
    <t>1036605607312</t>
  </si>
  <si>
    <t>6670015067</t>
  </si>
  <si>
    <t>1103800002305</t>
  </si>
  <si>
    <t>3804011625</t>
  </si>
  <si>
    <t>1111600004174</t>
  </si>
  <si>
    <t>1657115112</t>
  </si>
  <si>
    <t>1125400000263</t>
  </si>
  <si>
    <t>5408950174</t>
  </si>
  <si>
    <t>1065228000705</t>
  </si>
  <si>
    <t>5212007550</t>
  </si>
  <si>
    <t>1104600000548</t>
  </si>
  <si>
    <t>4614004420</t>
  </si>
  <si>
    <t>1141600001058</t>
  </si>
  <si>
    <t>1655259359</t>
  </si>
  <si>
    <t>1027600007049</t>
  </si>
  <si>
    <t>7607012923</t>
  </si>
  <si>
    <t>1021100001890</t>
  </si>
  <si>
    <t>1101475725</t>
  </si>
  <si>
    <t>1037858019825</t>
  </si>
  <si>
    <t>7814074325</t>
  </si>
  <si>
    <t>1034214002998</t>
  </si>
  <si>
    <t>4214019574</t>
  </si>
  <si>
    <t>1115700000877</t>
  </si>
  <si>
    <t>5715998019</t>
  </si>
  <si>
    <t>1095800001440</t>
  </si>
  <si>
    <t>5834047453</t>
  </si>
  <si>
    <t>1134000000463</t>
  </si>
  <si>
    <t>4009055629</t>
  </si>
  <si>
    <t>1167800050549</t>
  </si>
  <si>
    <t>7814639631</t>
  </si>
  <si>
    <t>1023400016254</t>
  </si>
  <si>
    <t>3443904931</t>
  </si>
  <si>
    <t>1037843109501</t>
  </si>
  <si>
    <t>7825508574</t>
  </si>
  <si>
    <t>1116300005689</t>
  </si>
  <si>
    <t>6324997241</t>
  </si>
  <si>
    <t>1087800005347</t>
  </si>
  <si>
    <t>7805303280</t>
  </si>
  <si>
    <t>1157800000478</t>
  </si>
  <si>
    <t>7838032211</t>
  </si>
  <si>
    <t>1028700000218</t>
  </si>
  <si>
    <t>8709007730</t>
  </si>
  <si>
    <t>1155658016271</t>
  </si>
  <si>
    <t>5609176708</t>
  </si>
  <si>
    <t>1134200001286</t>
  </si>
  <si>
    <t>4253998348</t>
  </si>
  <si>
    <t>1163025053234</t>
  </si>
  <si>
    <t>3023017133</t>
  </si>
  <si>
    <t>1132900000749</t>
  </si>
  <si>
    <t>2901991400</t>
  </si>
  <si>
    <t>1132100000515</t>
  </si>
  <si>
    <t>2130999683</t>
  </si>
  <si>
    <t>1147154042485</t>
  </si>
  <si>
    <t>7116513340</t>
  </si>
  <si>
    <t>1097800006842</t>
  </si>
  <si>
    <t>7814160214</t>
  </si>
  <si>
    <t>1057812912288</t>
  </si>
  <si>
    <t>7810043284</t>
  </si>
  <si>
    <t>1036405001984</t>
  </si>
  <si>
    <t>6450003203</t>
  </si>
  <si>
    <t>1120500000390</t>
  </si>
  <si>
    <t>0506066743</t>
  </si>
  <si>
    <t>1136500000471</t>
  </si>
  <si>
    <t>6504999689</t>
  </si>
  <si>
    <t>1045002458819</t>
  </si>
  <si>
    <t>5012027983</t>
  </si>
  <si>
    <t>1163525079442</t>
  </si>
  <si>
    <t>3525379000</t>
  </si>
  <si>
    <t>1065400045116</t>
  </si>
  <si>
    <t>5407025897</t>
  </si>
  <si>
    <t>1065400044731</t>
  </si>
  <si>
    <t>5405333092</t>
  </si>
  <si>
    <t>1055403000025</t>
  </si>
  <si>
    <t>5403174136</t>
  </si>
  <si>
    <t>1033500046678</t>
  </si>
  <si>
    <t>3525115060</t>
  </si>
  <si>
    <t>1077800030692</t>
  </si>
  <si>
    <t>7813203338</t>
  </si>
  <si>
    <t>1163850081262</t>
  </si>
  <si>
    <t>3808196014</t>
  </si>
  <si>
    <t>1167800051363</t>
  </si>
  <si>
    <t>7841037347</t>
  </si>
  <si>
    <t>1110200004199</t>
  </si>
  <si>
    <t>0276980491</t>
  </si>
  <si>
    <t>1108600001070</t>
  </si>
  <si>
    <t>8602171054</t>
  </si>
  <si>
    <t>1035803508531</t>
  </si>
  <si>
    <t>5837020812</t>
  </si>
  <si>
    <t>1025200009526</t>
  </si>
  <si>
    <t>5260020390</t>
  </si>
  <si>
    <t>1117000000325</t>
  </si>
  <si>
    <t>7017999062</t>
  </si>
  <si>
    <t>1196234007056</t>
  </si>
  <si>
    <t>6234183833</t>
  </si>
  <si>
    <t>1143850022975</t>
  </si>
  <si>
    <t>3801991430</t>
  </si>
  <si>
    <t>1065200051663</t>
  </si>
  <si>
    <t>5257087235</t>
  </si>
  <si>
    <t>1057809008135</t>
  </si>
  <si>
    <t>7825704040</t>
  </si>
  <si>
    <t>1023400005485</t>
  </si>
  <si>
    <t>3435210256</t>
  </si>
  <si>
    <t>1025203573218</t>
  </si>
  <si>
    <t>5261030136</t>
  </si>
  <si>
    <t>1025800000544</t>
  </si>
  <si>
    <t>5837018404</t>
  </si>
  <si>
    <t>1087800001420</t>
  </si>
  <si>
    <t>7802236074</t>
  </si>
  <si>
    <t>1088900000089</t>
  </si>
  <si>
    <t>8910004516</t>
  </si>
  <si>
    <t>1127800009040</t>
  </si>
  <si>
    <t>7842290712</t>
  </si>
  <si>
    <t>1103400002530</t>
  </si>
  <si>
    <t>3401007471</t>
  </si>
  <si>
    <t>1021401070503</t>
  </si>
  <si>
    <t>1435124821</t>
  </si>
  <si>
    <t>1108900000406</t>
  </si>
  <si>
    <t>8903030522</t>
  </si>
  <si>
    <t>1021801507683</t>
  </si>
  <si>
    <t>1833024110</t>
  </si>
  <si>
    <t>1146300000857</t>
  </si>
  <si>
    <t>6320266667</t>
  </si>
  <si>
    <t>1136800000776</t>
  </si>
  <si>
    <t>6829911486</t>
  </si>
  <si>
    <t>1055225009509</t>
  </si>
  <si>
    <t>5254031227</t>
  </si>
  <si>
    <t>1031500000180</t>
  </si>
  <si>
    <t>1501008235</t>
  </si>
  <si>
    <t>1126300004599</t>
  </si>
  <si>
    <t>6330044624</t>
  </si>
  <si>
    <t>1095500001805</t>
  </si>
  <si>
    <t>5503115173</t>
  </si>
  <si>
    <t>1127232022060</t>
  </si>
  <si>
    <t>7203277794</t>
  </si>
  <si>
    <t>1107800003266</t>
  </si>
  <si>
    <t>7813204892</t>
  </si>
  <si>
    <t>1153600000223</t>
  </si>
  <si>
    <t>3663110518</t>
  </si>
  <si>
    <t>1034400001580</t>
  </si>
  <si>
    <t>4401036001</t>
  </si>
  <si>
    <t>1052335012795</t>
  </si>
  <si>
    <t>2317041190</t>
  </si>
  <si>
    <t>1037828017006</t>
  </si>
  <si>
    <t>7813117657</t>
  </si>
  <si>
    <t>1031659013363</t>
  </si>
  <si>
    <t>1660064436</t>
  </si>
  <si>
    <t>1063700006941</t>
  </si>
  <si>
    <t>3702503240</t>
  </si>
  <si>
    <t>1022800002037</t>
  </si>
  <si>
    <t>2801032262</t>
  </si>
  <si>
    <t>1096100001634</t>
  </si>
  <si>
    <t>6119000048</t>
  </si>
  <si>
    <t>1137800006486</t>
  </si>
  <si>
    <t>7840290805</t>
  </si>
  <si>
    <t>1022601933353</t>
  </si>
  <si>
    <t>2634054708</t>
  </si>
  <si>
    <t>1137800001745</t>
  </si>
  <si>
    <t>7802290949</t>
  </si>
  <si>
    <t>1027800001646</t>
  </si>
  <si>
    <t>7806128295</t>
  </si>
  <si>
    <t>1117800019358</t>
  </si>
  <si>
    <t>7813290500</t>
  </si>
  <si>
    <t>1026000003985</t>
  </si>
  <si>
    <t>6027006057</t>
  </si>
  <si>
    <t>1047855167260</t>
  </si>
  <si>
    <t>7838311769</t>
  </si>
  <si>
    <t>1100300000316</t>
  </si>
  <si>
    <t>0323831193</t>
  </si>
  <si>
    <t>1094200003215</t>
  </si>
  <si>
    <t>4220041271</t>
  </si>
  <si>
    <t>1037200004940</t>
  </si>
  <si>
    <t>7203122575</t>
  </si>
  <si>
    <t>1155476008214</t>
  </si>
  <si>
    <t>5404003704</t>
  </si>
  <si>
    <t>1128624002099</t>
  </si>
  <si>
    <t>8603999500</t>
  </si>
  <si>
    <t>1066100043910</t>
  </si>
  <si>
    <t>6125025428</t>
  </si>
  <si>
    <t>1117500000474</t>
  </si>
  <si>
    <t>7536985137</t>
  </si>
  <si>
    <t>1033918501473</t>
  </si>
  <si>
    <t>3907020188</t>
  </si>
  <si>
    <t>1031659005102</t>
  </si>
  <si>
    <t>1650078599</t>
  </si>
  <si>
    <t>1145658016723</t>
  </si>
  <si>
    <t>5611071220</t>
  </si>
  <si>
    <t>1037858025930</t>
  </si>
  <si>
    <t>7810129870</t>
  </si>
  <si>
    <t>1124000001091</t>
  </si>
  <si>
    <t>4025990237</t>
  </si>
  <si>
    <t>1037828016841</t>
  </si>
  <si>
    <t>7813089632</t>
  </si>
  <si>
    <t>1121600000796</t>
  </si>
  <si>
    <t>1659124296</t>
  </si>
  <si>
    <t>1126500000505</t>
  </si>
  <si>
    <t>6501235371</t>
  </si>
  <si>
    <t>1120327006128</t>
  </si>
  <si>
    <t>0323361759</t>
  </si>
  <si>
    <t>1096300000917</t>
  </si>
  <si>
    <t>6316143140</t>
  </si>
  <si>
    <t>1149102031760</t>
  </si>
  <si>
    <t>9110001324</t>
  </si>
  <si>
    <t>1024000849608</t>
  </si>
  <si>
    <t>4018007396</t>
  </si>
  <si>
    <t>1096600000276</t>
  </si>
  <si>
    <t>6632029816</t>
  </si>
  <si>
    <t>1043700095394</t>
  </si>
  <si>
    <t>3702061730</t>
  </si>
  <si>
    <t>1111800000234</t>
  </si>
  <si>
    <t>1831145670</t>
  </si>
  <si>
    <t>1113000000442</t>
  </si>
  <si>
    <t>3016999520</t>
  </si>
  <si>
    <t>1135543005036</t>
  </si>
  <si>
    <t>5503240304</t>
  </si>
  <si>
    <t>1105500000429</t>
  </si>
  <si>
    <t>5503115303</t>
  </si>
  <si>
    <t>1075900004454</t>
  </si>
  <si>
    <t>5903079480</t>
  </si>
  <si>
    <t>1025600581423</t>
  </si>
  <si>
    <t>5611025449</t>
  </si>
  <si>
    <t>1117800017675</t>
  </si>
  <si>
    <t>7806290160</t>
  </si>
  <si>
    <t>1073900001669</t>
  </si>
  <si>
    <t>3904086416</t>
  </si>
  <si>
    <t>1164200050739</t>
  </si>
  <si>
    <t>4217178050</t>
  </si>
  <si>
    <t>1025500757875</t>
  </si>
  <si>
    <t>5503063214</t>
  </si>
  <si>
    <t>1025500993440</t>
  </si>
  <si>
    <t>5504060720</t>
  </si>
  <si>
    <t>1034214004109</t>
  </si>
  <si>
    <t>4214019849</t>
  </si>
  <si>
    <t>1035504003600</t>
  </si>
  <si>
    <t>5503062475</t>
  </si>
  <si>
    <t>1075500002665</t>
  </si>
  <si>
    <t>5507092424</t>
  </si>
  <si>
    <t>1095500000640</t>
  </si>
  <si>
    <t>5503114966</t>
  </si>
  <si>
    <t>1166313125967</t>
  </si>
  <si>
    <t>6311167300</t>
  </si>
  <si>
    <t>1025500994750</t>
  </si>
  <si>
    <t>5504073624</t>
  </si>
  <si>
    <t>1053100006827</t>
  </si>
  <si>
    <t>3123048424</t>
  </si>
  <si>
    <t>1116200000443</t>
  </si>
  <si>
    <t>6229990013</t>
  </si>
  <si>
    <t>1069847011948</t>
  </si>
  <si>
    <t>7811342537</t>
  </si>
  <si>
    <t>1169102064361</t>
  </si>
  <si>
    <t>9102207850</t>
  </si>
  <si>
    <t>1150280041944</t>
  </si>
  <si>
    <t>0276905494</t>
  </si>
  <si>
    <t>1063800024386</t>
  </si>
  <si>
    <t>3812092716</t>
  </si>
  <si>
    <t>1031644203249</t>
  </si>
  <si>
    <t>1648012880</t>
  </si>
  <si>
    <t>1063800024573</t>
  </si>
  <si>
    <t>3815011754</t>
  </si>
  <si>
    <t>1022400009774</t>
  </si>
  <si>
    <t>2450012602</t>
  </si>
  <si>
    <t>1065000028543</t>
  </si>
  <si>
    <t>5008041760</t>
  </si>
  <si>
    <t>1073800004574</t>
  </si>
  <si>
    <t>3808169596</t>
  </si>
  <si>
    <t>1021600007175</t>
  </si>
  <si>
    <t>1651018384</t>
  </si>
  <si>
    <t>1052321980259</t>
  </si>
  <si>
    <t>2339014899</t>
  </si>
  <si>
    <t>1055406399025</t>
  </si>
  <si>
    <t>5406334998</t>
  </si>
  <si>
    <t>1025203051389</t>
  </si>
  <si>
    <t>5260066362</t>
  </si>
  <si>
    <t>1033800004105</t>
  </si>
  <si>
    <t>3808062437</t>
  </si>
  <si>
    <t>1135543001813</t>
  </si>
  <si>
    <t>5505216258</t>
  </si>
  <si>
    <t>1071600006500</t>
  </si>
  <si>
    <t>1656041370</t>
  </si>
  <si>
    <t>1025500006290</t>
  </si>
  <si>
    <t>5501057705</t>
  </si>
  <si>
    <t>1153850017056</t>
  </si>
  <si>
    <t>3851008098</t>
  </si>
  <si>
    <t>1117800012560</t>
  </si>
  <si>
    <t>7801350183</t>
  </si>
  <si>
    <t>1071600003958</t>
  </si>
  <si>
    <t>1658087764</t>
  </si>
  <si>
    <t>1027800004825</t>
  </si>
  <si>
    <t>7813018159</t>
  </si>
  <si>
    <t>1060500002474</t>
  </si>
  <si>
    <t>0562064637</t>
  </si>
  <si>
    <t>1159102051162</t>
  </si>
  <si>
    <t>9107036782</t>
  </si>
  <si>
    <t>1037858027514</t>
  </si>
  <si>
    <t>7825458370</t>
  </si>
  <si>
    <t>1027900001271</t>
  </si>
  <si>
    <t>7900000278</t>
  </si>
  <si>
    <t>Еврейская автономная область</t>
  </si>
  <si>
    <t>1020400000235</t>
  </si>
  <si>
    <t>0411006425</t>
  </si>
  <si>
    <t>1020200001711</t>
  </si>
  <si>
    <t>0274020062</t>
  </si>
  <si>
    <t>1023400008785</t>
  </si>
  <si>
    <t>3444048955</t>
  </si>
  <si>
    <t>1037575000132</t>
  </si>
  <si>
    <t>7536009350</t>
  </si>
  <si>
    <t>1114000000388</t>
  </si>
  <si>
    <t>4027990063</t>
  </si>
  <si>
    <t>1094700000845</t>
  </si>
  <si>
    <t>4705046925</t>
  </si>
  <si>
    <t>1032500004415</t>
  </si>
  <si>
    <t>2536048304</t>
  </si>
  <si>
    <t>1036303390397</t>
  </si>
  <si>
    <t>6315943056</t>
  </si>
  <si>
    <t>1021600019583</t>
  </si>
  <si>
    <t>1653008744</t>
  </si>
  <si>
    <t>1027400009779</t>
  </si>
  <si>
    <t>7453068401</t>
  </si>
  <si>
    <t>1027600007632</t>
  </si>
  <si>
    <t>7604001970</t>
  </si>
  <si>
    <t>1032602090487</t>
  </si>
  <si>
    <t>2635057596</t>
  </si>
  <si>
    <t>1054639095400</t>
  </si>
  <si>
    <t>4632054625</t>
  </si>
  <si>
    <t>1027800013713</t>
  </si>
  <si>
    <t>7813108941</t>
  </si>
  <si>
    <t>1103800001590</t>
  </si>
  <si>
    <t>3812110059</t>
  </si>
  <si>
    <t>1061500002013</t>
  </si>
  <si>
    <t>1511014710</t>
  </si>
  <si>
    <t>1072202002410</t>
  </si>
  <si>
    <t>2221126781</t>
  </si>
  <si>
    <t>1167800051000</t>
  </si>
  <si>
    <t>7802568150</t>
  </si>
  <si>
    <t>1127800010304</t>
  </si>
  <si>
    <t>7838290580</t>
  </si>
  <si>
    <t>1143100000867</t>
  </si>
  <si>
    <t>3102024285</t>
  </si>
  <si>
    <t>1036303394159</t>
  </si>
  <si>
    <t>6316010655</t>
  </si>
  <si>
    <t>1025800003613</t>
  </si>
  <si>
    <t>5836110968</t>
  </si>
  <si>
    <t>1057810030178</t>
  </si>
  <si>
    <t>7820302192</t>
  </si>
  <si>
    <t>1037800099303</t>
  </si>
  <si>
    <t>7801171970</t>
  </si>
  <si>
    <t>1127800005563</t>
  </si>
  <si>
    <t>7811290550</t>
  </si>
  <si>
    <t>1091900000257</t>
  </si>
  <si>
    <t>1901089888</t>
  </si>
  <si>
    <t>1101400001405</t>
  </si>
  <si>
    <t>1435234782</t>
  </si>
  <si>
    <t>1031802483151</t>
  </si>
  <si>
    <t>1833024819</t>
  </si>
  <si>
    <t>1023100004256</t>
  </si>
  <si>
    <t>3125007381</t>
  </si>
  <si>
    <t>1023700003843</t>
  </si>
  <si>
    <t>3728016040</t>
  </si>
  <si>
    <t>1025500006938</t>
  </si>
  <si>
    <t>5503005420</t>
  </si>
  <si>
    <t>1037835030551</t>
  </si>
  <si>
    <t>7816191754</t>
  </si>
  <si>
    <t>1067800031177</t>
  </si>
  <si>
    <t>7820041945</t>
  </si>
  <si>
    <t>1072700002220</t>
  </si>
  <si>
    <t>2703042696</t>
  </si>
  <si>
    <t>1027800514917</t>
  </si>
  <si>
    <t>7801142183</t>
  </si>
  <si>
    <t>1163850100358</t>
  </si>
  <si>
    <t>3810067513</t>
  </si>
  <si>
    <t>1047831002955</t>
  </si>
  <si>
    <t>7817047009</t>
  </si>
  <si>
    <t>1123600002240</t>
  </si>
  <si>
    <t>3662989600</t>
  </si>
  <si>
    <t>1143100000999</t>
  </si>
  <si>
    <t>3123233120</t>
  </si>
  <si>
    <t>1146400002363</t>
  </si>
  <si>
    <t>6454915987</t>
  </si>
  <si>
    <t>1022402654515</t>
  </si>
  <si>
    <t>2466079521</t>
  </si>
  <si>
    <t>1020203223666</t>
  </si>
  <si>
    <t>0278088128</t>
  </si>
  <si>
    <t>1037858001895</t>
  </si>
  <si>
    <t>7825362942</t>
  </si>
  <si>
    <t>1151600002201</t>
  </si>
  <si>
    <t>1644052257</t>
  </si>
  <si>
    <t>1084100000104</t>
  </si>
  <si>
    <t>4101121915</t>
  </si>
  <si>
    <t>1111600001864</t>
  </si>
  <si>
    <t>1655225159</t>
  </si>
  <si>
    <t>1035204619460</t>
  </si>
  <si>
    <t>5248014960</t>
  </si>
  <si>
    <t>1021800858815</t>
  </si>
  <si>
    <t>1818004399</t>
  </si>
  <si>
    <t>1033700082987</t>
  </si>
  <si>
    <t>3702020290</t>
  </si>
  <si>
    <t>1051802253690</t>
  </si>
  <si>
    <t>1835065899</t>
  </si>
  <si>
    <t>1072400004313</t>
  </si>
  <si>
    <t>2410003680</t>
  </si>
  <si>
    <t>1027600009018</t>
  </si>
  <si>
    <t>7604017754</t>
  </si>
  <si>
    <t>1056100007810</t>
  </si>
  <si>
    <t>6164234560</t>
  </si>
  <si>
    <t>1036100003114</t>
  </si>
  <si>
    <t>6164071900</t>
  </si>
  <si>
    <t>1020300006847</t>
  </si>
  <si>
    <t>0323025362</t>
  </si>
  <si>
    <t>1026700001382</t>
  </si>
  <si>
    <t>6730007105</t>
  </si>
  <si>
    <t>1023500004395</t>
  </si>
  <si>
    <t>3525008365</t>
  </si>
  <si>
    <t>1033692003443</t>
  </si>
  <si>
    <t>3664011005</t>
  </si>
  <si>
    <t>1033800001828</t>
  </si>
  <si>
    <t>3808018068</t>
  </si>
  <si>
    <t>1020900002056</t>
  </si>
  <si>
    <t>0901019952</t>
  </si>
  <si>
    <t>1032335001731</t>
  </si>
  <si>
    <t>2310022551</t>
  </si>
  <si>
    <t>1021000003430</t>
  </si>
  <si>
    <t>1001027769</t>
  </si>
  <si>
    <t>1024500003428</t>
  </si>
  <si>
    <t>4501003472</t>
  </si>
  <si>
    <t>1024800004525</t>
  </si>
  <si>
    <t>4826019757</t>
  </si>
  <si>
    <t>1025700007970</t>
  </si>
  <si>
    <t>5751022350</t>
  </si>
  <si>
    <t>1026100022277</t>
  </si>
  <si>
    <t>6164000610</t>
  </si>
  <si>
    <t>1036605611228</t>
  </si>
  <si>
    <t>6658007140</t>
  </si>
  <si>
    <t>1077200002450</t>
  </si>
  <si>
    <t>7203193618</t>
  </si>
  <si>
    <t>1026800004197</t>
  </si>
  <si>
    <t>6832004463</t>
  </si>
  <si>
    <t>1022700004920</t>
  </si>
  <si>
    <t>2721001220</t>
  </si>
  <si>
    <t>1031802482931</t>
  </si>
  <si>
    <t>1833001113</t>
  </si>
  <si>
    <t>1022100007544</t>
  </si>
  <si>
    <t>2128005408</t>
  </si>
  <si>
    <t>1093600000559</t>
  </si>
  <si>
    <t>3662122126</t>
  </si>
  <si>
    <t>1025900010003</t>
  </si>
  <si>
    <t>5911030880</t>
  </si>
  <si>
    <t>1023400004143</t>
  </si>
  <si>
    <t>3444047126</t>
  </si>
  <si>
    <t>1023600002568</t>
  </si>
  <si>
    <t>3664011809</t>
  </si>
  <si>
    <t>1071300000012</t>
  </si>
  <si>
    <t>1326199739</t>
  </si>
  <si>
    <t>1023400014736</t>
  </si>
  <si>
    <t>3444047662</t>
  </si>
  <si>
    <t>1033303606720</t>
  </si>
  <si>
    <t>3327700133</t>
  </si>
  <si>
    <t>1032335008925</t>
  </si>
  <si>
    <t>2310012480</t>
  </si>
  <si>
    <t>1024600004879</t>
  </si>
  <si>
    <t>4632000926</t>
  </si>
  <si>
    <t>1071300001740</t>
  </si>
  <si>
    <t>1326024827</t>
  </si>
  <si>
    <t>1025700003670</t>
  </si>
  <si>
    <t>5753004719</t>
  </si>
  <si>
    <t>1025800001930</t>
  </si>
  <si>
    <t>5836110485</t>
  </si>
  <si>
    <t>1037858003864</t>
  </si>
  <si>
    <t>7808044869</t>
  </si>
  <si>
    <t>1026700002713</t>
  </si>
  <si>
    <t>6730002499</t>
  </si>
  <si>
    <t>1092700000502</t>
  </si>
  <si>
    <t>2724130463</t>
  </si>
  <si>
    <t>1063800021438</t>
  </si>
  <si>
    <t>3808137724</t>
  </si>
  <si>
    <t>1021100006520</t>
  </si>
  <si>
    <t>1101471086</t>
  </si>
  <si>
    <t>1113600002086</t>
  </si>
  <si>
    <t>3662989286</t>
  </si>
  <si>
    <t>1055000519914</t>
  </si>
  <si>
    <t>5001052466</t>
  </si>
  <si>
    <t>1146000000035</t>
  </si>
  <si>
    <t>6027999260</t>
  </si>
  <si>
    <t>1037858029780</t>
  </si>
  <si>
    <t>7825409284</t>
  </si>
  <si>
    <t>1105500000100</t>
  </si>
  <si>
    <t>5503115230</t>
  </si>
  <si>
    <t>1022200559237</t>
  </si>
  <si>
    <t>2204011195</t>
  </si>
  <si>
    <t>1076100005948</t>
  </si>
  <si>
    <t>6164273600</t>
  </si>
  <si>
    <t>1026200007932</t>
  </si>
  <si>
    <t>6228039020</t>
  </si>
  <si>
    <t>1027800013746</t>
  </si>
  <si>
    <t>7808039516</t>
  </si>
  <si>
    <t>1135800001336</t>
  </si>
  <si>
    <t>5836900726</t>
  </si>
  <si>
    <t>1152225001862</t>
  </si>
  <si>
    <t>2222832187</t>
  </si>
  <si>
    <t>1077000001660</t>
  </si>
  <si>
    <t>7017187695</t>
  </si>
  <si>
    <t>1045401925942</t>
  </si>
  <si>
    <t>5405275066</t>
  </si>
  <si>
    <t>1115000007264</t>
  </si>
  <si>
    <t>5050998168</t>
  </si>
  <si>
    <t>1102300003376</t>
  </si>
  <si>
    <t>2312171358</t>
  </si>
  <si>
    <t>1086900002023</t>
  </si>
  <si>
    <t>6950026181</t>
  </si>
  <si>
    <t>1143400002712</t>
  </si>
  <si>
    <t>3443105047</t>
  </si>
  <si>
    <t>1055002308778</t>
  </si>
  <si>
    <t>5013050706</t>
  </si>
  <si>
    <t>1027601276075</t>
  </si>
  <si>
    <t>7611013510</t>
  </si>
  <si>
    <t>1043800001541</t>
  </si>
  <si>
    <t>3810035230</t>
  </si>
  <si>
    <t>1092900000236</t>
  </si>
  <si>
    <t>2902061340</t>
  </si>
  <si>
    <t>1077800030659</t>
  </si>
  <si>
    <t>7813203313</t>
  </si>
  <si>
    <t>1147800003229</t>
  </si>
  <si>
    <t>7801351821</t>
  </si>
  <si>
    <t>1152300001700</t>
  </si>
  <si>
    <t>2360008584</t>
  </si>
  <si>
    <t>1130400000587</t>
  </si>
  <si>
    <t>0411164291</t>
  </si>
  <si>
    <t>1023100006203</t>
  </si>
  <si>
    <t>3125017171</t>
  </si>
  <si>
    <t>1036303382356</t>
  </si>
  <si>
    <t>6315940658</t>
  </si>
  <si>
    <t>1025700787210</t>
  </si>
  <si>
    <t>5752019913</t>
  </si>
  <si>
    <t>1147800001513</t>
  </si>
  <si>
    <t>7805341045</t>
  </si>
  <si>
    <t>1020500003480</t>
  </si>
  <si>
    <t>0547003654</t>
  </si>
  <si>
    <t>1036405005086</t>
  </si>
  <si>
    <t>6450021428</t>
  </si>
  <si>
    <t>1031621014391</t>
  </si>
  <si>
    <t>1655073971</t>
  </si>
  <si>
    <t>1161690051841</t>
  </si>
  <si>
    <t>1655347252</t>
  </si>
  <si>
    <t>1159102122596</t>
  </si>
  <si>
    <t>9102197225</t>
  </si>
  <si>
    <t>1159102050865</t>
  </si>
  <si>
    <t>9102168263</t>
  </si>
  <si>
    <t>1066300014120</t>
  </si>
  <si>
    <t>6317066717</t>
  </si>
  <si>
    <t>1036303393884</t>
  </si>
  <si>
    <t>6345008330</t>
  </si>
  <si>
    <t>1036303387890</t>
  </si>
  <si>
    <t>6320012013</t>
  </si>
  <si>
    <t>1092400001858</t>
  </si>
  <si>
    <t>2450026274</t>
  </si>
  <si>
    <t>1117800014199</t>
  </si>
  <si>
    <t>7814290245</t>
  </si>
  <si>
    <t>1097800006688</t>
  </si>
  <si>
    <t>7813204571</t>
  </si>
  <si>
    <t>1065800028117</t>
  </si>
  <si>
    <t>5835068632</t>
  </si>
  <si>
    <t>1027802756442</t>
  </si>
  <si>
    <t>7805134602</t>
  </si>
  <si>
    <t>1037858024511</t>
  </si>
  <si>
    <t>7819005540</t>
  </si>
  <si>
    <t>1027800000524</t>
  </si>
  <si>
    <t>7825416789</t>
  </si>
  <si>
    <t>1034593000067</t>
  </si>
  <si>
    <t>4501094328</t>
  </si>
  <si>
    <t>1125200003191</t>
  </si>
  <si>
    <t>5254995052</t>
  </si>
  <si>
    <t>1026403353525</t>
  </si>
  <si>
    <t>6455016929</t>
  </si>
  <si>
    <t>1025202203399</t>
  </si>
  <si>
    <t>5254017254</t>
  </si>
  <si>
    <t>1147232013268</t>
  </si>
  <si>
    <t>7206049683</t>
  </si>
  <si>
    <t>1116500000198</t>
  </si>
  <si>
    <t>6501234307</t>
  </si>
  <si>
    <t>1123850040401</t>
  </si>
  <si>
    <t>3814997037</t>
  </si>
  <si>
    <t>1151600001200</t>
  </si>
  <si>
    <t>1637007920</t>
  </si>
  <si>
    <t>1146600002933</t>
  </si>
  <si>
    <t>6671994908</t>
  </si>
  <si>
    <t>1037858027580</t>
  </si>
  <si>
    <t>7825330860</t>
  </si>
  <si>
    <t>1117800018050</t>
  </si>
  <si>
    <t>7842290328</t>
  </si>
  <si>
    <t>1157800001820</t>
  </si>
  <si>
    <t>7839032454</t>
  </si>
  <si>
    <t>1110600000235</t>
  </si>
  <si>
    <t>0608999072</t>
  </si>
  <si>
    <t>1035900846167</t>
  </si>
  <si>
    <t>5905225553</t>
  </si>
  <si>
    <t>1071600004299</t>
  </si>
  <si>
    <t>1659075698</t>
  </si>
  <si>
    <t>1137400000286</t>
  </si>
  <si>
    <t>7430990151</t>
  </si>
  <si>
    <t>1087800005732</t>
  </si>
  <si>
    <t>7839017664</t>
  </si>
  <si>
    <t>1081600002296</t>
  </si>
  <si>
    <t>1661023908</t>
  </si>
  <si>
    <t>1167800052375</t>
  </si>
  <si>
    <t>7813252462</t>
  </si>
  <si>
    <t>1135700000468</t>
  </si>
  <si>
    <t>5753990469</t>
  </si>
  <si>
    <t>1075500003149</t>
  </si>
  <si>
    <t>5503114388</t>
  </si>
  <si>
    <t>1127500001045</t>
  </si>
  <si>
    <t>7536986148</t>
  </si>
  <si>
    <t>1073800000559</t>
  </si>
  <si>
    <t>3820012104</t>
  </si>
  <si>
    <t>1132225901037</t>
  </si>
  <si>
    <t>2263998745</t>
  </si>
  <si>
    <t>1024700000544</t>
  </si>
  <si>
    <t>4704045157</t>
  </si>
  <si>
    <t>1116600002540</t>
  </si>
  <si>
    <t>6672994562</t>
  </si>
  <si>
    <t>1117800012472</t>
  </si>
  <si>
    <t>7814290220</t>
  </si>
  <si>
    <t>1166451060764</t>
  </si>
  <si>
    <t>6439090266</t>
  </si>
  <si>
    <t>1105000003657</t>
  </si>
  <si>
    <t>5007075607</t>
  </si>
  <si>
    <t>1127800002835</t>
  </si>
  <si>
    <t>7839290350</t>
  </si>
  <si>
    <t>1055214524210</t>
  </si>
  <si>
    <t>5248092359</t>
  </si>
  <si>
    <t>1058600209524</t>
  </si>
  <si>
    <t>8614006440</t>
  </si>
  <si>
    <t>1047831005595</t>
  </si>
  <si>
    <t>7801145917</t>
  </si>
  <si>
    <t>1092300002475</t>
  </si>
  <si>
    <t>2319046444</t>
  </si>
  <si>
    <t>1157800003580</t>
  </si>
  <si>
    <t>7840037168</t>
  </si>
  <si>
    <t>1036303386294</t>
  </si>
  <si>
    <t>6319082626</t>
  </si>
  <si>
    <t>1147154025083</t>
  </si>
  <si>
    <t>7116512593</t>
  </si>
  <si>
    <t>1022300004363</t>
  </si>
  <si>
    <t>2308042945</t>
  </si>
  <si>
    <t>1137800005309</t>
  </si>
  <si>
    <t>7805340838</t>
  </si>
  <si>
    <t>1115000001434</t>
  </si>
  <si>
    <t>5026015473</t>
  </si>
  <si>
    <t>1122900000519</t>
  </si>
  <si>
    <t>2902990166</t>
  </si>
  <si>
    <t>1114400000571</t>
  </si>
  <si>
    <t>4401114884</t>
  </si>
  <si>
    <t>1117799020019</t>
  </si>
  <si>
    <t>7703479260</t>
  </si>
  <si>
    <t>1144200000284</t>
  </si>
  <si>
    <t>4205997263</t>
  </si>
  <si>
    <t>1163443074080</t>
  </si>
  <si>
    <t>3455052390</t>
  </si>
  <si>
    <t>1056164114555</t>
  </si>
  <si>
    <t>6164237151</t>
  </si>
  <si>
    <t>1113800000270</t>
  </si>
  <si>
    <t>3808187926</t>
  </si>
  <si>
    <t>1036605611437</t>
  </si>
  <si>
    <t>6661103221</t>
  </si>
  <si>
    <t>1052304979803</t>
  </si>
  <si>
    <t>2309094833</t>
  </si>
  <si>
    <t>1142300002822</t>
  </si>
  <si>
    <t>2312981063</t>
  </si>
  <si>
    <t>1167800050791</t>
  </si>
  <si>
    <t>7842094740</t>
  </si>
  <si>
    <t>1108600000849</t>
  </si>
  <si>
    <t>8620019623</t>
  </si>
  <si>
    <t>1159204027784</t>
  </si>
  <si>
    <t>9203539348</t>
  </si>
  <si>
    <t>1057810291670</t>
  </si>
  <si>
    <t>7840317133</t>
  </si>
  <si>
    <t>1155543000634</t>
  </si>
  <si>
    <t>5503037736</t>
  </si>
  <si>
    <t>1053808500020</t>
  </si>
  <si>
    <t>3808115431</t>
  </si>
  <si>
    <t>1165476085939</t>
  </si>
  <si>
    <t>5405974120</t>
  </si>
  <si>
    <t>1147800005286</t>
  </si>
  <si>
    <t>7842291667</t>
  </si>
  <si>
    <t>1101100000550</t>
  </si>
  <si>
    <t>1101502094</t>
  </si>
  <si>
    <t>1152468030593</t>
  </si>
  <si>
    <t>2444002620</t>
  </si>
  <si>
    <t>1036303385690</t>
  </si>
  <si>
    <t>6317012461</t>
  </si>
  <si>
    <t>1026605388831</t>
  </si>
  <si>
    <t>6672132143</t>
  </si>
  <si>
    <t>1130500001092</t>
  </si>
  <si>
    <t>0572006680</t>
  </si>
  <si>
    <t>1137800004968</t>
  </si>
  <si>
    <t>7842291201</t>
  </si>
  <si>
    <t>1107800010482</t>
  </si>
  <si>
    <t>7820042473</t>
  </si>
  <si>
    <t>1105800001504</t>
  </si>
  <si>
    <t>5836117272</t>
  </si>
  <si>
    <t>1134500000392</t>
  </si>
  <si>
    <t>4510028635</t>
  </si>
  <si>
    <t>1057811931198</t>
  </si>
  <si>
    <t>7813327238</t>
  </si>
  <si>
    <t>1125400004454</t>
  </si>
  <si>
    <t>5404990803</t>
  </si>
  <si>
    <t>1084500000540</t>
  </si>
  <si>
    <t>4501141970</t>
  </si>
  <si>
    <t>1152300002282</t>
  </si>
  <si>
    <t>2361013114</t>
  </si>
  <si>
    <t>1127154021532</t>
  </si>
  <si>
    <t>7103515205</t>
  </si>
  <si>
    <t>1025400005454</t>
  </si>
  <si>
    <t>5405172663</t>
  </si>
  <si>
    <t>1025400008006</t>
  </si>
  <si>
    <t>5401134314</t>
  </si>
  <si>
    <t>1135476095534</t>
  </si>
  <si>
    <t>5407486930</t>
  </si>
  <si>
    <t>1137799003869</t>
  </si>
  <si>
    <t>7743110260</t>
  </si>
  <si>
    <t>1037858003853</t>
  </si>
  <si>
    <t>7826676116</t>
  </si>
  <si>
    <t>1137800007773</t>
  </si>
  <si>
    <t>7843290176</t>
  </si>
  <si>
    <t>1115400000627</t>
  </si>
  <si>
    <t>5410031932</t>
  </si>
  <si>
    <t>1062460001757</t>
  </si>
  <si>
    <t>2460073259</t>
  </si>
  <si>
    <t>1153850001535</t>
  </si>
  <si>
    <t>3808045752</t>
  </si>
  <si>
    <t>1124800001314</t>
  </si>
  <si>
    <t>4824070349</t>
  </si>
  <si>
    <t>1086800000540</t>
  </si>
  <si>
    <t>6829048904</t>
  </si>
  <si>
    <t>1125400001396</t>
  </si>
  <si>
    <t>5402980359</t>
  </si>
  <si>
    <t>1134200000846</t>
  </si>
  <si>
    <t>4217997677</t>
  </si>
  <si>
    <t>1127800005046</t>
  </si>
  <si>
    <t>7842290536</t>
  </si>
  <si>
    <t>1022600003326</t>
  </si>
  <si>
    <t>2636036493</t>
  </si>
  <si>
    <t>1082400001694</t>
  </si>
  <si>
    <t>2450025030</t>
  </si>
  <si>
    <t>1116100000720</t>
  </si>
  <si>
    <t>6155061007</t>
  </si>
  <si>
    <t>1022402658365</t>
  </si>
  <si>
    <t>2466057038</t>
  </si>
  <si>
    <t>1025500748459</t>
  </si>
  <si>
    <t>5503063133</t>
  </si>
  <si>
    <t>1155543026143</t>
  </si>
  <si>
    <t>5507108674</t>
  </si>
  <si>
    <t>1061100003975</t>
  </si>
  <si>
    <t>1101500611</t>
  </si>
  <si>
    <t>1145543034075</t>
  </si>
  <si>
    <t>5505221956</t>
  </si>
  <si>
    <t>1145658038415</t>
  </si>
  <si>
    <t>5607047425</t>
  </si>
  <si>
    <t>1047855167315</t>
  </si>
  <si>
    <t>7804308729</t>
  </si>
  <si>
    <t>1145543031963</t>
  </si>
  <si>
    <t>5505221804</t>
  </si>
  <si>
    <t>1145543031952</t>
  </si>
  <si>
    <t>5505221794</t>
  </si>
  <si>
    <t>1025000002521</t>
  </si>
  <si>
    <t>5024030370</t>
  </si>
  <si>
    <t>1090900000575</t>
  </si>
  <si>
    <t>0917014886</t>
  </si>
  <si>
    <t>1133100000967</t>
  </si>
  <si>
    <t>3123232350</t>
  </si>
  <si>
    <t>1133500001106</t>
  </si>
  <si>
    <t>3528999410</t>
  </si>
  <si>
    <t>1107600000276</t>
  </si>
  <si>
    <t>7608017064</t>
  </si>
  <si>
    <t>1152500000872</t>
  </si>
  <si>
    <t>2509006305</t>
  </si>
  <si>
    <t>1034313509141</t>
  </si>
  <si>
    <t>4312126863</t>
  </si>
  <si>
    <t>1027100738081</t>
  </si>
  <si>
    <t>7106048679</t>
  </si>
  <si>
    <t>1093700000536</t>
  </si>
  <si>
    <t>3702592917</t>
  </si>
  <si>
    <t>1127800006003</t>
  </si>
  <si>
    <t>7814290647</t>
  </si>
  <si>
    <t>1096300000642</t>
  </si>
  <si>
    <t>6316142387</t>
  </si>
  <si>
    <t>1052400010519</t>
  </si>
  <si>
    <t>2464062811</t>
  </si>
  <si>
    <t>1101800000873</t>
  </si>
  <si>
    <t>1831142380</t>
  </si>
  <si>
    <t>1026103716605</t>
  </si>
  <si>
    <t>6165078659</t>
  </si>
  <si>
    <t>1147800005605</t>
  </si>
  <si>
    <t>7811291547</t>
  </si>
  <si>
    <t>1105900002185</t>
  </si>
  <si>
    <t>5903061973</t>
  </si>
  <si>
    <t>1136100006052</t>
  </si>
  <si>
    <t>6112920046</t>
  </si>
  <si>
    <t>1061600051370</t>
  </si>
  <si>
    <t>1650141730</t>
  </si>
  <si>
    <t>1143100000526</t>
  </si>
  <si>
    <t>3121011161</t>
  </si>
  <si>
    <t>1106100001908</t>
  </si>
  <si>
    <t>6147030140</t>
  </si>
  <si>
    <t>1026103048432</t>
  </si>
  <si>
    <t>6162035199</t>
  </si>
  <si>
    <t>1077800021122</t>
  </si>
  <si>
    <t>7803020871</t>
  </si>
  <si>
    <t>1164400050100</t>
  </si>
  <si>
    <t>4401169548</t>
  </si>
  <si>
    <t>1045400006024</t>
  </si>
  <si>
    <t>5410155568</t>
  </si>
  <si>
    <t>1163700050227</t>
  </si>
  <si>
    <t>3702150813</t>
  </si>
  <si>
    <t>1105400004247</t>
  </si>
  <si>
    <t>5406571332</t>
  </si>
  <si>
    <t>1086900002408</t>
  </si>
  <si>
    <t>6911029460</t>
  </si>
  <si>
    <t>1085500000453</t>
  </si>
  <si>
    <t>5503114589</t>
  </si>
  <si>
    <t>1055013639823</t>
  </si>
  <si>
    <t>5038049050</t>
  </si>
  <si>
    <t>1033800919316</t>
  </si>
  <si>
    <t>3805113235</t>
  </si>
  <si>
    <t>1123000000397</t>
  </si>
  <si>
    <t>3019998814</t>
  </si>
  <si>
    <t>1146600001811</t>
  </si>
  <si>
    <t>6678996686</t>
  </si>
  <si>
    <t>1143600000675</t>
  </si>
  <si>
    <t>3666999800</t>
  </si>
  <si>
    <t>1020700757384</t>
  </si>
  <si>
    <t>0711056650</t>
  </si>
  <si>
    <t>1125000000696</t>
  </si>
  <si>
    <t>5044998177</t>
  </si>
  <si>
    <t>1162300053013</t>
  </si>
  <si>
    <t>2364014557</t>
  </si>
  <si>
    <t>1075400004195</t>
  </si>
  <si>
    <t>5401292310</t>
  </si>
  <si>
    <t>1143600001038</t>
  </si>
  <si>
    <t>3665999638</t>
  </si>
  <si>
    <t>1067400010105</t>
  </si>
  <si>
    <t>7447103023</t>
  </si>
  <si>
    <t>1142300000149</t>
  </si>
  <si>
    <t>2369980233</t>
  </si>
  <si>
    <t>1077800030758</t>
  </si>
  <si>
    <t>7814159392</t>
  </si>
  <si>
    <t>1072400004159</t>
  </si>
  <si>
    <t>2463090220</t>
  </si>
  <si>
    <t>1105500001463</t>
  </si>
  <si>
    <t>5501444503</t>
  </si>
  <si>
    <t>1155958058805</t>
  </si>
  <si>
    <t>5911073281</t>
  </si>
  <si>
    <t>1177154003828</t>
  </si>
  <si>
    <t>7106061655</t>
  </si>
  <si>
    <t>1026000004029</t>
  </si>
  <si>
    <t>6027010504</t>
  </si>
  <si>
    <t>1063400028350</t>
  </si>
  <si>
    <t>3448039172</t>
  </si>
  <si>
    <t>1106300000058</t>
  </si>
  <si>
    <t>6325052757</t>
  </si>
  <si>
    <t>1157800005351</t>
  </si>
  <si>
    <t>7806209057</t>
  </si>
  <si>
    <t>1034701898109</t>
  </si>
  <si>
    <t>4716019144</t>
  </si>
  <si>
    <t>1036303390166</t>
  </si>
  <si>
    <t>6315941267</t>
  </si>
  <si>
    <t>1147800006562</t>
  </si>
  <si>
    <t>7801352053</t>
  </si>
  <si>
    <t>1127800005816</t>
  </si>
  <si>
    <t>7802290561</t>
  </si>
  <si>
    <t>1092500001318</t>
  </si>
  <si>
    <t>2540154947</t>
  </si>
  <si>
    <t>1122500001062</t>
  </si>
  <si>
    <t>2511990217</t>
  </si>
  <si>
    <t>1124700001821</t>
  </si>
  <si>
    <t>4705470443</t>
  </si>
  <si>
    <t>1114100001025</t>
  </si>
  <si>
    <t>4101995381</t>
  </si>
  <si>
    <t>1135658004217</t>
  </si>
  <si>
    <t>5610151810</t>
  </si>
  <si>
    <t>1023800836597</t>
  </si>
  <si>
    <t>3803200877</t>
  </si>
  <si>
    <t>1027400008646</t>
  </si>
  <si>
    <t>7450016363</t>
  </si>
  <si>
    <t>1140700000583</t>
  </si>
  <si>
    <t>0706999070</t>
  </si>
  <si>
    <t>1102700001909</t>
  </si>
  <si>
    <t>2703058417</t>
  </si>
  <si>
    <t>1121100000053</t>
  </si>
  <si>
    <t>1102990101</t>
  </si>
  <si>
    <t>1142300001250</t>
  </si>
  <si>
    <t>2310981163</t>
  </si>
  <si>
    <t>1085200006121</t>
  </si>
  <si>
    <t>5236007687</t>
  </si>
  <si>
    <t>1112600000809</t>
  </si>
  <si>
    <t>2636750034</t>
  </si>
  <si>
    <t>1026300956571</t>
  </si>
  <si>
    <t>7710164140</t>
  </si>
  <si>
    <t>1025202196040</t>
  </si>
  <si>
    <t>5254017649</t>
  </si>
  <si>
    <t>1076700003863</t>
  </si>
  <si>
    <t>6731061232</t>
  </si>
  <si>
    <t>1125543040996</t>
  </si>
  <si>
    <t>5503236499</t>
  </si>
  <si>
    <t>1082400000132</t>
  </si>
  <si>
    <t>2457065522</t>
  </si>
  <si>
    <t>1143700000047</t>
  </si>
  <si>
    <t>3702951789</t>
  </si>
  <si>
    <t>1046405506740</t>
  </si>
  <si>
    <t>6455027938</t>
  </si>
  <si>
    <t>1094200001191</t>
  </si>
  <si>
    <t>4218104943</t>
  </si>
  <si>
    <t>1146400000020</t>
  </si>
  <si>
    <t>6454998888</t>
  </si>
  <si>
    <t>1085500001696</t>
  </si>
  <si>
    <t>5507400245</t>
  </si>
  <si>
    <t>1146400000966</t>
  </si>
  <si>
    <t>6450999418</t>
  </si>
  <si>
    <t>1037858020980</t>
  </si>
  <si>
    <t>7801132844</t>
  </si>
  <si>
    <t>1131300000732</t>
  </si>
  <si>
    <t>1326961058</t>
  </si>
  <si>
    <t>1036167006809</t>
  </si>
  <si>
    <t>6167067518</t>
  </si>
  <si>
    <t>1027800005694</t>
  </si>
  <si>
    <t>7816095578</t>
  </si>
  <si>
    <t>1147800003933</t>
  </si>
  <si>
    <t>7814291834</t>
  </si>
  <si>
    <t>1025001745592</t>
  </si>
  <si>
    <t>5015004222</t>
  </si>
  <si>
    <t>1032700395771</t>
  </si>
  <si>
    <t>2722032260</t>
  </si>
  <si>
    <t>1027810307843</t>
  </si>
  <si>
    <t>7826738010</t>
  </si>
  <si>
    <t>1032335006109</t>
  </si>
  <si>
    <t>2309040683</t>
  </si>
  <si>
    <t>1114200002070</t>
  </si>
  <si>
    <t>4205995315</t>
  </si>
  <si>
    <t>1037400006599</t>
  </si>
  <si>
    <t>7448058334</t>
  </si>
  <si>
    <t>1153600001004</t>
  </si>
  <si>
    <t>3664212520</t>
  </si>
  <si>
    <t>1114100000442</t>
  </si>
  <si>
    <t>4105997534</t>
  </si>
  <si>
    <t>1125400002342</t>
  </si>
  <si>
    <t>5401980243</t>
  </si>
  <si>
    <t>1127800002120</t>
  </si>
  <si>
    <t>7801350465</t>
  </si>
  <si>
    <t>1143700000399</t>
  </si>
  <si>
    <t>3702951965</t>
  </si>
  <si>
    <t>1035000011342</t>
  </si>
  <si>
    <t>5036031121</t>
  </si>
  <si>
    <t>1125400004487</t>
  </si>
  <si>
    <t>5404990810</t>
  </si>
  <si>
    <t>1143850007883</t>
  </si>
  <si>
    <t>3811177011</t>
  </si>
  <si>
    <t>1067800032959</t>
  </si>
  <si>
    <t>7807061406</t>
  </si>
  <si>
    <t>1035500006992</t>
  </si>
  <si>
    <t>5507040634</t>
  </si>
  <si>
    <t>1157400002616</t>
  </si>
  <si>
    <t>7451401209</t>
  </si>
  <si>
    <t>1022600001687</t>
  </si>
  <si>
    <t>2630031668</t>
  </si>
  <si>
    <t>1127800007741</t>
  </si>
  <si>
    <t>7839290568</t>
  </si>
  <si>
    <t>1136400001341</t>
  </si>
  <si>
    <t>6450999217</t>
  </si>
  <si>
    <t>1086900001682</t>
  </si>
  <si>
    <t>6950026093</t>
  </si>
  <si>
    <t>1137232054431</t>
  </si>
  <si>
    <t>7204195128</t>
  </si>
  <si>
    <t>1072300010958</t>
  </si>
  <si>
    <t>2356046940</t>
  </si>
  <si>
    <t>1115200003060</t>
  </si>
  <si>
    <t>5260985158</t>
  </si>
  <si>
    <t>1161832078319</t>
  </si>
  <si>
    <t>1831182016</t>
  </si>
  <si>
    <t>1147800006683</t>
  </si>
  <si>
    <t>7806291090</t>
  </si>
  <si>
    <t>1147800005594</t>
  </si>
  <si>
    <t>7842291699</t>
  </si>
  <si>
    <t>1133100001990</t>
  </si>
  <si>
    <t>3121011130</t>
  </si>
  <si>
    <t>1095200000565</t>
  </si>
  <si>
    <t>5260246809</t>
  </si>
  <si>
    <t>1037828012760</t>
  </si>
  <si>
    <t>7813137710</t>
  </si>
  <si>
    <t>1127800009413</t>
  </si>
  <si>
    <t>7813291006</t>
  </si>
  <si>
    <t>1157800003437</t>
  </si>
  <si>
    <t>7814259936</t>
  </si>
  <si>
    <t>1166313061419</t>
  </si>
  <si>
    <t>6316218029</t>
  </si>
  <si>
    <t>1117800008336</t>
  </si>
  <si>
    <t>7840290139</t>
  </si>
  <si>
    <t>1141600001410</t>
  </si>
  <si>
    <t>1655259430</t>
  </si>
  <si>
    <t>1022601988496</t>
  </si>
  <si>
    <t>2634049200</t>
  </si>
  <si>
    <t>1124700000017</t>
  </si>
  <si>
    <t>4703470279</t>
  </si>
  <si>
    <t>1142700001597</t>
  </si>
  <si>
    <t>2722980289</t>
  </si>
  <si>
    <t>1095000003009</t>
  </si>
  <si>
    <t>5053056736</t>
  </si>
  <si>
    <t>1146300001737</t>
  </si>
  <si>
    <t>6312997712</t>
  </si>
  <si>
    <t>1142468022168</t>
  </si>
  <si>
    <t>2465310993</t>
  </si>
  <si>
    <t>1101600003438</t>
  </si>
  <si>
    <t>1655069968</t>
  </si>
  <si>
    <t>1151690091497</t>
  </si>
  <si>
    <t>1659163986</t>
  </si>
  <si>
    <t>1151690096139</t>
  </si>
  <si>
    <t>1660257029</t>
  </si>
  <si>
    <t>1134200001484</t>
  </si>
  <si>
    <t>4205997009</t>
  </si>
  <si>
    <t>1127799003826</t>
  </si>
  <si>
    <t>7731396819</t>
  </si>
  <si>
    <t>1145476134561</t>
  </si>
  <si>
    <t>5403363849</t>
  </si>
  <si>
    <t>1031659002847</t>
  </si>
  <si>
    <t>1654030277</t>
  </si>
  <si>
    <t>1125400003332</t>
  </si>
  <si>
    <t>5408950294</t>
  </si>
  <si>
    <t>1137800010468</t>
  </si>
  <si>
    <t>7838290974</t>
  </si>
  <si>
    <t>1036154000244</t>
  </si>
  <si>
    <t>6154083921</t>
  </si>
  <si>
    <t>1036605616850</t>
  </si>
  <si>
    <t>6659041190</t>
  </si>
  <si>
    <t>1072400002619</t>
  </si>
  <si>
    <t>2469000209</t>
  </si>
  <si>
    <t>1021600002335</t>
  </si>
  <si>
    <t>1654030598</t>
  </si>
  <si>
    <t>1065473037552</t>
  </si>
  <si>
    <t>5408239556</t>
  </si>
  <si>
    <t>1144600000698</t>
  </si>
  <si>
    <t>4632133468</t>
  </si>
  <si>
    <t>1149102130022</t>
  </si>
  <si>
    <t>9102060510</t>
  </si>
  <si>
    <t>1026100028294</t>
  </si>
  <si>
    <t>6167062100</t>
  </si>
  <si>
    <t>1071600006818</t>
  </si>
  <si>
    <t>1660116701</t>
  </si>
  <si>
    <t>1021601626199</t>
  </si>
  <si>
    <t>1644017196</t>
  </si>
  <si>
    <t>1024001346335</t>
  </si>
  <si>
    <t>4028023679</t>
  </si>
  <si>
    <t>1166313060385</t>
  </si>
  <si>
    <t>6382072012</t>
  </si>
  <si>
    <t>1096800001143</t>
  </si>
  <si>
    <t>6829061856</t>
  </si>
  <si>
    <t>1127154036063</t>
  </si>
  <si>
    <t>7106524543</t>
  </si>
  <si>
    <t>1154000000120</t>
  </si>
  <si>
    <t>4024015130</t>
  </si>
  <si>
    <t>1147800003955</t>
  </si>
  <si>
    <t>7810437426</t>
  </si>
  <si>
    <t>1057813142078</t>
  </si>
  <si>
    <t>7841326645</t>
  </si>
  <si>
    <t>1037865006706</t>
  </si>
  <si>
    <t>7840003497</t>
  </si>
  <si>
    <t>1037858034543</t>
  </si>
  <si>
    <t>7801247877</t>
  </si>
  <si>
    <t>1126400002585</t>
  </si>
  <si>
    <t>6450999746</t>
  </si>
  <si>
    <t>1154200000107</t>
  </si>
  <si>
    <t>4230029516</t>
  </si>
  <si>
    <t>1112900000102</t>
  </si>
  <si>
    <t>2901210913</t>
  </si>
  <si>
    <t>1067847576037</t>
  </si>
  <si>
    <t>7811340000</t>
  </si>
  <si>
    <t>1027403902591</t>
  </si>
  <si>
    <t>7453090020</t>
  </si>
  <si>
    <t>1037800047845</t>
  </si>
  <si>
    <t>7801200131</t>
  </si>
  <si>
    <t>1037851051260</t>
  </si>
  <si>
    <t>7826168465</t>
  </si>
  <si>
    <t>1130500001610</t>
  </si>
  <si>
    <t>0545026494</t>
  </si>
  <si>
    <t>1163850056963</t>
  </si>
  <si>
    <t>3811432159</t>
  </si>
  <si>
    <t>1137154010091</t>
  </si>
  <si>
    <t>7107542087</t>
  </si>
  <si>
    <t>1140900000152</t>
  </si>
  <si>
    <t>0917971081</t>
  </si>
  <si>
    <t>1030600000573</t>
  </si>
  <si>
    <t>0603277059</t>
  </si>
  <si>
    <t>1130600000376</t>
  </si>
  <si>
    <t>0603999671</t>
  </si>
  <si>
    <t>1127800005970</t>
  </si>
  <si>
    <t>7807290205</t>
  </si>
  <si>
    <t>1033800000387</t>
  </si>
  <si>
    <t>3808060278</t>
  </si>
  <si>
    <t>1164200050266</t>
  </si>
  <si>
    <t>4253032716</t>
  </si>
  <si>
    <t>1107800006566</t>
  </si>
  <si>
    <t>7842014991</t>
  </si>
  <si>
    <t>1141600002830</t>
  </si>
  <si>
    <t>1651062182</t>
  </si>
  <si>
    <t>1037843038485</t>
  </si>
  <si>
    <t>7825124786</t>
  </si>
  <si>
    <t>1132225901257</t>
  </si>
  <si>
    <t>2223995466</t>
  </si>
  <si>
    <t>1060200012916</t>
  </si>
  <si>
    <t>0275056921</t>
  </si>
  <si>
    <t>1130327019382</t>
  </si>
  <si>
    <t>0323372327</t>
  </si>
  <si>
    <t>1021700001520</t>
  </si>
  <si>
    <t>1701026680</t>
  </si>
  <si>
    <t>1162300053398</t>
  </si>
  <si>
    <t>2317083151</t>
  </si>
  <si>
    <t>1130200000545</t>
  </si>
  <si>
    <t>0264995221</t>
  </si>
  <si>
    <t>1164700050316</t>
  </si>
  <si>
    <t>4703144490</t>
  </si>
  <si>
    <t>1161832061962</t>
  </si>
  <si>
    <t>1831179341</t>
  </si>
  <si>
    <t>1125400004443</t>
  </si>
  <si>
    <t>5403990409</t>
  </si>
  <si>
    <t>1127300001124</t>
  </si>
  <si>
    <t>7325996193</t>
  </si>
  <si>
    <t>1146600001338</t>
  </si>
  <si>
    <t>6623102139</t>
  </si>
  <si>
    <t>1143100000548</t>
  </si>
  <si>
    <t>3128970382</t>
  </si>
  <si>
    <t>1163850092207</t>
  </si>
  <si>
    <t>3851018360</t>
  </si>
  <si>
    <t>1060277011002</t>
  </si>
  <si>
    <t>0277074570</t>
  </si>
  <si>
    <t>1027400005445</t>
  </si>
  <si>
    <t>7447041708</t>
  </si>
  <si>
    <t>1027400005313</t>
  </si>
  <si>
    <t>7423008677</t>
  </si>
  <si>
    <t>1075500004030</t>
  </si>
  <si>
    <t>5504130985</t>
  </si>
  <si>
    <t>1133000000649</t>
  </si>
  <si>
    <t>3019999127</t>
  </si>
  <si>
    <t>1035400006069</t>
  </si>
  <si>
    <t>5404172565</t>
  </si>
  <si>
    <t>1142225901421</t>
  </si>
  <si>
    <t>2225996585</t>
  </si>
  <si>
    <t>1163525051865</t>
  </si>
  <si>
    <t>3520009189</t>
  </si>
  <si>
    <t>1032700190280</t>
  </si>
  <si>
    <t>2713011055</t>
  </si>
  <si>
    <t>1041000047571</t>
  </si>
  <si>
    <t>1001048462</t>
  </si>
  <si>
    <t>1033500047503</t>
  </si>
  <si>
    <t>3525089639</t>
  </si>
  <si>
    <t>1087800004610</t>
  </si>
  <si>
    <t>7817047295</t>
  </si>
  <si>
    <t>1101800000884</t>
  </si>
  <si>
    <t>1839003340</t>
  </si>
  <si>
    <t>1035511020236</t>
  </si>
  <si>
    <t>5506053260</t>
  </si>
  <si>
    <t>1087400001699</t>
  </si>
  <si>
    <t>7448108761</t>
  </si>
  <si>
    <t>1117800008281</t>
  </si>
  <si>
    <t>7820290035</t>
  </si>
  <si>
    <t>1137800002625</t>
  </si>
  <si>
    <t>7805340718</t>
  </si>
  <si>
    <t>1177800001433</t>
  </si>
  <si>
    <t>7820056564</t>
  </si>
  <si>
    <t>1095000007035</t>
  </si>
  <si>
    <t>5009037822</t>
  </si>
  <si>
    <t>1037861000099</t>
  </si>
  <si>
    <t>7838000555</t>
  </si>
  <si>
    <t>1147800004791</t>
  </si>
  <si>
    <t>7842291642</t>
  </si>
  <si>
    <t>1032902532420</t>
  </si>
  <si>
    <t>2902039306</t>
  </si>
  <si>
    <t>1020700000200</t>
  </si>
  <si>
    <t>0721001547</t>
  </si>
  <si>
    <t>1074200004823</t>
  </si>
  <si>
    <t>4205135895</t>
  </si>
  <si>
    <t>1162700050677</t>
  </si>
  <si>
    <t>2723186544</t>
  </si>
  <si>
    <t>1137800006475</t>
  </si>
  <si>
    <t>7840290795</t>
  </si>
  <si>
    <t>1149204007853</t>
  </si>
  <si>
    <t>9201002597</t>
  </si>
  <si>
    <t>1083800000767</t>
  </si>
  <si>
    <t>3814013011</t>
  </si>
  <si>
    <t>1025203051576</t>
  </si>
  <si>
    <t>5260085647</t>
  </si>
  <si>
    <t>1027810277990</t>
  </si>
  <si>
    <t>7826140445</t>
  </si>
  <si>
    <t>1132651005277</t>
  </si>
  <si>
    <t>2617800441</t>
  </si>
  <si>
    <t>1127800012658</t>
  </si>
  <si>
    <t>7813291084</t>
  </si>
  <si>
    <t>1065200047439</t>
  </si>
  <si>
    <t>5260172723</t>
  </si>
  <si>
    <t>1097800005104</t>
  </si>
  <si>
    <t>7843001811</t>
  </si>
  <si>
    <t>1137799007191</t>
  </si>
  <si>
    <t>7710480650</t>
  </si>
  <si>
    <t>1153100000998</t>
  </si>
  <si>
    <t>3123378863</t>
  </si>
  <si>
    <t>1035400012317</t>
  </si>
  <si>
    <t>5402183843</t>
  </si>
  <si>
    <t>1137800007322</t>
  </si>
  <si>
    <t>7813291704</t>
  </si>
  <si>
    <t>1046605602361</t>
  </si>
  <si>
    <t>6671149458</t>
  </si>
  <si>
    <t>1133850012515</t>
  </si>
  <si>
    <t>3812147130</t>
  </si>
  <si>
    <t>1045206726795</t>
  </si>
  <si>
    <t>5247016771</t>
  </si>
  <si>
    <t>1107800004388</t>
  </si>
  <si>
    <t>7805303917</t>
  </si>
  <si>
    <t>1037869005723</t>
  </si>
  <si>
    <t>7842002442</t>
  </si>
  <si>
    <t>1136100005579</t>
  </si>
  <si>
    <t>6167111598</t>
  </si>
  <si>
    <t>1037843134625</t>
  </si>
  <si>
    <t>7825459454</t>
  </si>
  <si>
    <t>1045021601602</t>
  </si>
  <si>
    <t>5053030128</t>
  </si>
  <si>
    <t>1116600000274</t>
  </si>
  <si>
    <t>6629026519</t>
  </si>
  <si>
    <t>1026605615838</t>
  </si>
  <si>
    <t>6663071984</t>
  </si>
  <si>
    <t>1106600004466</t>
  </si>
  <si>
    <t>6672326082</t>
  </si>
  <si>
    <t>1105200004876</t>
  </si>
  <si>
    <t>5260293005</t>
  </si>
  <si>
    <t>1120400000082</t>
  </si>
  <si>
    <t>0411154039</t>
  </si>
  <si>
    <t>1074200006682</t>
  </si>
  <si>
    <t>4221023444</t>
  </si>
  <si>
    <t>1067800034741</t>
  </si>
  <si>
    <t>7813202736</t>
  </si>
  <si>
    <t>1141300000269</t>
  </si>
  <si>
    <t>1324900109</t>
  </si>
  <si>
    <t>1025400006610</t>
  </si>
  <si>
    <t>5404153570</t>
  </si>
  <si>
    <t>1161832071477</t>
  </si>
  <si>
    <t>1840056628</t>
  </si>
  <si>
    <t>1125543028093</t>
  </si>
  <si>
    <t>5526900028</t>
  </si>
  <si>
    <t>1157400000020</t>
  </si>
  <si>
    <t>7457004991</t>
  </si>
  <si>
    <t>1116400000364</t>
  </si>
  <si>
    <t>6455052846</t>
  </si>
  <si>
    <t>1024201466629</t>
  </si>
  <si>
    <t>4217053566</t>
  </si>
  <si>
    <t>1035500002780</t>
  </si>
  <si>
    <t>5507052502</t>
  </si>
  <si>
    <t>1144200000856</t>
  </si>
  <si>
    <t>4217997814</t>
  </si>
  <si>
    <t>1051002809770</t>
  </si>
  <si>
    <t>1001049152</t>
  </si>
  <si>
    <t>1035204617909</t>
  </si>
  <si>
    <t>5249069419</t>
  </si>
  <si>
    <t>1142651011744</t>
  </si>
  <si>
    <t>2623803673</t>
  </si>
  <si>
    <t>1153600000773</t>
  </si>
  <si>
    <t>3662215042</t>
  </si>
  <si>
    <t>1033600124634</t>
  </si>
  <si>
    <t>3664054545</t>
  </si>
  <si>
    <t>1134300000735</t>
  </si>
  <si>
    <t>4345981993</t>
  </si>
  <si>
    <t>1067800033620</t>
  </si>
  <si>
    <t>7820041984</t>
  </si>
  <si>
    <t>1052600256444</t>
  </si>
  <si>
    <t>2636045280</t>
  </si>
  <si>
    <t>1105500000198</t>
  </si>
  <si>
    <t>5506074817</t>
  </si>
  <si>
    <t>1076600010288</t>
  </si>
  <si>
    <t>6670187281</t>
  </si>
  <si>
    <t>1036605613736</t>
  </si>
  <si>
    <t>6662077574</t>
  </si>
  <si>
    <t>1141600003060</t>
  </si>
  <si>
    <t>1637006620</t>
  </si>
  <si>
    <t>1152651015934</t>
  </si>
  <si>
    <t>2635211142</t>
  </si>
  <si>
    <t>1065200047945</t>
  </si>
  <si>
    <t>5256061604</t>
  </si>
  <si>
    <t>1036301056780</t>
  </si>
  <si>
    <t>6321077398</t>
  </si>
  <si>
    <t>1031621019825</t>
  </si>
  <si>
    <t>1655076080</t>
  </si>
  <si>
    <t>1095500000782</t>
  </si>
  <si>
    <t>5506074655</t>
  </si>
  <si>
    <t>1115400003608</t>
  </si>
  <si>
    <t>5405980276</t>
  </si>
  <si>
    <t>1067847306416</t>
  </si>
  <si>
    <t>7838345944</t>
  </si>
  <si>
    <t>1035400004111</t>
  </si>
  <si>
    <t>5408161483</t>
  </si>
  <si>
    <t>1025203580280</t>
  </si>
  <si>
    <t>5261025009</t>
  </si>
  <si>
    <t>1025300007589</t>
  </si>
  <si>
    <t>5320012798</t>
  </si>
  <si>
    <t>1097800001727</t>
  </si>
  <si>
    <t>7840018359</t>
  </si>
  <si>
    <t>1046300997753</t>
  </si>
  <si>
    <t>6321132659</t>
  </si>
  <si>
    <t>1057813076420</t>
  </si>
  <si>
    <t>7810045475</t>
  </si>
  <si>
    <t>1045207058016</t>
  </si>
  <si>
    <t>5256051109</t>
  </si>
  <si>
    <t>1045207485333</t>
  </si>
  <si>
    <t>5260142292</t>
  </si>
  <si>
    <t>1025200918390</t>
  </si>
  <si>
    <t>5221003376</t>
  </si>
  <si>
    <t>1021100000140</t>
  </si>
  <si>
    <t>1101478733</t>
  </si>
  <si>
    <t>1069658059569</t>
  </si>
  <si>
    <t>6658231255</t>
  </si>
  <si>
    <t>1036605600283</t>
  </si>
  <si>
    <t>6611007836</t>
  </si>
  <si>
    <t>1063200005384</t>
  </si>
  <si>
    <t>3250067638</t>
  </si>
  <si>
    <t>1025202195105</t>
  </si>
  <si>
    <t>5254017543</t>
  </si>
  <si>
    <t>1026101887536</t>
  </si>
  <si>
    <t>6142014867</t>
  </si>
  <si>
    <t>1024000852589</t>
  </si>
  <si>
    <t>4018003296</t>
  </si>
  <si>
    <t>1022601628774</t>
  </si>
  <si>
    <t>2632065422</t>
  </si>
  <si>
    <t>1101100000231</t>
  </si>
  <si>
    <t>1106026346</t>
  </si>
  <si>
    <t>1025202407130</t>
  </si>
  <si>
    <t>5257051550</t>
  </si>
  <si>
    <t>1120700000024</t>
  </si>
  <si>
    <t>0722421978</t>
  </si>
  <si>
    <t>1022700002335</t>
  </si>
  <si>
    <t>2722001504</t>
  </si>
  <si>
    <t>1137800001063</t>
  </si>
  <si>
    <t>7813291246</t>
  </si>
  <si>
    <t>1111400001426</t>
  </si>
  <si>
    <t>1435970327</t>
  </si>
  <si>
    <t>1032309093783</t>
  </si>
  <si>
    <t>2315100940</t>
  </si>
  <si>
    <t>1149102097044</t>
  </si>
  <si>
    <t>9102047710</t>
  </si>
  <si>
    <t>1026103175878</t>
  </si>
  <si>
    <t>6163052084</t>
  </si>
  <si>
    <t>1149204069497</t>
  </si>
  <si>
    <t>9204508688</t>
  </si>
  <si>
    <t>1107800004421</t>
  </si>
  <si>
    <t>7840019169</t>
  </si>
  <si>
    <t>1123500000832</t>
  </si>
  <si>
    <t>3525285922</t>
  </si>
  <si>
    <t>1135200000858</t>
  </si>
  <si>
    <t>5206995038</t>
  </si>
  <si>
    <t>1032700001850</t>
  </si>
  <si>
    <t>2725010641</t>
  </si>
  <si>
    <t>1163525085107</t>
  </si>
  <si>
    <t>3525381432</t>
  </si>
  <si>
    <t>1031002195993</t>
  </si>
  <si>
    <t>1001034357</t>
  </si>
  <si>
    <t>1053918500965</t>
  </si>
  <si>
    <t>3904064476</t>
  </si>
  <si>
    <t>1091600004924</t>
  </si>
  <si>
    <t>1655069012</t>
  </si>
  <si>
    <t>1065200051311</t>
  </si>
  <si>
    <t>5260186765</t>
  </si>
  <si>
    <t>1023403460211</t>
  </si>
  <si>
    <t>3444093034</t>
  </si>
  <si>
    <t>1021800000474</t>
  </si>
  <si>
    <t>1835039345</t>
  </si>
  <si>
    <t>1127800009402</t>
  </si>
  <si>
    <t>7820290204</t>
  </si>
  <si>
    <t>1071600003705</t>
  </si>
  <si>
    <t>1660105315</t>
  </si>
  <si>
    <t>1145958000110</t>
  </si>
  <si>
    <t>5902990450</t>
  </si>
  <si>
    <t>1036303396590</t>
  </si>
  <si>
    <t>6316042576</t>
  </si>
  <si>
    <t>1101600002294</t>
  </si>
  <si>
    <t>1648028600</t>
  </si>
  <si>
    <t>1025900005020</t>
  </si>
  <si>
    <t>5902706629</t>
  </si>
  <si>
    <t>1036605612471</t>
  </si>
  <si>
    <t>6660141633</t>
  </si>
  <si>
    <t>1046795000890</t>
  </si>
  <si>
    <t>6731046234</t>
  </si>
  <si>
    <t>1085400000036</t>
  </si>
  <si>
    <t>5408258781</t>
  </si>
  <si>
    <t>1021801656898</t>
  </si>
  <si>
    <t>1835051938</t>
  </si>
  <si>
    <t>1035000026192</t>
  </si>
  <si>
    <t>5052012422</t>
  </si>
  <si>
    <t>1032400002150</t>
  </si>
  <si>
    <t>2465070646</t>
  </si>
  <si>
    <t>1027802498866</t>
  </si>
  <si>
    <t>7804078271</t>
  </si>
  <si>
    <t>1047800020542</t>
  </si>
  <si>
    <t>7801262480</t>
  </si>
  <si>
    <t>1103600001163</t>
  </si>
  <si>
    <t>3662122849</t>
  </si>
  <si>
    <t>1097800002046</t>
  </si>
  <si>
    <t>7813204099</t>
  </si>
  <si>
    <t>1027800004363</t>
  </si>
  <si>
    <t>7825674902</t>
  </si>
  <si>
    <t>1055233035736</t>
  </si>
  <si>
    <t>5258054088</t>
  </si>
  <si>
    <t>1037858004557</t>
  </si>
  <si>
    <t>7826018886</t>
  </si>
  <si>
    <t>1102000000882</t>
  </si>
  <si>
    <t>2013001936</t>
  </si>
  <si>
    <t>1037000004810</t>
  </si>
  <si>
    <t>7017074437</t>
  </si>
  <si>
    <t>1031002192429</t>
  </si>
  <si>
    <t>1001043859</t>
  </si>
  <si>
    <t>1024001429825</t>
  </si>
  <si>
    <t>4026008192</t>
  </si>
  <si>
    <t>1042402942647</t>
  </si>
  <si>
    <t>2466115392</t>
  </si>
  <si>
    <t>1083000000434</t>
  </si>
  <si>
    <t>3017057018</t>
  </si>
  <si>
    <t>1055900008383</t>
  </si>
  <si>
    <t>5904126750</t>
  </si>
  <si>
    <t>1057002638967</t>
  </si>
  <si>
    <t>7017129566</t>
  </si>
  <si>
    <t>1057100804815</t>
  </si>
  <si>
    <t>7106066484</t>
  </si>
  <si>
    <t>1093100000839</t>
  </si>
  <si>
    <t>3119007827</t>
  </si>
  <si>
    <t>1057100135949</t>
  </si>
  <si>
    <t>7103038182</t>
  </si>
  <si>
    <t>1143600001016</t>
  </si>
  <si>
    <t>3624999043</t>
  </si>
  <si>
    <t>1097800004334</t>
  </si>
  <si>
    <t>7801269278</t>
  </si>
  <si>
    <t>1130200003933</t>
  </si>
  <si>
    <t>0276981463</t>
  </si>
  <si>
    <t>1110500001039</t>
  </si>
  <si>
    <t>0570008393</t>
  </si>
  <si>
    <t>1167800051374</t>
  </si>
  <si>
    <t>7810433799</t>
  </si>
  <si>
    <t>1027400000550</t>
  </si>
  <si>
    <t>7451016292</t>
  </si>
  <si>
    <t>1033800010958</t>
  </si>
  <si>
    <t>3805113725</t>
  </si>
  <si>
    <t>1165800050932</t>
  </si>
  <si>
    <t>5836678327</t>
  </si>
  <si>
    <t>1035100151426</t>
  </si>
  <si>
    <t>5190112929</t>
  </si>
  <si>
    <t>1121600001852</t>
  </si>
  <si>
    <t>1652017721</t>
  </si>
  <si>
    <t>1107800002970</t>
  </si>
  <si>
    <t>7801269750</t>
  </si>
  <si>
    <t>1072400001410</t>
  </si>
  <si>
    <t>2460082398</t>
  </si>
  <si>
    <t>1123500000711</t>
  </si>
  <si>
    <t>3525269840</t>
  </si>
  <si>
    <t>1165800051086</t>
  </si>
  <si>
    <t>5836678856</t>
  </si>
  <si>
    <t>1147400002562</t>
  </si>
  <si>
    <t>7456990653</t>
  </si>
  <si>
    <t>1024200003244</t>
  </si>
  <si>
    <t>4207013290</t>
  </si>
  <si>
    <t>1084200005010</t>
  </si>
  <si>
    <t>4223050115</t>
  </si>
  <si>
    <t>1020500001741</t>
  </si>
  <si>
    <t>0562050899</t>
  </si>
  <si>
    <t>1030700225918</t>
  </si>
  <si>
    <t>0721003350</t>
  </si>
  <si>
    <t>1123300001220</t>
  </si>
  <si>
    <t>3321999051</t>
  </si>
  <si>
    <t>1141600000057</t>
  </si>
  <si>
    <t>1649035424</t>
  </si>
  <si>
    <t>1021600010960</t>
  </si>
  <si>
    <t>1654040606</t>
  </si>
  <si>
    <t>1137800002218</t>
  </si>
  <si>
    <t>7813291341</t>
  </si>
  <si>
    <t>1147400002661</t>
  </si>
  <si>
    <t>7413990183</t>
  </si>
  <si>
    <t>1075000000932</t>
  </si>
  <si>
    <t>5018116083</t>
  </si>
  <si>
    <t>1147800004010</t>
  </si>
  <si>
    <t>7802291565</t>
  </si>
  <si>
    <t>1082300002201</t>
  </si>
  <si>
    <t>2308146750</t>
  </si>
  <si>
    <t>1120400000027</t>
  </si>
  <si>
    <t>0411153980</t>
  </si>
  <si>
    <t>1117232054389</t>
  </si>
  <si>
    <t>7203271390</t>
  </si>
  <si>
    <t>1086600000442</t>
  </si>
  <si>
    <t>6606026696</t>
  </si>
  <si>
    <t>1077800000035</t>
  </si>
  <si>
    <t>7801159677</t>
  </si>
  <si>
    <t>1052400006713</t>
  </si>
  <si>
    <t>2463070440</t>
  </si>
  <si>
    <t>1096900001208</t>
  </si>
  <si>
    <t>6911031325</t>
  </si>
  <si>
    <t>1137800008257</t>
  </si>
  <si>
    <t>7813291768</t>
  </si>
  <si>
    <t>1021600015645</t>
  </si>
  <si>
    <t>1660040139</t>
  </si>
  <si>
    <t>1106600002035</t>
  </si>
  <si>
    <t>6671322871</t>
  </si>
  <si>
    <t>1061800008918</t>
  </si>
  <si>
    <t>1831115884</t>
  </si>
  <si>
    <t>1094700001835</t>
  </si>
  <si>
    <t>4705047654</t>
  </si>
  <si>
    <t>1071000001093</t>
  </si>
  <si>
    <t>1001016904</t>
  </si>
  <si>
    <t>1124300000549</t>
  </si>
  <si>
    <t>4345980830</t>
  </si>
  <si>
    <t>1144700000675</t>
  </si>
  <si>
    <t>4703471219</t>
  </si>
  <si>
    <t>1037858011630</t>
  </si>
  <si>
    <t>7813097640</t>
  </si>
  <si>
    <t>1159102023024</t>
  </si>
  <si>
    <t>9102157818</t>
  </si>
  <si>
    <t>1073000000380</t>
  </si>
  <si>
    <t>3017051048</t>
  </si>
  <si>
    <t>1164200050387</t>
  </si>
  <si>
    <t>4252011456</t>
  </si>
  <si>
    <t>1083800000866</t>
  </si>
  <si>
    <t>3801096028</t>
  </si>
  <si>
    <t>1115400002453</t>
  </si>
  <si>
    <t>5407950171</t>
  </si>
  <si>
    <t>1033801761641</t>
  </si>
  <si>
    <t>3812051580</t>
  </si>
  <si>
    <t>1100200002066</t>
  </si>
  <si>
    <t>0266990042</t>
  </si>
  <si>
    <t>1036165019098</t>
  </si>
  <si>
    <t>6165108906</t>
  </si>
  <si>
    <t>1150700000440</t>
  </si>
  <si>
    <t>0725017428</t>
  </si>
  <si>
    <t>1117800001384</t>
  </si>
  <si>
    <t>7842015177</t>
  </si>
  <si>
    <t>1160571055611</t>
  </si>
  <si>
    <t>0542009660</t>
  </si>
  <si>
    <t>1164700050371</t>
  </si>
  <si>
    <t>4703144571</t>
  </si>
  <si>
    <t>1087200000579</t>
  </si>
  <si>
    <t>7206038339</t>
  </si>
  <si>
    <t>1037858009650</t>
  </si>
  <si>
    <t>7813107962</t>
  </si>
  <si>
    <t>1071600003530</t>
  </si>
  <si>
    <t>1658087725</t>
  </si>
  <si>
    <t>1117800000097</t>
  </si>
  <si>
    <t>7842015138</t>
  </si>
  <si>
    <t>1137154004130</t>
  </si>
  <si>
    <t>7104520374</t>
  </si>
  <si>
    <t>1027600001153</t>
  </si>
  <si>
    <t>7606044464</t>
  </si>
  <si>
    <t>21 ВЕК, БЛАГОТВОРИТЕЛЬНЫЙ ФОНД</t>
  </si>
  <si>
    <t>69 ПАРАЛЛЕЛЬ, БФ</t>
  </si>
  <si>
    <t>А. СЕМАКА, ФОНД</t>
  </si>
  <si>
    <t>АБСОЛЮТ, БЛАГОТВОРИТЕЛЬНЫЙ ФОНД</t>
  </si>
  <si>
    <t>АВИ, БФ</t>
  </si>
  <si>
    <t>АВРОРА, БФ</t>
  </si>
  <si>
    <t>АВТОКОМ, ФОНД</t>
  </si>
  <si>
    <t>АВТОКОСМОС, БЛАГОТВОРИТЕЛЬНЫЙ ФОНД</t>
  </si>
  <si>
    <t>АВТОРСКАЯ ШКОЛА В СЕЛЕ Б. ХВОЩЕВАТКА, БЛАГОТВОРИТЕЛЬНЫЙ ФОНД</t>
  </si>
  <si>
    <t>АДВИТА, БФ</t>
  </si>
  <si>
    <t>АДЫМНАР-ПУТЬ К ЗНАНИЯМ И СОГЛАСИЮ Г. КАЗАНЬ, БФ РАЗВИТИЯ ГАОУ</t>
  </si>
  <si>
    <t>АЗАМАТ, ФОНД</t>
  </si>
  <si>
    <t>АЗБУКА НАДЕЖДЫ, БФ</t>
  </si>
  <si>
    <t>АЗЕРБАЙДЖАН, БФ</t>
  </si>
  <si>
    <t>АЗОВО, ФОНД</t>
  </si>
  <si>
    <t>АЙКЬЮ ОПШН ( ВОЗМОЖНОСТЬ ИНТЕЛЛЕКТА ), БЛАГОТВОРИТЕЛЬНЫЙ ФОНД</t>
  </si>
  <si>
    <t>АЙСБЕРГ, БЛАГОТВОРИТЕЛЬНЫЙ ФОНД</t>
  </si>
  <si>
    <t>АК БАРС СОЗИДАНИЕ, БЛАГОТВОРИТЕЛЬНЫЙ ФОНД</t>
  </si>
  <si>
    <t>АК, БФ</t>
  </si>
  <si>
    <t>АКАДЕМФОНД</t>
  </si>
  <si>
    <t>АКВИЛОН-ИНВЕСТ, БЛАГОТВОРИТЕЛЬНЫЙ ФОНД</t>
  </si>
  <si>
    <t>АКСИОН, БЛАГОТВОРИТЕЛЬНЫЙ ФОНД</t>
  </si>
  <si>
    <t>АЛЁША, БЛАГОТВОРИТЕЛЬНЫЙ ФОНД</t>
  </si>
  <si>
    <t>АЛЕКСАНДР НЕВСКИЙ, БФ</t>
  </si>
  <si>
    <t>АЛЕКСАНДР, БЛАГОТВОРИТЕЛЬНЫЙ ФОНД</t>
  </si>
  <si>
    <t>АЛЕКСАНДРИНСКИЙ, БЛАГОТВОРИТЕЛЬНЫЙ ФОНД</t>
  </si>
  <si>
    <t>АЛЕКСЕЕВСКИЙ, БФ</t>
  </si>
  <si>
    <t>АЛЕКСЕЯ АШАПАТОВА, РБФ СПОРТИВНОЙ ПОДГОТОВКИ И РЕАБИЛИТАЦИИ ИНВАЛИДОВ ИМЕНИ</t>
  </si>
  <si>
    <t>АЛИ, БЛАГОТВОРИТЕЛЬНЫЙ ФОНД</t>
  </si>
  <si>
    <t>АЛМАЗ-АНТЕЙ, БЛАГОТВОРИТЕЛЬНЫЙ ФОНД ФК</t>
  </si>
  <si>
    <t>АЛТАЙСКИЙ ФПРСР</t>
  </si>
  <si>
    <t>АЛТАЙСКОЕ КРАЕВОЕ ОТДЕЛЕНИЕ РОССИЙСКОГО ДЕТСКОГО ФОНДА</t>
  </si>
  <si>
    <t>АЛЫЕ ПАРУСА, БФ РПДОДЮМ</t>
  </si>
  <si>
    <t>АЛЬБАТРОС, ККБОФ</t>
  </si>
  <si>
    <t>АЛЬМА, БФ ПБЖ</t>
  </si>
  <si>
    <t>АЛЬТЕР-ФОНД, НБФ</t>
  </si>
  <si>
    <t>АЛЬФА-ТАНКОГРАД, ЧООФ ПИР ДХ</t>
  </si>
  <si>
    <t>АЛЮМИНЩИК, НЕКОММЕРЧЕСКАЯ ОРГАНИЗАЦИЯ БЛАГОТВОРИТЕЛЬНЫЙ ФОНД</t>
  </si>
  <si>
    <t>АМУРСКИЙ ТИГР, ЭКОЛОГИЧЕСКИЙ ФОНД</t>
  </si>
  <si>
    <t>АНАПА, БЛАГОТВОРИТЕЛЬНЫЙ ФОНД</t>
  </si>
  <si>
    <t>АНАСТАСИЯ, БДПФ</t>
  </si>
  <si>
    <t>АНАСТАСИЯ, БФ</t>
  </si>
  <si>
    <t>АНГЕЛ НАДЕЖДЫ, СБФ РСЗП</t>
  </si>
  <si>
    <t>АНГЕЛ, БЛАГОТВОРИТЕЛЬНЫЙ ФОНД</t>
  </si>
  <si>
    <t>АНГЕЛЫ НАДЕЖДЫ, ДБФ</t>
  </si>
  <si>
    <t>АНДРЮША, ДЕТСКИЙ БЛАГОТВОРИТЕЛЬНЫЙ ФОНД</t>
  </si>
  <si>
    <t>АНТИРАКОВЫЙ ФОНД</t>
  </si>
  <si>
    <t>АПОСТОЛОВ ПЕТРА И ПАВЛА, БЛАГОТВОРИТЕЛЬНЫЙ ФОНД</t>
  </si>
  <si>
    <t>АПРЕЛЬ, БФ</t>
  </si>
  <si>
    <t>АПРЕЛЬ, ТРОФ</t>
  </si>
  <si>
    <t>АРИНА, БОФ РМ</t>
  </si>
  <si>
    <t>АРИНЫ ТУБИС, БФ ИМ.</t>
  </si>
  <si>
    <t>АРЛЕКИН, БЛАГОТВОРИТЕЛЬНЫЙ ФОНД</t>
  </si>
  <si>
    <t>АРОФ СЕИД-БАБЕ И БУКЕЙ ХАНУ</t>
  </si>
  <si>
    <t>АРТЕМКА, БФ</t>
  </si>
  <si>
    <t>АРХЕ, БЛАГОТВОРИТЕЛЬНЫЙ ФОНД</t>
  </si>
  <si>
    <t>АСИЭР ВСП, НОБФ</t>
  </si>
  <si>
    <t>АНТОН ТУТ РЯДОМ, БФ</t>
  </si>
  <si>
    <t>АТИКВА, ЕКБФ</t>
  </si>
  <si>
    <t>АЦРД, АКБОФ</t>
  </si>
  <si>
    <t>БАЙКАЛЬСКИЙ БЛАГОТВОРИТЕЛЬНЫЙ ФОНД</t>
  </si>
  <si>
    <t>БАЙКАЛЬСКИЙ ФОНД МЕСТНОГО СООБЩЕСТВА</t>
  </si>
  <si>
    <t>БАЙКАЛЬСКИЙ ЩИТ, ИРОФ ОГБ</t>
  </si>
  <si>
    <t>БАЙТЕРЕК (ЗАЩИТНИК), БФ</t>
  </si>
  <si>
    <t>БАЛТИЕЦ, САНКТ-ПЕТЕРБУРГСКИЙ ОБЩЕСТВЕННЫЙ ФОНД СОЦИАЛЬНОЙ ЗАЩИТЫ НАСЕЛЕНИЯ</t>
  </si>
  <si>
    <t>БАЛТИЙСКИЙ ВАРЯГ, БЛАГОТВОРИТЕЛЬНЫЙ ФОНД</t>
  </si>
  <si>
    <t>БАЛТИЙСКИЙ ГУМАНИТАРНЫЙ ФОНД</t>
  </si>
  <si>
    <t>БАСИЯТ, ФОНД</t>
  </si>
  <si>
    <t>БАШКОРТОСТАНСКИЙ ФОНД РЕГИОНАЛЬНОГО РАЗВИТИЯ</t>
  </si>
  <si>
    <t>БЕЗДОМНЫЕ ЖИВОТНЫЕ НАШЕГО ГОРОДА, ФОНД</t>
  </si>
  <si>
    <t>БЕЗЗАБОТНОЕ ДЕТСТВО, ПЕРМСКИЙ КРАЕВОЙ ОБЩЕСТВЕННЫЙ ФОНД</t>
  </si>
  <si>
    <t>БЕЛАЯ РОМАШКА, ОБЩЕСТВЕННЫЙ ФОНД ПО БОРЬБЕ С ТУБЕРКУЛЕЗОМ Г.КАЗАНИ</t>
  </si>
  <si>
    <t>БЕЛГОРОДСКИЙ МЕСТНЫЙ ОБЩЕСТВЕННЫЙ ФОНД СОДЕЙСТВИЯ СТРОИТЕЛЬСТВУ ХРАМА В ЧЕСТЬ СЕРАФИМА САРОВСКОГО</t>
  </si>
  <si>
    <t>БЕЛОВОДЬЕ, БФ</t>
  </si>
  <si>
    <t>БЕЛЫЕ ЦВЕТЫ, БЛАГОТВОРИТЕЛЬНЫЙ ФОНД</t>
  </si>
  <si>
    <t>БЕЛЫЙ ГОЛУБЬ, БЛАГОТВОРИТЕЛЬНЫЙ ФОНД</t>
  </si>
  <si>
    <t>БЕЛЫЙ ДОМ, БФ</t>
  </si>
  <si>
    <t>БЕЛЫЙ ЛОТОС, БЛАГОТВОРИТЕЛЬНЫЙ ФОНД ПОДДЕРЖКИ ЗДОРОВОГО ОБРАЗА ЖИЗНИ</t>
  </si>
  <si>
    <t>БЕНЕФАКТОР, БФ</t>
  </si>
  <si>
    <t>БЕРЕГ НАДЕЖДЫ, БЛАГОТВОРИТЕЛЬНЫЙ ФОНД КАЛИНИНГРАДСКОЙ ОБЛАСТИ</t>
  </si>
  <si>
    <t>БЕРЕГА, РОФ ВРКТ ОЭ ПФКН</t>
  </si>
  <si>
    <t>БЕРЕГИНЯ, БЛАГОТВОРИТЕЛЬНЫЙ ФОНД</t>
  </si>
  <si>
    <t>БЕТЕЛЬ (МИЛОСЕРДИЕ), ЛОБОФ</t>
  </si>
  <si>
    <t>БИЕКТАУ, БФ</t>
  </si>
  <si>
    <t>БИЗНЕС ВО ИМЯ СОЗИДАНИЯ, НО БЛАГОТВОРИТЕЛЬНЫЙ ФОНД ПОДДЕРЖКИ КУЛЬТУРЫ И СПОРТА</t>
  </si>
  <si>
    <t>БИНЕВАЛ, ФОНД</t>
  </si>
  <si>
    <t>БЛАГАЯ ВЕСТЬ, ОРЕНБУРГСКИЙ ГОРОДСКОЙ ОБЩЕСТВЕННЫЙ БЛАГОТВОРИТЕЛЬНЫЙ ФОНД</t>
  </si>
  <si>
    <t>БЛАГО ДАРИ, БФ</t>
  </si>
  <si>
    <t>БЛАГО ДАРЮ, БФ</t>
  </si>
  <si>
    <t>БЛАГО ДАРЮ, РБФ</t>
  </si>
  <si>
    <t>БЛАГО, БФ ПОМОЩИ ДЕТЯМ</t>
  </si>
  <si>
    <t>БЛАГО, НО БФ</t>
  </si>
  <si>
    <t>БЛАГО, ФОНД</t>
  </si>
  <si>
    <t>БЛАГОВЕСТ, БЛАГОТВОРИТЕЛЬНЫЙ ФОНД</t>
  </si>
  <si>
    <t>БЛАГОВЕСТ, БФ</t>
  </si>
  <si>
    <t>БЛАГОВЕСТ, ФОНД</t>
  </si>
  <si>
    <t>БЛАГОВЕСТ, ФПОИЛОН</t>
  </si>
  <si>
    <t>БЛАГОВЕСТИЕ, БФ</t>
  </si>
  <si>
    <t>БЛАГОВЕСТЪ, БЛАГОТВОРИТЕЛЬНЫЙ ФОНД</t>
  </si>
  <si>
    <t>БЛАГОВЕСТЪ, ТОНБФ</t>
  </si>
  <si>
    <t>БЛАГОВЕЩЕНИЕ, БЛАГОТВОРИТЕЛЬНЫЙ ФОНД</t>
  </si>
  <si>
    <t>БЛАГОВЕЩЕНИЕ, ФОНД</t>
  </si>
  <si>
    <t>БЛАГОДАР, БФ</t>
  </si>
  <si>
    <t>БЛАГОДАР, ФОНД</t>
  </si>
  <si>
    <t>БЛАГОДАРЕНИЕ, БФ</t>
  </si>
  <si>
    <t>БЛАГОДАРЕНИЕ, МОФ</t>
  </si>
  <si>
    <t>БЛАГОДАРИМ, БФ</t>
  </si>
  <si>
    <t>БЛАГОДАРИТЕ, БФ</t>
  </si>
  <si>
    <t>БЛАГОДАРЯ, БФ</t>
  </si>
  <si>
    <t>БЛАГОДАТЬ, БФ</t>
  </si>
  <si>
    <t>БЛАГОДАТЬ, БФРКР</t>
  </si>
  <si>
    <t>БЛАГОЕ ОТРОЧЕСТВО И МИЛОСЕРДИЕ, БФ</t>
  </si>
  <si>
    <t>БЛАГОПРАВ, БФ</t>
  </si>
  <si>
    <t>БЛАГОСЛОВЕНИЕ, БФ</t>
  </si>
  <si>
    <t>БЛАГОСТЬ, ОБФ ХВ</t>
  </si>
  <si>
    <t>БЛАГОТВОРИТЕЛЬНЫЙ ФОНД РАЗВИТИЯ ШКОЛЫ № 32 Г. ОМСКА</t>
  </si>
  <si>
    <t>БЛАГОТВОРИТЕЛЬНАЯ ЛИНИЯ, БФ</t>
  </si>
  <si>
    <t>БЛАГОТВОРИТЕЛЬНАЯ СТОЛОВАЯ</t>
  </si>
  <si>
    <t>БЛАГОТВОРИТЕЛЬНОЕ ОБЩЕСТВО</t>
  </si>
  <si>
    <t>БЛАГОТВОРИТЕЛЬНЫЙ ЕПАРХИАЛЬНЫЙ ФОНД СВЯТЫНИ ЗЕМЛИ БРЯНСКОЙ</t>
  </si>
  <si>
    <t>БЛАГОТВОРИТЕЛЬНЫЙ ФОНД АДРЕСНОЙ СОЦИАЛЬНОЙ ПОМОЩИ ЖИТЕЛЯМ ФРУНЗЕНСКОГО РАЙОНА, ФОНД</t>
  </si>
  <si>
    <t>БЛАГОТВОРИТЕЛЬНЫЙ ФОНД АЛЕКСАНДРА СКВОРЦОВА</t>
  </si>
  <si>
    <t>БЛАГОТВОРИТЕЛЬНЫЙ ФОНД БЛАГОСЛОВЕНИЕ, НЕКОММЕРЧЕСКАЯ ОРГАНИЗАЦИЯ</t>
  </si>
  <si>
    <t>БЛАГОТВОРИТЕЛЬНЫЙ ФОНД БУДУЩЕЕ СЕЙЧАС, НЕКОММЕРЧЕСКАЯ ОРГАНИЗАЦИЯ</t>
  </si>
  <si>
    <t>БЛАГОТВОРИТЕЛЬНЫЙ ФОНД РАЗВИТИЯ МОУ ЛИЦЕЙ № 34, НО</t>
  </si>
  <si>
    <t>БЛАГОТВОРИТЕЛЬНЫЙ ФОНД ВЗАИМНОЙ ПОДДЕРЖКИ</t>
  </si>
  <si>
    <t>БЛАГОТВОРИТЕЛЬНЫЙ ФОНД ВОЗРОЖДЕНИЕ, НЕКОММЕРЧЕСКАЯ ОРГАНИЗАЦИЯ</t>
  </si>
  <si>
    <t>БЛАГОТВОРИТЕЛЬНЫЙ ФОНД ВОЗРОЖДЕНИЯ ПРАВОСЛАВНЫХ ТРАДИЦИЙ МЕДИЦИНЫ В ЧЕСТЬ СВЯТОГО ВЕЛИКОМУЧЕНИКА И ЦЕЛИТЕЛЯ ПАНТЕЛЕЙМОНА</t>
  </si>
  <si>
    <t>БЛАГОТВОРИТЕЛЬНЫЙ ФОНД ДЕТСКИЙ САД-ДОМ РАДОСТИ, НЕКОММЕРЧЕСКАЯ ОРГАНИЗАЦИЯ</t>
  </si>
  <si>
    <t>БЛАГОТВОРИТЕЛЬНЫЙ ФОНД ДИАКОНИЧЕСКИЙ ЦЕНТР ГОРОДА ГУСЕВА, НЕКОММЕРЧЕСКАЯ ОРГАНИЗАЦИЯ</t>
  </si>
  <si>
    <t>БЛАГОТВОРИТЕЛЬНЫЙ ФОНД ДРУЗЕЙ МУЗЕЯ Ф.М. ДОСТОЕВСКОГО</t>
  </si>
  <si>
    <t>БЛАГОТВОРИТЕЛЬНЫЙ ФОНД ДШИ № 18</t>
  </si>
  <si>
    <t>БЛАГОТВОРИТЕЛЬНЫЙ ФОНД ДЭС, НГО</t>
  </si>
  <si>
    <t>БЛАГОТВОРИТЕЛЬНЫЙ ФОНД ЕВРАЗА -СИБИРЬ</t>
  </si>
  <si>
    <t>БЛАГОТВОРИТЕЛЬНЫЙ ФОНД ЕВРАЗА -УРАЛ</t>
  </si>
  <si>
    <t>БЛАГОТВОРИТЕЛЬНЫЙ ФОНД ЗАПАДНО-СИБИРСКОЙ ЖЕЛЕЗНОЙ ДОРОГИ</t>
  </si>
  <si>
    <t>БЛАГОТВОРИТЕЛЬНЫЙ ФОНД ЗДОРОВЬЯ И СПОРТА, НЕКОММЕРЧЕСКАЯ ОРГАНИЗАЦИЯ</t>
  </si>
  <si>
    <t>БЛАГОТВОРИТЕЛЬНЫЙ ФОНД ИЗГЕЛЕК</t>
  </si>
  <si>
    <t>БЛАГОТВОРИТЕЛЬНЫЙ ФОНД ИМ. В.П. АСТАФЬЕВА, НО</t>
  </si>
  <si>
    <t>БЛАГОТВОРИТЕЛЬНЫЙ ФОНД ИМ. Г. ШЕЛЕХОВА</t>
  </si>
  <si>
    <t>БЛАГОТВОРИТЕЛЬНЫЙ ФОНД ИМ. Т.А. АРБУЗОВОЙ, НО</t>
  </si>
  <si>
    <t>БЛАГОТВОРИТЕЛЬНЫЙ ФОНД ИМЕНИ АДМИРАЛА ПАВЛА ЖОНЕСА (ДЖОНА ПОЛА ДЖОНСА)</t>
  </si>
  <si>
    <t>БЛАГОТВОРИТЕЛЬНЫЙ ФОНД ИМЕНИ АЛИ ШОГЕНЦУКОВА</t>
  </si>
  <si>
    <t>БЛАГОТВОРИТЕЛЬНЫЙ ФОНД ИМЕНИ ВАЛЕНТИНА АЛЕКСАНДРОВИЧА ФУФАЕВА</t>
  </si>
  <si>
    <t>БЛАГОТВОРИТЕЛЬНЫЙ ФОНД ИМЕНИ ВАСИЛИЯ ИВАНОВИЧА САПРУНОВА</t>
  </si>
  <si>
    <t>БЛАГОТВОРИТЕЛЬНЫЙ ФОНД ИМЕНИ К.К. ГРОТА .</t>
  </si>
  <si>
    <t>БЛАГОТВОРИТЕЛЬНЫЙ ФОНД ИМЕНИ СВЯТИТЕЛЯ МАКАРИЯ АЛТАЙСКОГО</t>
  </si>
  <si>
    <t>БЛАГОТВОРИТЕЛЬНЫЙ ФОНД ИМЕНИ СВЯТОГО АНДРАНИКА, НО</t>
  </si>
  <si>
    <t>БЛАГОТВОРИТЕЛЬНЫЙ ФОНД ИМЕНИ СВЯТОГО СЕРАФИМА ВЫРИЦКОГО</t>
  </si>
  <si>
    <t>БЛАГОТВОРИТЕЛЬНЫЙ ФОНД ИМЕНИ СВЯТОГО СТИЛИАНА</t>
  </si>
  <si>
    <t>БЛАГОТВОРИТЕЛЬНЫЙ ФОНД ИМЕНИ ЮРИЯ ГОРОХОВА</t>
  </si>
  <si>
    <t>БЛАГОТВОРИТЕЛЬНЫЙ ФОНД КУЛЬТУРЫ ДЕТСТВО, НО</t>
  </si>
  <si>
    <t>БЛАГОТВОРИТЕЛЬНЫЙ ФОНД РАЗВИТИЯ ДЕТСКО-ЮНОШЕСКОГО СПОРТА НИКОЛАЯ ВАЛУЕВА, ФОНД</t>
  </si>
  <si>
    <t>БЛАГОТВОРИТЕЛЬНЫЙ ФОНД ЛЕГКОЕ ДЫХАНИЕ</t>
  </si>
  <si>
    <t>БЛАГОТВОРИТЕЛЬНЫЙ ФОНД ЛЗН РК</t>
  </si>
  <si>
    <t>БЛАГОТВОРИТЕЛЬНЫЙ ФОНД ЛИЦЕЯ № 366</t>
  </si>
  <si>
    <t>БЛАГОТВОРИТЕЛЬНЫЙ ФОНД ЛОРА</t>
  </si>
  <si>
    <t>БЛАГОТВОРИТЕЛЬНЫЙ ФОНД МЕЦЕНАТ, НЕКОММЕРЧЕСКАЯ ОРГАНИЗАЦИЯ</t>
  </si>
  <si>
    <t>БЛАГОТВОРИТЕЛЬНЫЙ ФОНД МИХАИЛА ГАНТВАРГА</t>
  </si>
  <si>
    <t>БЛАГОТВОРИТЕЛЬНЫЙ ФОНД НАДЕЖДА ЛИЦЕЯ, НО</t>
  </si>
  <si>
    <t>БЛАГОТВОРИТЕЛЬНЫЙ ФОНД НАРОДНЫЙ РЕМОНТ, НКО</t>
  </si>
  <si>
    <t>БЛАГОТВОРИТЕЛЬНЫЙ ФОНД РОДИТЕЛЬСКОЙ ПОДДЕРЖКИ НАШИ ДЕТИ, НЕКОММЕРЧЕСКАЯ ОРГАНИЗАЦИЯ</t>
  </si>
  <si>
    <t>БЛАГОТВОРИТЕЛЬНЫЙ ФОНД ПО ВОССТАНОВЛЕНИЮ АНСАМБЛЯ ГУСЛИЦКОГО СПАСО-ПРЕОБРАЖЕНСКОГО МУЖСКОГО МОНАСТЫРЯ</t>
  </si>
  <si>
    <t>БЛАГОТВОРИТЕЛЬНЫЙ ФОНД ПО ВОССТАНОВЛЕНИЮ ХРАМА РОЖДЕСТВА ПРЕСВЯТОЙ БОГОРОДИЦЫ, НО</t>
  </si>
  <si>
    <t>БЛАГОТВОРИТЕЛЬНЫЙ ФОНД ПО СОДЕЙСТВИЮ РАЗВИТИЯ ВОЛЖСКОГО РАЙОНА Г. САРАТОВА</t>
  </si>
  <si>
    <t>БЛАГОТВОРИТЕЛЬНЫЙ ФОНД ПО СТРОИТЕЛЬСТВУ ХРАМОВОГО КОМПЛЕКСА В С.СОБОЛЕВО СОБОЛЕВСКОГО РАЙОНА КАМЧАТСКОГО КРАЯ</t>
  </si>
  <si>
    <t>БЛАГОТВОРИТЕЛЬНЫЙ ФОНД ПОДДЕРЖКИ ГДД(Ю)Т ИМ. Н.К. КРУПСКОЙ, НО</t>
  </si>
  <si>
    <t>БЛАГОТВОРИТЕЛЬНЫЙ ФОНД ПОДДЕРЖКИ ГИМНАЗИИ №26</t>
  </si>
  <si>
    <t>БЛАГОТВОРИТЕЛЬНЫЙ ФОНД ПОДДЕРЖКИ ГИМНАЗИИ №278</t>
  </si>
  <si>
    <t>БЛАГОТВОРИТЕЛЬНЫЙ ФОНД ПОДДЕРЖКИ И РАЗВИТИЯ ГИМНАЗИИ № 10, НО</t>
  </si>
  <si>
    <t>БЛАГОТВОРИТЕЛЬНЫЙ ФОНД ПОДДЕРЖКИ И РАЗВИТИЯ ДЕТСКОГО САДА № 151</t>
  </si>
  <si>
    <t>БЛАГОТВОРИТЕЛЬНЫЙ ФОНД ПОДДЕРЖКИ И РАЗВИТИЯ ДОЛ ЮВЕНТА</t>
  </si>
  <si>
    <t>БЛАГОТВОРИТЕЛЬНЫЙ ФОНД ПОДДЕРЖКИ И РАЗВИТИЯ МБОУ ГИМНАЗИЯ № 71 ( РАДУГА )</t>
  </si>
  <si>
    <t>БЛАГОТВОРИТЕЛЬНЫЙ ФОНД ПОДДЕРЖКИ И РАЗВИТИЯ МОУ ГИМНАЗИЯ № 12</t>
  </si>
  <si>
    <t>БЛАГОТВОРИТЕЛЬНЫЙ ФОНД ПОДДЕРЖКИ И РАЗВИТИЯ ШКОЛЫ №284</t>
  </si>
  <si>
    <t>БЛАГОТВОРИТЕЛЬНЫЙ ФОНД ПОДДЕРЖКИ МУЗЕЕВ</t>
  </si>
  <si>
    <t>БЛАГОТВОРИТЕЛЬНЫЙ ФОНД ПОДДЕРЖКИ МУЗЫКАЛЬНОГО ОБРАЗОВАНИЯ, НФ</t>
  </si>
  <si>
    <t>БЛАГОТВОРИТЕЛЬНЫЙ ФОНД ПОДДЕРЖКИ ОДАРЕННЫХ ДЕТЕЙ СВЕТЛОЯРСКОГО РАЙОНА, НКО</t>
  </si>
  <si>
    <t>БЛАГОТВОРИТЕЛЬНЫЙ ФОНД ПОДДЕРЖКИ УАФО</t>
  </si>
  <si>
    <t>БЛАГОТВОРИТЕЛЬНЫЙ ФОНД ПОДДЕРЖКИ ШКОЛЫ № 639 НЕВСКОГО РАЙОНА САНКТ-ПЕТЕРБУРГА, НО</t>
  </si>
  <si>
    <t>БЛАГОТВОРИТЕЛЬНЫЙ ФОНД ПОЛКОВОЙ ЦЕРКВИ Г. КИНГИСЕППА</t>
  </si>
  <si>
    <t>БЛАГОТВОРИТЕЛЬНЫЙ ФОНД ПОМОЩИ ИНВАЛИДАМ И ВЕТЕРАНАМ ВОЙНЫ И ТРУДА ПРИ ЛЕНИНОГОРСКОМ СОВЕТЕ ВЕТЕРАНОВ ВОЙНЫ И ТРУДА</t>
  </si>
  <si>
    <t>БЛАГОТВОРИТЕЛЬНЫЙ ФОНД ПФС, МОО</t>
  </si>
  <si>
    <t>БЛАГОТВОРИТЕЛЬНЫЙ ФОНД РАЗВИТИЯ ВШМ СПБГУ, СПБРОФ</t>
  </si>
  <si>
    <t>БЛАГОТВОРИТЕЛЬНЫЙ ФОНД РАЗВИТИЯ ГИМНАЗИИ № 84 Г. ОМСКА</t>
  </si>
  <si>
    <t>БЛАГОТВОРИТЕЛЬНЫЙ ФОНД РАЗВИТИЯ ДЕМОГРАФИИ</t>
  </si>
  <si>
    <t>БЛАГОТВОРИТЕЛЬНЫЙ ФОНД РАЗВИТИЯ ЛИЦЕЯ № 84, НЕКОММЕРЧЕСКАЯ ОРГАНИЗАЦИЯ</t>
  </si>
  <si>
    <t>БЛАГОТВОРИТЕЛЬНЫЙ ФОНД РАЗВИТИЯ ШКОЛЫ №72, НО</t>
  </si>
  <si>
    <t>БЛАГОТВОРИТЕЛЬНЫЙ ФОНД РЕАБИЛИТАЦИИ ВЕТЕРАНОВ И СООТЕЧЕСТВЕННИКОВ</t>
  </si>
  <si>
    <t>БЛАГОТВОРИТЕЛЬНЫЙ ФОНД РУССКОЙ МЕДНОЙ КОМПАНИИ</t>
  </si>
  <si>
    <t>БЛАГОТВОРИТЕЛЬНЫЙ ФОНД С. ЗИЛАИР</t>
  </si>
  <si>
    <t>БЛАГОТВОРИТЕЛЬНЫЙ ФОНД С.П. ИСЛАМЕЙ</t>
  </si>
  <si>
    <t>БЛАГОТВОРИТЕЛЬНЫЙ ФОНД СВЕТОДАР, НФ</t>
  </si>
  <si>
    <t>БЛАГОТВОРИТЕЛЬНЫЙ ФОНД СВЯТИТЕЛЯ АЛЕКСИЯ МОСКОВСКОГО</t>
  </si>
  <si>
    <t>БЛАГОТВОРИТЕЛЬНЫЙ ФОНД СВЯТОГО ПРЕПОДОБНОГО СЕРАФИМА ВЫРИЦКОГО</t>
  </si>
  <si>
    <t>БЛАГОТВОРИТЕЛЬНЫЙ ФОНД СВЯТОЙ БЛАЖЕННОЙ МАТРОНЫ МОСКОВСКОЙ</t>
  </si>
  <si>
    <t>БЛАГОТВОРИТЕЛЬНЫЙ ФОНД СЕРГЕЯ ДОЦЕНКО</t>
  </si>
  <si>
    <t>БЛАГОТВОРИТЕЛЬНЫЙ ФОНД СОДЕЙСТВИЯ И ПОМОЩИ, НО</t>
  </si>
  <si>
    <t>БЛАГОТВОРИТЕЛЬНЫЙ ФОНД СОДЕЙСТВИЯ КАДЕТСКИМ КОРПУСАМ И ПАТРИОТИЧЕСКОМУ ВОСПИТАНИЮ</t>
  </si>
  <si>
    <t>БЛАГОТВОРИТЕЛЬНЫЙ ФОНД СОХРАНЕНИЯ РУССКОГО КУЛЬТУРНОГО И ИСТОРИЧЕСКОГО НАСЛЕДИЯ ПЕРИОДА 1855-1881Г.Г.</t>
  </si>
  <si>
    <t>БЛАГОТВОРИТЕЛЬНЫЙ ФОНД СПАСО-ПРЕОБРАЖЕНСКОГО ВСЕЙ ГВАРДИИ СОБОРА</t>
  </si>
  <si>
    <t>БЛАГОТВОРИТЕЛЬНЫЙ ФОНД СПЕКТР, НО</t>
  </si>
  <si>
    <t>БЛАГОТВОРИТЕЛЬНЫЙ ФОНД ТАТЬЯНЫ САЦ</t>
  </si>
  <si>
    <t>БЛАГОТВОРИТЕЛЬНЫЙ ФОНД ТРОЙНЯШКИ, НО</t>
  </si>
  <si>
    <t>БЛАГОТВОРИТЕЛЬНЫЙ ФОНД ТУЛУНЧАНЕ, НЕКОММЕРЧЕСКАЯ ОРГАНИЗАЦИЯ</t>
  </si>
  <si>
    <t>БЛАГОТВОРИТЕЛЬНЫЙ ФОНД ЧЕЛЯБИНСКОЙ ОБЛАСТИ</t>
  </si>
  <si>
    <t>БЛАГОТВОРИТЕЛЬНЫЙ ФОНД ЧИЖОВА</t>
  </si>
  <si>
    <t>БЛАГОТВОРИТЕЛЬНЫЙ ФОНД ШКОЛЫ ЗЕМЛЯ РОДНАЯ, НГО</t>
  </si>
  <si>
    <t>БЛАГОТВОРИТЕЛЬНЫЙ ФОНД ЩИТ</t>
  </si>
  <si>
    <t>БЛАГОТВОРИТЕЛЬНЫЙ ФОНД ЯМИНЕ</t>
  </si>
  <si>
    <t>БЛАГОЧЕСТИЕ, ФОНД</t>
  </si>
  <si>
    <t>БЛИЗКИЕ ДРУГИЕ, БФ</t>
  </si>
  <si>
    <t>БЛИЗКИЕ ЛЮДИ, ФОНД</t>
  </si>
  <si>
    <t>БЛИЗКО К СЕРДЦУ, БЛАГОТВОРИТЕЛЬНЫЙ ФОНД</t>
  </si>
  <si>
    <t>БНЗС, БЛАГОТВОРИТЕЛЬНЫЙ ФОНД СОВЕТА ВЕТЕРАНОВ ГТ</t>
  </si>
  <si>
    <t>БОГОРОДИЦА МИЛУЮЩАЯ, БЛАГОТВОРИТЕЛЬНЫЙ ФОНД</t>
  </si>
  <si>
    <t>БОГОСЛОВСКИЙ ВВЕДЕНСКИЙ СОБОР, ФОНД</t>
  </si>
  <si>
    <t>БОЕВОЕ ЕДИНСТВО, ФОНД ВЕТЕРАНОВ</t>
  </si>
  <si>
    <t>БОЖЬЯ КОРОВКА, БЛАГОТВОРИТЕЛЬНЫЙ ФОНД</t>
  </si>
  <si>
    <t>БЛАГОТВОРИТЕЛЬНЫЙ ФОНД И.И. САВВИДИ</t>
  </si>
  <si>
    <t>БЛАГОТВОРИТЕЛЬНЫЙ ФОНД ПОМОЩИ ВЕТЕРАНАМ И ПЕНСИОНЕРАМ ГОРНОГО, ПРОМЫШЛЕННОГО И ТЕХНОЛОГИЧЕСКОГО НАДЗОРА</t>
  </si>
  <si>
    <t>БОЛЬШОЕ БУДУЩЕЕ, БФСП</t>
  </si>
  <si>
    <t>БОФР БСПВ, СПБ</t>
  </si>
  <si>
    <t>БОФР ШК.№1</t>
  </si>
  <si>
    <t>БЛАГОВЕСТ, ОБЩЕСТВЕННЫЙ БЛАГОТВОРИТЕЛЬНЫЙ ФОНД</t>
  </si>
  <si>
    <t>БРАТСКИЙ БЛАГОВЕСТ, БЛАГОТВОРИТЕЛЬНЫЙ ФОНД</t>
  </si>
  <si>
    <t>БРАТСТВО, БФ ПВЧС</t>
  </si>
  <si>
    <t>БРАТСТВО, БФ ПО РЕАБИЛИТАЦИИ ВОИНОВ-ИНВАЛИДОВ УЧАСТНИКОВ БОЕВЫХ ДЕЙСТВИЙ</t>
  </si>
  <si>
    <t>БРАТЬЕВ РАДЧЕНКО, ФОНД</t>
  </si>
  <si>
    <t>БЛАГОТВОРИТЕЛЬНЫЙ ФОНД АЛЕКСАНДРА НЕВСКОГО</t>
  </si>
  <si>
    <t>БЛАГОТВОРИТЕЛЬНЫЙ ФОНД ИМЕНИ ЛЮДМИЛЫ ПИМАШКОВОЙ, КРФ</t>
  </si>
  <si>
    <t>БЛАГОТВОРИТЕЛЬНЫЙ ФОНД МАТЕРИАЛЬНОЙ ПОМОЩИ АКАДЕМИКОВ И ЧЛЕНОВ-КОРРЕСПОНДЕНТОВ РАН</t>
  </si>
  <si>
    <t>БЛАГОТВОРИТЕЛЬНЫЙ ФОНД РАЗВИТИЯ МУНИЦИПАЛЬНОГО ОБЩЕОБРАЗОВАТЕЛЬНОГО УЧРЕЖДЕНИЯ СРЕДНЯЯ ОБЩЕОБРАЗОВАТЕЛЬНАЯ ШКОЛА №91, НЕКОММЕРЧЕСКАЯ ОРГАНИЗАЦИЯ</t>
  </si>
  <si>
    <t>БРИГАНТИНА БЛАГО, БФ</t>
  </si>
  <si>
    <t>БЛАГОТВОРИТЕЛЬНЫЙ ФОНД ИМЕНИ В.Л. ЗАСОВА</t>
  </si>
  <si>
    <t>БРИНЬКОВСКИЙ, БФ</t>
  </si>
  <si>
    <t>БРОБФМСП ИМ. ПРЕПОДОБНОГО ФЕОДОСИЯ ПЕЧЕРСКОГО</t>
  </si>
  <si>
    <t>БРЯНСКИЙ ГАРАНТИЙНЫЙ ФОНД, ФПП</t>
  </si>
  <si>
    <t>БРЯНСКИЙ ГОРОДСКОЙ ЛИЦЕЙ № 2 ИМ.М.В.ЛОМОНОСОВА, ФОНД ПОДДЕРЖКИ И РАЗВИТИЯ МБОУ</t>
  </si>
  <si>
    <t>БРЯНСКИЙ КАФЕДРАЛЬНЫЙ СОБОР, БРОФ</t>
  </si>
  <si>
    <t>БУДЕМ ВМЕСТЕ МИЛОСЕРДНЫ, БЛАГОТВОРИТЕЛЬНЫЙ ФОНД</t>
  </si>
  <si>
    <t>БУДУЩЕЕ ОРЕНБУРЖЬЯ, БФ</t>
  </si>
  <si>
    <t>БУДУЩЕЕ СИБИРИ, БФ</t>
  </si>
  <si>
    <t>БУДУЩЕЕ-ДЕТЯМ, АГОБФ ПДИ</t>
  </si>
  <si>
    <t>БУДЬ ЧЕЛОВЕКОМ!, БФ</t>
  </si>
  <si>
    <t>БУМАЖНАЯ ПТИЦА, ФОНД</t>
  </si>
  <si>
    <t>БУМАЖНЫЙ КОРАБЛИК, БЛАГОТВОРИТЕЛЬНЫЙ ФОНД</t>
  </si>
  <si>
    <t>БУСИНКА, БФ</t>
  </si>
  <si>
    <t>БФ А. МОНАСТЫРЁВА</t>
  </si>
  <si>
    <t>БФ А. МОСКАЛЕНКО, УНО</t>
  </si>
  <si>
    <t>БФ АЛЕКСАНДРА ВЬЮХИНА</t>
  </si>
  <si>
    <t>БФ БАЙМАКСКОГО РАЙОНА РБ</t>
  </si>
  <si>
    <t>БФ БЛАГОВЕЩЕНСКОГО РАЙОНА РБ</t>
  </si>
  <si>
    <t>БФ БЛАГОДАРНОСТЬ, НОУФ</t>
  </si>
  <si>
    <t>БЛАГОТВОРИТЕЛЬНЫЙ ФОНД БЛАГОУСТРОЙСТВА ГОРОДА ЧИТЫ</t>
  </si>
  <si>
    <t>БФ БУРАЕВСКОГО РАЙОНА РБ</t>
  </si>
  <si>
    <t>БФ ВПСП</t>
  </si>
  <si>
    <t>БФ ГО Г. СТЕРЛИТАМАК РБ</t>
  </si>
  <si>
    <t>БФ ГО ЗАТО МЕЖГОРЬЕ РЕСПУБЛИКИ БАШКОРТОСТАН</t>
  </si>
  <si>
    <t>БФ ДОБРО СРАЗУ, НО</t>
  </si>
  <si>
    <t>БФ ДОБРО, НО</t>
  </si>
  <si>
    <t>БФ ДРУЗЕЙ МДТ</t>
  </si>
  <si>
    <t>БФ ДРУЗЕЙ МУЗЕЯ АННЫ АХМАТОВОЙ</t>
  </si>
  <si>
    <t>БФ ЕЛЕНЫ ИСИНБАЕВОЙ</t>
  </si>
  <si>
    <t>БФ ИМЕНИ В.П.РЕДЛИХ</t>
  </si>
  <si>
    <t>БФ ИМЕНИ ВИТАЛИЯ И АНДРЕЯ ЕЗЕРСКИХ</t>
  </si>
  <si>
    <t>БФ ИМЕНИ КРОНИДА ГОГОЛЕВА</t>
  </si>
  <si>
    <t>БФ ИМЕНИ СВЯТОЙ АЛЛЫ</t>
  </si>
  <si>
    <t>БФ К.КУЛИЕВА</t>
  </si>
  <si>
    <t>БФ КАРМАСКАЛИНСКОГО РАЙОНА РБ</t>
  </si>
  <si>
    <t>БФ МЕМОРИАЛЬНОГО МУЗЕЯ Ю.А. ГАГАРИНА</t>
  </si>
  <si>
    <t>БФ МУНИЦИПАЛЬНОГО РАЙОНА КАЛТАСИНСКИЙ РАЙОН РБ</t>
  </si>
  <si>
    <t>БФ НАТАЛЬИ ВОРОБЬЁВОЙ</t>
  </si>
  <si>
    <t>БФ НАЦИОНАЛЬНОЕ ДОСТОЯНИЕ, НКО</t>
  </si>
  <si>
    <t>БФ НУРИМАНОВСКОГО РАЙОНА РБ</t>
  </si>
  <si>
    <t>БФ О.КОНДРАШОВА</t>
  </si>
  <si>
    <t>БФ ОКФКСИТ АДМИНИСТРАЦИИ ОКТЯБРЬСКОГО РАЙОНА РО</t>
  </si>
  <si>
    <t>БФ ОУ ОКТЯБРЬСКОГО РАЙОНА РОСТОВСКОЙ ОБЛАСТИ</t>
  </si>
  <si>
    <t>БЛАГОТВОРИТЕЛЬНЫЙ ФОНД ПОДДЕРЖКИ ВЕТЕРАНОВ СЕГЕЖСКОГО ЦБК</t>
  </si>
  <si>
    <t>БФ ПОДДЕРЖКИ ЖИТЕЛЕЙ МАЛЫХ ГОРОДОВ И СЕЛЬСКИХ ПОСЕЛЕНИЙ</t>
  </si>
  <si>
    <t>БФ ПОДДЕРЖКИ КУЛЬТУРЫ И СОХРАНЕНИЯ ИСТОРИЧЕСКОГО НАСЛЕДИЯ КОЛОМЕНСКИЙ КРЕМЛЬ, НКО</t>
  </si>
  <si>
    <t>БФ ПОДДЕРЖКИ САНКТ-ПЕТЕРБУРГСКОЙ ПЕДИАТРИЧЕСКОЙ МЕДИЦИНСКОЙ АКАДЕМИИ</t>
  </si>
  <si>
    <t>БФ ПОДДЕРЖКИ СОЦИАЛЬНЫХ ПРОГРАММ</t>
  </si>
  <si>
    <t>БФ ПОДДЕРЖКИ ТВОРЧЕСТВА ДЕТЕЙ</t>
  </si>
  <si>
    <t>БФ ПОЛИНА</t>
  </si>
  <si>
    <t>БФ ПОМОЩИ ЖИВОТНЫМ ДРАГОЦЕННОЕ СЕРДЦЕ</t>
  </si>
  <si>
    <t>БФ ПП</t>
  </si>
  <si>
    <t>БФ ППЖ</t>
  </si>
  <si>
    <t>БФ ПРИМОРСКОГО РАЙОНА</t>
  </si>
  <si>
    <t>БФ ПСР БУРЗЯНСКОГО РАЙОНА</t>
  </si>
  <si>
    <t>БФ ПСР ГО Г КУМЕРТАУ РЕСПУБЛИКИ БАШКОРТОСТАН</t>
  </si>
  <si>
    <t>БФ РАДУГА, НО</t>
  </si>
  <si>
    <t>БФ РАЗВИТИЯ ГИМНАЗИИ № 91</t>
  </si>
  <si>
    <t>БЛАГОТВОРИТЕЛЬНЫЙ ФОНД РАЗВИТИЯ ГИМНАЗИЯ № 59, НЕКОММЕРЧЕСКАЯ ОРГАНИЗАЦИЯ</t>
  </si>
  <si>
    <t>БФ РОДА КАНОКОВЫХ ИМ.БАШИРА ХАМЗЕТОВИЧА КАНОКОВА В КБР</t>
  </si>
  <si>
    <t>БФ СВТ. АНТОНИЯ СМИРНИЦКОГО</t>
  </si>
  <si>
    <t>БФ СВЯТОГО ВЕЛИКОМУЧЕНИКА ДИМИТРИЯ СОЛУНСКОГО</t>
  </si>
  <si>
    <t>БФ СВЯТОЙ РАВНОАПОСТОЛЬНОЙ МАРИИ МАГДАЛИНЫ</t>
  </si>
  <si>
    <t>БЛАГОТВОРИТЕЛЬНЫЙ ФОНД СЕМЕЙ ТОЛСТЫХ, ТОПСЕ И СОКОЛ</t>
  </si>
  <si>
    <t>БФ СОДЕЙСТВИЯ ВОССОЗДАНИЮ И СТРОИТЕЛЬСТВУ ЦЕРКВИ НА ПР. ОБУХОВСКОЙ ОБОРОНЫ, Д. 24 В САНКТ-ПЕТЕРБУРГЕ</t>
  </si>
  <si>
    <t>БФ СОДЕЙСТВИЯ ВОССТАНОВЛЕНИЮ И СТРОИТЕЛЬСТВУ ЦЕРКОВНОГО КОМПЛЕКСА КИНОВИИ АЛЕКСАНДРО-НЕВСКОЙ ЛАВРЫ</t>
  </si>
  <si>
    <t>БЛАГОТВОРИТЕЛЬНЫЙ ФОНД СОДЕЙСТВИЯ НАЦИОНАЛЬНЫМ ПРОЕКТАМ В СФЕРЕ ОБРАЗОВАНИЯ И ЗДРАВООХРАНЕНИЯ</t>
  </si>
  <si>
    <t>БФ СОЦИАЛЬНО-КУЛЬТУРНОЙ ПОМОЩИ ИМ.М.А.МАТРЕНИНА, НО</t>
  </si>
  <si>
    <t>БФ СОЮЗ НАШИ ДЕТИ, НКО</t>
  </si>
  <si>
    <t>БФ СТЕРЛИТАМАКСКОГО РАЙОНА</t>
  </si>
  <si>
    <t>БЛАГОТВОРИТЕЛЬНЫЙ ФОНД СТРОИТЕЛЬСТВА ЦЕРКВИ БЛАГОВЕЩЕНИЯ ПРЕСВЯТОЙ БОГОРОДИЦЫ Г.НАРИМАНОВА АСТРАХАНСКОЙ ОБЛАСТИ</t>
  </si>
  <si>
    <t>БФ СЧАСТЛИВОЕ БУДУЩЕЕ</t>
  </si>
  <si>
    <t>БФ ТСМС №21, НО</t>
  </si>
  <si>
    <t>БФ ХАМЗЫ ХАДЖИ</t>
  </si>
  <si>
    <t>БФ ШВАБЕ-МИЛОСЕРДИЕ, НКО</t>
  </si>
  <si>
    <t>БФ ШКОЛА № 33 Г.ЛЕНИНСК-КУЗНЕЦКИЙ</t>
  </si>
  <si>
    <t>БФАМ</t>
  </si>
  <si>
    <t>БФВ, ФОНД</t>
  </si>
  <si>
    <t>БФИ ИМ. МАРКА ТАЙМАНОВА, СПБ</t>
  </si>
  <si>
    <t>БФП</t>
  </si>
  <si>
    <t>БФП ГОУ СОШ №346 НЕВСКОГО РАЙОНА СПБ.</t>
  </si>
  <si>
    <t>БФПД</t>
  </si>
  <si>
    <t>БФПМОУГ №1 ГОРОДА КОСТРОМЫ</t>
  </si>
  <si>
    <t>БФПМОУГ №15 ГОРОДА КОСТРОМЫ</t>
  </si>
  <si>
    <t>БФПО Г. КРАСНОЯРСКА</t>
  </si>
  <si>
    <t>БФПО СОВЕТСКОГО РАЙОНА Г. КРАСНОЯРСКА</t>
  </si>
  <si>
    <t>БФПОС ЗДОРОВОЕ ПОКОЛЕНИЕ, НО</t>
  </si>
  <si>
    <t>БФПР МОУ-ЛИЦЕЙ №9</t>
  </si>
  <si>
    <t>БФР</t>
  </si>
  <si>
    <t>БФР МОУ ЭСТЕТИЧЕСКОЙ ГИМНАЗИИ №32, НО</t>
  </si>
  <si>
    <t>БФРГТ</t>
  </si>
  <si>
    <t>БФРИП ГПОУ ПК Г.НОВОКУЗНЕЦКА, НО</t>
  </si>
  <si>
    <t>БФРИР</t>
  </si>
  <si>
    <t>БФСП АБАНСКОГО РАЙОНА</t>
  </si>
  <si>
    <t>БФСР ЛИЦЕЯ № 143</t>
  </si>
  <si>
    <t>БФСР СОШ 21</t>
  </si>
  <si>
    <t>БФЦОЗШ</t>
  </si>
  <si>
    <t>БЫТЬ ДОБРУ, БФ</t>
  </si>
  <si>
    <t>БЫТЬ ДОБРУ, ФОНД</t>
  </si>
  <si>
    <t>В ТВОЮ ПОЛЬЗУ, БЛАГОТВОРИТЕЛЬНЫЙ ФОНД</t>
  </si>
  <si>
    <t>В ЧЕСТЬ ПРЕСВЯТОЙ БОГОРОДИЦЫ, БФ</t>
  </si>
  <si>
    <t>В.И. ЧАПТЫНОВА, ФОНД ИМ.</t>
  </si>
  <si>
    <t>ВАЛЕНТИНА, ХМОБФ</t>
  </si>
  <si>
    <t>ВАНЕЧКА, БФ</t>
  </si>
  <si>
    <t>ВАСИЛЬКОВО ПОЛЕ, БЛАГОТВОРИТЕЛЬНЫЙ ФОНД</t>
  </si>
  <si>
    <t>ВГБДФ</t>
  </si>
  <si>
    <t>ВГНФПСИД ИМ. Н.М.БУРДЮГОВА</t>
  </si>
  <si>
    <t>ВДОХНОВЕНИЕ, БЛАГОТВОРИТЕЛЬНЫЙ ФОНД</t>
  </si>
  <si>
    <t>ВДОХНОВЕНИЕ, ФОНД</t>
  </si>
  <si>
    <t>ВЕГЕТАРИАНСТВО.КУЛЬТУРА.ЗДОРОВЬЕ, ФОНД</t>
  </si>
  <si>
    <t>ВЕКТОР ЖИЗНИ, БЛАГОТВОРИТЕЛЬНЫЙ ФОНД</t>
  </si>
  <si>
    <t>ВЕРА И ВОЗРОЖДЕНИЕ, БФ</t>
  </si>
  <si>
    <t>ВЕРА И НАДЕЖДА, БФ</t>
  </si>
  <si>
    <t>ВЕРА НАДЕЖДА ЛЮБОВЬ, БФ</t>
  </si>
  <si>
    <t>ВЕРА, НАДЕЖДА, ЛЮБОВЬ, НБФ</t>
  </si>
  <si>
    <t>ВЕРА, БЛАГОТВОРИТЕЛЬНЫЙ ФОНД</t>
  </si>
  <si>
    <t>ВЕРА. НАДЕЖДА. ЛЮБОВЬ. ПРЕОДОЛЕНИЕ, БФПИ</t>
  </si>
  <si>
    <t>ВЕРНОСТЬ, БЛАГОТВОРИТЕЛЬНЫЙ ФОНД</t>
  </si>
  <si>
    <t>ВЕРНОСТЬ, ФОНД</t>
  </si>
  <si>
    <t>ВЕРНУВШИЙСЯ ПОЛК, ФОНД</t>
  </si>
  <si>
    <t>ВЕСЕННЕЕ СОЛНЦЕ, БЛАГОТВОРИТЕЛЬНЫЙ ФОНД</t>
  </si>
  <si>
    <t>ВЕСНА, БЛАГОТВОРИТЕЛЬНЫЙ ФОНД</t>
  </si>
  <si>
    <t>ВЕСТА-М, БЛАГОТВОРИТЕЛЬНЫЙ ФОНД</t>
  </si>
  <si>
    <t>ВЕТЕРАН Г.САЛАВАТА, БФСПВОБ</t>
  </si>
  <si>
    <t>ВЕТЕРАН КОНТРОЛЬНО-СЧЕТНОЙ ПАЛАТЫ, КРАСНОДАРСКИЙ КРАЕВОЙ ОБЩЕСТВЕННЫЙ БЛАГОТВОРИТЕЛЬНЫЙ ФОНД</t>
  </si>
  <si>
    <t>ВЕТЕРАН МВД ПО РБ, ФОНД</t>
  </si>
  <si>
    <t>ВЕТЕРАН МВД РОССИИ, БРОООБФ</t>
  </si>
  <si>
    <t>ВЕТЕРАН ОВД, БЛАГОТВОРИТЕЛЬНЫЙ ФОНД</t>
  </si>
  <si>
    <t>ВЕТЕРАН УИС, ФОНД</t>
  </si>
  <si>
    <t>ВЕТЕРАН, НЕКОММЕРЧЕСКИЙ БЛАГОТВОРИТЕЛЬНЫЙ ФОНД ВЕТЕРАНОВ ОПЕРАТИВНОГО ПОЛКА И ОМОН</t>
  </si>
  <si>
    <t>ВЕТЕРАН, НБФ</t>
  </si>
  <si>
    <t>ВЕТЕРАН, ОБЩЕСТВЕННЫЙ БЛАГОТВОРИТЕЛЬНЫЙ ФОНД</t>
  </si>
  <si>
    <t>ВЕТЕРАН, ПРФ</t>
  </si>
  <si>
    <t>ВЕТЕРАН, ФОНД</t>
  </si>
  <si>
    <t>ВЕТЕРАН, ЯНОБФ</t>
  </si>
  <si>
    <t>ВЕТЕРАНОВ (ПЕНСИОНЕРОВ) ВОЙНЫ, ТРУДА И В.С. Г.ПЕНЗА, ФОНД</t>
  </si>
  <si>
    <t>ОБЩЕСТВЕННЫЙ ФОНД ВЕТЕРАНОВ АВТОМОБИЛЬНОГО ТРАНСПОРТА ТЮМЕНСКОЙ ОБЛАСТИ</t>
  </si>
  <si>
    <t>ВЕТЕРАНОВ, ФОНД</t>
  </si>
  <si>
    <t>ВЕТЕРАНЫ ГЛИЦ МО ИМ. В. П. ЧКАЛОВА, БФ</t>
  </si>
  <si>
    <t>ВЕТЕРАНЫ ОРГАНОВ БЕЗОПАСНОСТИ ЗАПОЛЯРЬЯ, ФОНД</t>
  </si>
  <si>
    <t>ВЕТЕРАНЫ ПВС, ККОООБФ</t>
  </si>
  <si>
    <t>ВЕФИЛЬ, БФ СДП</t>
  </si>
  <si>
    <t>ВЕЧНЫЙ ОГОНЬ, БФ</t>
  </si>
  <si>
    <t>ВЗАИМОПОМОЩЬ, ОРЕНБУРГСКИЙ ГОРОДСКОЙ ОБЩЕСТВЕННЫЙ БЛАГОТВОРИТЕЛЬНЫЙ ФОНД</t>
  </si>
  <si>
    <t>ВЗС, МБФ</t>
  </si>
  <si>
    <t>ВИКТОР, БФ</t>
  </si>
  <si>
    <t>ВИКТОРИИ РУДНЕВОЙ, БФ ИМ.</t>
  </si>
  <si>
    <t>ВИКТОРИЯ, БЛАГОТВОРИТЕЛЬНЫЙ ФОНД</t>
  </si>
  <si>
    <t>ВИКТОРИЯ, БФ</t>
  </si>
  <si>
    <t>ВИКТОРИЯ, ОБДФ</t>
  </si>
  <si>
    <t>ВИП, БФ</t>
  </si>
  <si>
    <t>ВИТАЛИ, БФ</t>
  </si>
  <si>
    <t>ВИТАМИН, БФ</t>
  </si>
  <si>
    <t>ГОРОДСКОЙ БЛАГОТВОРИТЕЛЬНЫЙ ФОНД ЗАЩИТЫ ЖИВОТНЫХ ХАТИКО, НО</t>
  </si>
  <si>
    <t>ВИТЯЗЬ, БЛАГОТВОРИТЕЛЬНЫЙ ФОНД</t>
  </si>
  <si>
    <t>ВИШЕРСКОЕ НАСЛЕДИЕ, БЛАГОТВОРИТЕЛЬНЫЙ ФОНД</t>
  </si>
  <si>
    <t>ВЛАДМАМА, ФОНД</t>
  </si>
  <si>
    <t>БЛАГОТВОРИТЕЛЬНЫЙ ФОНД СОЦИАЛЬНОЙ ПОДДЕРЖКИ НАСЕЛЕНИЯ НОВОКУЗНЕЦКОГО РАЙОНА</t>
  </si>
  <si>
    <t>ВМЕСТЕ ДЕТЯМ, БФ</t>
  </si>
  <si>
    <t>ВМЕСТЕ, БОФ</t>
  </si>
  <si>
    <t>ВНЕДРЕНИЕ НОВЫХ МЕТОДОВ ОБУЧЕНИЯ И ВОСПИТАНИЯ, БФ</t>
  </si>
  <si>
    <t>БЛАГОТВОРИТЕЛЬНЫЙ ФОНД ИМЕНИ Н.А.РИМСКОГО-КОРСАКОВА, НЕКОММЕРЧЕСКАЯ ОРГАНИЗАЦИЯ</t>
  </si>
  <si>
    <t>ВО БЛАГО БОГОТОЛЬСКОГО РАЙОНА, БФСП</t>
  </si>
  <si>
    <t>ВО ИМЯ ДОБРА, БФ</t>
  </si>
  <si>
    <t>ВОБФСПН</t>
  </si>
  <si>
    <t>ВОВД, ПОБФ</t>
  </si>
  <si>
    <t>ВОДА ЕВРАЗИИ, ЭФ</t>
  </si>
  <si>
    <t>ВОЗВРАЩЕНИЕ К ЖИЗНИ, БФ</t>
  </si>
  <si>
    <t>ВОЗВРАЩЕНИЕ, БЛАГОТВОРИТЕЛЬНЫЙ ФОНД</t>
  </si>
  <si>
    <t>ВОЗМОЖНОСТЬ, НО АГБ ФОНД</t>
  </si>
  <si>
    <t>ВОЗНЕСЕНИЕ, ИВАНОВСКОЕ ОБЛАСТНОЕ ОТДЕЛЕНИЕ МОФ</t>
  </si>
  <si>
    <t>ВОЗНЕСЕНИЕ, ККО МОФ</t>
  </si>
  <si>
    <t>ВОЗРОЖДЕНИЕ 68, БЛАГОТВОРИТЕЛЬНЫЙ ФОНД</t>
  </si>
  <si>
    <t>ВОЗРОЖДЕНИЕ АСТРАХАНСКОГО ОРГАНА, БФ</t>
  </si>
  <si>
    <t>ВОЗРОЖДЕНИЕ, СТАРООСКОЛЬСКИЙ МЕСТНЫЙ ОБЩЕСТВЕННЫЙ ФОНД ПОДДЕРЖКИ НАСЕЛЕНИЯ</t>
  </si>
  <si>
    <t>ВОЗРОЖДЕНИЕ ДЕРБЕНТА, БФ</t>
  </si>
  <si>
    <t>ВОЗРОЖДЕНИЕ ИСЛАМА, ИСЛАМСКОЙ КУЛЬТУРЫ И МУСУЛЬМАНСКИХ ТРАДИЦИЙ В САНКТ-ПЕТЕРБУРГЕ, РЕГИОНАЛЬНЫЙ ОБЩЕСТВЕННЫЙ ФОНД</t>
  </si>
  <si>
    <t>ВОЗРОЖДЕНИЕ ИСТОРИЧЕСКОГО НАСЛЕДИЯ, БЛАГОТВОРИТЕЛЬНЫЙ ФОНД</t>
  </si>
  <si>
    <t>ВОЗРОЖДЕНИЕ НЕВЬЯНСКОЙ ИКОНОПИСИ И НАРОДНЫХ ХУДОЖЕСТВЕННЫХ ПРОМЫСЛОВ, ОБЩЕСТВЕННЫЙ ФОНД</t>
  </si>
  <si>
    <t>ВОЗРОЖДЕНИЕ РОДНОЙ ЗЕМЛИ, БФ</t>
  </si>
  <si>
    <t>ВОЗРОЖДЕНИЕ РОСТОВА-ВЕЛИКОГО, ЯРОСЛАВСКИЙ ОБЛАСТНОЙ БЛАГОТВОРИТЕЛЬНЫЙ ОБЩЕСТВЕННЫЙ ФОНД</t>
  </si>
  <si>
    <t>ВОЗРОЖДЕНИЕ СВЯЩЕННЫХ ПАМЯТНИКОВ ТАМБОВЩИНЫ, ТРО ФОНД</t>
  </si>
  <si>
    <t>ВОЗРОЖДЕНИЕ СРЕТЕНСКОГО СОБОРА, БФ</t>
  </si>
  <si>
    <t>ВОЗРОЖДЕНИЕ ТОБОЛЬСКА, ТРОБФ</t>
  </si>
  <si>
    <t>ВОЗРОЖДЕНИЕ УСАДЬБЫ МАРЬИНО, БФ</t>
  </si>
  <si>
    <t>ВОЗРОЖДЕНИЕ ЦЕРКВИ ТИХВИНСКОЙ ИКОНЫ БОЖИЕЙ МАТЕРИ, БФ</t>
  </si>
  <si>
    <t>ВОЗРОЖДЕНИЕ, БЛАГОТВОРИТЕЛЬНЫЙ ФОНД</t>
  </si>
  <si>
    <t>ВОЗРОЖДЕНИЕ, БЛАГОТВОРИТЕЛЬНЫЙ ФОНД ЦЭП</t>
  </si>
  <si>
    <t>ВОЗРОЖДЕНИЕ, БФ</t>
  </si>
  <si>
    <t>ВОЗРОЖДЕНИЕ, БФСДП</t>
  </si>
  <si>
    <t>ВОЗРОЖДЕНИЕ, МБФ</t>
  </si>
  <si>
    <t>ВОЗРОЖДЕНИЕ, РБФ</t>
  </si>
  <si>
    <t>ВОЗРОЖДЕНИЕ, РОФ СОЦИАЛЬНОГО РАЗВИТИЯ БУРЯТИИ</t>
  </si>
  <si>
    <t>ВОЗРОЖДЕНИЕ, ФОНД</t>
  </si>
  <si>
    <t>ВОЗРОЖДЕНИЕ, КРАЕВОЙ ОБЩЕСТВЕННЫЙ БЛАГОТВОРИТЕЛЬНЫЙ ФОНД ПРИМОРСКИХ КОРЕЙЦЕВ</t>
  </si>
  <si>
    <t>ВОИН, САНКТ-ПЕТЕРБУРГСКИЙ ОБЩЕСТВЕННЫЙ ФОНД ПОМОЩИ ИНВАЛИДАМ И ДРУГИМ СОЦИАЛЬНО НЕ ЗАЩИЩЕННЫМ СЛОЯМ НАСЕЛЕНИЯ</t>
  </si>
  <si>
    <t>ВОИНСКИЙ СОБОР, БЛАГОТВОРИТЕЛЬНЫЙ ФОНД</t>
  </si>
  <si>
    <t>ВОКИПНИРК, ФОНД</t>
  </si>
  <si>
    <t>ВОЛГОГРАДСКОЕ ОБЛАСТНОЕ ОТДЕЛЕНИЕ РОССИЙСКОГО ОБЩЕСТВЕННОГО БЛАГОТВОРИТЕЛЬНОГО ФОНДА ВЕТЕРАНОВ (ПЕНСИОНЕРОВ) ВОЙНЫ, ТРУДА И ВООРУЖЕННЫХ СИЛ</t>
  </si>
  <si>
    <t>ВОЛОНТЕРЫ, БФ</t>
  </si>
  <si>
    <t>ВОЛОНТЕРЫ-ДЕТЯМ, БФ</t>
  </si>
  <si>
    <t>ВОЛШЕБНЫЙ ЛЕС, БЛАГОТВОРИТЕЛЬНЫЙ ФОНД</t>
  </si>
  <si>
    <t>ВОССТАНОВЛЕНИЕ, БНФСП</t>
  </si>
  <si>
    <t>ВОССТАНОВЛЕНИЕ, НЕКОММЕРЧЕСКИЙ БЛАГОТВОРИТЕЛЬНЫЙ ФОНД</t>
  </si>
  <si>
    <t>ВОССТАНОВЛЕНИЯ ЦЕРКВИ СВЯТОЙ ТРОИЦЫ В ЯЗВИЩАХ, ФОНД</t>
  </si>
  <si>
    <t>ВОСТОК-ЗАПАД ВО ИМЯ МИРА, ФОНД</t>
  </si>
  <si>
    <t>ВОТЭТНО!, БЛАГОТВОРИТЕЛЬНЫЙ ФОНД</t>
  </si>
  <si>
    <t>ВОФРГ</t>
  </si>
  <si>
    <t>ВРЕМЯ ЖИТЬ, БЛАГОТВОРИТЕЛЬНЫЙ ФОНД</t>
  </si>
  <si>
    <t>ВРЕМЯ ЖИТЬ, БЛАГОТВОРИТЕЛЬНЫЙ ФОНД СОДЕЙСТВИЯ В РЕАЛИЗАЦИИ ПОТЕНЦИАЛА СТАРШЕГО ПОКОЛЕНИЯ ЖИТЕЛЕЙ ГОРОДА ОБНИНСКА И КАЛУЖСКОЙ ОБЛАСТИ</t>
  </si>
  <si>
    <t>ВРЕМЯ НЕ ЖДЕТ, БФ</t>
  </si>
  <si>
    <t>ВРЕМЯ ПОМОГАТЬ, БФ</t>
  </si>
  <si>
    <t>ВРОФ ПОДДЕРЖКИ РЕГИОНАЛЬНОГО СОТРУДНИЧЕСТВА И РАЗВИТИЯ</t>
  </si>
  <si>
    <t>ВРОФК</t>
  </si>
  <si>
    <t>ВСЕ ВМЕСТЕ, ОБФ</t>
  </si>
  <si>
    <t>ВСЕ ДЛЯ ДЕТЕЙ, ФОНД РАЗВИТИЯ ШКОЛЫ №64 Г.ПЕНЗЫ</t>
  </si>
  <si>
    <t>ВСЕМ МИРОМ, МБФПД</t>
  </si>
  <si>
    <t>ВСЕМ МИРОМ, НБФ</t>
  </si>
  <si>
    <t>ВСЕМИРНОГО КОНГРЕССА ТАТАР, ФОНД</t>
  </si>
  <si>
    <t>ВТОРАЯ ЖИЗНЬ, БФ</t>
  </si>
  <si>
    <t>ВФП РЕГИОНАЛЬНОГО РАЗВИТИЯ</t>
  </si>
  <si>
    <t>ВЫ НЕ ОДИНОКИ, БФ</t>
  </si>
  <si>
    <t>ВЫПУСКНИКОВ СЮИ-УРГЮА-УРГЮУ, ФОНД</t>
  </si>
  <si>
    <t>ВЫСШАЯ ЛИГА, БФ</t>
  </si>
  <si>
    <t>ВЫХОД ЕСТЬ, БФ</t>
  </si>
  <si>
    <t>ГАЗЕТА СУДЬБА, БФ</t>
  </si>
  <si>
    <t>ГАЛАКТИКА, БФ</t>
  </si>
  <si>
    <t>ГАРАНТ, БЛАГОТВОРИТЕЛЬНЫЙ ФОНД</t>
  </si>
  <si>
    <t>ГАРКУНДЕЛЬ, СПБОБ ФОНД</t>
  </si>
  <si>
    <t>ГАРМОНИЯ, БФ</t>
  </si>
  <si>
    <t>ГАРМОНИЯ, БФ ПОЗК</t>
  </si>
  <si>
    <t>ГАРМОНИЯ, ФОНД РАЗВИТИЯ МАОУ ГИМНАЗИЯ № 11</t>
  </si>
  <si>
    <t>ГБФР, ФОНД</t>
  </si>
  <si>
    <t>ГВОЗДИКА Г. ТОЛЬЯТТИ, ОФ ВСПО</t>
  </si>
  <si>
    <t>ГЕДЕОН, БФ</t>
  </si>
  <si>
    <t>ГЕЛИОС, БФ</t>
  </si>
  <si>
    <t>ГЕНЕЗИС, БФ</t>
  </si>
  <si>
    <t>ГЕОГРАФИЯ ДОБРА, БФ</t>
  </si>
  <si>
    <t>ГИМНАЗИИ №8, ФОНД</t>
  </si>
  <si>
    <t>ГИМНАЗИСТ, ОБЩЕСТВЕННЫЙ ФОНД</t>
  </si>
  <si>
    <t>ГИМНАЗИСТ, СГОБФ</t>
  </si>
  <si>
    <t>ГИМНАЗИСТ, ФОНД</t>
  </si>
  <si>
    <t>ГИМНАЗИЯ № 12, БОФР БОУ Г.ОМСКА</t>
  </si>
  <si>
    <t>ГИМНАЗИЯ № 26, ОГ БОФР БОУ</t>
  </si>
  <si>
    <t>ГИМНАЗИЯ № 6, БЛАГОТВОРИТЕЛЬНЫЙ ФОНД</t>
  </si>
  <si>
    <t>ГИМНАЗИЯ № 73, БЛАГОТВОРИТЕЛЬНЫЙ ФОНД МОУ</t>
  </si>
  <si>
    <t>ГИМНАЗИЯ №139, БФ РАЗВИТИЯ МОУ</t>
  </si>
  <si>
    <t>ГИМНАЗИЯ №70, БЛАГОТВОРИТЕЛЬНЫЙ ФОНД ПОМОЩИ МБ НОУ</t>
  </si>
  <si>
    <t>ГИМНАЗИЯ, КГОБФ</t>
  </si>
  <si>
    <t>ГИМНАЗИЯ, ОБФР МБОУ ГОРОДА АБАКАНА</t>
  </si>
  <si>
    <t>ГИМНАЗИЯ-ЭЛИТ, ФОНД</t>
  </si>
  <si>
    <t>ГЛАВИЗНА, БФ</t>
  </si>
  <si>
    <t>ГНПП СПЛАВ ВЕТЕРАН, ТУЛЬСКИЙ ГОРОДСКОЙ ОБЩЕСТВЕННЫЙ БЛАГОТВОРИТЕЛЬНЫЙ ФОНД ПОМОЩИ РАБОТНИКАМ И ВЕТЕРАНАМ ТРУДА ГУП</t>
  </si>
  <si>
    <t>ГОРИЗОНТ, МОБФР ШКОЛЫ №90</t>
  </si>
  <si>
    <t>ГОРЛИЦА, ФСЛТЖС</t>
  </si>
  <si>
    <t>ГОРОД БЕЗ НАРКОТИКОВ, НОБФ</t>
  </si>
  <si>
    <t>ГОРОД ДОБРЫХ ДЕЛ, ФОНД</t>
  </si>
  <si>
    <t>ГОРОД МИЛОСЕРДИЯ, БЛАГОТВОРИТЕЛЬНЫЙ ФОНД</t>
  </si>
  <si>
    <t>ГОРОДСКИЕ ПРОЕКТЫ, САНКТ-ПЕТЕРБУРГСКИЙ ФОНД РАЗВИТИЯ ГОРОДСКОЙ СКУЛЬПТУРЫ</t>
  </si>
  <si>
    <t>ГОФ ПОМОЩИ ДЕТЯМ-ИНВАЛИДАМ Г. БЕРДСКА</t>
  </si>
  <si>
    <t>ГП, НООФЗПП</t>
  </si>
  <si>
    <t>ГРАЖДАНСКИЙ СОЮЗ, ФОНД</t>
  </si>
  <si>
    <t>ГРАЦИЯ, НБФ</t>
  </si>
  <si>
    <t>ГРЕНАДА, РОФРС</t>
  </si>
  <si>
    <t>ГРУППА ДДТ, ФОНД</t>
  </si>
  <si>
    <t>ГСС, ОФ</t>
  </si>
  <si>
    <t>ГУМАНИТАРНОГО ВЗАИМОДЕЙСТВИЯ, МБФ</t>
  </si>
  <si>
    <t>ГУМАНИТАРНОЕ ДЕЙСТВИЕ, СПБ БФ</t>
  </si>
  <si>
    <t>ГУМАННОСТЬ И МИЛОСЕРДИЕ, БЛАГОТВОРИТЕЛЬНЫЙ ФОНД</t>
  </si>
  <si>
    <t>ГУМБЕТ, ФОНД</t>
  </si>
  <si>
    <t>ГФЦП, РБФ</t>
  </si>
  <si>
    <t>Д.О.М., ФОНД</t>
  </si>
  <si>
    <t>ДАР ДУШИ, ФОНД</t>
  </si>
  <si>
    <t>ДАР ЖИЗНИ, БЛАГОТВОРИТЕЛЬНЫЙ ФОНД</t>
  </si>
  <si>
    <t>ДАР ЖИЗНИ, МБФ</t>
  </si>
  <si>
    <t>ДАРИ ДОБРО, УРБОФ</t>
  </si>
  <si>
    <t>ДАРИ ЗАБОТУ, БФ</t>
  </si>
  <si>
    <t>ДАРИ КРЫЛЬЯ, БЛАГОТВОРИТЕЛЬНЫЙ ФОНД</t>
  </si>
  <si>
    <t>ДАРИНА, ФОНД</t>
  </si>
  <si>
    <t>ДАРИТЕ ЛЮБОВЬ, БФ</t>
  </si>
  <si>
    <t>ДАРИТЬ НАДЕЖДУ, БФ</t>
  </si>
  <si>
    <t>ДБФ ИМ.КОМПОЗИТОРА А.ОСТРОВСКОГО</t>
  </si>
  <si>
    <t>ДВИЖЕНИЕ, ФОНД</t>
  </si>
  <si>
    <t>ДВОРЕЦ АНИЧКОВ (ДА), ДБФ</t>
  </si>
  <si>
    <t>ДЕЛАЙ ДОБРО ЛЕГКО, БФ</t>
  </si>
  <si>
    <t>БЛАГОТВОРИТЕЛЬНЫЙ ФОНД ИМЕНИ МУРТАЗАЛИЕВА САГИДА МАГОМЕДОВИЧА</t>
  </si>
  <si>
    <t>ДЕЛЬТА-Н ГОРОДА ТОЛЬЯТТИ, ОБФПУ</t>
  </si>
  <si>
    <t>ПРАВОСЛАВНЫЙ БЛАГОТВОРИТЕЛЬНЫЙ ФОНД ПОДДЕРЖКИ МАТЕРИНСТВА И ДЕТСТВА</t>
  </si>
  <si>
    <t>ДЕЛЬФИНЕНОК, ЧГОФС МДОУ № 453</t>
  </si>
  <si>
    <t>ДЕМЕТРА, БФ</t>
  </si>
  <si>
    <t>ДЕРЕВНЯ СВЕТЛАЯ, БЛАГОТВОРИТЕЛЬНЫЙ ФОНД</t>
  </si>
  <si>
    <t>ДЕРЖАВА, ОБЩЕСТВЕННЫЙ ФОНД ВОЗРОЖДЕНИЯ</t>
  </si>
  <si>
    <t>ДЕРЖАВНЫЕ ТРАДИЦИИ, РЕГИОНАЛЬНЫЙ ОБЩЕСТВЕННЫЙ ФОНД</t>
  </si>
  <si>
    <t>ДЕСАНТ ДОБРА, БФ</t>
  </si>
  <si>
    <t>ДЕСЯТКА ПЛЮС, БФ</t>
  </si>
  <si>
    <t>ДЕТВОРА, ТРОФ</t>
  </si>
  <si>
    <t>ДЕТИ БАЙКАЛА, БФ</t>
  </si>
  <si>
    <t>ДЕТИ БЕЗ МАМ, ФОНД</t>
  </si>
  <si>
    <t>ДЕТИ В БЕДЕ, ВООБФ</t>
  </si>
  <si>
    <t>ДЕТИ ГОРОДА, СПББФ</t>
  </si>
  <si>
    <t>ДЕТИ ДОЛЖНЫ ЖИТЬ, БЛАГОТВОРИТЕЛЬНЫЙ ФОНД</t>
  </si>
  <si>
    <t>ДЕТИ ДЦП, БЛАГОТВОРИТЕЛЬНЫЙ ФОНД</t>
  </si>
  <si>
    <t>ДЕТИ ЖДУТ, БФ</t>
  </si>
  <si>
    <t>ДЕТИ И РОДИТЕЛИ ПРОТИВ РАКА, НБФ</t>
  </si>
  <si>
    <t>ДЕТИ ПРИМОРЬЯ, НДБФ</t>
  </si>
  <si>
    <t>ДЕТИ РОССИИ, БЛАГОТВОРИТЕЛЬНЫЙ ФОНД</t>
  </si>
  <si>
    <t>ДЕТИ РОССИИ, БЛАГОТВОРИТЕЛЬНЫЙ ФОНД ВО ИМЯ ПРЕПОДОБНОГО СЕРГИЯ РАДОНЕЖСКОГО</t>
  </si>
  <si>
    <t>ДЕТИ РОССИИ-БУДУЩЕЕ МИРА, БЛАГОТВОРИТЕЛЬНЫЙ ФОНД</t>
  </si>
  <si>
    <t>ДЕТИ, БФ</t>
  </si>
  <si>
    <t>ДЕТИ74, БФ</t>
  </si>
  <si>
    <t>ДЕТИНЕЦ, МБОФ</t>
  </si>
  <si>
    <t>ДЕТСКАЯ ЖИЗНЬ, ФОНД</t>
  </si>
  <si>
    <t>ДЕТСКАЯ ИНИЦИАТИВА, НКПФ</t>
  </si>
  <si>
    <t>ДЕТСКАЯ МИССИЯ, БФ</t>
  </si>
  <si>
    <t>ДЕТСКАЯ УЛЫБКА, БФ</t>
  </si>
  <si>
    <t>ДЕТСКАЯ ХУДОЖЕСТВЕННАЯ ШКОЛА № 1, МОФ ПОДДЕРЖКИ И РАЗВИТИЯ МОУДОД</t>
  </si>
  <si>
    <t>ДЕТСКИЕ ВОПРОСЫ, БФ</t>
  </si>
  <si>
    <t>ДЕТСКИЙ БЛАГОТВОРИТЕЛЬНЫЙ ФОНД ДЕПУТАТА ВОРОПАЕВА</t>
  </si>
  <si>
    <t>ДЕТСКИЙ ФОНД КБР</t>
  </si>
  <si>
    <t>ДЕТСКОЕ СЕРДЦЕ, КУЗБАССКИЙ БЛАГОТВОРИТЕЛЬНЫЙ ФОНД</t>
  </si>
  <si>
    <t>ДЕТСКОЕ ТВОРЧЕСТВО, РЕГИОНАЛЬНЫЙ ОБЩЕСТВЕННЫЙ ФОНД</t>
  </si>
  <si>
    <t>ДЕТСТВО, БФ МДОУ Д/С №135</t>
  </si>
  <si>
    <t>ДЕТСТВО, СБФ</t>
  </si>
  <si>
    <t>ДЕТСТВО, ФОНД</t>
  </si>
  <si>
    <t>ДЗАТИ ФОНД</t>
  </si>
  <si>
    <t>ДИ РАМИЗЭ, БФ ПОМОЩИ ДЕТЯМ</t>
  </si>
  <si>
    <t>ДИАКОНИЯ, БЛАГОТВОРИТЕЛЬНЫЙ ФОНД</t>
  </si>
  <si>
    <t>ДИАЛОГ, БЛАГОТВОРИТЕЛЬНЫЙ ФОНД ПОДДЕРЖКИ ШКОЛЫ</t>
  </si>
  <si>
    <t>ДИАЛОГ, ФОНД ОБЩЕСТВЕННОЙ ДИПЛОМАТИИ</t>
  </si>
  <si>
    <t>ДИВЕРТИСМЕНТ, БЛАГОТВОРИТЕЛЬНЫЙ ФОНД</t>
  </si>
  <si>
    <t>ДИКОНИ, ФОНД</t>
  </si>
  <si>
    <t>ДИНО, ВОБФЗЖ</t>
  </si>
  <si>
    <t>ДМИТРОВ, БЛАГОТВОРИТЕЛЬНЫЙ ФОНД</t>
  </si>
  <si>
    <t>ДМИТРОВОГОРСКИЙ СЕЛЬСКИЙ ХРАМ, БФ</t>
  </si>
  <si>
    <t>ДОБРАЯ ВОЛЯ, БФПН</t>
  </si>
  <si>
    <t>ДОБРАЯ НАДЕЖДА, БЛАГОТВОРИТЕЛЬНЫЙ ФОНД</t>
  </si>
  <si>
    <t>ДОБРАЯ ПЧЁЛКА, БФ</t>
  </si>
  <si>
    <t>ДОБРО ДЕТЯМ, НО БЛАГОТВОРИТЕЛЬНЫЙ ФОНД</t>
  </si>
  <si>
    <t>ДОБРО РЯДОМ, БФ</t>
  </si>
  <si>
    <t>ДОБРО, БФ СП</t>
  </si>
  <si>
    <t>ДОБРО24.РУ, БФ</t>
  </si>
  <si>
    <t>ДОБРОДЕЛАНИЕ, БФ</t>
  </si>
  <si>
    <t>ДОБРОДЕЯ, ФОНД</t>
  </si>
  <si>
    <t>ДОБРОДЕЯТЕЛИ, БФ</t>
  </si>
  <si>
    <t>ДОБРОЕ ДЕЛО, БФ</t>
  </si>
  <si>
    <t>ДОБРОЕ ДЕЛО, БЛАГОТВОРИТЕЛЬНЫЙ ФОНД</t>
  </si>
  <si>
    <t>ДОБРОЕ НАЧАЛО, ФОНД</t>
  </si>
  <si>
    <t>ДОБРОЕ СЕРДЦЕ АНГЕЛА, БФ</t>
  </si>
  <si>
    <t>ДОБРОЕ СЕРДЦЕ, БЛАГОТВОРИТЕЛЬНЫЙ ФОНД</t>
  </si>
  <si>
    <t>ДОБРОЕ СЕРДЦЕ, БФ</t>
  </si>
  <si>
    <t>ДОБРОЕ СЕРДЦЕ, ФСП</t>
  </si>
  <si>
    <t>ДОБРОСВЕТ, ФОНД</t>
  </si>
  <si>
    <t>ДОБРОТА СПАСЕТ МИР, БЛАГОТВОРИТЕЛЬНЫЙ ФОНД</t>
  </si>
  <si>
    <t>ДОБРОТА, БЛАГОТВОРИТЕЛЬНЫЙ ФОНД</t>
  </si>
  <si>
    <t>ДОБРОТА, БЛАГОТВОРИТЕЛЬНЫЙ ФОНД ПО ОКАЗАНИЮ ПОМОЩИ СОЦИАЛЬНЫМ УЧРЕЖДЕНИЯМ</t>
  </si>
  <si>
    <t>ДОБРОХОТ, БФОБП</t>
  </si>
  <si>
    <t>ДОБРЫЕ ДЕЛА, БЛАГОТВОРИТЕЛЬНЫЙ ФОНД</t>
  </si>
  <si>
    <t>ДОБРЫЕ ДЕЛА, БФ</t>
  </si>
  <si>
    <t>ДОБРЫЕ ЛЮДИ, БФ ДМИТРИЯ БОРИСОВА</t>
  </si>
  <si>
    <t>ДОБРЫЕ ПЛАТЕЖИ, БФ</t>
  </si>
  <si>
    <t>ДОБРЫЕ РУКИ Г. ПОЛЕВСКОЙ, ОФ</t>
  </si>
  <si>
    <t>ДОБРЫЕ РУКИ, ГБФ</t>
  </si>
  <si>
    <t>ДОБРЫЕ ТРАДИЦИИ, ФОНД</t>
  </si>
  <si>
    <t>ДОБРЫЕ ФЕИ, ФОНД</t>
  </si>
  <si>
    <t>ДОБРЫЙ ГОРОД ПЕТЕРБУРГ, БФ</t>
  </si>
  <si>
    <t>ДОБРЫЙ ГОРОД, БФ</t>
  </si>
  <si>
    <t>ДОБРЫЙ ГОРОД, БФРГ</t>
  </si>
  <si>
    <t>ДОБРЫЙ ДОМ, БФПС</t>
  </si>
  <si>
    <t>ДОБРЫЙ ЖУРАВЛИК, БФ</t>
  </si>
  <si>
    <t>ДОБРЫЙ МИР, БФ</t>
  </si>
  <si>
    <t>ДОБРЫЙ МИР, БЛАГОТВОРИТЕЛЬНЫЙ ФОНД</t>
  </si>
  <si>
    <t>ДОБРЫЙ САМАРЯНИН, БФ</t>
  </si>
  <si>
    <t>ДОБРЫЙ СЛЕД, ФОНД</t>
  </si>
  <si>
    <t>ДОБРЫЙ СЛОН, БФ</t>
  </si>
  <si>
    <t>ДОВЕРИЕ, БЛАГОТВОРИТЕЛЬНЫЙ ФОНД</t>
  </si>
  <si>
    <t>ДОВЕРИЕ, ФОНД</t>
  </si>
  <si>
    <t>ДОВЕРИЕ, ХМГОБФ ПО ССМ</t>
  </si>
  <si>
    <t>ДОЛГ И ПАМЯТЬ, БЛАГОТВОРИТЕЛЬНЫЙ ФОНД</t>
  </si>
  <si>
    <t>ДОЛГО И СЧАСТЛИВО, БФ</t>
  </si>
  <si>
    <t>ДОМ АРИЕЛ, БФ</t>
  </si>
  <si>
    <t>ДОМ ДЯГИЛЕВА, ПКБФ</t>
  </si>
  <si>
    <t>ДОМ НА СЕСТРОРЕЦКОЙ, СПБРОФ</t>
  </si>
  <si>
    <t>ДОМ НАДЕЖДЫ, БФ</t>
  </si>
  <si>
    <t>ДОМ НАДЕЖДЫ, БФН</t>
  </si>
  <si>
    <t>ДОМА ТВОРЧЕСТВА, БОФ</t>
  </si>
  <si>
    <t>БЛАГОТВОРИТЕЛЬНЫЙ ФОНД КРАСНОЯРСКОЙ ЖЕЛЕЗНОЙ ДОРОГИ, НЕКОММЕРЧЕСКАЯ ОРГАНИЗАЦИЯ</t>
  </si>
  <si>
    <t>ДОНСКОЙ ТАБАК, БЛАГОТВОРИТЕЛЬНЫЙ ФОНД</t>
  </si>
  <si>
    <t>ДОРОГА К ДОМУ, БФ</t>
  </si>
  <si>
    <t>ДОРОГА К ОЛИМПУ, ДБФПЮС</t>
  </si>
  <si>
    <t>ДОСТОВЕРНАЯ ИСТОРИЯ, ФОНД</t>
  </si>
  <si>
    <t>ДОСТОИНСТВО, ФОНД</t>
  </si>
  <si>
    <t>ДОСТОЙНАЯ ЖИЗНЬ, БЛАГОТВОРИТЕЛЬНЫЙ ФОНД</t>
  </si>
  <si>
    <t>ДОСТОЙНЫМ-ЛУЧШЕЕ, БФ</t>
  </si>
  <si>
    <t>ДОСТОЙНЫМ-ЛУЧШЕЕ, НБФ</t>
  </si>
  <si>
    <t>ДОСТУПНАЯ ПЛАНЕТА, БФ</t>
  </si>
  <si>
    <t>ДОСТУПНЫЙ СПОРТ, БФ</t>
  </si>
  <si>
    <t>ДРЕВО ЖИЗНИ, МБФ</t>
  </si>
  <si>
    <t>ДРУГ, НОБФ</t>
  </si>
  <si>
    <t>БЛАГОТВОРИТЕЛЬНЫЙ ФОНД РАЗВИТИЯ МУНИЦИПАЛЬНОГО ОБЩЕОБРАЗОВАТЕЛЬНОГО УЧРЕЖДЕНИЯ СРЕДНЯЯ ОБЩЕОБРАЗОВАТЕЛЬНАЯ ШКОЛА № 31, НЕКОММЕРЧЕСКАЯ ОРГАНИЗАЦИЯ</t>
  </si>
  <si>
    <t>ДРУЗЕЙ САНКТ-ПЕТЕРБУРГСКОЙ ФИЛАРМОНИИ, ФОНД</t>
  </si>
  <si>
    <t>ДСХК МКМ, БФ</t>
  </si>
  <si>
    <t>ДУБКИ, БЛАГОТВОРИТЕЛЬНЫЙ ФОНД КОНЦЕРНА</t>
  </si>
  <si>
    <t>ДУБОК, БФ</t>
  </si>
  <si>
    <t>ДУБРОВСКИЙ РАЙОН, ФСЭРМО</t>
  </si>
  <si>
    <t>ДУХОВНАЯ ПАМЯТЬ, БЛАГОТВОРИТЕЛЬНЫЙ ФОНД</t>
  </si>
  <si>
    <t>ДУХОВНОЕ ВОЗРОЖДЕНИЕ, ИРОФ</t>
  </si>
  <si>
    <t>ДУХОВНОЕ ВОЗРОЖДЕНИЕ, КОРЕНОВСКИЙ РАЙОННЫЙ БЛАГОТВОРИТЕЛЬНЫЙ ОБЩЕСТВЕННЫЙ ФОНД</t>
  </si>
  <si>
    <t>ДУХОВНОЕ ВОЗРОЖДЕНИЕ, ФОНД</t>
  </si>
  <si>
    <t>ДУХОВНОЕ НАСЛЕДИЕ ИМЕНИ С.Ф. ЖИЛКИНА, ФОНД</t>
  </si>
  <si>
    <t>ДУХОВНОЕ НАСЛЕДИЕ, ОРОФ</t>
  </si>
  <si>
    <t>ДШИ № 2 ИМ. В.П. ТРИФОНОВА Г. ВОЛОГДЫ, БЛАГОТВОРИТЕЛЬНЫЙ ФОНД РАЗВИТИЯ</t>
  </si>
  <si>
    <t>БЛАГОТВОРИТЕЛЬНЫЙ ФОНД ИМЕНИ КРАСКО</t>
  </si>
  <si>
    <t>ДЮСШ ВОЛНА, БФ</t>
  </si>
  <si>
    <t>ЕВА+, СПБ БФ</t>
  </si>
  <si>
    <t>ЕВА-ЦЕНТР, СПБ БФ</t>
  </si>
  <si>
    <t>ЕВДОКИЯ, БФ</t>
  </si>
  <si>
    <t>ЕВРАЗИЯ, ФОНД</t>
  </si>
  <si>
    <t>ЕВРЕЙСКИЙ БЛАГОТВОРИТЕЛЬНЫЙ ЦЕНТР ХЭСЭД НЭХАМА, ЧГБОФ</t>
  </si>
  <si>
    <t>ГУМАНИТАРНЫЙ ФОНД ЛИЦЕЯ № 14, НОБФ</t>
  </si>
  <si>
    <t>ЕДИНЕНИЕ, КОБФ</t>
  </si>
  <si>
    <t>ЕДИНЕНИЕ-85, БЛАГОТВОРИТЕЛЬНЫЙ ФОНД</t>
  </si>
  <si>
    <t>ЕДИНСТВО, БФ</t>
  </si>
  <si>
    <t>ЕДИНСТВО, БЛАГОТВОРИТЕЛЬНЫЙ ФОНД</t>
  </si>
  <si>
    <t>ЖЕЛАНИЕ, БФПИ</t>
  </si>
  <si>
    <t>ЖЕЛЕЗНОГОРСК-ЛЮБИМЫЙ ГОРОД, БЛАГОТВОРИТЕЛЬНЫЙ ФОНД</t>
  </si>
  <si>
    <t>ЖЕЛЕЗНОДОРОЖНИК, БФ</t>
  </si>
  <si>
    <t>ЖЕМЧУЖИНА УРАЛА, ПМОФ</t>
  </si>
  <si>
    <t>ЖЕНСКАЯ ЗАБОТА, БФ ПВ</t>
  </si>
  <si>
    <t>ЖЕНЩИНЫ ДОНА, ФОНД</t>
  </si>
  <si>
    <t>ЖЕНЩИНЫ СИБИРИ, БФ</t>
  </si>
  <si>
    <t>ЖИВАЯ ВОДА, БФ СИТИ</t>
  </si>
  <si>
    <t>ЖИВИ НА БАЙКАЛЕ, ЭФ</t>
  </si>
  <si>
    <t>ЖИВИ, МАЛЫШ, ФОНД</t>
  </si>
  <si>
    <t>ЖИВОЕ ДЫХАНИЕ, БФ</t>
  </si>
  <si>
    <t>ЖИЕН -СХОД РЕСПУБЛИКИ ТАТАРСТАН, РЕГИОНАЛЬНЫЙ БЛАГОТВОРИТЕЛЬНЫЙ ОБЩЕСТВЕННЫЙ ФОНД СОХРАНЕНИЯ И РАЗВИТИЯ ТАТАРСКОГО ЯЗЫКА И КУЛЬТУРЫ</t>
  </si>
  <si>
    <t>ЖИЗНЬ БЕЗ ОЖОГА, БФ</t>
  </si>
  <si>
    <t>ЖИЗНЬ ДЛЯ ВСЕХ ПЕРМСКОГО КРАЯ, РОФЗЖ</t>
  </si>
  <si>
    <t>ЖИЗНЬ СЕВАСТОПОЛЬ, БФ</t>
  </si>
  <si>
    <t>ЖИЗНЬ, БЛАГОТВОРИТЕЛЬНЫЙ ФОНД</t>
  </si>
  <si>
    <t>ЖИЗНЬ, БФ</t>
  </si>
  <si>
    <t>ЖИЗНЬ, СКБФ</t>
  </si>
  <si>
    <t>ЖИЗНЬ-СВЯЩЕННЫЙ ДАР, РБФ</t>
  </si>
  <si>
    <t>ЖИЛИЩЕ СОЦИАЛЬНО-САНИТАРНОГО МИНИМУМА, ФОНД</t>
  </si>
  <si>
    <t>ЖИЛСТРОЙ ВТГ, ФОНД</t>
  </si>
  <si>
    <t>ЖУКОВСКИЙ РАЙОН, ФСЭРМО</t>
  </si>
  <si>
    <t>ЗА ДОСТОЙНУЮ ЖИЗНЬ, ФОНД</t>
  </si>
  <si>
    <t>ЗА ЗДОРОВОЕ ПОКОЛЕНИЕ НА ПОРОГЕ XXI ВЕКА, БФ</t>
  </si>
  <si>
    <t>ЗА КАЧЕСТВО СТРОИТЕЛЬСТВА, МООФ</t>
  </si>
  <si>
    <t>ЗАБОТА ДЕТЯМ, БФ</t>
  </si>
  <si>
    <t>ЗАБОТА, БЛАГОТВОРИТЕЛЬНЫЙ ФОНД</t>
  </si>
  <si>
    <t>ЗАБОТА, БФ</t>
  </si>
  <si>
    <t>ЗАБОТА, БФ ПН</t>
  </si>
  <si>
    <t>ЗАБОТА, ВРОБФ СПЗСОВД И УИС</t>
  </si>
  <si>
    <t>ЗАБОТА, ИБОФ</t>
  </si>
  <si>
    <t>ЗАБОТА, ФОНД</t>
  </si>
  <si>
    <t>ЗАБОТА, НКО БФ</t>
  </si>
  <si>
    <t>ЗАБОТА, ПОМОЩЬ, МИЛОСЕРДИЕ, ФОНД</t>
  </si>
  <si>
    <t>ЗАБОТА, ФССПДВПИ</t>
  </si>
  <si>
    <t>ЗАКЯТ, ФОНД</t>
  </si>
  <si>
    <t>ЗАРЯ НАДЕЖДЫ, БЛАГОТВОРИТЕЛЬНЫЙ ФОНД</t>
  </si>
  <si>
    <t>ЗАЩИТА ДЕТЕЙ, РОБФ</t>
  </si>
  <si>
    <t>ЗАЩИТА ОТЕЧЕСТВА СПБ, РОФ</t>
  </si>
  <si>
    <t>ЗАЩИТА ОТЕЧЕСТВА, ИРОФ</t>
  </si>
  <si>
    <t>ЗАЩИТА, ФОНД ЦЭС</t>
  </si>
  <si>
    <t>ЗАЩИТИ ЖИЗНЬ, БЛАГОТВОРИТЕЛЬНЫЙ ФОНД</t>
  </si>
  <si>
    <t>ЗАЩИТНИК, БФ ВПВМ</t>
  </si>
  <si>
    <t>ЗАЩИТЫ ПРАВ ПОТРЕБИТЕЛЕЙ, ФОНД</t>
  </si>
  <si>
    <t>ЗВЕЗДА КАДЕТСКОЙ ШКОЛЫ ПО ДЕЛАМ ГОЧС №70 Г. ПЕНЗЫ, ОБЩЕСТВЕННЫЙ ФОНД РАЗВИТИЯ</t>
  </si>
  <si>
    <t>ЗВЕЗДА, БФ</t>
  </si>
  <si>
    <t>ЗВЕЗДНЫЙ СВЕТ, АРОФБИСП</t>
  </si>
  <si>
    <t>ЗВЕЗДЫ ДЕТЯМ, БФ</t>
  </si>
  <si>
    <t>ЗВЕЗДЫ СИБИРИ, ФОНД</t>
  </si>
  <si>
    <t>ЗДОРОВАЯ ЖИЗНЬ, БФ</t>
  </si>
  <si>
    <t>ЗДОРОВАЯ НАЦИЯ, БФ</t>
  </si>
  <si>
    <t>ЗДОРОВАЯ СЕМЬЯ, НКО БФ</t>
  </si>
  <si>
    <t>ЗДОРОВЫЕ ДЕТИ НА НАШЕЙ ПЛАНЕТЕ, БЛАГОТВОРИТЕЛЬНЫЙ ФОНД</t>
  </si>
  <si>
    <t>ЗДОРОВЬЕ БУРЯТИИ, ФОНД</t>
  </si>
  <si>
    <t>ЗДОРОВЬЕ ДУШИ, САНКТ-ПЕТЕРБУРГСКИЙ ОБЩЕСТВЕННЫЙ БЛАГОТВОРИТЕЛЬНЫЙ ФОНД</t>
  </si>
  <si>
    <t>ЗДОРОВЬЕ И БУДУЩЕЕ ДЕТЕЙ, БФ</t>
  </si>
  <si>
    <t>ЗДОРОВЬЕ И ЖИЗНЬ, БФ ПОМОЩИ НАРКОЗАВИСИМЫМ</t>
  </si>
  <si>
    <t>ЗДОРОВЬЕ КАРЕЛИИ, БЛАГОТВОРИТЕЛЬНЫЙ ФОНД</t>
  </si>
  <si>
    <t>ЗДОРОВЬЕ СИБИРИ, КРОФ</t>
  </si>
  <si>
    <t>ЗДОРОВЬЕ-ДЕТЯМ, БФ</t>
  </si>
  <si>
    <t>ЗЕЛЁНАЯ ПЛАНЕТА, БЛАГОТВОРИТЕЛЬНЫЙ ФОНД ФЁДОРА КОНЮХОВА</t>
  </si>
  <si>
    <t>ЗЕЛЁНЫЙ САХАЛИН, ФОНД</t>
  </si>
  <si>
    <t>ЗЕЛЕНЫЙ ИСТОЧНИК, БФ</t>
  </si>
  <si>
    <t>ЗЕЛЕНЫЙ ПОЯС ВИЛЮЯ, ФОНД ИМ. Д.Г. МАКАРОВА</t>
  </si>
  <si>
    <t>ЗЕЛЕНЫЙ ПУТЬ, БФ СЗПН</t>
  </si>
  <si>
    <t>ЗЕМЛЯ И НЕБО, ФОНД</t>
  </si>
  <si>
    <t>ЗЕМЛЯ НИЖЕГОРОДСКАЯ, НРБ ФОНД</t>
  </si>
  <si>
    <t>ЗЕМЛЯКИ, МБФ</t>
  </si>
  <si>
    <t>ЗЕМЛЯНЕ, ФОНД ЭКОЛОГИИ ЧЕЛОВЕКА</t>
  </si>
  <si>
    <t>ЗЕРКАЛО ГОРОДА, КФ</t>
  </si>
  <si>
    <t>ЗНАМЕНИТЫЕ УНИВЕРСАНТЫ, БКФ</t>
  </si>
  <si>
    <t>ЗНАНИЕ, НБФ</t>
  </si>
  <si>
    <t>ЗНАНИЕ, СОИООФ</t>
  </si>
  <si>
    <t>ЗОВ ДУШИ, БФ</t>
  </si>
  <si>
    <t>ЗОВ СЕРДЦА, БФ</t>
  </si>
  <si>
    <t>ЗОДИАК, БФ</t>
  </si>
  <si>
    <t>ЗОЛОТАЯ ДЕСЯТКА, СПРОФ</t>
  </si>
  <si>
    <t>ЗОЛОТАЯ ЛИРА, БЛАГОТВОРИТЕЛЬНЫЙ ФОНД</t>
  </si>
  <si>
    <t>ЗОЛОТОЕ ДЕТСТВО, БФ</t>
  </si>
  <si>
    <t>ЗОЛОТОЕ КОЛЬЦО, ТОБФ СОЦИАЛЬНОЙ ПОДДЕРЖКИ НАСЕЛЕНИЯ И КУЛЬТУРЫ</t>
  </si>
  <si>
    <t>ЗОЛОТОЙ ПЕЛИКАН, ДЕТСКИЙ БЛАГОТВОРИТЕЛЬНЫЙ ФОНД</t>
  </si>
  <si>
    <t>ЗОЛОТЫЕ СЕРДЦА, БФ</t>
  </si>
  <si>
    <t>ЗОО ЗАБОТА, БФ</t>
  </si>
  <si>
    <t>ЗООСПАС-САРАТОВ, БФ</t>
  </si>
  <si>
    <t>ЧЕРЕПОВЕЦКИЙ ГОРОДСКОЙ БЛАГОТВОРИТЕЛЬНЫЙ ФОНД ИМЕНИ И.А. МИЛЮТИНА</t>
  </si>
  <si>
    <t>ИГОФ СОЦИАЛЬНОЙ ЗАЩИТЫ НАСЕЛЕНИЯ</t>
  </si>
  <si>
    <t>ИДЕЛЬ-УРАЛ, БФИС</t>
  </si>
  <si>
    <t>ИДЕМ ВМЕСТЕ, БФ</t>
  </si>
  <si>
    <t>ИЖЕВСК-НАШ ДОМ, РБФСП</t>
  </si>
  <si>
    <t>ИЗМАЙЛОВСКИЙ, БЛАГОТВОРИТЕЛЬНЫЙ ФОНД ДЮТ</t>
  </si>
  <si>
    <t>ИЛИМ-ГАРАНТ, БЛАГОТВОРИТЕЛЬНЫЙ ФОНД</t>
  </si>
  <si>
    <t>ИМ. А. НЕВСКОГО, МБОФ</t>
  </si>
  <si>
    <t>ИМ. ВИТАЛИЯ ГОРОДНЕГО, НО БФ</t>
  </si>
  <si>
    <t>ИМ. Г.Р. ДЕРЖАВИНА, БФ</t>
  </si>
  <si>
    <t>ИМАН, МБФ</t>
  </si>
  <si>
    <t>ИМЕНИ АНДРЕЯ АНДРЕЕВА, БФ</t>
  </si>
  <si>
    <t>РЕГИОНАЛЬНЫЙ ОБЩЕСТВЕННЫЙ ФОНД ИМЕНИ БАТАЛ-ХАДЖИ БЕЛХОРОЕВА</t>
  </si>
  <si>
    <t>ИМЕНИ КАДЫРОВА, РО ФОНД</t>
  </si>
  <si>
    <t>ИМЕНИ ПЧЕЛЬНИКОВА В.П., НБФ</t>
  </si>
  <si>
    <t>ИМКОМ, ФОНД</t>
  </si>
  <si>
    <t>ИМПЕРИЯ ДОБРА, БФ</t>
  </si>
  <si>
    <t>ИНВАЛИДЫ КАЛУГИ, БФ</t>
  </si>
  <si>
    <t>БЛАГОТВОРИТЕЛЬНЫЙ ФОНД СВ. ДИМИТРИЯ</t>
  </si>
  <si>
    <t>ИНИЦИАТИВА, БФ</t>
  </si>
  <si>
    <t>ИНОК, ФОНД</t>
  </si>
  <si>
    <t>ИНСАН, БФ</t>
  </si>
  <si>
    <t>ИНТЕГРАЦИЯ, ЯРОФ</t>
  </si>
  <si>
    <t>ИНТЕРНАЦИОНАЛЬНЫЙ КЛУБ ДРУЗЕЙ МОРСКОГО МУЗЕЯ ИМ. ПЕТРА ВЕЛИКОГО, БФ</t>
  </si>
  <si>
    <t>ИОАННОВСКАЯ СЕМЬЯ, БФ</t>
  </si>
  <si>
    <t>ИРКУТСКИЙ КАДЕТ, БЛАГОТВОРИТЕЛЬНЫЙ ФОНД</t>
  </si>
  <si>
    <t>ИСКОРКА НАДЕЖДЫ, БФ</t>
  </si>
  <si>
    <t>ИСКУССТВО-ДЕТЯМ, БФ</t>
  </si>
  <si>
    <t>ИСТОК, БЛАГОТВОРИТЕЛЬНЫЙ ФОНД</t>
  </si>
  <si>
    <t>ИСТОЧНИК ЖИЗНИ, БФ</t>
  </si>
  <si>
    <t>ИСТОЧНИК НАДЕЖДЫ, БФ</t>
  </si>
  <si>
    <t>ИСТОЧНИК НАДЕЖДЫ, ФОНД</t>
  </si>
  <si>
    <t>ИСТОЧНИК СВЕТА, БФ</t>
  </si>
  <si>
    <t>ИФ, ФОНД</t>
  </si>
  <si>
    <t>КАЖДЫЙ, БФ</t>
  </si>
  <si>
    <t>КАМЕЛОТ, ФОНД</t>
  </si>
  <si>
    <t>КАМЕНСК ПРАВОСЛАВНЫЙ, ФОНД</t>
  </si>
  <si>
    <t>КАМЕРА ОБСКУРА, БФ</t>
  </si>
  <si>
    <t>КАМЧАТСКОЕ КРАЕВОЕ ОТДЕЛЕНИЕ РДФ</t>
  </si>
  <si>
    <t>КАПИТАЛ МЕСТНОГО СООБЩЕСТВА, ПЕНЗЕНСКИЙ ФОНД</t>
  </si>
  <si>
    <t>КАПЛЯ ДОБРОТЫ, БФ</t>
  </si>
  <si>
    <t>КАПЛЯ ЖИЗНИ, БФ ПО ОКАЗАНИЮ ПОМОЩИ ДЕТЯМ С ТЯЖЕЛЫМИ ЗАБОЛЕВАНИЯМИ</t>
  </si>
  <si>
    <t>КАРЕЛИН-ФОНД , КАРЕЛИН-ФОНД, НРОФ</t>
  </si>
  <si>
    <t>КАРЕЛЬСКИЙ РЕГИСТР НДГСК, БЛАГОТВОРИТЕЛЬНЫЙ ФОНД</t>
  </si>
  <si>
    <t>КАСЬЯНОВСКИЙ ДОМ, КРОФ РДК</t>
  </si>
  <si>
    <t>КАТРЕН, КБФ</t>
  </si>
  <si>
    <t>КАЧУР, ИЖОРСКИЙ ФОНД</t>
  </si>
  <si>
    <t>КВС, БФ</t>
  </si>
  <si>
    <t>КЕДР, БЛАГОТВОРИТЕЛЬНЫЙ ФОНД</t>
  </si>
  <si>
    <t>КЕДР, ФОНД</t>
  </si>
  <si>
    <t>КИНОТЕАТР, ФОНД</t>
  </si>
  <si>
    <t>КЛАВДИЯ, ФОНД</t>
  </si>
  <si>
    <t>КЛАСС, БФСОД</t>
  </si>
  <si>
    <t>КЛЮЧ В ЖИЗНЬ, БФ</t>
  </si>
  <si>
    <t>КЛЮЧ, БЛАГОТВОРИТЕЛЬНЫЙ ФОНД</t>
  </si>
  <si>
    <t>КОВЧЕГ, БФ</t>
  </si>
  <si>
    <t>КОВЧЕГ, ФОНД</t>
  </si>
  <si>
    <t>КОВЧЕГ-ГИПЕРИОН, БФ</t>
  </si>
  <si>
    <t>КОГДА ТЫ НУЖЕН, БФ</t>
  </si>
  <si>
    <t>КОЗЬМА ПРУТКОВ, ФОНД</t>
  </si>
  <si>
    <t>КОЛИБРИ, БЛАГОТВОРИТЕЛЬНЫЙ ФОНД</t>
  </si>
  <si>
    <t>КОЛЫБЕЛЬ НАДЕЖДЫ, БЛАГОТВОРИТЕЛЬНЫЙ ФОНД</t>
  </si>
  <si>
    <t>КОМИ-ПЕРМЯЦКАЯ ИНИЦИАТИВА, ПКПОФ</t>
  </si>
  <si>
    <t>ВЛАДИМИРСКОЕ ОБЛАСТНОЕ ОТДЕЛЕНИЕ РОССИЙСКОГО ДЕТСКОГО ФОНДА</t>
  </si>
  <si>
    <t>КОМПЕНСАЦИОННЫЙ ФОНД</t>
  </si>
  <si>
    <t>КОМСОМОЛЬСКОЕ БРАТСТВО, ТНБФ</t>
  </si>
  <si>
    <t>КОНДА, НО БФ</t>
  </si>
  <si>
    <t>КОНСТАНТА, БЛАГОТВОРИТЕЛЬНЫЙ ФОНД</t>
  </si>
  <si>
    <t>КОНСТАНТА, БФ</t>
  </si>
  <si>
    <t>КОНСТАНТИНОВСКИЙ ФОНД</t>
  </si>
  <si>
    <t>КООООБ РДФ</t>
  </si>
  <si>
    <t>КООРДФ</t>
  </si>
  <si>
    <t>КОРАБЛЬ НАДЕЖДЫ, БФ</t>
  </si>
  <si>
    <t>РОССИЙСКИЙ ФОНД МИРА, БЕЛГОРОДСКОЕ РЕГИОНАЛЬНОЕ ОТДЕЛЕНИЕ МЕЖДУНАРОДНОГО ОБЩЕСТВЕННОГО ФОНДА</t>
  </si>
  <si>
    <t>КОРЕЙСКИЙ КУЛЬТУРНО-ПРОСВЕТИТЕЛЬСКИЙ ЦЕНТР ( ХАНГУК ГЁЮКВОН), ХКБОФ</t>
  </si>
  <si>
    <t>ДОБРОЕ ДЕЛО, НЕКОММЕРЧЕСКАЯ ОРГАНИЗАЦИЯ БЛАГОТВОРИТЕЛЬНЫЙ ФОНД ПОМОЩИ</t>
  </si>
  <si>
    <t>КОРСУНЬ, БФ</t>
  </si>
  <si>
    <t>КОРЪЭН НУРЫ-СВЕТ КОРАНА, БФ</t>
  </si>
  <si>
    <t>КОШЕЛЕВ, БФ</t>
  </si>
  <si>
    <t>КРАЙ ДОБРА, БФПД</t>
  </si>
  <si>
    <t>КРАСНООБСКАЯ ШКОЛА №1, БЛАГОТВОРИТЕЛЬНЫЙ ФОНД</t>
  </si>
  <si>
    <t>КРАСНОЯРСК ПРОТИВ НАРКОТИКОВ, КРФ</t>
  </si>
  <si>
    <t>КРАСНОЯРСКОЕ КРАЕВОЕ ОТДЕЛЕНИЕ РОССИЙСКОГО ДЕТСКОГО ФОНДА</t>
  </si>
  <si>
    <t>КРАСНОЯРСКОЕ РЕГИОНАЛЬНОЕ ОТДЕЛЕНИЕ ВСЕРОССИЙСКОГО ФОНДА КУЛЬТУРЫ</t>
  </si>
  <si>
    <t>КРАСНОЯРСКОЕ РЕГИОНАЛЬНОЕ ОТДЕЛЕНИЕ НАЦИОНАЛЬНОГО БЛАГОТВОРИТЕЛЬНОГО ФОНДА</t>
  </si>
  <si>
    <t>КРАСОТА СПАСЕТ МИР, БФ</t>
  </si>
  <si>
    <t>КРЕДО-ЗНАНИЕ РСО-АЛАНИЯ, ФОНД</t>
  </si>
  <si>
    <t>КРЕМЛЕВЕЦ, СРБОФ</t>
  </si>
  <si>
    <t>КРИСТАЛЛ, БФ СПН</t>
  </si>
  <si>
    <t>НЕГОСУДАРСТВЕННЫЙ БЛАГОТВОРИТЕЛЬНЫЙ ДЕТСКИЙ ФОНД ИМЕНИ ВЕЛИКОЙ КНЯГИНИ ЕЛИЗАВЕТЫ ФЕДОРОВНЫ РОМАНОВОЙ</t>
  </si>
  <si>
    <t>БЛАГОТВОРИТЕЛЬНЫЙ ФОНД ИМ. СВ. ВМЦ. АНАСТАСИИ УЗОРЕШИТЕЛЬНИЦЫ, НО</t>
  </si>
  <si>
    <t>КРОНШТАДТСКИЙ МОРСКОЙ СОБОР, ФОНД</t>
  </si>
  <si>
    <t>КРОФВСТ В ПРАКТИЧЕСКУЮ МЕДИЦИНУ</t>
  </si>
  <si>
    <t>КРЫЛЬЯ АНГЕЛОВ, БЛАГОТВОРИТЕЛЬНЫЙ ФОНД</t>
  </si>
  <si>
    <t>КРЫЛЬЯ БУДУЩЕГО, ФОНД ПОДДЕРЖКИ МОЛОДЕЖИ</t>
  </si>
  <si>
    <t>КРЫЛЬЯ ЖИЗНИ, БФ</t>
  </si>
  <si>
    <t>КТО, ЕСЛИ НЕ МЫ, БЛАГОТВОРИТЕЛЬНЫЙ ФОНД</t>
  </si>
  <si>
    <t>КТО, ЕСЛИ НЕ Я!, ФОНД</t>
  </si>
  <si>
    <t>КУЗБАСС ПРОТИВ НАРКОТИКОВ И СПИДА, КБРОФ</t>
  </si>
  <si>
    <t>КУЛИНАР, НО ФРПО</t>
  </si>
  <si>
    <t>КУЛЬТУРА РАЗВИТИЯ, БФ</t>
  </si>
  <si>
    <t>КУЛЬТУРА СИБИРИ, ОМСКИЙ РЕГИОНАЛЬНЫЙ ОБЩЕСТВЕННЫЙ БЛАГОТВОРИТЕЛЬНЫЙ ФОНД</t>
  </si>
  <si>
    <t>КУЛЬТУРНАЯ СТОЛИЦА ПОВОЛЖЬЯ, ФОНД</t>
  </si>
  <si>
    <t>КУЛЬТУРНОЕ ДВИЖЕНИЕ, ФОНД</t>
  </si>
  <si>
    <t>КУЛЬТУРНОЕ НАСЛЕДИЕ, БФ</t>
  </si>
  <si>
    <t>КУЛЬТУРНЫЙ ПРОЕКТ, МБФ</t>
  </si>
  <si>
    <t>КУЛЬТУРЫ И ОБРАЗОВАНИЯ, ФОНД</t>
  </si>
  <si>
    <t>УЛЬЯНОВСКИЙ РЕГИОНАЛЬНЫЙ ОБЩЕСТВЕННЫЙ ФОНД КУЛЬТУРЫ</t>
  </si>
  <si>
    <t>КУПОЛА, БФ</t>
  </si>
  <si>
    <t>КУРКИЁКИ, БЛАГОТВОРИТЕЛЬНЫЙ ФОНД</t>
  </si>
  <si>
    <t>КУРСКИЙ ФПРСР</t>
  </si>
  <si>
    <t>КАМЧАТСКИЙ ФОНД МИРА И СОДРУЖЕСТВА, РЕГИОНАЛЬНЫЙ ОБЩЕСТВЕННЫЙ ФОНД</t>
  </si>
  <si>
    <t>Л.В. СОБИНОВА, ФОНД ИМ.</t>
  </si>
  <si>
    <t>ЛЁНЬКИН КОТ, ФОНД</t>
  </si>
  <si>
    <t>ЛАДА, ФОНД</t>
  </si>
  <si>
    <t>ЛАЗАРЕВСКИЙ ФОНД</t>
  </si>
  <si>
    <t>ЛАСТОЧКА, ПБФ</t>
  </si>
  <si>
    <t>ЛБФ</t>
  </si>
  <si>
    <t>ЛЕБЕДЬ, БЛАГОТВОРИТЕЛЬНЫЙ ФОНД</t>
  </si>
  <si>
    <t>ЛЕГЕНДЫ АВИАЦИИ, БФ</t>
  </si>
  <si>
    <t>ЛЕГИОН, БФ</t>
  </si>
  <si>
    <t>ЛЕКИ, БФ</t>
  </si>
  <si>
    <t>ЛЕПТА, БФ</t>
  </si>
  <si>
    <t>ЛЗН, НБФ</t>
  </si>
  <si>
    <t>ЛИГА БУДУЩИХ ЧЕМПИОНОВ, БФ</t>
  </si>
  <si>
    <t>ЛИГА ЗДОРОВЬЯ НАЦИИ, АБФ</t>
  </si>
  <si>
    <t>ЛИПЕЦКИЙ ГОРОДСКОЙ ОБЩЕСТВЕННЫЙ ФОНД СОЦИАЛЬНОГО РАЗВИТИЯ</t>
  </si>
  <si>
    <t>ЛИНЕЕЦ, КРАСНОДАРСКИЙ КРАЕВОЙ ОБЩЕСТВЕННЫЙ ФОНД КУЛЬТУРЫ КУБАНСКОГО КАЗАЧЕСТВА</t>
  </si>
  <si>
    <t>ЛИРА, БЛАГОТВОРИТЕЛЬНЫЙ ФОНД</t>
  </si>
  <si>
    <t>ЛИРА, ОБФ</t>
  </si>
  <si>
    <t>ЛИЦЕИСТ, КГОФ</t>
  </si>
  <si>
    <t>ЛИЦЕЙ №1 ЛИЦЕИСТ, БЛАГОТВОРИТЕЛЬНЫЙ ФОНД СОДЕЙСТВИЯ РАЗВИТИЮ МУНИЦИПАЛЬНОГО БЮДЖЕТНОГО ОБЩЕОБРАЗОВАТЕЛЬНОГО УЧРЕЖДЕНИЯ Г. АСТРАХАНИ</t>
  </si>
  <si>
    <t>ЛИЦЕЙ №136, НОФ ПР МБОУ</t>
  </si>
  <si>
    <t>ЛИЦЕЙ ИСКУССТВ, НОБФ</t>
  </si>
  <si>
    <t>ЛИЦЕЙ, ФОНД</t>
  </si>
  <si>
    <t>ЛИЦЕЯ № 86, ФОНД</t>
  </si>
  <si>
    <t>ЛИЧНАЯ ПОМОЩЬ, ФОНД</t>
  </si>
  <si>
    <t>ЛИЧНОЕ УЧАСТИЕ, НО БФ</t>
  </si>
  <si>
    <t>ЛОБОФ ИМЕНИ КАРЛА КЕНИГА</t>
  </si>
  <si>
    <t>ЛОМОНОСОВСКИЙ ФОНД</t>
  </si>
  <si>
    <t>ЛРРФ</t>
  </si>
  <si>
    <t>ЛУЧ НАДЕЖДЫ, БФ</t>
  </si>
  <si>
    <t>ЛУЧ РБ, РОФ СРЦИЗ</t>
  </si>
  <si>
    <t>ЛУЧЕЗАРНЫЙ, БФ СПГ</t>
  </si>
  <si>
    <t>ЛУЧИК СВЕТА, РБФПД</t>
  </si>
  <si>
    <t>ЛФПРСР</t>
  </si>
  <si>
    <t>ЛЮБИ СВОЙ ГОРОД, ФОНД</t>
  </si>
  <si>
    <t>ЛЮБОВЬ И БЛАГОДАРНОСТЬ, БЛАГОТВОРИТЕЛЬНЫЙ ФОНД ОХРАНЫ ЗДОРОВЬЯ ДЕТЕЙ</t>
  </si>
  <si>
    <t>ЛЮБОВЬ-ДЕТЯМ, БФ</t>
  </si>
  <si>
    <t>ЛЯ ПРИМАВЕРА, ОБЩЕСТВЕННЫЙ ФОНД СК КО</t>
  </si>
  <si>
    <t>МАГАДАНСКИЙ ГОРОДСКОЙ ОБЩЕСТВЕННЫЙ ФОНД СОЦИАЛЬНОЙ ЗАЩИТЫ УЧАЩИХСЯ, УЧИТЕЛЕЙ И РАЗВИТИЯ ШКОЛЫ -ГИМНАЗИИ № 13</t>
  </si>
  <si>
    <t>МАГАДАНСКИЙ ОБЛАСТНОЙ МЕЖДУНАРОДНЫЙ ФОНД МИРА</t>
  </si>
  <si>
    <t>САРАТОВСКОЕ РЕГИОНАЛЬНОЕ ОТДЕЛЕНИЕ БЛАГОТВОРИТЕЛЬНОГО РОССИЙСКОГО ДЕТСКОГО ФОНДА</t>
  </si>
  <si>
    <t>МАГИЯ ДОБРА, НБФК</t>
  </si>
  <si>
    <t>МАГНОМЕД, БЛАГОТВОРИТЕЛЬНЫЙ ФОНД</t>
  </si>
  <si>
    <t>МАЗЭР, БФ</t>
  </si>
  <si>
    <t>МАЛАИК, БФ</t>
  </si>
  <si>
    <t>МАЛЕНЬКАЯ СТРАНА, БЛАГОТВОРИТЕЛЬНЫЙ ФОНД</t>
  </si>
  <si>
    <t>МАЛЕНЬКИЕ ДРУЗЬЯ С БОЛЬШИМ СЕРДЦЕМ, ФОНД</t>
  </si>
  <si>
    <t>МАЛЕНЬКИЕ ДРУЗЬЯ, СБФ</t>
  </si>
  <si>
    <t>МАЛЕНЬКИЙ ПРИНЦ СПБ, БФ</t>
  </si>
  <si>
    <t>МАЛОРОССИЯ, ФОНД</t>
  </si>
  <si>
    <t>МАЛЫШ, ФПРДО</t>
  </si>
  <si>
    <t>МАМА, АМУРСКИЙ БЛАГОТВОРИТЕЛЬНЫЙ ФОНД</t>
  </si>
  <si>
    <t>МАМА, БФ</t>
  </si>
  <si>
    <t>МАМА, ВЛАДИМИРСКИЙ ФОНД</t>
  </si>
  <si>
    <t>МАМА, ФОНД</t>
  </si>
  <si>
    <t>МАМА, ЯГОДНИНСКИЙ РАЙОННЫЙ ОБЩЕСТВЕННЫЙ БЛАГОТВОРИТЕЛЬНЫЙ ФОНД СОДЕЙСТВИЯ СЕМЬЕ, ЗАЩИТЫ МАТЕРИНСТВА И ДЕТСТВА</t>
  </si>
  <si>
    <t>МАНИФЕСТ, ФОНД</t>
  </si>
  <si>
    <t>МАРИНА, ХМОБ ФОНД</t>
  </si>
  <si>
    <t>МАРИНЫ ГУТЕРМАН, ФОНД</t>
  </si>
  <si>
    <t>МАРИНЫ СЕДЫХ, ФОНД</t>
  </si>
  <si>
    <t>МАРХАМАТ, БЛАГОТВОРИТЕЛЬНЫЙ ОБРАЗОВАТЕЛЬНЫЙ ФОНД</t>
  </si>
  <si>
    <t>МАТЕРИНСКОЕ СЕРДЦЕ, КРБФ</t>
  </si>
  <si>
    <t>МАТРОНУШКА, БЛАГОТВОРИТЕЛЬНЫЙ ФОНД</t>
  </si>
  <si>
    <t>МАТЬ И ДИТЯ, БЛАГОТВОРИТЕЛЬНЫЙ ФОНД</t>
  </si>
  <si>
    <t>МГЛ ПРИ МАГУ, МГОФПР МОУ</t>
  </si>
  <si>
    <t>МЕГАТЕХ Г. ЙОШКАР-ОЛА, ФОНД</t>
  </si>
  <si>
    <t>МЕДВЕДЬ, ФОНД</t>
  </si>
  <si>
    <t>МЕДЭКСПЕРТЗАЩИТА, МОФП</t>
  </si>
  <si>
    <t>МЕЖДУНАРОДНЫЙ БЛАГОТВОРИТЕЛЬНЫЙ ФОНД ПОБЕДИМ ДИАБЕТ</t>
  </si>
  <si>
    <t>МЕЖДУНАРОДНЫЙ ДЕТСКИЙ ФОНД РАУЛЯ ВАЛЛЕНБЕРГА</t>
  </si>
  <si>
    <t>МЕЖДУНАРОДНЫЙ КУЛЬТУРНЫЙ ФОНД КЛАССИКА И СОВРЕМЕННОСТЬ, НКФ</t>
  </si>
  <si>
    <t>МЕЖДУНАРОДНЫЙ СТАНДАРТ В РЕСПУБЛИКЕ БАШКОРТОСТАН, РЕГИОНАЛЬНЫЙ ОБЩЕСТВЕННЫЙ ФОНД</t>
  </si>
  <si>
    <t>МЕЖДУНАРОДНЫЙ ЧЕХОВСКИЙ БЛАГОТВОРИТЕЛЬНЫЙ ФОНД, НО</t>
  </si>
  <si>
    <t>МЕНТОР, БФ</t>
  </si>
  <si>
    <t>КУРГАНСКОЕ ОБЛАСТНОЕ ОТДЕЛЕНИЕ РОССИЙСКОГО ФОНДА МИРА</t>
  </si>
  <si>
    <t>МЕСТО ПОД СОЛНЦЕМ, БЛАГОТВОРИТЕЛЬНЫЙ ФОНД</t>
  </si>
  <si>
    <t>МЕТАЛЛУРГ, БФ</t>
  </si>
  <si>
    <t>МЕТАЛЛУРГ, БЛАГОТВОРИТЕЛЬНЫЙ ФОНД</t>
  </si>
  <si>
    <t>МЕТРОПОЛИ БИЗАНЦИО, ФОНД</t>
  </si>
  <si>
    <t>МЕЦЕНАТ, ОГОБФР</t>
  </si>
  <si>
    <t>МЕЧТА РЕБЁНКА, БФ</t>
  </si>
  <si>
    <t>МЕЧТЕ НАВСТРЕЧУ, БФ</t>
  </si>
  <si>
    <t>МИГРАЦИОННОЕ СОДЕЙСТВИЕ, МРОЭКФ</t>
  </si>
  <si>
    <t>МИЛЛИОНЫ ДЕТСКИХ СЕРДЕЦ, ККБФ</t>
  </si>
  <si>
    <t>МИЛОСЕРДИЕ В ОБРАЗОВАНИИ, ФОНД</t>
  </si>
  <si>
    <t>МИЛОСЕРДИЕ ДЕТЯМ, БФ</t>
  </si>
  <si>
    <t>МИЛОСЕРДИЕ ДЕТЯМ-СИРОТАМ, БФ</t>
  </si>
  <si>
    <t>МИЛОСЕРДИЕ ДЛЯ ВСЕХ, ФОНД</t>
  </si>
  <si>
    <t>МИЛОСЕРДИЕ И ЗАБОТА, БФ</t>
  </si>
  <si>
    <t>МИЛОСЕРДИЕ И СОДЕЙСТВИЕ, БЛАГОТВОРИТЕЛЬНЫЙ ФОНД</t>
  </si>
  <si>
    <t>МИЛОСЕРДИЕ ИМ.И.ХАРИСОВОЙ, БФ</t>
  </si>
  <si>
    <t>МИЛОСЕРДИЕ ОАО МИХАЙЛОВСКИЙ ГОК КУРСКОЙ ОБЛАСТИ, БЛАГОТВОРИТЕЛЬНЫЙ ОБЩЕСТВЕННЫЙ ФОНД</t>
  </si>
  <si>
    <t>МИЛОСЕРДИЕ САМАРСКОЙ ОБЛАСТИ, ОБФ</t>
  </si>
  <si>
    <t>МИЛОСЕРДИЕ, ББФ</t>
  </si>
  <si>
    <t>МИЛОСЕРДИЕ, БЛАГОТВОРИТЕЛЬНЫЙ ФОНД</t>
  </si>
  <si>
    <t>МИЛОСЕРДИЕ, БФ</t>
  </si>
  <si>
    <t>МИЛОСЕРДИЕ, БФ ПРСП</t>
  </si>
  <si>
    <t>МИЛОСЕРДИЕ, БФСЗ</t>
  </si>
  <si>
    <t>МИЛОСЕРДИЕ, КРБФ</t>
  </si>
  <si>
    <t>МИЛОСЕРДИЕ, НКО БФ</t>
  </si>
  <si>
    <t>МИЛОСЕРДИЕ, НО БФ</t>
  </si>
  <si>
    <t>МИЛОСЕРДИЕ, ФОНД</t>
  </si>
  <si>
    <t>МИЛОСЕРДИЕ, ФОНД ПРОФСОЮЗА РАБОТНИКОВ ЗДРАВООХРАНЕНИЯ ГБУЗ СОКБ ИМ В.Д.СЕРЕДАВИНА</t>
  </si>
  <si>
    <t>МИЛОСЕРДИЕ-ЛУЧ, ПОДОЛЬСКИЙ ГОРОДСКОЙ ОБЩЕСТВЕННЫЙ ФОНД СОЦИАЛЬНОЙ ПОМОЩИ</t>
  </si>
  <si>
    <t>МИЛОСЕРДНОСТЬ, БЛАГОТВОРИТЕЛЬНЫЙ ФОНД</t>
  </si>
  <si>
    <t>МИР БЕЗ ГРАНИЦ, ФРПОФКС</t>
  </si>
  <si>
    <t>МИР БЕЗ КУРЕНИЯ, БФ</t>
  </si>
  <si>
    <t>МИР ГЛАЗАМИ ДЕТЕЙ, БФ</t>
  </si>
  <si>
    <t>МИР ДЕТСТВА, БФ</t>
  </si>
  <si>
    <t>МИР ДОБРА, ХРОФСПН</t>
  </si>
  <si>
    <t>МИР ЗОЛОТА, РЕГИОНАЛЬНЫЙ ОБЩЕСТВЕННЫЙ ФОНД СВЕРДЛОВСКОЙ ОБЛАСТИ</t>
  </si>
  <si>
    <t>МИР ПРИРОДЫ, ЭКОЛОГИЧЕСКИЙ ФОНД</t>
  </si>
  <si>
    <t>МИР СЕМЬИ, НОВОСИБИРСКИЙ ОБЛАСТНОЙ ОБЩЕСТВЕННЫЙ ФОНД СТЕПАНЕНКО</t>
  </si>
  <si>
    <t>МИРА В СЕВЕРО-ВОСТОЧНОЙ АЗИИ, ФОНД</t>
  </si>
  <si>
    <t>МИРАБЕЛЬ МИР-ДЕТЯМ, БФ</t>
  </si>
  <si>
    <t>МИРОТВОРЕЦ, ЛООФ</t>
  </si>
  <si>
    <t>МИСНЭ, БЛАГОТВОРИТЕЛЬНЫЙ ФОНД РКНПКМНСТО</t>
  </si>
  <si>
    <t>МИСС МАРИЙ ЭЛ, НО БФ</t>
  </si>
  <si>
    <t>МИССИЯ СЕРДЦА, БФ</t>
  </si>
  <si>
    <t>МИТ, НООФ</t>
  </si>
  <si>
    <t>МКС, КФ</t>
  </si>
  <si>
    <t>ММКС, БФ</t>
  </si>
  <si>
    <t>МНОЖИТЬ ДОБРО, БФ</t>
  </si>
  <si>
    <t>МОДЕРНИЗАЦИИ ЖКК УЛЬЯНОВСКОЙ ОБЛАСТИ, ФОНД</t>
  </si>
  <si>
    <t>МОЕ УЧАСТИЕ, БФ</t>
  </si>
  <si>
    <t>МОЛИТВЕННЫЙ ЗАВТРАК, БЛАГОТВОРИТЕЛЬНЫЙ ФОНД</t>
  </si>
  <si>
    <t>МОЛОДЕЖНЫЙ ФОНД ВОСХОЖДЕНИЕ, НО</t>
  </si>
  <si>
    <t>МОЛОДЕЖЬ-ДЕТИ-СПОРТ, ФОНД</t>
  </si>
  <si>
    <t>МОЛОДОЙ ГИППОКРАТ, БЛАГОТВОРИТЕЛЬНЫЙ ФОНД</t>
  </si>
  <si>
    <t>МОЛОДОСТЬ НАЦИИ РБ, РОФ Р. БАТАЛОВОЙ</t>
  </si>
  <si>
    <t>МОНТЕССОРИ, МО ФОНД</t>
  </si>
  <si>
    <t>МООФС</t>
  </si>
  <si>
    <t>МОРСКАЯ СЛАВА ОТЕЧЕСТВА, СПБ БФ</t>
  </si>
  <si>
    <t>МОРСКИЕ ДУБКИ, СПБ ОФСЭР ЛН</t>
  </si>
  <si>
    <t>МОРСКОЙ КОРПУС, СПБ РОФ</t>
  </si>
  <si>
    <t>МОРСКОЙ ПЕТЕРБУРГ, РОФСРМД</t>
  </si>
  <si>
    <t>НОВОРОССИЙСКИЙ ГОРОДСКОЙ ОБЩЕСТВЕННЫЙ ФОНД МОРЯКОВ</t>
  </si>
  <si>
    <t>МОСКВА-80, БЛАГОТВОРИТЕЛЬНЫЙ ФОНД</t>
  </si>
  <si>
    <t>МОСТ, БЛАГОТВОРИТЕЛЬНЫЙ ФОНД ДДЮТ</t>
  </si>
  <si>
    <t>МОСТЫ, САНКТ-ПЕТЕРБУРГСКИЙ ОБЩЕСТВЕННЫЙ ФОНД ПОДДЕРЖКИ КУЛЬТУРНЫХ ИНИЦИАТИВ</t>
  </si>
  <si>
    <t>МОТОВИЛИХА, БЛАГОТВОРИТЕЛЬНЫЙ ФОНД</t>
  </si>
  <si>
    <t>МОУ СРЕДНЯЯ ОБЩЕОБРАЗОВАТЕЛЬНАЯ ШКОЛА № 4 СОНО, БФ</t>
  </si>
  <si>
    <t>МОФЕПН, АРО</t>
  </si>
  <si>
    <t>МОФИСЭЗ</t>
  </si>
  <si>
    <t>МОФР ГИМНАЗИИ №96 Г.ЖЕЛЕЗНОГОРСК</t>
  </si>
  <si>
    <t>МОФС РАЗВИТИЮ ВОЕННО-ПАТРИОТИЧЕСКОГО КИНО ПО ИРКУТСКОЙ ОБЛАСТИ, РО</t>
  </si>
  <si>
    <t>МОЯ ПРЕЛЕСТЬ, ФОНД</t>
  </si>
  <si>
    <t>МОЯ СЕМЬЯ, ФОНД</t>
  </si>
  <si>
    <t>МОЯ СТРАНА, БФ</t>
  </si>
  <si>
    <t>МСН, РОФ</t>
  </si>
  <si>
    <t>МУЗЕЙ Г.В. СТАРОВОЙТОВОЙ, СПБ ОФ</t>
  </si>
  <si>
    <t>МУЗЫКА И СОВРЕМЕННОСТЬ, ФОНД</t>
  </si>
  <si>
    <t>МУЛЬТИВИДЕНИЕ, БФ</t>
  </si>
  <si>
    <t>ТЮМЕНСКИЙ ОБЛАСТНОЙ ОБЩЕСТВЕННЫЙ ФОНД ИМЕНИ ВИКТОРА ИВАНОВИЧА МУРАВЛЕНКО</t>
  </si>
  <si>
    <t>МФК СИНАРА, СРСОФ</t>
  </si>
  <si>
    <t>МЦФПИН</t>
  </si>
  <si>
    <t>МЫ ВМЕСТЕ, БЛАГОТВОРИТЕЛЬНЫЙ ФОНД</t>
  </si>
  <si>
    <t>МЫ ВМЕСТЕ, БФ</t>
  </si>
  <si>
    <t>МЫ ВМЕСТЕ, БФПР</t>
  </si>
  <si>
    <t>МЫ ВМЕСТЕ, НБФ</t>
  </si>
  <si>
    <t>МЫ ВМЕСТЕ, ОБЩЕСТВЕННЫЙ ФОНД</t>
  </si>
  <si>
    <t>МЫ ЖЕ ЛЮДИ, БЛАГОТВОРИТЕЛЬНЫЙ ФОНД</t>
  </si>
  <si>
    <t>МЫ РЯДОМ. РЕДКИЕ ДЕТИ, БФ</t>
  </si>
  <si>
    <t>МЭКТЭП ( ШКОЛА ), ФОНД</t>
  </si>
  <si>
    <t>МЭЦ, БЛАГОТВОРИТЕЛЬНЫЙ ФОНД РАЗВИТИЯ МАУ ДО МО ГОРОД КРАСНОДАР</t>
  </si>
  <si>
    <t>МЯЛ, НО БФ</t>
  </si>
  <si>
    <t>Н.О. ФОНД РАЗВИТИЯ ЭКОНОМИЧЕСКОЙ ШКОЛЫ</t>
  </si>
  <si>
    <t>НАВИГАТОР, КРАСНОЯРСКИЙ РЕГИОНАЛЬНЫЙ БЛАГОТВОРИТЕЛЬНЫЙ ОБЩЕСТВЕННЫЙ ФОНД</t>
  </si>
  <si>
    <t>НАДЕЖДА ПО ВСЕМУ МИРУ, БФ</t>
  </si>
  <si>
    <t>НАДЕЖДА ЕСТЬ, БЛАГОТВОРИТЕЛЬНЫЙ ФОНД</t>
  </si>
  <si>
    <t>НАДЕЖДА И ОПОРА, ФОНД</t>
  </si>
  <si>
    <t>НАДЕЖДА И СПАСЕНИЕ, ФОНД</t>
  </si>
  <si>
    <t>НАДЕЖДА НА МИЛОСЕРДИЕ, БЛАГОТВОРИТЕЛЬНЫЙ ФОНД</t>
  </si>
  <si>
    <t>НАДЕЖДА НН, БФ</t>
  </si>
  <si>
    <t>НАДЕЖДА, БЛАГОТВОРИТЕЛЬНЫЙ ФОНД</t>
  </si>
  <si>
    <t>НАДЕЖДА, БФ</t>
  </si>
  <si>
    <t>НАДЕЖДА, БФ СОДЕЙСТВИЯ ВЕТЕРАНАМ ПОЖАРНОЙ ОХРАНЫ</t>
  </si>
  <si>
    <t>НАДЕЖДА, МЫТИЩИНСКИЙ РАЙОННЫЙ ОБЩЕСТВЕННЫЙ ФОНД ПОМОЩИ ДЕТЯМ И ПОДРОСТКАМ ИНВАЛИДАМ</t>
  </si>
  <si>
    <t>НАДЕЖДА, ОБЩЕСТВЕННО-ПРОСВЕТИТЕЛЬСКИЙ ФОНД</t>
  </si>
  <si>
    <t>НАДЕЖДА МИРА, БФ</t>
  </si>
  <si>
    <t>НАДЕЖДА, ОФШ №18</t>
  </si>
  <si>
    <t>НАДЕЖДА, ПГО БФСЗ</t>
  </si>
  <si>
    <t>НАДЕЖДА, ПРАВОСЛАВНЫЙ ПАНСИОНАТ ДЛЯ НЕСОВЕРШЕННОЛЕТНИХ И ПРЕСТАРЕЛЫХ</t>
  </si>
  <si>
    <t>НАДЕЖДА, ФОНД</t>
  </si>
  <si>
    <t>НАДЕЖДА, ЧОБО ФОНД ПОМОЩИ ДЕТЯМ-СИРОТАМ</t>
  </si>
  <si>
    <t>НАЗ РТ, РОБФПДСИ</t>
  </si>
  <si>
    <t>НАН, РОБФ</t>
  </si>
  <si>
    <t>НАРВСКИЙ, БФ</t>
  </si>
  <si>
    <t>НАРКОНЕТ, БФ</t>
  </si>
  <si>
    <t>НАРОДНОЕ ПРЕДПРИЯТИЕ, ФОНД</t>
  </si>
  <si>
    <t>НАРОДНЫЙ ФОНД, БЛАГОТВОРИТЕЛЬНЫЙ ФОНД</t>
  </si>
  <si>
    <t>НАСЛЕДИЕ ВЯТКИ, БЛАГОТВОРИТЕЛЬНЫЙ ФОНД</t>
  </si>
  <si>
    <t>НАСЛЕДИЕ ИРКУТСКИХ МЕЦЕНАТОВ, ГОРОДСКОЙ ФОНД</t>
  </si>
  <si>
    <t>НАСЛЕДИЕ ОТЕЧЕСТВА, ФОНД</t>
  </si>
  <si>
    <t>НАСЛЕДИЕ ПЕТЕРБУРГА, ФОНД</t>
  </si>
  <si>
    <t>НАСЛЕДИЕ СВЯТОГО ПРАВЕДНОГО ИОАННА КРОНШТАДТСКОГО-КРОНШТАДТСКИЙ АНДРЕЕВСКИЙ СОБОР, ФОНД</t>
  </si>
  <si>
    <t>НАСЛЕДИЕ ТЫСЯЧЕЛЕТИЙ, БФ</t>
  </si>
  <si>
    <t>НАСЛЕДИЕ, СПБРОБФ</t>
  </si>
  <si>
    <t>НАСЛЕДНИКИ, БЛАГОТВОРИТЕЛЬНЫЙ ФОНД ПО ПОДДЕРЖКЕ ОДАРЕННЫХ ДЕТЕЙ</t>
  </si>
  <si>
    <t>НАТАША, БФ ПОМОЩИ БОЛЬНЫМ С ЗАБОЛЕВАНИЯМИ ЛЕГОЧНОЙ СИСТЕМЫ</t>
  </si>
  <si>
    <t>НАУЧНОЕ ПАРТНЁРСТВО, МБФ</t>
  </si>
  <si>
    <t>НАЦИОНАЛЬНЫЙ БЛАГОТВОРИТЕЛЬНЫЙ ФОНД, БРО</t>
  </si>
  <si>
    <t>НАЦИОНАЛЬНЫЙ БЛАГОТВОРИТЕЛЬНЫЙ ФОНД, ВОРОНЕЖСКОЕ РЕГИОНАЛЬНОЕ ОТДЕЛЕНИЕ</t>
  </si>
  <si>
    <t>НАЦИОНАЛЬНЫЙ БЛАГОТВОРИТЕЛЬНЫЙ ФОНД, ТРО</t>
  </si>
  <si>
    <t>НАШ ДЕНЬ, БФ</t>
  </si>
  <si>
    <t>НАШ ДОМ, БФ</t>
  </si>
  <si>
    <t>НАШ КОЛЛЕДЖ, БФ</t>
  </si>
  <si>
    <t>НАШ ПУТЬ, БФ</t>
  </si>
  <si>
    <t>НАШ ПУТЬ, РОФ</t>
  </si>
  <si>
    <t>НАШ ПУТЬ, ФОНД СОЦИАЛЬНОЙ ПОДДЕРЖКИ ИНВАЛИДОВ</t>
  </si>
  <si>
    <t>НАША ЖИЗНЬ, БЛАГОТВОРИТЕЛЬНЫЙ ФОНД</t>
  </si>
  <si>
    <t>НАША МАЛАЯ РОДИНА-КУЙТУНСКИЙ РАЙОН, БФМС</t>
  </si>
  <si>
    <t>НАША ПАМЯТЬ, БФ</t>
  </si>
  <si>
    <t>НАША ПОМОЩЬ СПБ, БФ</t>
  </si>
  <si>
    <t>НАШЕ БУДУЩЕЕ, БЛАГОТВОРИТЕЛЬНЫЙ ФОНД</t>
  </si>
  <si>
    <t>НАШЕ БУДУЩЕЕ, БФ</t>
  </si>
  <si>
    <t>НАШЕ БУДУЩЕЕ, БФПД</t>
  </si>
  <si>
    <t>НАШЕ БУДУЩЕЕ, МЕЖДУНАРОДНЫЙ БЛАГОТВОРИТЕЛЬНЫЙ ФОНД ПОДДЕРЖКИ И РАЗВИТИЯ ДЕТСКОГО ТВОРЧЕСТВА, АВТОРОВ И КОМПОЗИТОРОВ СОВРЕМЕННОЙ ДЕТСКОЙ ПЕСНИ И МУЗЫКИ</t>
  </si>
  <si>
    <t>НАШЕ БУДУЩЕЕ, ПРО ФОНД</t>
  </si>
  <si>
    <t>НАШЕ БУДУЩЕЕ, САНКТ-ПЕТЕРБУРГСКИЙ ОБЩЕСТВЕННЫЙ ФОНД</t>
  </si>
  <si>
    <t>НАШЕ ДЕЛО, ФОНД</t>
  </si>
  <si>
    <t>НАШЕ ЕДИНСТВО, БФ</t>
  </si>
  <si>
    <t>НАШЕ НАСЛЕДИЕ, ФОНД</t>
  </si>
  <si>
    <t>НАШИ ДЕТИ, БФ</t>
  </si>
  <si>
    <t>БЛАГОТВОРИТЕЛЬНЫЙ ФОНД НАШИ ДЕТИ, НЕКОММЕРЧЕСКАЯ ОРГАНИЗАЦИЯ</t>
  </si>
  <si>
    <t>НАШИ ДЕТИ-БУДУЩЕЕ ОТЕЧЕСТВА, БЛАГОТВОРИТЕЛЬНЫЙ ФОНД</t>
  </si>
  <si>
    <t>НЕ-БОЛЕЙКА, КБ ОФ</t>
  </si>
  <si>
    <t>НЕБЕСА ГОСПОДНИ, БЛАГОТВОРИТЕЛЬНЫЙ ФОНД</t>
  </si>
  <si>
    <t>НЕБО, БФ</t>
  </si>
  <si>
    <t>НЕВО, БФ</t>
  </si>
  <si>
    <t>НЕВСКИЕ БЕРЕГА, СПБОФСРКПИИЭ</t>
  </si>
  <si>
    <t>НЕВСКИЙ БЕРЕГ, РОФССПИ</t>
  </si>
  <si>
    <t>НЕВСКИЙ ДОМ, ФОНД</t>
  </si>
  <si>
    <t>НЕЗАВИСИМОСТЬ В ГОРОДЕ ОТРАДНЫЙ, БФ</t>
  </si>
  <si>
    <t>НЕЗАВИСИМОСТЬ, БФ</t>
  </si>
  <si>
    <t>НЕЗАВИСИМОСТЬ, НОБФ</t>
  </si>
  <si>
    <t>НЕЗАВИСИМОСТЬ, РБФ</t>
  </si>
  <si>
    <t>НЕКОММЕРЧЕСКИЙ ДЕТСКИЙ БЛАГОТВОРИТЕЛЬНЫЙ ФОНД ИМЕНИ АЛЕНЫ ПЕТРОВОЙ</t>
  </si>
  <si>
    <t>НЕНЕЦКИЙ ФПР</t>
  </si>
  <si>
    <t>НЕОБЫКНОВЕННОЕ ЧУДО, БФ</t>
  </si>
  <si>
    <t>БЛАГОТВОРИТЕЛЬНЫЙ ФОНД</t>
  </si>
  <si>
    <t>НЕУВЯДАЕМЫЙ ЦВЕТ, БФ</t>
  </si>
  <si>
    <t>НИЖЕГОРОДСКИЙ БЛАГОТВОРИТЕЛЬНЫЙ ФОНД ЗАЩИТЫ ЖИВОТНЫХ СОСТРАДАНИЕ НН, НО</t>
  </si>
  <si>
    <t>НИЖЕГОРОДСКИЙ, НО БФ</t>
  </si>
  <si>
    <t>НИКА, БФ</t>
  </si>
  <si>
    <t>НИКОЛАЯ ЧУДОТВОРЦА, БФ</t>
  </si>
  <si>
    <t>НИКТО НЕ ЗАБЫТ, БЛАГОТВОРИТЕЛЬНЫЙ ФОНД</t>
  </si>
  <si>
    <t>НИТЬ ДОБРА, ФОНД</t>
  </si>
  <si>
    <t>НМТ, БРОФ</t>
  </si>
  <si>
    <t>НОВАТОР, ФРПИД</t>
  </si>
  <si>
    <t>НОВАЦИЯ, БЛАГОТВОРИТЕЛЬНЫЙ ФОНД</t>
  </si>
  <si>
    <t>НОВАЯ ЖИЗНЬ, БФ</t>
  </si>
  <si>
    <t>НОВАЯ ЖИЗНЬ, БФ РСП</t>
  </si>
  <si>
    <t>НОВАЯ ЖИЗНЬ, НЕКОММЕРЧЕСКИЙ БЛАГОТВОРИТЕЛЬНЫЙ ФОНД</t>
  </si>
  <si>
    <t>НОВАЯ ЖИЗНЬ, ОБФР</t>
  </si>
  <si>
    <t>НОВАЯ РУСЬ, БФ</t>
  </si>
  <si>
    <t>НОВОЕ ВРЕМЯ, ФОНД</t>
  </si>
  <si>
    <t>НОВОЕ ДОВЕРИЕ, БФ</t>
  </si>
  <si>
    <t>НОВОСИБИРСКОЙ ОБЛАСТНОЙ ФЕДЕРАЦИИ ДЗЮДО, НРО ФОНД СОДЕЙСТВИЯ</t>
  </si>
  <si>
    <t>НОВЫЕ ВОЗМОЖНОСТИ, БФ</t>
  </si>
  <si>
    <t>НОВЫЙ АНГАРСК, ФОНД</t>
  </si>
  <si>
    <t>НОВЫЙ МИР, БЛАГОТВОРИТЕЛЬНЫЙ ФОНД</t>
  </si>
  <si>
    <t>НОВЫЙ МИР, БФ</t>
  </si>
  <si>
    <t>НОВЫЙ СВЕТ, ФОНД</t>
  </si>
  <si>
    <t>НОВЫЙ СОЧИ, БФ</t>
  </si>
  <si>
    <t>НОК, БФ</t>
  </si>
  <si>
    <t>НОНЦ, ФОНД</t>
  </si>
  <si>
    <t>НТЛ, ФОНД</t>
  </si>
  <si>
    <t>НУР, ФОНД КУЛЬТУРЫ</t>
  </si>
  <si>
    <t>НФПР СОТРУДНИЧЕСТВА И РАЗВИТИЯ</t>
  </si>
  <si>
    <t>ОАЗИС МИРА, БФ</t>
  </si>
  <si>
    <t>ОАТК, БФ</t>
  </si>
  <si>
    <t>ОБЕРЕГ, БЛАГОТВОРИТЕЛЬНЫЙ ФОНД</t>
  </si>
  <si>
    <t>ОБЕРЕГ, БФ</t>
  </si>
  <si>
    <t>ОБЛАСТНОЙ ФОНД ВЕТЕРАНОВ ВОЙНЫ И ТРУДА</t>
  </si>
  <si>
    <t>ОБНОВЛЕНИЕ ЖИЗНИ, ФОНД</t>
  </si>
  <si>
    <t>ОБНОВЛЕНИЕ, НОБФ</t>
  </si>
  <si>
    <t>ОБОФ РФМИЗ, ТО</t>
  </si>
  <si>
    <t>ОБРАЗОВАНИЕ, БЛАГОТВОРИТЕЛЬНЫЙ ФОНД</t>
  </si>
  <si>
    <t>ОБРАЗОВАНИЕ, КУЛЬТУРА, ЗДРАВООХРАНЕНИЕ И СПОРТ, ФОНД</t>
  </si>
  <si>
    <t>ОБРАЗОВАНИЕ, ФОНД</t>
  </si>
  <si>
    <t>ОБРАЗОВАННОСТЬ НРАВСТВЕННОСТЬ ОТВЕТСТВЕННОСТЬ, РОФ ПОДДЕРЖКИ ОБЩЕОБРАЗОВАТЕЛЬНЫХ УЧРЕЖДЕНИЙ САНКТ-ПЕТЕРБУРГА</t>
  </si>
  <si>
    <t>ОБРЕТЕНИЕ, ТВЕРСКОЙ РЕГИОНАЛЬНЫЙ ОБЩЕСТВЕННЫЙ БЛАГОТВОРИТЕЛЬНЫЙ ФОНД</t>
  </si>
  <si>
    <t>ОБФ ЕВРАЗИЯ, НКО</t>
  </si>
  <si>
    <t>ОБФ МП МНГ №8 Г.ЭНГЕЛЬСА САРАТОВСКОЙ ОБЛАСТИ</t>
  </si>
  <si>
    <t>ОБЩЕНИЕ, БЛАГОТВОРИТЕЛЬНЫЙ ФОНД ПОДДЕРЖКИ,ОБРАЗОВАНИЯ И ТВОРЧЕСТВА ИНВАЛИДОВ</t>
  </si>
  <si>
    <t>ОБЩЕСТВЕННАЯ ПОДДЕРЖКА, БЛАГОТВОРИТЕЛЬНЫЙ ФОНД</t>
  </si>
  <si>
    <t>ОБЩЕСТВЕННО-ПОЛЕЗНЫХ ИНИЦИАТИВ, ФОНД</t>
  </si>
  <si>
    <t>ОБЩЕСТВЕННОЕ МНЕНИЕ-КРАСНОЯРСК, КРАСНОЯРСКИЙ РЕГИОНАЛЬНЫЙ ФОНД</t>
  </si>
  <si>
    <t>ОБЩЕСТВЕННОСТЬ ПРОТИВ НАРКОМАНИИ Г.ПЕНЗЫ, ОФ</t>
  </si>
  <si>
    <t>ОБЩЕСТВЕННЫЙ БЛАГОТВОРИТЕЛЬНЫЙ ФОНД ВЕТЕРАНОВ (ПЕНСИОНЕРОВ) ВОЙНЫ, ТРУДА ВС И ПО АБЫЙСКОГО УЛУСА (РАЙОНА)</t>
  </si>
  <si>
    <t>ОБЩЕСТВЕННЫЙ ВЫБОР, ФСРГОИПСГ</t>
  </si>
  <si>
    <t>ОБЩЕСТВЕННЫЙ ПРОГРЕСС, ФСРГОИПСГ</t>
  </si>
  <si>
    <t>ОБЩЕСТВЕННЫЙ ФОНД ВОССТАНОВЛЕНИЯ И ПОДДЕРЖКИ СВЯТО-ТРОИЦКОГО ИЗМАЙЛОВСКОГО СОБОРА</t>
  </si>
  <si>
    <t>ОБЩЕСТВЕННЫЙ ФОНД ОБНИНСКА, НЕКОМЕРЧЕСКИЙ ФОНД</t>
  </si>
  <si>
    <t>ВЕЙДЕЛЕВСКИЙ МЕСТНЫЙ ОБЩЕСТВЕННЫЙ ФОНД ПО СТРОИТЕЛЬСТВУ ХРАМА ВОЗНЕСЕНИЯ ГОСПОДНЯ</t>
  </si>
  <si>
    <t>ОБЩЕСТВЕННЫЙ ФОНД ПОДДЕРЖКИ НОВОЙ МУЗЫКИ</t>
  </si>
  <si>
    <t>ОБЩЕСТВЕННЫЙ ФОНД РАЗВИТИЯ И ПОДДЕРЖКИ ОБРАЗОВАНИЯ МОУСОШ № 28 Г. НОВОСИБИРСКА</t>
  </si>
  <si>
    <t>ОБЩЕСТВЕННЫЙ ФОНД РАЗВИТИЯ ФИЗИЧЕСКОЙ КУЛЬТУРЫ И СПОРТА СО</t>
  </si>
  <si>
    <t>ОБЩЕСТВЕННЫЙ ФОНД ЮЖНЫЙ УРАЛ, ФССКН</t>
  </si>
  <si>
    <t>ОБЩЕСТВО БЕЗ БАРЬЕРОВ, РОФ</t>
  </si>
  <si>
    <t>ОБЩЕСТВО ДРУЗЕЙ ПУШКИНОГОРЬЯ, БФ</t>
  </si>
  <si>
    <t>ОБЩЕСТВО И ПРАВО, СРОФ ПГИ</t>
  </si>
  <si>
    <t>ОБЩЕСТВО ПОМОЩИ ТАРУССКОЙ БОЛЬНИЦЕ, НЕКОММЕРЧЕСКАЯ ОРГАНИЗАЦИЯ</t>
  </si>
  <si>
    <t>ОБЩИНА, НЕКОММЕРЧЕСКАЯ ОРГАНИЗАЦИЯ СУРГУТСКИЙ БЛАГОТВОРИТЕЛЬНЫЙ ФОНД</t>
  </si>
  <si>
    <t>ОБЪЯТИЕ, БЛАГОТВОРИТЕЛЬНЫЙ ФОНД</t>
  </si>
  <si>
    <t>ОБЫКНОВЕННОЕ ЧУДО, БФ</t>
  </si>
  <si>
    <t>ОГНЕБОРЕЦ, БЛАГОТВОРИТЕЛЬНЫЙ ФОНД</t>
  </si>
  <si>
    <t>ОГОБФ СОДЕЙСТВИЯ РАЗВИТИЮ СОШ № 55</t>
  </si>
  <si>
    <t>ОГОБФС ГИМНАЗИИ № 69</t>
  </si>
  <si>
    <t>ОДИК, БЛАГОТВОРИТЕЛЬНЫЙ ФОНД</t>
  </si>
  <si>
    <t>ОДИН ПУТЬ</t>
  </si>
  <si>
    <t>ОЕК, НБФ</t>
  </si>
  <si>
    <t>ОКНО В НАДЕЖДУ, БФ</t>
  </si>
  <si>
    <t>ОКСКИЙ ЭКОЛОГИЧЕСКИЙ ФОНД</t>
  </si>
  <si>
    <t>ОЛЕГА МИТЯЕВА, ФОНД</t>
  </si>
  <si>
    <t>ОЛИМП, БФ</t>
  </si>
  <si>
    <t>ОЛИМП, БФРС</t>
  </si>
  <si>
    <t>ОЛИМПИЕЦ -ХОККЕЙ, БЛАГОТВОРИТЕЛЬНЫЙ ФОНД ДЮСШ</t>
  </si>
  <si>
    <t>ОЛИМПИЯ, БЛАГОТВОРИТЕЛЬНЫЙ ФОНД</t>
  </si>
  <si>
    <t>ОЛЬГА, ВСЕВОЛОЖСКИЙ БФ</t>
  </si>
  <si>
    <t>ОМЕГА, БФ</t>
  </si>
  <si>
    <t>ОКО, БФ</t>
  </si>
  <si>
    <t>ОМЕГА, РЕГИОНАЛЬНЫЙ ОБЩЕСТВЕННЫЙ ФОНД СОЦИАЛЬНОЙ ПОДДЕРЖКИ И ЗАЩИТЫ ВЕТЕРАНОВ</t>
  </si>
  <si>
    <t>ОМЕЗ, БФ</t>
  </si>
  <si>
    <t>ОМПК, БФПРО</t>
  </si>
  <si>
    <t>ОМСК БЕЗ НАРКОТИКОВ, ОМСКИЙ РЕГИОНАЛЬНЫЙ БЛАГОТВОРИТЕЛЬНЫЙ ОБЩЕСТВЕННЫЙ ФОНД</t>
  </si>
  <si>
    <t>ОМСКИЕ ХВОСТИКИ, БФ ПОМОЩИ ЖИВОТНЫМ</t>
  </si>
  <si>
    <t>ОМСКИЙ ФОНД ПОДДЕРЖКИ СПОРТА</t>
  </si>
  <si>
    <t>ОМСКОЕ РЕГИОНАЛЬНОЕ ОТДЕЛЕНИЕ РОССИЙСКОГО ОБЩЕСТВЕННОГО БЛАГОТВОРИТЕЛЬНОГО ФОНДА ВЕТЕРАНОВ (ПЕНСИОНЕРОВ) ВОЙНЫ, ТРУДА И ВООРУЖЕННЫХ СИЛ</t>
  </si>
  <si>
    <t>ООБФ РДФ, СКО</t>
  </si>
  <si>
    <t>ОПОРА, БЛАГОТВОРИТЕЛЬНЫЙ ФОНД</t>
  </si>
  <si>
    <t>ОПОРА, ФОНД</t>
  </si>
  <si>
    <t>БЛАГОТВОРИТЕЛЬНЫЙ ФОНД СОДЕЙСТВИЯ РАЗВИТИЮ ПАНКРАТИОНА СПОРТИВНОЕ ЕДИНСТВО, ФОНД</t>
  </si>
  <si>
    <t>ОР АВНЕР Г.АСТРАХАНЬ, НЕКОММЕРЧЕСКИЙ БЛАГОТВОРИТЕЛЬНЫЙ ФОНД</t>
  </si>
  <si>
    <t>ОР АВНЕР СОЧИ (СВЕТ ОТЦА СОЧИ), БФ</t>
  </si>
  <si>
    <t>ОР АВНЕР(СВЕТ АВНЕРА)-КРАСНОДАР, НОБФ</t>
  </si>
  <si>
    <t>ОР АВНЕР-СМОЛЕНСК, ФОНД</t>
  </si>
  <si>
    <t>ОР АВНЕР-ТОЛЬЯТТИ -(СВЕТ АВНЕРА), БФ</t>
  </si>
  <si>
    <t>ОР АВНЕР-ТЮМЕНЬ, БФ</t>
  </si>
  <si>
    <t>ОР АВНЕР-ХАБАД ЛЮБАВИЧ НН, ФОНД</t>
  </si>
  <si>
    <t>ОРАНТА, САНКТ-ПЕТЕРБУРГСКИЙ ОБЩЕСТВЕННЫЙ ФОНД</t>
  </si>
  <si>
    <t>ОРЕНБУРГСКИЙ ФПРСР</t>
  </si>
  <si>
    <t>ОРЛЕНОК Г ЗЕРНОГРАДА ОЧАГ ДОБРА, НЕКОММЕРЧЕСКИЙ ФОНД ПОДДЕРЖКИ И РАЗВИТИЯ МУНИЦИПАЛЬНОГО БЮДЖЕТНОГО ДОШКОЛЬНОГО ОБРАЗОВАТЕЛЬНОГО УЧРЕЖДЕНИЯ ДЕТСКОГО САДА</t>
  </si>
  <si>
    <t>ОРОФ БРАТЬЕВ ШЕМЕТОВЫХ</t>
  </si>
  <si>
    <t>ОРОФ ПСЗПА</t>
  </si>
  <si>
    <t>ОРОФ РЕГИОНАЛЬНОГО РАЗВИТИЯ</t>
  </si>
  <si>
    <t>ОРОФ СОДЕЙСТВИЯ РАЗВИТИЮ ДШИ №6</t>
  </si>
  <si>
    <t>ОСНОВА, БЛАГОТВОРИТЕЛЬНЫЙ ФОНД</t>
  </si>
  <si>
    <t>ОСОБЕННЫЕ ДЕТИ, БЛАГОТВОРИТЕЛЬНЫЙ ФОНД</t>
  </si>
  <si>
    <t>ОСОБНЯК СПИРИДОНОВА, ФОНД</t>
  </si>
  <si>
    <t>ОСОБОЕ ДЕТСТВО, БЛАГОТВОРИТЕЛЬНЫЙ ФОНД</t>
  </si>
  <si>
    <t>ОСТРОВ МИЛОСЕРДИЯ, БФ</t>
  </si>
  <si>
    <t>ОСТРОВ, БЛАГОТВОРИТЕЛЬНЫЙ ФОНД</t>
  </si>
  <si>
    <t>ОСТРОВА, БЛАГОТВОРИТЕЛЬНЫЙ ФОНД</t>
  </si>
  <si>
    <t>ОТ ДУШИ ДЕТЯМ, БЛАГОТВОРИТЕЛЬНЫЙ ФОНД</t>
  </si>
  <si>
    <t>ОТ СЕРДЦА К СЕРДЦУ, БЛАГОТВОРИТЕЛЬНЫЙ ФОНД</t>
  </si>
  <si>
    <t>ОТ СЕРДЦА К СЕРДЦУ, МБФ</t>
  </si>
  <si>
    <t>ОТДЕЛЕНИЕ ОБЩЕСТВЕННОГО МЕЖДУНАРОДНОГО ФОНДА СЛАВЯНСКОЙ ПИСЬМЕННОСТИ И КУЛЬТУРЫ БОРИСОГЛЕБСКОГО МУНИЦИПАЛЬНОГО ОКРУГА ЯРОСЛАВСКОЙ ОБЛАСТИ</t>
  </si>
  <si>
    <t>ОТЕЧЕСТВО, БЛАГОТВОРИТЕЛЬНЫЙ ФОНД</t>
  </si>
  <si>
    <t>ОТЗОВИСЬ, БЛАГОТВОРИТЕЛЬНЫЙ ФОНД</t>
  </si>
  <si>
    <t>ОТКРЫТОЕ СЕРДЦЕ, МБФ</t>
  </si>
  <si>
    <t>ОТКРЫТЫЕ ДВЕРИ, ФОНД</t>
  </si>
  <si>
    <t>ОТКРЫТЫЙ МЕДИЦИНСКИЙ КЛУБ, БФ</t>
  </si>
  <si>
    <t>ОТКРЫТЫЙ МИР, ФОНД</t>
  </si>
  <si>
    <t>ОТЦЫ И ДЕТИ, ОБЩЕСТВЕННЫЙ ФОНД (ОФ)</t>
  </si>
  <si>
    <t>ОТЧИЗНА, КРБФ</t>
  </si>
  <si>
    <t>ОТЧИЙ ДОМ, МАГАДАНСКИЙ ГОРОДСКОЙ БЛАГОТВОРИТЕЛЬНЫЙ ОБЩЕСТВЕННЫЙ ФОНД</t>
  </si>
  <si>
    <t>ОТЧИЙ КРАЙ, ФОНД</t>
  </si>
  <si>
    <t>ОФВРОРКК</t>
  </si>
  <si>
    <t>ОФИЦЕРЫ РОССИИ ; РОБФ ОФИЦЕРЫ РОССИИ, РОБФ СОДЕЙСТВИЯ ДЕЯТЕЛЬНОСТИ ОРГАНИЗАЦИИ</t>
  </si>
  <si>
    <t>ОФПО Г. НОВОСИБИРСКА</t>
  </si>
  <si>
    <t>ПАЛИТРА ИСКУССТВ, МОФПК</t>
  </si>
  <si>
    <t>ПАМЯТИ БРАТЬЕВ БАНДОРИНЫХ, БЛАГОТВОРИТЕЛЬНЫЙ ФОНД</t>
  </si>
  <si>
    <t>ПАМЯТИ ИМЕНИ ВОЛОДИ ЖЕНОВА, ФОНД</t>
  </si>
  <si>
    <t>ПАМЯТИ МИТРОПОЛИТА НИКОЛАЯ, ФОНД</t>
  </si>
  <si>
    <t>ПАМЯТИ Н.М. ПРЖЕВАЛЬСКОГО, БЛАГОТВОРИТЕЛЬНЫЙ ФОНД</t>
  </si>
  <si>
    <t>ПАМЯТЬ, БЛАГОТВОРИТЕЛЬНЫЙ ФОНД</t>
  </si>
  <si>
    <t>ПАМЯТЬ, ФОНД</t>
  </si>
  <si>
    <t>ПАНТЕЛЕЙМОНОВСКИЙ ФОНД, БФ</t>
  </si>
  <si>
    <t>ПАРТНЕР, МЕСТНЫЙ ОБЩЕСТВЕННЫЙ ФОНД БАЛАХТИНСКОГО РАЙОНА ПОДДЕРЖКИ СОЦИАЛЬНО ЗНАЧИМЫХ ПРОЕКТОВ</t>
  </si>
  <si>
    <t>ПАРУС, ОБЩЕСТВЕННЫЙ ФОНД ШКОЛЫ № 36</t>
  </si>
  <si>
    <t>ПАТРИОТ, СУРГУТСКИЙ ФОНД</t>
  </si>
  <si>
    <t>ПАТРИОТ, ФОНД</t>
  </si>
  <si>
    <t>ПАТРИОТЫ РОДИНЫ, БЛАГОТВОРИТЕЛЬНЫЙ ФОНД</t>
  </si>
  <si>
    <t>ПБФ ТЫ НЕ ОДИНОК</t>
  </si>
  <si>
    <t>ПЕЛИКАН, БЛАГОТВОРИТЕЛЬНЫЙ ФОНД</t>
  </si>
  <si>
    <t>ПЕНАТЫ, БЛАГОТВОРИТЕЛЬНЫЙ ФОНД</t>
  </si>
  <si>
    <t>ПЕНЗЕНСКОЕ ОБЛАСТНОЕ ОТДЕЛЕНИЕ РОССИЙСКОГО ДЕТСКОГО ФОНДА</t>
  </si>
  <si>
    <t>ПЕНСИОНЕР, НОБФ</t>
  </si>
  <si>
    <t>ПЕРВОМАЙСКИЙ, ФОНД ДОМА ТВОРЧЕСТВА</t>
  </si>
  <si>
    <t>ПЕРВОУРАЛЬСК-21 ВЕК, БФМС</t>
  </si>
  <si>
    <t>ПЕРЕЛУЧИ, ФОНД</t>
  </si>
  <si>
    <t>ПЕРЕСТРОЙКА ЕСТЕСТВОЗНАНИЯ, ИМФ</t>
  </si>
  <si>
    <t>ПЕРМСКИЙ КРАЙ БЕЗ НАРКОТИКОВ, БФ</t>
  </si>
  <si>
    <t>ПЕРСПЕКТИВА Г. ЛИПЕЦКА, БФ ПОДДЕРЖКИ МАОУ СШ № 59</t>
  </si>
  <si>
    <t>ПЕРСПЕКТИВА, БЛАГОТВОРИТЕЛЬНЫЙ ФОНД</t>
  </si>
  <si>
    <t>ПЕРСПЕКТИВА, БФ</t>
  </si>
  <si>
    <t>ПЕРСПЕКТИВА, НБФПН</t>
  </si>
  <si>
    <t>ПЕРСПЕКТИВА, ОБФР ДДТИМ. В.ДУБИНИНА</t>
  </si>
  <si>
    <t>ПЕРСПЕКТИВА, ОРОБФ Р.Д.О.Д.</t>
  </si>
  <si>
    <t>ПЕРСПЕКТИВА, ТУЛЬСКИЙ ОБЛАСТНОЙ ОБЩЕСТВЕННЫЙ ФОНД СОЦИАЛЬНОГО РАЗВИТИЯ МОЛОДЕЖИ</t>
  </si>
  <si>
    <t>ПЕРСПЕКТИВА, СПБ СОФ</t>
  </si>
  <si>
    <t>ПЕРСПЕКТИВЫ, НГОФ</t>
  </si>
  <si>
    <t>ПЕТЕРБУРГ И ЗАРУБЕЖЬЕ, БКФ</t>
  </si>
  <si>
    <t>ПЕТЕРБУРГСКИЙ ПРОЕКТ, СПБОФСЭП</t>
  </si>
  <si>
    <t>ПЕТЕРБУРГСКОЕ НАСЛЕДИЕ И ПЕРСПЕКТИВА, РОФ</t>
  </si>
  <si>
    <t>ПЕТРА И ФЕВРОНИИ, НО БФ</t>
  </si>
  <si>
    <t>ПЕТРОВЧАНИН, БФ</t>
  </si>
  <si>
    <t>ПЕТРОЗАВОДСК, ФОНД</t>
  </si>
  <si>
    <t>ПИК ФОНД, СООФ</t>
  </si>
  <si>
    <t>ПИН ФОНД</t>
  </si>
  <si>
    <t>ПИТЕР-ВОЛЕЙБОЛ, ФВС</t>
  </si>
  <si>
    <t>ПИТЕРСКИЙ МОСТ, БЛАГОТВОРИТЕЛЬНЫЙ ФОНД</t>
  </si>
  <si>
    <t>ПИЩА ЖИЗНИ, БФ</t>
  </si>
  <si>
    <t>ПКИО, БФ</t>
  </si>
  <si>
    <t>ПЛАНЕТА БЕЗ ГРАНИЦ, БФ</t>
  </si>
  <si>
    <t>ПЛАНЕТА ДЕТСТВА, ФОНД</t>
  </si>
  <si>
    <t>ПЛАНЕТА ДОБРА, БФ</t>
  </si>
  <si>
    <t>ПЛАНЕТА ЛОСЬ, ФОНД</t>
  </si>
  <si>
    <t>ПЛАНЕТА ПЧЁЛ, БФ</t>
  </si>
  <si>
    <t>ПЛАНЕТА, БЛАГОТВОРИТЕЛЬНЫЙ ФОНД</t>
  </si>
  <si>
    <t>ПММП, СПБ ОФ</t>
  </si>
  <si>
    <t>ПОБЕДА, БЛАГОТВОРИТЕЛЬНЫЙ ФОНД СОЦРЕАБИЛИТАЦИИ</t>
  </si>
  <si>
    <t>ПОВЕРЬ В ДОБРО, ФОНД</t>
  </si>
  <si>
    <t>ПОВОДОК, БЛАГОТВОРИТЕЛЬНЫЙ ФОНД</t>
  </si>
  <si>
    <t>ПОВОЛЖЬЕ, БФ</t>
  </si>
  <si>
    <t>ПОВОЛЖЬЕ, НИЖЕГОРОДСКИЙ РЕГИОНАЛЬНЫЙ ФОНД ПОДДЕРЖКИ СПОРТА И СПЕЦПОДРАЗДЕЛЕНИЙ НИЖЕГОРОДСКОЙ ОБЛАСТИ</t>
  </si>
  <si>
    <t>ПОДАРИ БУДУЩЕЕ, БЛАГОТВОРИТЕЛЬНЫЙ ФОНД</t>
  </si>
  <si>
    <t>ПОДАРИ ДЕТЯМ ЖИЗНЬ, БЛАГОТВОРИТЕЛЬНЫЙ ФОНД</t>
  </si>
  <si>
    <t>ПОДАРИ ЗАВТРА!, БФ</t>
  </si>
  <si>
    <t>ПОДАРИ ЛЮБОВЬ МИРУ, БЛАГОТВОРИТЕЛЬНЫЙ ФОНД</t>
  </si>
  <si>
    <t>ПОДАРИ МЕЧТУ, БФ СПГ</t>
  </si>
  <si>
    <t>ПОДАРИ МНЕ КРЫЛЬЯ, БФ</t>
  </si>
  <si>
    <t>ПОДАРИ НАДЕЖДУ, БЛАГОТВОРИТЕЛЬНЫЙ ФОНД</t>
  </si>
  <si>
    <t>ПОДАРИ НАДЕЖДУ, РБФ</t>
  </si>
  <si>
    <t>ПОДАРИТЕ НАМ ЖИЗНЬ, БЛАГОТВОРИТЕЛЬНЫЙ ФОНД РЕАБИЛИТАЦИИ ПОСТРАДАВШИХ БЕЗДОМНЫХ ЖИВОТНЫХ</t>
  </si>
  <si>
    <t>ПОДВОРЬЕ, ЯРОСЛАВСКИЙ РЕГИОНАЛЬНЫЙ ОБЩЕСТВЕННЫЙ ФОНД</t>
  </si>
  <si>
    <t>ПОДДЕРЖКА И РАЗВИТИЕ МАЙМИНСКОЙ ДШИ, БЛАГОТВОРИТЕЛЬНЫЙ ФОНД</t>
  </si>
  <si>
    <t>ПОДДЕРЖКА И РАЗВИТИЕ ОБРАЗОВАТЕЛЬНОЙ И ВОСПИТАТЕЛЬНОЙ ДЕЯТЕЛЬНОСТИ ГОБУ СПО ВО БУТУРЛИНОВСКИЙ МЕХАНИКО-ТЕХНОЛОГИЧЕСКИЙ КОЛЛЕДЖ, БЛАГОТВОРИТЕЛЬНЫЙ ФОНД</t>
  </si>
  <si>
    <t>ПОДДЕРЖКА МЕДИЦИНЫ, САНКТ-ПЕТЕРБУРГСКИЙ ОБЩЕСТВЕННЫЙ ФОНД</t>
  </si>
  <si>
    <t>ПОДДЕРЖКА ОБРАЗОВАТЕЛЬНЫХ ИНИЦИАТИВ, ВРБОФ</t>
  </si>
  <si>
    <t>ПОДДЕРЖКА СЕМЕЙ ПОГИБШИХ СОТРУДНИКОВ ПРАВООХРАНИТЕЛЬНЫХ ОРГАНОВ, БЛАГОТВОРИТЕЛЬНЫЙ ФОНД</t>
  </si>
  <si>
    <t>ПОДДЕРЖКА СМИ,РАЗВИТИЯ ГРАЖДАНСКОГО ОБЩЕСТВА И ОБЩЕСТВЕННОГО КОНТРОЛЯ, БФ</t>
  </si>
  <si>
    <t>ПОДДЕРЖКА, БЛАГОТВОРИТЕЛЬНЫЙ ФОНД</t>
  </si>
  <si>
    <t>ПОДДЕРЖКА, НЕКОММЕРЧЕСКАЯ ОРГАНИЗАЦИЯ БЛАГОТВОРИТЕЛЬНЫЙ ФОНД</t>
  </si>
  <si>
    <t>ПОДДЕРЖКА, РОБФ</t>
  </si>
  <si>
    <t>ПОДДЕРЖКИ БЕЗОПАСНОГО ИНТЕРНЕТА СУХБА (ДРУЖБА), БФ</t>
  </si>
  <si>
    <t>САНКТ-ПЕТЕРБУРГСКИЙ ОБЩЕСТВЕННЫЙ МОЛОДЕЖНЫЙ БЛАГОТВОРИТЕЛЬНЫЙ ФОНД ПОДДЕРЖКИ ГОСУДАРСТВЕННОЙ СЛУЖБЫ, КАДРОВОГО РЕЗЕРВА И СПОРТА</t>
  </si>
  <si>
    <t>ПОДДЕРЖКИ ЗЕМЕЛЬНОЙ РЕФОРМЫ, РОФ</t>
  </si>
  <si>
    <t>ПОДДЕРЖКИ И РАЗВИТИЯ ДЕТСКОГО И ЮНОШЕСКОГО ХОККЕЯ, КНАОФ</t>
  </si>
  <si>
    <t>ПОДДЕРЖКИ И РАЗВИТИЯ УРО РАН, ЕОБФ</t>
  </si>
  <si>
    <t>ПОДДЕРЖКИ И РАЗВИТИЯ ШКОЛЫ №16 Г. БРАТСКА АЛЬЯНС, БФ</t>
  </si>
  <si>
    <t>ПОДДЕРЖКИ МБДУ Г. КАЗАНИ, БЛАГОТВОРИТЕЛЬНЫЙ ФОНД</t>
  </si>
  <si>
    <t>ПОДДЕРЖКИ НОВОСИБИРСКОГО ВЫСШЕГО ВОЕННОГО КОМАНДНОГО УЧИЛИЩА И ЕГО ВЫПУСКНИКОВ, БЛАГОТВОРИТЕЛЬНЫЙ ФОНД</t>
  </si>
  <si>
    <t>ПОДДЕРЖКИ ПРЕДПРИНИМАТЕЛЬСТВА ВОСКРЕСЕНСКОГО РАЙОНА, ФОНД</t>
  </si>
  <si>
    <t>ПОДДЕРЖКИ СОЦИАЛЬНОГО РАЗВИТИЯ, ФОНД</t>
  </si>
  <si>
    <t>ПОДДЕРЖКИ ЦСМ С. ГУБАЙДУЛИНОЙ, ФОНД</t>
  </si>
  <si>
    <t>ПОЖАРНАЯ БЕЗОПАСНОСТЬ, ЯООБ ФОНД</t>
  </si>
  <si>
    <t>ПОКАЯНИЕ, ФОНД</t>
  </si>
  <si>
    <t>ПОКОЛЕНИЕ, БЛАГОТВОРИТЕЛЬНЫЙ ФОНД</t>
  </si>
  <si>
    <t>ПОКОЛЕНИЕ, БФ ПРО</t>
  </si>
  <si>
    <t>ПОКРОВ, БФ</t>
  </si>
  <si>
    <t>ПОКРОВ, БФСС</t>
  </si>
  <si>
    <t>ПОКРОВ, ФОНД</t>
  </si>
  <si>
    <t>ПОКРОВА ЦАРИЦЫ НЕБЕСНОЙ, БФ</t>
  </si>
  <si>
    <t>ПОКРОВИТЕЛЬ, БФЗЖ</t>
  </si>
  <si>
    <t>ПОКРОВСКИЙ ФОНД</t>
  </si>
  <si>
    <t>ПОЛИНА, БЛАГОТВОРИТЕЛЬНЫЙ ФОНД</t>
  </si>
  <si>
    <t>ПОЛИТЕХ, ФОНД</t>
  </si>
  <si>
    <t>ПОЛЬЗА, БФ</t>
  </si>
  <si>
    <t>ПОЛЮС НАДЕЖДЫ, РЧОФ</t>
  </si>
  <si>
    <t>ПОМОГИ ДЕТЯМ, БФ</t>
  </si>
  <si>
    <t>ПОМОГИТЕ ДЕТЯМ, БФПБД</t>
  </si>
  <si>
    <t>ПОМОЖЕМ ДЕТЯМ ЖИТЬ, БЛАГОТВОРИТЕЛЬНЫЙ ФОНД</t>
  </si>
  <si>
    <t>ПОМОРЬЕ БЕЗ НАРКОТИКОВ, РОБФ</t>
  </si>
  <si>
    <t>ПОМОЩИ ДЕТЯМ СОСТРАДАНИЕ, БЛАГОТВОРИТЕЛЬНЫЙ ФОНД</t>
  </si>
  <si>
    <t>ПОМОЩЬ БЕЗДОМНЫМ ЖИВОТНЫМ ДОБРОЕ СЕРДЦЕ, ТРБФ</t>
  </si>
  <si>
    <t>ПОМОЩЬ БЕЗДОМНЫМ СОБАКАМ, БФ</t>
  </si>
  <si>
    <t>ПОМОЩЬ ДЕТЯМ, БЛАГОТВОРИТЕЛЬНЫЙ ФОНД</t>
  </si>
  <si>
    <t>ПОМОЩЬ СЕМЬЕ И ДЕТСТВУ, СРОБФ</t>
  </si>
  <si>
    <t>ПОМОЩЬ, ДАГЕСТАНСКИЙ РЕГИОНАЛЬНЫЙ ОБЩЕСТВЕННЫЙ БЛАГОТВОРИТЕЛЬНЫЙ ФОНД</t>
  </si>
  <si>
    <t>ПОМОЩЬ, НБФ</t>
  </si>
  <si>
    <t>ПОПЕЧИТЕЛЬ, БЛАГОТВОРИТЕЛЬНЫЙ ФОНД</t>
  </si>
  <si>
    <t>ПОПЕЧИТЕЛЬСКИЙ СОВЕТ ДМШ № 1 Г. ВОЛОГДЫ, ФОНД</t>
  </si>
  <si>
    <t>ПОПЕЧИТЕЛЬСКИЙ СОВЕТ ДМШ № 6, НОФ</t>
  </si>
  <si>
    <t>ПОПЕЧИТЕЛЬСКИЙ СОВЕТ ДШИ № 25, НОФ</t>
  </si>
  <si>
    <t>ПОПЕЧИТЕЛЬСКИЙ СОВЕТ ШК.№ 176, БФ</t>
  </si>
  <si>
    <t>ПОПЕЧИТЕЛЬСКИЙ СОВЕТ ШКОЛЫ № 1, БЛАГОТВОРИТЕЛЬНЫЙ ФОНД</t>
  </si>
  <si>
    <t>ПОПЕЧИТЕЛЬСКИЙ СОВЕТ, БФ</t>
  </si>
  <si>
    <t>ПОРТ БАЙКАЛ, ФОНД</t>
  </si>
  <si>
    <t>ПОСТУПОК, БФ</t>
  </si>
  <si>
    <t>ПОТЕРЬ НЕТ, БФПТД</t>
  </si>
  <si>
    <t>ПОТЕРЯШКИ, БЛАГОТВОРИТЕЛЬНЫЙ ФОНД ПОМОЩИ ЖИВОТНЫМ Г.СУРГУТА</t>
  </si>
  <si>
    <t>ПОФ НТР</t>
  </si>
  <si>
    <t>РОССИЙСКИЙ ДЕТСКИЙ ФОНД, НИЖЕГОРОДСКОЕ ОБЛАСТНОЕ ОТДЕЛЕНИЕ ОБЩЕРОССИЙСКОГО ОБЩЕСТВЕННОГО БЛАГОТВОРИТЕЛЬНОГО ФОНДА</t>
  </si>
  <si>
    <t>ПРАВО НА ДЕТСТВО, ОФ</t>
  </si>
  <si>
    <t>ПРАВО НА ЖИЗНЬ, БФ</t>
  </si>
  <si>
    <t>ПРАВО НА ЖИЗНЬ, СФ</t>
  </si>
  <si>
    <t>ПРАВОВЕДЕНИЕ, НАЦИОНАЛЬНЫЙ ФОНД</t>
  </si>
  <si>
    <t>ПРАВОПОРЯДОК, ОБЩЕСТВЕННЫЙ ФОНД</t>
  </si>
  <si>
    <t>ПРАВОПОРЯДОК, ФОНД</t>
  </si>
  <si>
    <t>ПРАВОПОРЯДОК-ЦЕНТР, ПРО МОФ</t>
  </si>
  <si>
    <t>ПРАВОСЛАВНАЯ РУСЬ, БФ</t>
  </si>
  <si>
    <t>ПРАВОСЛАВНОЕ ВОЗРОЖДЕНИЕ, ФОНД</t>
  </si>
  <si>
    <t>ПРАВОСЛАВНОЕ КИНО, БЛАГОТВОРИТЕЛЬНЫЙ ФОНД</t>
  </si>
  <si>
    <t>ПРАВОСЛАВНЫЙ БЛАГОВЕСТ, БЛАГОТВОРИТЕЛЬНЫЙ ФОНД</t>
  </si>
  <si>
    <t>ПРАЗДНИК ЖИЗНИ, БФ</t>
  </si>
  <si>
    <t>ПРЕОБРАЖЕНИЕ, НО БФ</t>
  </si>
  <si>
    <t>ПРЕОБРАЖЕНИЕ, ФОНД</t>
  </si>
  <si>
    <t>ПРЕОБРАЗОВАНИЕ, БФ</t>
  </si>
  <si>
    <t>ПРЕОДОЛЕНИЕ, ФОНД</t>
  </si>
  <si>
    <t>ПРЕПОДОБНОГО СЕРАФИМА САРОВСКОГО, ФОНД</t>
  </si>
  <si>
    <t>РОССИЙСКИЙ ДЕТСКИЙ ФОНД ., СЕВЕРО-ОСЕТИНСКОЕ РЕГИОНАЛЬНОЕ ОТДЕЛЕНИЕ ОБЩЕРОССИЙСКОГО ОБЩЕСТВЕННОГО БЛАГОТВОРИТЕЛЬНОГО ФОНДА</t>
  </si>
  <si>
    <t>ПРИВОЛЖЬЕ, БФ</t>
  </si>
  <si>
    <t>ПРИЗНАНИЕ, БФ</t>
  </si>
  <si>
    <t>ПРИЗНАНИЕ, ФОНД</t>
  </si>
  <si>
    <t>ПРИИДИ И ВИЖДЬ, БФ</t>
  </si>
  <si>
    <t>ПРИКОСНИСЬ К ДОБРУ, БЛАГОТВОРИТЕЛЬНЫЙ ФОНД</t>
  </si>
  <si>
    <t>ПРИМИРЕНИЕ, ФОНД МИЛОСЕРДИЯ</t>
  </si>
  <si>
    <t>ПРИЮТ СВЯТОГО ИОАННА ПРЕДТЕЧИ, КРОБФ</t>
  </si>
  <si>
    <t>ПРО АРТЕ, ФОНД</t>
  </si>
  <si>
    <t>РЕГИОНАЛЬНЫЙ ОБЩЕСТВЕННЫЙ БЛАГОТВОРИТЕЛЬНЫЙ ФОНД ПОМОЩИ ДЕТЯМ, БОЛЬНЫМ ЛЕЙКЕМИЕЙ, РЕСПУБЛИКИ ТАТАРСТАН ИМЕНИ АНЖЕЛЫ ВАВИЛОВОЙ</t>
  </si>
  <si>
    <t>ПРОЕКТ МАЙСКИЙ ДЕНЬ, ИГО ФОНД ПО СПАСЕНИЮ ЖИВОТНЫХ</t>
  </si>
  <si>
    <t>РОССИЙСКИЙ ДЕТСКИЙ ФОНД, АМУРСКОЕ ОБЛАСТНОЕ ОТДЕЛЕНИЕ ОБЩЕРОССИЙСКОГО ОБЩЕСТВЕННОГО БЛАГОТВОРИТЕЛЬНОГО ФОНДА</t>
  </si>
  <si>
    <t>ПРОМЕТЕЙ, БФ</t>
  </si>
  <si>
    <t>ПРОПАГАНДА И ВОЗРОЖДЕНИЕ РУССКОГО ИСКУССТВА, БФ</t>
  </si>
  <si>
    <t>ПРОСВЕЩЕНИЕ, БФ</t>
  </si>
  <si>
    <t>ПРОСНИСЬ, БФ</t>
  </si>
  <si>
    <t>ПРОФИЛАКТИКА РАКА, СПБ РБОФ</t>
  </si>
  <si>
    <t>ПРОШУ, БЛАГОТВОРИТЕЛЬНЫЙ ФОНД</t>
  </si>
  <si>
    <t>ПСКОВСКОЕ ОБЛАСТНОЕ ОТДЕЛЕНИЕ РОССИЙСКОГО ДЕТСКОГО ФОНДА</t>
  </si>
  <si>
    <t>ПСП-ФОНД, БФ</t>
  </si>
  <si>
    <t>ПУСТЬ ВСЕГДА БУДУ Я!, БЛАГОТВОРИТЕЛЬНЫЙ ФОНД</t>
  </si>
  <si>
    <t>ПУТИ ПРЕОДОЛЕНИЯ, КРОБ ФОНД ПОМОЩИ ДЕТЯМ ИНВАЛИДАМ</t>
  </si>
  <si>
    <t>ПУТЬ В ЖИЗНЬ, ТРОФ ПСРЦ</t>
  </si>
  <si>
    <t>ПУТЬ К ЖИЗНИ, БФ</t>
  </si>
  <si>
    <t>ПУТЬ МИЛОСЕРДИЯ, БФ АП</t>
  </si>
  <si>
    <t>ПФС ДГАУ</t>
  </si>
  <si>
    <t>ПЧЁЛКА, БЛАГОТВОРИТЕЛЬНЫЙ ФОНД</t>
  </si>
  <si>
    <t>ПЧЕЛКА, РОФГП</t>
  </si>
  <si>
    <t>ПШЕНИЧНОЕ ЗЕРНО, БФСП</t>
  </si>
  <si>
    <t>ПЬЕДЕСТАЛ, ОРЕНБУРГСКИЙ ОБЛАСТНОЙ ОБЩЕСТВЕНЫЙ ФОНД ПО РАЗВИТИЮ ДЕТСКОГО И ЮНОШЕСКОГО СПОРТА</t>
  </si>
  <si>
    <t>Р.О. ФОНД ФИЗИЧЕСКОЙ КУЛЬТУРЫ</t>
  </si>
  <si>
    <t>РАДИ ЖИЗНИ, БФ</t>
  </si>
  <si>
    <t>РАДИО ТЕОС, ФОНД</t>
  </si>
  <si>
    <t>РАДОСТЬ ДЕТСТВА, БЛАГОТВОРИТЕЛЬНЫЙ ФОНД</t>
  </si>
  <si>
    <t>РАДОСТЬ ЖИЗНИ, БФ</t>
  </si>
  <si>
    <t>РАДОСТЬ МАТЕРИНСТВА, БФ</t>
  </si>
  <si>
    <t>РАДОСТЬ, БФ</t>
  </si>
  <si>
    <t>РАДУГА ДЕТЯМ, БФ</t>
  </si>
  <si>
    <t>РАДУГА ТАРУССКАЯ, БФ</t>
  </si>
  <si>
    <t>РАДУГА, ФОНД</t>
  </si>
  <si>
    <t>РАДУГА, ФОНД ПОДДЕРЖКИ ДТБ</t>
  </si>
  <si>
    <t>РАДУШИЕ, ФОНД РАЗВИТИЯ МДОУ №92</t>
  </si>
  <si>
    <t>РАЗВИТИЕ БОУ СОШ № 109 С УИОП, БЛАГОТВОРИТЕЛЬНЫЙ ФОНД</t>
  </si>
  <si>
    <t>РАЗВИТИЕ ГИМНАЗИИ № 19, БФ</t>
  </si>
  <si>
    <t>РАЗВИТИЕ ГИМНАЗИИ № 31, НБФ</t>
  </si>
  <si>
    <t>РАЗВИТИЕ ДЗЮДО И САМБО ТРИУМФ, БЛАГОТВОРИТЕЛЬНЫЙ ФОНД</t>
  </si>
  <si>
    <t>РАЗВИТИЕ ЖИЗНИ, ФОНД</t>
  </si>
  <si>
    <t>РАЗВИТИЕ И ИНТЕЛЛЕКТ, БЛАГОТВОРИТЕЛЬНЫЙ ФОНД</t>
  </si>
  <si>
    <t>РАЗВИТИЕ И ПОДДЕРЖКА ГПОУ НТТТ, БФ</t>
  </si>
  <si>
    <t>РАЗВИТИЕ ЛИЦЕЯ БИТ, БЛАГОТВОРИТЕЛЬНЫЙ ФОНД</t>
  </si>
  <si>
    <t>РАЗВИТИЕ ЛИЦЕЯ, ФОНД</t>
  </si>
  <si>
    <t>РАЗВИТИЕ МБОУ СОШ № 2, БЛАГОТВОРИТЕЛЬНЫЙ ФОНД</t>
  </si>
  <si>
    <t>РАЗВИТИЕ ОБРАЗОВАНИЯ ЛИЦЕЯ №25, БЛАГОТВОРИТЕЛЬНЫЙ ФОНД</t>
  </si>
  <si>
    <t>РАЗВИТИЕ ОБРАЗОВАНИЯ ШКОЛЫ № 144, БЛАГОТВОРИТЕЛЬНЫЙ ФОНД</t>
  </si>
  <si>
    <t>РАЗВИТИЕ ОМСКОГО ПЛАВАНИЯ, БФ</t>
  </si>
  <si>
    <t>РАЗВИТИЕ СТРЕЛКОВЫХ ВИДОВ СПОРТА, РБФ</t>
  </si>
  <si>
    <t>РАЗВИТИЕ ШКОЛЫ № 65, БЛАГОТВОРИТЕЛЬНЫЙ ФОНД</t>
  </si>
  <si>
    <t>РАЗВИТИЕ, БЕЛГОРОДСКИЙ РЕГИОНАЛЬНЫЙ ОБЩЕСТВЕННЫЙ ФОНД ПОДДЕРЖКИ СОЦИАЛЬНЫХ, КУЛЬТУРНЫХ И ЭКОНОМИЧЕСКИХ ПРЕОБРАЗОВАНИЙ</t>
  </si>
  <si>
    <t>РАЗВИТИЕ, БФ</t>
  </si>
  <si>
    <t>РАЗВИТИЕ, ИБФП ЛИЦЕЯ № 1</t>
  </si>
  <si>
    <t>РАЗВИТИЯ ГИМНАЗИИ №3 ГОРОДА ЗЕЛЕНОДОЛЬСКА, ФОНД</t>
  </si>
  <si>
    <t>РАЗВИТИЯ ГОРОДА ТАЙШЕТА, ФОНД</t>
  </si>
  <si>
    <t>РАЗВИТИЯ И ПОДДЕРЖКИ ГОРОДСКОЙ ГИМНАЗИИ №1, ФОНД</t>
  </si>
  <si>
    <t>РАЗВИТИЯ ИННОВАЦИОННОГО ОБРАЗОВАНИЯ, ФОНД</t>
  </si>
  <si>
    <t>РАЗВИТИЯ ИОХМ ИМ. В.П. СУКАЧЕВА, ФОНД</t>
  </si>
  <si>
    <t>ОБЩЕСТВЕННЫЙ ФОНД РАЗВИТИЯ КУЛЬТУРЫ И ИСКУССТВА ГОРОДА НИЖНЕКАМСКА РЕСПУБЛИКИ ТАТАРСТАН</t>
  </si>
  <si>
    <t>РАЗВИТИЯ КУРГАНИНСКОГО РАЙОНА, ФОНД</t>
  </si>
  <si>
    <t>РАЗВИТИЯ МШ №1, ФОНД</t>
  </si>
  <si>
    <t>РАЗВИТИЯ НАРОДНЫХ ХУДОЖЕСТВЕННЫХ ПРОМЫСЛОВ НИЖЕГОРОДСКОЙ ОБЛАСТИ, ФОНД</t>
  </si>
  <si>
    <t>ИРКУТСКИЙ ОБЩЕСТВЕННЫЙ ФОНД РАЗВИТИЯ ПАРУСНОГО СПОРТА</t>
  </si>
  <si>
    <t>РАЗВИТИЯ ШКОЛЫ № 3, БЛАГОТВОРИТЕЛЬНЫЙ ФОНД</t>
  </si>
  <si>
    <t>РАЗВИТИЯ ШКОЛЫ №70, ФОНД</t>
  </si>
  <si>
    <t>РАЗВИТИЯ ШКОЛЫ №95, ФОНД</t>
  </si>
  <si>
    <t>РАССВЕТ, БЛАГОТВОРИТЕЛЬНЫЙ ФОНД</t>
  </si>
  <si>
    <t>РАУЛЬ, БФ</t>
  </si>
  <si>
    <t>РАШИТА ВАГАПОВА, ФОНД</t>
  </si>
  <si>
    <t>РОССИЙСКИЙ ДЕТСКИЙ ФОНД ОТДЕЛЕНИЕ В САНКТ-ПЕТЕРБУРГЕ</t>
  </si>
  <si>
    <t>РБФ НАН, ДАГЕСТАНСКОЕ РЕСПУБЛИКАНСКОЕ РЕГИОНАЛЬНОЕ ОТДЕЛЕНИЕ</t>
  </si>
  <si>
    <t>РБФ РОИН</t>
  </si>
  <si>
    <t>САНКТ-ПЕТЕРБУРГСКИЙ ОБЩЕСТВЕННЫЙ ФОНД ПОДДЕРЖКИ ШКОЛЫ №207</t>
  </si>
  <si>
    <t>РДФ ПО ЕАО</t>
  </si>
  <si>
    <t>РДФ, АЛТАЙСКОЕ РЕСПУБЛИКАНСКОЕ ОТДЕЛЕНИЕ ОО БФ</t>
  </si>
  <si>
    <t>РДФ, БАШКИРСКОЕ РЕСПУБЛИКАНСКОЕ ОТДЕЛЕНИЕ ООБФ</t>
  </si>
  <si>
    <t>РДФ, ВРОООБФ</t>
  </si>
  <si>
    <t>РДФ, ЗКОООБФ</t>
  </si>
  <si>
    <t>РДФ, КОО ООБФ</t>
  </si>
  <si>
    <t>РДФ, ЛОО ООБФ</t>
  </si>
  <si>
    <t>РДФ, ПКО ООБФ</t>
  </si>
  <si>
    <t>РДФ, САМАРСКОЕ ОБЛАСТНОЕ ОТДЕЛЕНИЕ ООБФ</t>
  </si>
  <si>
    <t>РДФ, ТРО ООБФ</t>
  </si>
  <si>
    <t>РДФ, ЧОО</t>
  </si>
  <si>
    <t>РДФ, ЯРО ООБФ</t>
  </si>
  <si>
    <t>РЕБЕНОК -ФОНД, СТАВРОПОЛЬСКИЙ ГОРОДСКОЙ</t>
  </si>
  <si>
    <t>РЕГИОН-КУРСК, НО БЛАГОТВОРИТЕЛЬНЫЙ ФОНД</t>
  </si>
  <si>
    <t>РЕГИОНАЛЬНЫЙ ОБЩЕСТВЕННЫЙ БЛАГОТВОРИТЕЛЬНЫЙ ФОНД ГЕРОЕВ СОВЕТСКОГО СОЮЗА И ГЕРОЕВ РОССИЙСКОЙ ФЕДЕРАЦИИ</t>
  </si>
  <si>
    <t>РЕГИОНАЛЬНЫЙ ЦЕНТР СОДЕЙСТВИЯ СПЕЦИАЛЬНЫМ ПОДРАЗДЕЛЕНИЯМ ИРКУТСКОЙ ОБЛАСТИ, ФОНД</t>
  </si>
  <si>
    <t>СЕВЕРО-ОСЕТИНСКИЙ РЕГИОНАЛЬНЫЙ ОБЩЕСТВЕННЫЙ БЛАГОТВОРИТЕЛЬНЫЙ ФОНД ПО СТРОИТЕЛЬСТВУ ХРАМА НОВОМУЧЕННИКОВ РОССИЙСКИХ Г.БЕСЛАН.</t>
  </si>
  <si>
    <t>РЕИНТЕГРАЦИЯ, БФ ПМНД</t>
  </si>
  <si>
    <t>РЕЙС 9268, БФ</t>
  </si>
  <si>
    <t>РЕК СПБ, БФ</t>
  </si>
  <si>
    <t>РЕКА ДОБРА, БФ</t>
  </si>
  <si>
    <t>РЕКА И ЧЕЛОВЕК, ФОНД</t>
  </si>
  <si>
    <t>РОССИЙСКИЙ ФОНД МИЛОСЕРДИЯ И ЗДОРОВЬЯ, ПОО ОБОФ</t>
  </si>
  <si>
    <t>РЕНЕССАНС, БЛАГОТВОРИТЕЛЬНЫЙ ФОНД</t>
  </si>
  <si>
    <t>РЕРИХОВСКОЕ НАСЛЕДИЕ, ФОНД</t>
  </si>
  <si>
    <t>РЕСПУБЛИКА ШКИД, БФ</t>
  </si>
  <si>
    <t>РЕСПУБЛИКА, ХРОФ</t>
  </si>
  <si>
    <t>РЕСПУБЛИКАНСКИЙ ЛИЦЕЙ, БЛАГОТВОРИТЕЛЬНЫЙ ФОНД ПОДДЕРЖКИ ГНОУЛИ</t>
  </si>
  <si>
    <t>РЕСПУБЛИКАНСКОЕ МУЗЫКАЛЬНОЕ УЧИЛИЩЕ, ОБЩЕСТВЕННЫЙ ФОНД РАЗВИТИЯ</t>
  </si>
  <si>
    <t>РОССИЙСКИЙ ДЕТСКИЙ ФОНД, БРОООБФ</t>
  </si>
  <si>
    <t>ИВАНОВСКОЕ ОБЛАСТНОЕ ОТДЕЛЕНИЕ РОССИЙСКОГО ФОНДА МИРА</t>
  </si>
  <si>
    <t>РОССИЙСКИЙ ДЕТСКИЙ ФОНД, ОМСКОЕ ОБЛАСТНОЕ ОТДЕЛЕНИЕ ОБЩЕРОССИЙСКОГО ОБЩЕСТВЕННОГО БЛАГОТВОРИТЕЛЬНОГО ФОНДА</t>
  </si>
  <si>
    <t>РЖЕВКА, ФОНД</t>
  </si>
  <si>
    <t>РИТМ, СПБ ОБФ</t>
  </si>
  <si>
    <t>РН-КОМСОМОЛЬСКИЙ НПЗ, БЛАГОТВОРИТЕЛЬНЫЙ ФОНД ООО</t>
  </si>
  <si>
    <t>РНБП ФОНД НЕПОРОЧНОГО СЕРДЦА, СПБ</t>
  </si>
  <si>
    <t>РНБФ ВО ИМ. СВЯТИТЕЛЯ ИННОКЕНТИЯ (ИРКУТСКОГО)</t>
  </si>
  <si>
    <t>РОБ ФПМНТТ, СПБ</t>
  </si>
  <si>
    <t>РОБИН СДОБИН, БФ</t>
  </si>
  <si>
    <t>РОДИНА И ЧЕСТЬ, БЛАГОТВОРИТЕЛЬНЫЙ ФОНД</t>
  </si>
  <si>
    <t>РОДИНА. ВЕРА. ЧЕСТЬ, БФ</t>
  </si>
  <si>
    <t>РОДИТЕЛИ ПРОТИВ НАРКОТИКОВ, КРАСНОЯРСКИЙ БЛАГОТВОРИТЕЛЬНЫЙ ФОНД</t>
  </si>
  <si>
    <t>РОДИТЕЛЬСКАЯ ЗАБОТА ГИМНАЗИИ №115, БФ</t>
  </si>
  <si>
    <t>РОДИТЕЛЬСКИЙ МОСТ, СПБОБФ</t>
  </si>
  <si>
    <t>РОДНАЯ ДЕРЕВНЯ, НО БФ</t>
  </si>
  <si>
    <t>РОДНИК, БЛАГОТВОРИТЕЛЬНЫЙ ФОНД</t>
  </si>
  <si>
    <t>РОДНИКИ МИРА, БЛАГОТВОРИТЕЛЬНЫЙ ФОНД</t>
  </si>
  <si>
    <t>РОДНОЕ ПЕПЕЛИЩЕ, МОФ</t>
  </si>
  <si>
    <t>РОДНОЕ ПРИКАМЬЕ, БЛАГОТВОРИТЕЛЬНЫЙ ФОНД</t>
  </si>
  <si>
    <t>РОДНОЙ ГОРОД, БФ</t>
  </si>
  <si>
    <t>РОЖДЕНИЕ УСПЕХА И ПРОЦВЕТАНИЯ, ФОНД</t>
  </si>
  <si>
    <t>РОЖДЕСТВЕНСКИЙ, ФОНД</t>
  </si>
  <si>
    <t>РОССИЙСКИЙ ФОНД МИЛОСЕРДИЯ И ЗДОРОВЬЯ, ЯОООБОФ</t>
  </si>
  <si>
    <t>РОМО ФОНД РАЗВИТИЯ ОБРАЗОВАНИЯ</t>
  </si>
  <si>
    <t>РООФНОТ</t>
  </si>
  <si>
    <t>РОСДЕТФОНД, БО ООБФ</t>
  </si>
  <si>
    <t>РОССИЙСКИЙ ДЕТСКИЙ ФОНД, СМОЛЕНСКОЕ ОБЛАСТНОЕ ОТДЕЛЕНИЕ ОБЩЕРОССИЙСКОГО ОБЩЕСТВЕННОГО БЛАГОТВОРИТЕЛЬНОГО ФОНДА</t>
  </si>
  <si>
    <t>РОССИЙСКИЙ ДЕТСКИЙ ФОНД, ВОЛОГОДСКОЕ РЕГИОНАЛЬНОЕ ОТДЕЛЕНИЕ ОБЩЕРОССИЙСКОГО ОБЩЕСТВЕННОГО БЛАГОТВОРИТЕЛЬНОГО ФОНДА</t>
  </si>
  <si>
    <t>РОССИЙСКИЙ ДЕТСКИЙ ФОНД, ВООООБФ</t>
  </si>
  <si>
    <t>РОССИЙСКИЙ ДЕТСКИЙ ФОНД, ИОО</t>
  </si>
  <si>
    <t>РОССИЙСКИЙ ДЕТСКИЙ ФОНД, КАРАЧАЕВО-ЧЕРКЕССКОЕ РЕГИОНАЛЬНОЕ ОТДЕЛЕНИЕ ОБЩЕРОССИЙСКОГО ОБЩЕСТВЕННОГО БЛАГОТВОРИТЕЛЬНОГО ФОНДА</t>
  </si>
  <si>
    <t>РОССИЙСКИЙ ДЕТСКИЙ ФОНД, КРО ООБФ</t>
  </si>
  <si>
    <t>РОССИЙСКИЙ ДЕТСКИЙ ФОНД, КАРЕЛЬСКОЕ РЕГИОНАЛЬНОЕ ОТДЕЛЕНИЕ ОБЩЕРОССИЙСКОГО ОБЩЕСТВЕННОГО БЛАГОТВОРИТЕЛЬНОГО ФОНДА</t>
  </si>
  <si>
    <t>РОССИЙСКИЙ ДЕТСКИЙ ФОНД, КУРГАНСКОЕ ОБЛАСТНОЕ ОТДЕЛЕНИЕ ОБЩЕРОССИЙСКОГО ОБЩЕСТВЕННОГО БЛАГОТВОРИТЕЛЬНОГО ФОНДА</t>
  </si>
  <si>
    <t>РОССИЙСКИЙ ДЕТСКИЙ ФОНД, ЛИПЕЦКОЕ РЕГИОНАЛЬНОЕ ОТДЕЛЕНИЕ ОБЩЕРОССИЙСКОГО ОБЩЕСТВЕННОГО БЛАГОТВОРИТЕЛЬНОГО ФОНДА</t>
  </si>
  <si>
    <t>РОССИЙСКИЙ ДЕТСКИЙ ФОНД, ОРЛОВСКОЕ РЕГИОНАЛЬНОЕ ОТДЕЛЕНИЕ ОБЩЕРОССИЙСКОГО ОБЩЕСТВЕННОГО БЛАГОТВОРИТЕЛЬНОГО ФОНДА</t>
  </si>
  <si>
    <t>РОССИЙСКИЙ ДЕТСКИЙ ФОНД, РОСТОВСКОЕ РЕГИОНАЛЬНОЕ ОТДЕЛЕНИЕ ОБЩЕРОССИЙСКОГО ОБЩЕСТВЕННОГО БЛАГОТВОРИТЕЛЬНОГО ФОНДА</t>
  </si>
  <si>
    <t>РОССИЙСКИЙ ДЕТСКИЙ ФОНД, СОО</t>
  </si>
  <si>
    <t>РОССИЙСКИЙ ДЕТСКИЙ ФОНД, ТЮМЕНСКОЕ РЕГИОНАЛЬНОЕ ОТДЕЛЕНИЕ ОБЩЕРОССИЙСКОГО ОБЩЕСТВЕННОГО БЛАГОТВОРИТЕЛЬНОГО ФОНДА</t>
  </si>
  <si>
    <t>РОССИЙСКИЙ ДЕТСКИЙ ФОНД, ТРО</t>
  </si>
  <si>
    <t>РОССИЙСКИЙ ДЕТСКИЙ ФОНД, ХАБАРОВСКОЕ КРАЕВОЕ ОТДЕЛЕНИЕ ОБЩЕРОССИЙСКОГО ОБЩЕСТВЕННОГО БЛАГОТВОРИТЕЛЬНОГО ФОНДА</t>
  </si>
  <si>
    <t>РОССИЙСКИЙ ДЕТСКИЙ ФОНД, УДМУРТСКОЕ РЕСПУБЛИКАНСКОЕ ОТДЕЛЕНИЕ ОБЩЕРОССИЙСКОГО ОБЩЕСТВЕННОГО БЛАГОТВОРИТЕЛЬНОГО ФОНДА</t>
  </si>
  <si>
    <t>РОССИЙСКИЙ ДЕТСКИЙ ФОНД, ЧРОООБФ</t>
  </si>
  <si>
    <t>РОССИЙСКИЙ ФОНД ВЕТЕРАНОВ, ВРО</t>
  </si>
  <si>
    <t>РОССИЙСКИЙ ФОНД МИЛОСЕРДИЯ И ЗДОРОВЬЯ, БЕРЕЗНИКОВСКОЕ ГОРОДСКОЕ ОТДЕЛЕНИЕ БЛАГОТВОРИТЕЛЬНОГО ОБЩЕСТВЕННОГО ФОНДА</t>
  </si>
  <si>
    <t>РОССИЙСКИЙ ФОНД МИЛОСЕРДИЯ И ЗДОРОВЬЯ, ВОО ОБОФ</t>
  </si>
  <si>
    <t>РОССИЙСКИЙ ФОНД МИЛОСЕРДИЯ И ЗДОРОВЬЯ, ВОООБОФ</t>
  </si>
  <si>
    <t>РОССИЙСКИЙ ФОНД МИЛОСЕРДИЯ И ЗДОРОВЬЯ, МРООБОФ</t>
  </si>
  <si>
    <t>РОССИЙСКИЙ ФОНД МИРА, ВОО МОФ</t>
  </si>
  <si>
    <t>РОССИЙСКИЙ ФОНД МИРА, ВООООФ</t>
  </si>
  <si>
    <t>РОССИЙСКИЙ ФОНД МИРА, КРАСНОДАРСКОЕ КРАЕВОЕ ОТДЕЛЕНИЕ МЕЖДУНАРОДНОГО ОБЩЕСТВЕННОГО ФОНДА</t>
  </si>
  <si>
    <t>РОССИЙСКИЙ ФОНД МИРА, КУРСКОЕ ОБЛАСТНОЕ ОТДЕЛЕНИЕ МЕЖДУНАРОДНОГО ОБЩЕСТВЕННОГО ФОНДА</t>
  </si>
  <si>
    <t>РОССИЙСКИЙ ФОНД МИРА, МОРДОВСКОЕ РЕСПУБЛИКАНСКОЕ ОТДЕЛЕНИЕ</t>
  </si>
  <si>
    <t>РОССИЙСКИЙ ФОНД МИРА, ОРЛОВСКОЕ ОБЛАСТНОЕ ОТДЕЛЕНИЕ МЕЖДУНАРОДНОГО ОБЩЕСТВЕННОГО ФОНДА</t>
  </si>
  <si>
    <t>РОССИЙСКИЙ ФОНД МИРА, ПООМОФ</t>
  </si>
  <si>
    <t>РОССИЙСКИЙ ФОНД МИРА, САНКТ-ПЕТЕРБУРГСКОЕ ОТДЕЛЕНИЕ МЕЖДУНАРОДНОГО ОБЩЕСТВЕННОГО ФОНДА</t>
  </si>
  <si>
    <t>РОССИЙСКИЙ ФОНД МИРА, СМОЛЕНСКОЕ ОБЛАСТНОЕ ОТДЕЛЕНИЕ МЕЖДУНАРОДНОГО ОБЩЕСТВЕННОГО ФОНДА</t>
  </si>
  <si>
    <t>РОССИЙСКИЙ ФОНД МИРА, ХКО МОФ</t>
  </si>
  <si>
    <t>РОССИЙСКОГО ФОНДА ВЕТЕРАНОВ, ИОО</t>
  </si>
  <si>
    <t>РОССИЙСКОГО ФОНДА МИРА, КРО</t>
  </si>
  <si>
    <t>РОСТ, НБФ</t>
  </si>
  <si>
    <t>РОСТОК, БЛАГОТВОРИТЕЛЬНЫЙ ФОНД</t>
  </si>
  <si>
    <t>РОФКР ПО</t>
  </si>
  <si>
    <t>РОФОС</t>
  </si>
  <si>
    <t>РОФРПГИ</t>
  </si>
  <si>
    <t>РПН, БФ</t>
  </si>
  <si>
    <t>РРОФ ФПСИОИ</t>
  </si>
  <si>
    <t>РРОФВС И ПО</t>
  </si>
  <si>
    <t>РОССИЙСКИЙ ФОНД МИЛОСЕРДИЯ И ЗДОРОВЬЯ (РФМЗ)- ФОНД МИЛОСЕРДИЯ И ЗДОРОВЬЯ САНКТ-ПЕТЕРБУРГА И ЛЕНИНГРАДСКОЙ ОБЛАСТИ, МЕЖРЕГИОНАЛЬНОЕ ОТДЕЛЕНИЕ БЛАГОТВОРИТЕЛЬНОГО ОБЩЕСТВЕННОГО ФОНДА</t>
  </si>
  <si>
    <t>РУКА ПОМОЩИ БЕЗДОМНЫМ ЖИВОТНЫМ, ФОНД</t>
  </si>
  <si>
    <t>РУКА ПОМОЩИ, АКБФ</t>
  </si>
  <si>
    <t>РУКА ПОМОЩИ, БФ</t>
  </si>
  <si>
    <t>РУКА ПОМОЩИ, БФ ПН</t>
  </si>
  <si>
    <t>РУКА ПОМОЩИ, ФОНД</t>
  </si>
  <si>
    <t>РУКИ ПОМОЩИ, ФОНД</t>
  </si>
  <si>
    <t>РУССКАЯ БЕРЕЗА, БЛАГОТВОРИТЕЛЬНЫЙ ФОНД</t>
  </si>
  <si>
    <t>РУССКИЕ ТРАДИЦИИ, ФОНД</t>
  </si>
  <si>
    <t>РУССКИЙ НАЦИОНАЛЬНЫЙ БЛАГОТВОРИТЕЛЬНЫЙ ОБЩЕСТВЕННЫЙ ФОНД ИМ. СВЯТИТЕЛЯ ИННОКЕНТИЯ (ИРКУТСКОГО)</t>
  </si>
  <si>
    <t>РУССКИЙ СЕВЕР, БФ</t>
  </si>
  <si>
    <t>РУССКИЙ СТАНДАРТ, БФ</t>
  </si>
  <si>
    <t>РУССКОГО БАЛЕТНОГО НАСЛЕДИЯ, БФ</t>
  </si>
  <si>
    <t>РФИС МО ТИХОРЕЦКИЙ РАЙОН, ОФ</t>
  </si>
  <si>
    <t>РФКР, СНО</t>
  </si>
  <si>
    <t>РФМЗ</t>
  </si>
  <si>
    <t>РФМЗ, САМАРСКОЕ РЕГИОНАЛЬНОЕ ОТДЕЛЕНИЕ ОБОФ</t>
  </si>
  <si>
    <t>РФСПН</t>
  </si>
  <si>
    <t>С ЛЮБОВЬЮ В СЕРДЦЕ, БФ</t>
  </si>
  <si>
    <t>С. ПАЛАМАРЧУКА, БФ ИМ.</t>
  </si>
  <si>
    <t>САВВА, СРДБОФ</t>
  </si>
  <si>
    <t>САЙЯР, БЛАГОТВОРИТЕЛЬНЫЙ ФОНД</t>
  </si>
  <si>
    <t>САЛАВАТА ФАТХУТДИНОВА, ФОНД</t>
  </si>
  <si>
    <t>САЛГИР 2015, БФ</t>
  </si>
  <si>
    <t>САЛГИР-2012, БФ</t>
  </si>
  <si>
    <t>САМАРСКАЯ ГУБЕРНИЯ, РБФ</t>
  </si>
  <si>
    <t>САМАРСКАЯ ЛУКА, ОРФР НП</t>
  </si>
  <si>
    <t>САМАРСКИЙ РЕГИОНАЛЬНЫЙ ОБЩЕСТВЕННЫЙ БЛАГОТВОРИТЕЛЬНЫЙ ФОНД ИМЕНИ Н.Ф.СЕМИЗОРОВА</t>
  </si>
  <si>
    <t>САМБИСТ, БЛАГОТВОРИТЕЛЬНЫЙ ФОНД ПРФС</t>
  </si>
  <si>
    <t>САМБО, МОФ РФКС</t>
  </si>
  <si>
    <t>САМСОН, СЗБФ</t>
  </si>
  <si>
    <t>САН Г.ПЕНЗЫ, ФОНД ПОДДЕРЖКИ И РАЗВИТИЯ МБОУ ГИМНАЗИИ</t>
  </si>
  <si>
    <t>САНКТ- ПЕТЕРБУРГ. ПОМОЩЬ БУДУЩИМ МАМАМ, БЛАГОТВОРИТЕЛЬНЫЙ ФОНД</t>
  </si>
  <si>
    <t>САНКТ-ПЕТЕРБУРГСКИЙ БЛАГОТВОРИТЕЛЬНЫЙ ОБЩЕСТВЕННЫЙ ФОНД ДЛЯ СЛЕПЫХ И СЛАБОВИДЯЩИХ ДЕТЕЙ</t>
  </si>
  <si>
    <t>САНКТ-ПЕТЕРБУРГСКИЙ ФОНД РКИ</t>
  </si>
  <si>
    <t>САПСАН, КООБФ</t>
  </si>
  <si>
    <t>САПФИР, ФОНД</t>
  </si>
  <si>
    <t>САРАТОВСКОЕ ОТДЕЛЕНИЕ РОССИЙСКОГО ФОНДА МИРА</t>
  </si>
  <si>
    <t>САРОВ-ФЕСТИВАЛЬ, ФОНД</t>
  </si>
  <si>
    <t>САРРА ЛАЗАУРИ, БЛАГОТВОРИТЕЛЬНЫЙ ФОНД</t>
  </si>
  <si>
    <t>СБФ СТРОИТЕЛЬСТВА КАФЕДРАЛЬНОГО СОБОРА РОЖДЕСТВА ХРИСТОВА В Г. ЮЖНО-САХАЛИНСКЕ</t>
  </si>
  <si>
    <t>СБФМС</t>
  </si>
  <si>
    <t>СВ. МУЧ. ФЕОДОРА БОЛГАРСКОГО, БФ</t>
  </si>
  <si>
    <t>СВЕРДЛОВСКИЙ ОБЛАСТНОЙ БЛАГОТВОРИТЕЛЬНЫЙ ФОНД</t>
  </si>
  <si>
    <t>СВЕРХКАРТИНА ВЯЧЕСЛАВА ЧЕБОТАРЯ, БЛАГОТВОРИТЕЛЬНЫЙ ФОНД</t>
  </si>
  <si>
    <t>СВЕРХКАРТИНА ВЯЧЕСЛАВА ЧЕБОТАРЯ, ХФ</t>
  </si>
  <si>
    <t>СВЕТ ВАЛААМА, БЛАГОТВОРИТЕЛЬНЫЙ ФОНД</t>
  </si>
  <si>
    <t>СВЕТ ДОБРА, БФ</t>
  </si>
  <si>
    <t>СВЕТ ЖИЗНИ, ФОНД</t>
  </si>
  <si>
    <t>СВЕТ КОРАНА, БЛАГОТВОРИТЕЛЬНЫЙ ФОНД</t>
  </si>
  <si>
    <t>СВЕТ МИРУ, БФСА</t>
  </si>
  <si>
    <t>СВЕТ, СПБ БФ</t>
  </si>
  <si>
    <t>СВЕТЛАНЫ ИЗАМБАЕВОЙ, БФ</t>
  </si>
  <si>
    <t>СВЕТЛЫЙ МИР, БФ</t>
  </si>
  <si>
    <t>СВЕТОФОР, ООО ФОНД</t>
  </si>
  <si>
    <t>СВЕТОЧ 93, БЛАГОТВОРИТЕЛЬНЫЙ ФОНД</t>
  </si>
  <si>
    <t>СВЕТОЧ, ФОНД</t>
  </si>
  <si>
    <t>СВИРСК, БФМС</t>
  </si>
  <si>
    <t>СВОБОДА, БФ РНЦ</t>
  </si>
  <si>
    <t>СВОБОДА, ЛОБОФ</t>
  </si>
  <si>
    <t>СВПДД С МИРОМ И ЛЮБОВЬЮ, БФ</t>
  </si>
  <si>
    <t>СВЯЗЬ ПОКОЛЕНИЙ, БФ</t>
  </si>
  <si>
    <t>СВЯТАЯ РУСЬ, НЕКОММЕРЧЕСКИЙ БЛАГОТВОРИТЕЛЬНЫЙ ФОНД</t>
  </si>
  <si>
    <t>СВЯТАЯ РУСЬ, ФОНД</t>
  </si>
  <si>
    <t>СВЯТОГО ИОАННА ПРЕДТЕЧИ, ПБФ</t>
  </si>
  <si>
    <t>НЕКОММЕРЧЕСКАЯ ОРГАНИЗАЦИЯ БЛАГОТВОРИТЕЛЬНЫЙ ФОНД ИМЕНИ СВЯТОГО БЛАГОВЕРНОГО ВЕЛИКОГО КНЯЗЯ АЛЕКСАНДРА НЕВСКОГО</t>
  </si>
  <si>
    <t>СВЯТОГО ПРАВЕДНОГО СИМЕОНА ВЕРХОТУРСКОГО, БЛАГОТВОРИТЕЛЬНЫЙ ФОНД</t>
  </si>
  <si>
    <t>СВЯТОЙ НИКОЛАЙ, СПБ ОРФ</t>
  </si>
  <si>
    <t>СВЯТОЙ РАВНОАПОСТОЛЬНОЙ НИНЫ, БЛАГОТВОРИТЕЛЬНЫЙ ФОНД</t>
  </si>
  <si>
    <t>СВЯЩЕННОЕ НАСЛЕДИЕ, БФ</t>
  </si>
  <si>
    <t>САМАРСКИЙ ГОРОДСКОЙ ОБЩЕСТВЕННЫЙ ФОНД ПОДДЕРЖКИ ВЕТЕРАНОВ ВОЕННО-МОРСКОГО ФЛОТА</t>
  </si>
  <si>
    <t>СЕБИНО, ТРБФ</t>
  </si>
  <si>
    <t>КРАСНОДАРСКИЙ РЕГИОНАЛЬНЫЙ ОБЩЕСТВЕННЫЙ ФОНД СОДЕЙСТВИЯ БОРЬБЕ С ОРГАНИЗОВАННОЙ ПРЕСТУПНОСТЬЮ</t>
  </si>
  <si>
    <t>СЕВЕРНАЯ СТОЛИЦА, БЛАГОТВОРИТЕЛЬНЫЙ ФОНД</t>
  </si>
  <si>
    <t>СЕВЕРНЫЙ ДОМ, БЛАГОТВОРИТЕЛЬНЫЙ ФОНД СОДЕЙСТВИЯ СОЦИАЛЬНОМУ И ЭКОНОМИЧЕСКОМУ РАЗВИТИЮ ОБЩЕСТВА</t>
  </si>
  <si>
    <t>СЕВЕРЯНОЧКА, БФ</t>
  </si>
  <si>
    <t>СЕДЬМОЙ ЛЕПЕСТОК, БФ</t>
  </si>
  <si>
    <t>СЕЛЬСКИЙ, БФ</t>
  </si>
  <si>
    <t>СЕМЕЙНОЕ БЛАГО, БФ</t>
  </si>
  <si>
    <t>СЕМЕЙНЫЙ ЦЕНТР, БФ</t>
  </si>
  <si>
    <t>СЕМЬЯ ПРИБАЙКАЛЬЯ, ФОНД</t>
  </si>
  <si>
    <t>СЕМЬЯ-XXI ВЕК, СРОФ</t>
  </si>
  <si>
    <t>СЕРГЕЯ РЯБЧИКОВА, ФОНД</t>
  </si>
  <si>
    <t>СЕРГИЯ РАДОНЕЖСКОГО, БФ</t>
  </si>
  <si>
    <t>СЕРДЦЕ ЕВРАЗИИ, БЛАГОТВОРИТЕЛЬНЫЙ ФОНД</t>
  </si>
  <si>
    <t>СЕРДЦЕ ОТДАЕМ ДЕТЯМ, БФ</t>
  </si>
  <si>
    <t>СЕРДЦЕ СЕВАСТОПОЛЯ, БФ ВОЛОНТЕРЫ</t>
  </si>
  <si>
    <t>СИ-И-СИ АРТСЛИНК, ФОНД</t>
  </si>
  <si>
    <t>СИББФРМС</t>
  </si>
  <si>
    <t>СИБИРСКИЙ ХАРАКТЕР, БФ</t>
  </si>
  <si>
    <t>СИБИРСКИЙ, БФ</t>
  </si>
  <si>
    <t>СИДОРОВА Н.Л. МАЛЫШКА, БЛАГОТВОРИТЕЛЬНЫЙ ФОНД</t>
  </si>
  <si>
    <t>СИЛА ДОБРА, КРНДБФ</t>
  </si>
  <si>
    <t>СИЛА СИБИРИ ГОРОДА БОГОТОЛА, БФСП</t>
  </si>
  <si>
    <t>СИМФОНИЧЕСКИЙ ОРКЕСТР, ОБЛАСТНОЙ ОБЩЕСТВЕННЫЙ БЛАГОТВОРИТЕЛЬНЫЙ ФОНД</t>
  </si>
  <si>
    <t>СИНАРА-ФОНД, БФ</t>
  </si>
  <si>
    <t>СИРАТ, БФ</t>
  </si>
  <si>
    <t>СИРИН, БЛАГОТВОРИТЕЛЬНЫЙ ФОНД</t>
  </si>
  <si>
    <t>СИЯНИЕ, БФ</t>
  </si>
  <si>
    <t>СК КОЛОС, НБФ</t>
  </si>
  <si>
    <t>СК СЕРЕБРЯНЫЕ ЛЬВЫ, БЛАГОТВОРИТЕЛЬНЫЙ ФОНД</t>
  </si>
  <si>
    <t>СКОЛИОФОРУМ, БЛАГОТВОРИТЕЛЬНЫЙ ФОНД</t>
  </si>
  <si>
    <t>СЛАВИК, БЛАГОТВОРИТЕЛЬНЫЙ ФОНД</t>
  </si>
  <si>
    <t>СЛАВЯНЕ, БФ</t>
  </si>
  <si>
    <t>СЛАВЯНЕ, БФСПП</t>
  </si>
  <si>
    <t>СЛАВЯНСКИЙ МИР, ФОНД</t>
  </si>
  <si>
    <t>СЛАВЯНСКИЙ, НОВОСИБИРСКИЙ ОБЛАСТНОЙ ОБЩЕСТВЕННЫЙ БЛАГОТВОРИТЕЛЬНЫЙ ФОНД ОКАЗАНИЯ ПОМОЩИ ГРАЖДАНАМ И ОРГАНИЗАЦИЯМ</t>
  </si>
  <si>
    <t>СЛАВЯНСКОЕ НАСЛЕДИЕ, НБФ ВСК</t>
  </si>
  <si>
    <t>СЛЕДУЙ СЕРДЦУ, БЛАГОТВОРИТЕЛЬНЫЙ ФОНД</t>
  </si>
  <si>
    <t>СЛОВО, СПБ НОФ</t>
  </si>
  <si>
    <t>СЛОВОМ И ДЕЛОМ, ФОНД</t>
  </si>
  <si>
    <t>СЛУЖЕНИЕ ОБЩЕСТВУ, НРОФ</t>
  </si>
  <si>
    <t>СМ.ЧЕРИТИ, МБФ</t>
  </si>
  <si>
    <t>СНЕЖНЫЙ БАРС, ФОНД</t>
  </si>
  <si>
    <t>СНИРГО, БФ</t>
  </si>
  <si>
    <t>СОБИЗ ИНВЕСТ, ТРО ФОНД</t>
  </si>
  <si>
    <t>СОДЕЙСТВИЯ КАДЕТСКОМУ ОБРАЗОВАНИЮ В СИБИРИ, ФОНД</t>
  </si>
  <si>
    <t>СОВРЕМЕННОЕ ИСКУССТВО СИБИРИ, БФ</t>
  </si>
  <si>
    <t>СОГЛАСИЕ СЕРДЕЦ, БФ</t>
  </si>
  <si>
    <t>СОДЕЙСТВИЕ -ЮГ, СКОФ</t>
  </si>
  <si>
    <t>СОДЕЙСТВИЕ В КАНСКОМ РАЙОНЕ</t>
  </si>
  <si>
    <t>СОДЕЙСТВИЕ ГОУРО ШАХТИНСКИЙ Я. П. БАКЛАНОВА ККК, ФОНД</t>
  </si>
  <si>
    <t>СОДЕЙСТВИЕ И ДОВЕРИЕ, КРБФ</t>
  </si>
  <si>
    <t>СОДЕЙСТВИЕ ОБРАЗОВАНИЮ, БЛАГОТВОРИТЕЛЬНЫЙ ФОНД</t>
  </si>
  <si>
    <t>СОДЕЙСТВИЕ РАЗВИТИЮ ДЕТСКОЙ ХУДОЖЕСТВЕННОЙ ШКОЛЫ № 3 ИМ. Е. В. ГУРОВА, БФ</t>
  </si>
  <si>
    <t>СОДЕЙСТВИЕ РАЗВИТИЮ ДУХОВНОСТИ, ФОНД</t>
  </si>
  <si>
    <t>СОДЕЙСТВИЕ РАЗВИТИЮ ДХШ № 1 ИМ. САНИНЫХ, БФ</t>
  </si>
  <si>
    <t>СОДЕЙСТВИЕ РАЗВИТИЮ НОВОТРОИЦКА, БЛАГОТВОРИТЕЛЬНЫЙ ФОНД</t>
  </si>
  <si>
    <t>СОДЕЙСТВИЕ РАЗВИТИЮ СПБГПУ, БЛАГОТВОРИТЕЛЬНЫЙ ФОНД</t>
  </si>
  <si>
    <t>СОДЕЙСТВИЕ РАЗВИТИЮ ШКОЛЫ ИСКУССТВ № 7, БФ</t>
  </si>
  <si>
    <t>СОДЕЙСТВИЕ РАЗВИТИЮ ШКОЛЫ ИСКУССТВ №1 ИМ. Ю.И. ЯНКЕЛЕВИЧА, БФ</t>
  </si>
  <si>
    <t>СОДЕЙСТВИЕ СПОРТУ, КРОБФ</t>
  </si>
  <si>
    <t>СОДЕЙСТВИЕ, БЛАГОТВОРИТЕЛЬНЫЙ ФОНД</t>
  </si>
  <si>
    <t>СОДЕЙСТВИЕ, БЛАГОТВОРИТЕЛЬНЫЙ ФОНД СОЦИАЛЬНОЙ ПОМОЩИ</t>
  </si>
  <si>
    <t>СОДЕЙСТВИЕ, БФ</t>
  </si>
  <si>
    <t>СОДЕЙСТВИЕ, БФССР СО</t>
  </si>
  <si>
    <t>СОДЕЙСТВИЕ, МБОФ ПОДДЕРЖКИ ГИМНАЗИИ №5 Г.КРАСНОЯРСК</t>
  </si>
  <si>
    <t>СОДЕЙСТВИЕ, ФОНД</t>
  </si>
  <si>
    <t>СОДЕЙСТВИЕ- XXI ВЕК, ФОНД</t>
  </si>
  <si>
    <t>СОДЕЙСТВИЕ-ДЕТЯМ, БЛАГОТВОРИТЕЛЬНЫЙ ФОНД</t>
  </si>
  <si>
    <t>СОДЕЙСТВИЕ-ХХI ВЕК, ФОНД</t>
  </si>
  <si>
    <t>СОДЕЙСТВИЯ БЛАГОУСТРОЙСТВУ ПОСЕЛКА ЗИМОВНИКИ, ФОНД</t>
  </si>
  <si>
    <t>СОДЕЙСТВИЯ РАЗВИТИЮ ГИМНАЗИИ № 61 Г. НАБЕРЕЖНЫЕ ЧЕЛНЫ, ФОНД</t>
  </si>
  <si>
    <t>СОДЕЙСТВИЯ РАЗВИТИЮ ДОРОЖНОЙ ИНФРАСТРУКТУРЫ И ОБУСТРОЙСТВУ ТЕРРИТОРИИ ЯКОВЛЕВСКОГО РАЙОНА БЕЛГОРОДСКОЙ ОБЛАСТИ, МОФ</t>
  </si>
  <si>
    <t>СОДЕЙСТВИЯ РАЗВИТИЮ ИНФРАСТРУКТУРЫ ГОРОДА КАМЕНСКА-ШАХТИНСКОГО, БЛАГОТВОРИТЕЛЬНЫЙ ФОНД</t>
  </si>
  <si>
    <t>СОДЕЙСТВИЯ РАЗВИТИЮ СПОРТА, ВОССТАНОВЛЕНИЮ ХРАМОВ И ИСТОРИЧЕСКИХ ПАМЯТНИКОВ, ФОНД</t>
  </si>
  <si>
    <t>ФОНД ПОДДЕРЖКИ ПРАВООХРАНИТЕЛЬНЫХ ОРГАНОВ И УКРЕПЛЕНИЯ ЗАКОННОСТИ СОДЕЙСТВИЕ, САНКТ-ПЕТЕРБУРГСКИЙ ОБЩЕСТВЕННЫЙ ФОНД</t>
  </si>
  <si>
    <t>СОДРУЖЕСТВО, БФ</t>
  </si>
  <si>
    <t>СОДРУЖЕСТВО, ФОНД ЦЕНТРА</t>
  </si>
  <si>
    <t>СОЗВЕЗДИЕ ПЛЮС, БФ</t>
  </si>
  <si>
    <t>СОЗВЕЗДИЕ СЕРДЕЦ, БФ</t>
  </si>
  <si>
    <t>СОЗДАТЕЛЬ, БФ</t>
  </si>
  <si>
    <t>СОЗИДАНИЕ 77, БЛАГОТВОРИТЕЛЬНЫЙ ФОНД</t>
  </si>
  <si>
    <t>СОЗИДАНИЕ, БЛАГОТВОРИТЕЛЬНЫЙ ФОНД</t>
  </si>
  <si>
    <t>СОЗИДАНИЕ, БФ</t>
  </si>
  <si>
    <t>СОЗИДАНИЕ, ФОНД</t>
  </si>
  <si>
    <t>СОКРАТ, БФ</t>
  </si>
  <si>
    <t>СОЛИДАРНОСТЬ, ФОНД</t>
  </si>
  <si>
    <t>СОЛНЕЧНОГОРЬЕ, БФСИ</t>
  </si>
  <si>
    <t>СОЛНЕЧНЫЙ ВЕТЕР, БЛАГОТВОРИТЕЛЬНЫЙ ФОНД</t>
  </si>
  <si>
    <t>СОЛНЕЧНЫЙ ГОРОД, БФ</t>
  </si>
  <si>
    <t>СОЛНЕЧНЫЙ ДОМИК, БФ</t>
  </si>
  <si>
    <t>СОЛНЕЧНЫЙ КРУГ, БФ</t>
  </si>
  <si>
    <t>СОЛНЦЕ В ЛАДОШКАХ, БФ</t>
  </si>
  <si>
    <t>СОЛНЦЕ, БЛАГОТВОРИТЕЛЬНЫЙ ФОНД</t>
  </si>
  <si>
    <t>СОЛНЫШКО, НКО БФ</t>
  </si>
  <si>
    <t>СОЛНЫШКО-56, БФ</t>
  </si>
  <si>
    <t>СОЛЬ ЗЕМЛИ, БЛАГОТВОРИТЕЛЬНЫЙ ФОНД</t>
  </si>
  <si>
    <t>СОМОВО, БФ ВДТ</t>
  </si>
  <si>
    <t>РОССИЙСКИЙ ФОНД ПОМОЩИ БЕЖЕНЦАМ СООТЕЧЕСТВЕННИКИ, ПСКОВСКОЕ ОБЛАСТНОЕ ОТДЕЛЕНИЕ ОБЩЕРОССИЙСКОГО ОБЩЕСТВЕННОГО БЛАГОТВОРИТЕЛЬНОГО ФОНДА</t>
  </si>
  <si>
    <t>СОПРИЧАСТНОСТЬ, БФ</t>
  </si>
  <si>
    <t>СОРФ ПРШС</t>
  </si>
  <si>
    <t>СОФИЯ, БЛАГОТВОРИТЕЛЬНЫЙ ФОНД</t>
  </si>
  <si>
    <t>СОФИЯ, БФ</t>
  </si>
  <si>
    <t>СОФМ</t>
  </si>
  <si>
    <t>СОФЬЯ, БФ</t>
  </si>
  <si>
    <t>СОХРАНИ ЖИЗНЬ, БЛАГОТВОРИТЕЛЬНЫЙ ФОНД</t>
  </si>
  <si>
    <t>СОХРАНИ ЖИЗНЬ, БФ</t>
  </si>
  <si>
    <t>СОХРАНИ ЖИЗНЬ, БФ ПБЖ</t>
  </si>
  <si>
    <t>СОХРАНИМ ЛОСОСЕЙ ВМЕСТЕ!, КРОФ</t>
  </si>
  <si>
    <t>СОХРАНЯЯ ЖИЗНЬ, БФ</t>
  </si>
  <si>
    <t>СОЦ. ЗАЩИТЫ, ФОНД</t>
  </si>
  <si>
    <t>СОЦГОРОД, ФОНД</t>
  </si>
  <si>
    <t>СОЦЗАЩИТА, БЛАГОТВОРИТЕЛЬНЫЙ ФОНД</t>
  </si>
  <si>
    <t>СОЦИАЛЬНАЯ ИНИЦИАТИВА, ФОНД</t>
  </si>
  <si>
    <t>СОЦИАЛЬНАЯ ПОДДЕРЖКА ПЕНСИОНЕРОВ, НБФ</t>
  </si>
  <si>
    <t>СОЦИАЛЬНАЯ ПОДДЕРЖКА, БФ</t>
  </si>
  <si>
    <t>СОЦИАЛЬНАЯ ПОМОЩЬ, БФ</t>
  </si>
  <si>
    <t>СОЦИАЛЬНАЯ СТРАТЕГИЯ, ОБЩЕСТВЕННЫЙ ФОНД</t>
  </si>
  <si>
    <t>СОЦИАЛЬНО-ЭКОЛОГИЧЕСКОЙ РЕАБИЛИТАЦИИ САМАРСКОЙ ОБЛАСТИ, ФОНД</t>
  </si>
  <si>
    <t>СОЦИАЛЬНОГО РАЗВИТИЯ, ФОНД</t>
  </si>
  <si>
    <t>СОЦИАЛЬНОЕ РАЗВИТИЕ, СРОФ</t>
  </si>
  <si>
    <t>ОМСКИЙ ОБЛАСТНОЙ ОБЩЕСТВЕННЫЙ ФОНД СОЦИАЛЬНЫХ ИНИЦИАТИВ</t>
  </si>
  <si>
    <t>СОЦИАЛЬНЫХ ПРОГРАММ ТЕРРИТОРИЯ ДОБРА, БФ</t>
  </si>
  <si>
    <t>СОЦПОДДЕРЖКИ РАБОТНИКОВ ЛЕГПРОМА, БФ</t>
  </si>
  <si>
    <t>СОШ № 1, МОФ Г. САРАТОВА СОД МОУ</t>
  </si>
  <si>
    <t>БЛАГОТВОРИТЕЛЬНЫЙ ФОНД ПОДДЕРЖКИ И РАЗВИТИЯ СОШ № 14, НЕКОММЕРЧЕСКАЯ ОРГАНИЗАЦИЯ</t>
  </si>
  <si>
    <t>СОШ № 18, МОФ Г. САРАТОВА СОД МОУ</t>
  </si>
  <si>
    <t>СОШ № 54, ОГОБФ СОДЕЙСТВИЯ БОУ Г. ОМСКА</t>
  </si>
  <si>
    <t>СОШ №59 С УГЛУБЛЕННЫМ ИЗУЧЕНИЕМ ПРЕДМЕТОВ Г.САРАТОВА, СМОФ СОД МОУ</t>
  </si>
  <si>
    <t>СОЮЗ ВОИНОВ ЗАПАСА ЕДИНСТВО, СПБ РОФ</t>
  </si>
  <si>
    <t>СОЮЗ СК, БЛАГОТВОРИТЕЛЬНЫЙ ФОНД</t>
  </si>
  <si>
    <t>СПАРТА, ФОНД</t>
  </si>
  <si>
    <t>СПАС, САНКТ-ПЕТЕРБУРГСКИЙ ОБЩЕСТВЕННЫЙ БЛАГОТВОРИТЕЛЬНЫЙ ФОНД</t>
  </si>
  <si>
    <t>СПАСА НЕРУКОТВОРНОГО ОБРАЗА, БФ</t>
  </si>
  <si>
    <t>СПАСАТЕЛЬ, НО БФ</t>
  </si>
  <si>
    <t>СПАСАТЕЛЬНЫЙ КРУГ, НБФ</t>
  </si>
  <si>
    <t>СПАСЕНИЕ, БФ</t>
  </si>
  <si>
    <t>СПАСЕНИЕ, БЛАГОТВОРИТЕЛЬНЫЙ ФОНД</t>
  </si>
  <si>
    <t>СПАСЕНИЕ, НО БФ</t>
  </si>
  <si>
    <t>СПАСЕНИЕ, ЧГОБФ</t>
  </si>
  <si>
    <t>СПАСЕННЫЙ МАЛЫШ, БФ</t>
  </si>
  <si>
    <t>СПАСИ ЖИЗНЬ, БЛАГОТВОРИТЕЛЬНЫЙ ФОНД</t>
  </si>
  <si>
    <t>СПАСИБО!, БФ</t>
  </si>
  <si>
    <t>СПБР ОБЩЕСТВЕННЫЙ ФОНД ИСПОЛНИТЕЛЬСКИХ ИСКУССТВ</t>
  </si>
  <si>
    <t>СПЕШИТЕ ТВОРИТЬ ДОБРО, БФ</t>
  </si>
  <si>
    <t>СПОРТИВНЫЙ ПОДОЛЬСК, МОБНОФ</t>
  </si>
  <si>
    <t>СПОРТИВНЫЙ ФОНД АНДРЕЯ АНИКИНА</t>
  </si>
  <si>
    <t>СПРАВЕДЛИВАЯ ЭНЕРГИЯ, ФОНД ИВАНА ГРАЧЁВА, ФОНД</t>
  </si>
  <si>
    <t>СПРАВЕДЛИВОСТЬ, БФ</t>
  </si>
  <si>
    <t>СРЦ ОЛИВА, ОМООБФ</t>
  </si>
  <si>
    <t>СРЧО, БФ</t>
  </si>
  <si>
    <t>СТАВРОПОЛЬСКИЙ ФПРСР</t>
  </si>
  <si>
    <t>СТАНОВЛЕНИЕ, СПБРОФ</t>
  </si>
  <si>
    <t>СТАНЬ ЧЕМПИОНОМ, БФ</t>
  </si>
  <si>
    <t>СТАРТ, БЛАГОТВОРИТЕЛЬНЫЙ ФОНД</t>
  </si>
  <si>
    <t>СТАРШЕЕ ПОКОЛЕНИЕ, ТРБФ</t>
  </si>
  <si>
    <t>СТИМУЛ, УБФМС</t>
  </si>
  <si>
    <t>СТРАТЕГИЯ НИЖНИЙ, БФ</t>
  </si>
  <si>
    <t>СТРИЖ, БФ</t>
  </si>
  <si>
    <t>СТРОИМ ДОБРО, ФОНД</t>
  </si>
  <si>
    <t>СТРОИТЕЛЬСТВО ХРАМА ПРЕПОДОБНОГО АЛЕКСАНДРА СВИРСКОГО В СЕЛЕ ПАША, ФОНД</t>
  </si>
  <si>
    <t>СТРОИТЕЛЬСТВУ ХРАМА СВЯТЫХ МУЧЕНИЦ ВЕРЫ, НАДЕЖДЫ, ЛЮБОВИ И МАТЕРИ ИХ СОФИИ В С. БУТОВО, ФОНД ПО</t>
  </si>
  <si>
    <t>СТЭП, БФ</t>
  </si>
  <si>
    <t>СТЭП, ФОНД</t>
  </si>
  <si>
    <t>СУВОРОВ, БФ</t>
  </si>
  <si>
    <t>СУПЕР-БЛАГОТВОРИТЕЛЬНОСТЬ, БФ</t>
  </si>
  <si>
    <t>СФЕРА ЖИЗНИ, БФ</t>
  </si>
  <si>
    <t>СФЕРА, БФ</t>
  </si>
  <si>
    <t>СФОРЦАНДО, РБОФ</t>
  </si>
  <si>
    <t>СЦДИ, КРАЕВОЙ ФОНД</t>
  </si>
  <si>
    <t>СЧАСТЛИВОЕ ДЕТСТВО, БЛАГОТВОРИТЕЛЬНЫЙ ФОНД</t>
  </si>
  <si>
    <t>СЧАСТЛИВОЕ ДЕТСТВО, ХКБФ</t>
  </si>
  <si>
    <t>СЧАСТЛИВЫЕ ДЕТИ, БЛАГОТВОРИТЕЛЬНЫЙ ФОНД ПОМОЩИ БОЛЬНЫМ ДЕТЯМ</t>
  </si>
  <si>
    <t>СЧАСТЛИВЫЕ ДЕТИ, БФ СОЦИАЛЬНОЙ ПОМОЩИ ДЕТЯМ</t>
  </si>
  <si>
    <t>СЧАСТЛИВЫЕ ДЕТИ, ДБФ</t>
  </si>
  <si>
    <t>СЧАСТЛИВЫЕ ИСТОРИИ, БФ</t>
  </si>
  <si>
    <t>СЧАСТЛИВЫЙ ДЕНЬ, БФ</t>
  </si>
  <si>
    <t>СЧАСТЛИВЫЙ РЕБЕНОК, БФ</t>
  </si>
  <si>
    <t>СЧАСТЬЕ ДЕТЯМ, БФ</t>
  </si>
  <si>
    <t>СЧАСТЬЕ ЕСТЬ, БФ</t>
  </si>
  <si>
    <t>СЧАСТЬЕ РЯДОМ, БФ</t>
  </si>
  <si>
    <t>СЭЛЭТ, ТРМОФ</t>
  </si>
  <si>
    <t>СЭЦ МОДЕРНИЗАЦИЯ</t>
  </si>
  <si>
    <t>ТАВРИЧЕСКАЯ, БФ ПОДДЕРЖКИ И РАЗВИТИЯ КАПЕЛЛЫ</t>
  </si>
  <si>
    <t>ТАГАН-ШОФАР, БФ</t>
  </si>
  <si>
    <t>ТАГАНСКИЙ, СРОБФ</t>
  </si>
  <si>
    <t>ТАЙМЫРСКИЙ КОЛЛЕДЖ, МОФРГУСПО</t>
  </si>
  <si>
    <t>ТАКБИР, ОБФ</t>
  </si>
  <si>
    <t>ТАКТ, БФ</t>
  </si>
  <si>
    <t>ТАЛАНТ, БФ</t>
  </si>
  <si>
    <t>ТАНАИС, РОФССЭР</t>
  </si>
  <si>
    <t>ТАНКОДРОМ, ФОНД РАЗВИТИЯ ЦДТ</t>
  </si>
  <si>
    <t>ТАТНЕФТЬ, БФ</t>
  </si>
  <si>
    <t>ТАШИР, ФОНД</t>
  </si>
  <si>
    <t>ТАШЛИНСКАЯ ОБИТЕЛЬ, БФ</t>
  </si>
  <si>
    <t>ТБФ С ВЕРОЮ И ЛЮБОВИЮ, НКО</t>
  </si>
  <si>
    <t>ТВОРИ ДОБРО, БФ</t>
  </si>
  <si>
    <t>ТВОРИ ДОБРО, БФ ИМ. А. НЕВСКОГО</t>
  </si>
  <si>
    <t>ТВОЯ ТЕРРИТОРИЯ, БФ</t>
  </si>
  <si>
    <t>ТЕАТРА ИМЕНИ В.Ф. КОМИССАРЖЕВСКОЙ, ФОНД</t>
  </si>
  <si>
    <t>ТЕАТРАЛЬНОЕ ТОВАРИЩЕСТВО, БЛАГОТВОРИТЕЛЬНЫЙ ФОНД</t>
  </si>
  <si>
    <t>ТЕАТРАЛЬНЫЙ ОСТРОВ, СПБ ОФ</t>
  </si>
  <si>
    <t>ТЕЛЕВЕСТНИК ДОБРА, БФ</t>
  </si>
  <si>
    <t>ТЕПЛО СЕРДЕЦ, БФ</t>
  </si>
  <si>
    <t>ТЕПЛОЕ ДЕТСТВО, АРБОФ</t>
  </si>
  <si>
    <t>ТЕПЛЫЙ ДОМ, БФ</t>
  </si>
  <si>
    <t>ТЕПЛЫЙ ДОМ, РБФ</t>
  </si>
  <si>
    <t>РОТАРИ- ДАЙДЖЕСТ, БФ ЖУРНАЛА</t>
  </si>
  <si>
    <t>ТЕРПСИХОРА, М.Б.Ф.С.Р.Т.И.</t>
  </si>
  <si>
    <t>ТЕРРИТОРИЯ ДОБРА, БФ</t>
  </si>
  <si>
    <t>ТЕРРИТОРИЯ ДОБРЫХ ДЕЛ, БФ</t>
  </si>
  <si>
    <t>ТЕРРИТОРИЯ МИЛОСЕРДИЯ 09, КЧ БФ ПО СОЦИАЛЬНОЙ ПОДДЕРЖКЕ МАЛОИМУЩИХ СЛОЕВ НАСЕЛЕНИЯ</t>
  </si>
  <si>
    <t>ТЕХНОЛОГИИ XXI ВЕКА, ФОНД</t>
  </si>
  <si>
    <t>ТЕШАМ, ФОНД</t>
  </si>
  <si>
    <t>ТИХВИНСКОЙ ИКОНЫ БОЖИЕЙ МАТЕРИ, ФОНД</t>
  </si>
  <si>
    <t>ТИХОМИРОВЫХ, ФОНД</t>
  </si>
  <si>
    <t>ТОЛЬКО ВМЕСТЕ, СБФ ПОМОЩИ ДЕТЯМ ИНВАЛИДАМ И ДЕТЯМ-СИРОТАМ</t>
  </si>
  <si>
    <t>ТОЧКА ОПОРЫ, БЛАГОТВОРИТЕЛЬНЫЙ ФОНД</t>
  </si>
  <si>
    <t>ТРЕЗВОСТЬ, ОБЩЕСТВЕННЫЙ ФОНД</t>
  </si>
  <si>
    <t>ТРЕЗВОСТЬ, ФОНД</t>
  </si>
  <si>
    <t>ТРЕЗВЫЙ АЛТАЙ, НКО БФ</t>
  </si>
  <si>
    <t>ТРИДЦАТЬ ДЕВЯТАЯ ПАРАЛЛЕЛЬ, БЛАГОТВОРИТЕЛЬНЫЙ ФОНД</t>
  </si>
  <si>
    <t>ТРИУМФ ДОБРА, ФОНД</t>
  </si>
  <si>
    <t>ТРОБФ ПО ПРАВАМ РЕБЕНКА</t>
  </si>
  <si>
    <t>ТЫ МОЙ ДРУГ, БФПБЖ</t>
  </si>
  <si>
    <t>ТЫ НЕ ОДИН, ПБФ</t>
  </si>
  <si>
    <t>ТЮЛЬПАН, БФ</t>
  </si>
  <si>
    <t>УДС-ДОБРО, БФ</t>
  </si>
  <si>
    <t>УЗНИКИНФО, ИНФОРМАЦИОННЫЙ БЛАГОТВОРИТЕЛЬНЫЙ ФОНД</t>
  </si>
  <si>
    <t>УЛЬЯНОВСК-КУЛЬТУРНАЯ СТОЛИЦА, ФОНД</t>
  </si>
  <si>
    <t>УМИЛЕНИЕ, БФ</t>
  </si>
  <si>
    <t>УМКА, БФ</t>
  </si>
  <si>
    <t>УНГА, БЛАГОТВОРИТЕЛЬНЫЙ ФОНД</t>
  </si>
  <si>
    <t>УРАЛ, БЛАГОТВОРИТЕЛЬНЫЙ ФОНД</t>
  </si>
  <si>
    <t>УРАЛЬСКИЙ ДЕМОКРАТИЧЕСКИЙ ФОНД</t>
  </si>
  <si>
    <t>УРАЛЬСКИЙ ЭКОЛОГИЧЕСКИЙ ФОНД</t>
  </si>
  <si>
    <t>УСПЕХ 90, БЛАГОТВОРИТЕЛЬНЫЙ ФОНД</t>
  </si>
  <si>
    <t>УСПЕХ, БФ</t>
  </si>
  <si>
    <t>УСПЕХ, ФОНД СОДЕЙСТВИЯ И ПОДДЕРЖКИ МБОУ СОШ № 187</t>
  </si>
  <si>
    <t>УСПЕШКИ, БФ</t>
  </si>
  <si>
    <t>УСТЮЖЕНСКИЙ ГОРОДСКОЙ БЛАГОТВОРИТЕЛЬНЫЙ ФОНД ИМЕНИ ИЕРЕЯ ГЕННАДИЯ</t>
  </si>
  <si>
    <t>УТЕС, ХАБАРОВСКИЙ РЕГИОНАЛЬНЫЙ ФОНД СОХРАНЕНИЯ БИОЛОГИЧЕСКОГО РАЗНООБРАЗИЯ И РЕАБИЛИТАЦИИ ДИКИХ ЖИВОТНЫХ</t>
  </si>
  <si>
    <t>УТЕШЕНИЕ, БЛАГОТВОРИТЕЛЬНЫЙ ФОНД</t>
  </si>
  <si>
    <t>УТЕШЕНИЕ, ФОНД</t>
  </si>
  <si>
    <t>УТРЕННЯЯ ЗВЕЗДА, БЛАГОТВОРИТЕЛЬНЫЙ ФОНД</t>
  </si>
  <si>
    <t>УЧИНСКИЙ, БЛАГОТВОРИТЕЛЬНЫЙ ФОНД</t>
  </si>
  <si>
    <t>ФАП, ФОНД</t>
  </si>
  <si>
    <t>ФАРЕС, БЛАГОТВОРИТЕЛЬНЫЙ ФОНД</t>
  </si>
  <si>
    <t>ФАТИМСКАЯ ИКОНА, ФОНД</t>
  </si>
  <si>
    <t>ФЕДЕРАЦИЯ ПО ПОДДЕРЖКЕ ВОЛЬНОЙ БОРЬБЫ, РОБФ</t>
  </si>
  <si>
    <t>ФЕНИКС ДОНБАССА, БФ</t>
  </si>
  <si>
    <t>ФЕОДОРА СТРАТИЛАТА, ФОНД</t>
  </si>
  <si>
    <t>ФЗИВЖБЛ, МБФ</t>
  </si>
  <si>
    <t>ФИА, БЛАГОТВОРИТЕЛЬНЫЙ ФОНД</t>
  </si>
  <si>
    <t>ФИЗКУЛЬТУРА И ЗДОРОВЬЕ, СГОФ</t>
  </si>
  <si>
    <t>ФИЗКУЛЬТУРА.ЗДОРОВЬЕ.СПОРТ., МЕЖРЕГИОНАЛЬНЫЙ ОБЩЕСТВЕННЫЙ ФОНД</t>
  </si>
  <si>
    <t>ФИЛАНТ, НЕКОММЕРЧЕСКАЯ ОРГАНИЗАЦИЯ БЛАГОТВОРИТЕЛЬНЫЙ ФОНД</t>
  </si>
  <si>
    <t>ФИЛАНТРОПИЯ, ФОНД</t>
  </si>
  <si>
    <t>ФИНИСТ, БЛАГОТВОРИТЕЛЬНЫЙ ФОНД ТЕМУРА АМИНДЖАНОВА</t>
  </si>
  <si>
    <t>ФЛАГМАН, БФ</t>
  </si>
  <si>
    <t>ФМС МУНИЦИПАЛЬНОЕ РАЗВИТИЕ, БФ</t>
  </si>
  <si>
    <t>ФНК</t>
  </si>
  <si>
    <t>ФОНД</t>
  </si>
  <si>
    <t>ФОНД БОРИСА ЭЙФМАНА, БФ</t>
  </si>
  <si>
    <t>ФОНД ГРАЖДАНСКОГО ОБЩЕСТВА, НКО</t>
  </si>
  <si>
    <t>ФОНД ГРАНОВА, БФ</t>
  </si>
  <si>
    <t>ФОНД ДЕТСКОГО ХОРА ВЕСНА, БФ</t>
  </si>
  <si>
    <t>ФОНД ДОБРЫХ ЛЮДЕЙ, БЛАГОТВОРИТЕЛЬНЫЙ ФОНД</t>
  </si>
  <si>
    <t>ФОНД ЕВГЕНИЯ ПОДГОРНОГО, НГОФ</t>
  </si>
  <si>
    <t>ФОНД ЕКАТЕРИНЫ ВЕЛИКОЙ</t>
  </si>
  <si>
    <t>ФОНД ЗАЩИТЫ ПРАВ И РЕАБИЛИТАЦИИ ЗАКЛЮЧЕННЫХ, СОБОФ</t>
  </si>
  <si>
    <t>ФОНД ИВАНА ГУЩИНА, ФОНД</t>
  </si>
  <si>
    <t>ФОНД ИМ.БАТАШЁВЫХ</t>
  </si>
  <si>
    <t>ФОНД ИМЕНИ СВЯТОГО АПОСТОЛА ПАВЛА, БФ</t>
  </si>
  <si>
    <t>ФОНД ИНЕССЫ, БФ</t>
  </si>
  <si>
    <t>ФОНД КАПИТАЛЬНОГО РЕМОНТА, НКО</t>
  </si>
  <si>
    <t>ФОНД ЛИХАЧЕВА , ЛИХАЧЕВ ФОНД</t>
  </si>
  <si>
    <t>ФОНД ЛИЦЕЯ № 14</t>
  </si>
  <si>
    <t>ФОНД НОВОУРАЛЬСКА</t>
  </si>
  <si>
    <t>ФОНД ПАВЛОВА</t>
  </si>
  <si>
    <t>ФОНД ПО ПОДДЕРЖКЕ СПОРТА В СВЕРДЛОВСКОЙ ОБЛАСТИ А.В.ШИПУЛИНА, БФ</t>
  </si>
  <si>
    <t>ФОНД ПОДДЕРЖКИ АПК</t>
  </si>
  <si>
    <t>ФОНД ПОДДЕРЖКИ ДЕТЕЙ, НАХОДЯЩИХСЯ В ТРУДНОЙ ЖИЗНЕННОЙ СИТУАЦИИ, В РЕСПУБЛИКЕ АЛТАЙ</t>
  </si>
  <si>
    <t>ФОНД ПОДДЕРЖКИ И РАЗВИТИЯ МОУ ЛИЦЕЙ №76, НО</t>
  </si>
  <si>
    <t>ФОНД ПОДДЕРЖКИ И СОДЕЙСТВИЯ В РАЗВИТИИ ФИГУРНОГО КАТАНИЯ И ХУДОЖЕСТВЕННОЙ ГИМНАСТИКИ, БФ</t>
  </si>
  <si>
    <t>ФОНД ПОДДЕРЖКИ ИСЛАМСКОГО КУЛЬТУРНОГО И ДУХОВНОГО НАСЛЕДИЯ, НБФ</t>
  </si>
  <si>
    <t>ФОНД ПОДДЕРЖКИ РАЗВИТИЯ ИНОСТРАННЫХ ЯЗЫКОВ, НОО</t>
  </si>
  <si>
    <t>ФОНД ПОДДЕРЖКИ СОЦИАЛЬНЫХ ИНИЦИАТИВ ДОБРАЯ ЭНЕРГИЯ, БФ</t>
  </si>
  <si>
    <t>ФОНД ПОДДЕРЖКИ СПОРТА, ОДЕССКИЙ РО</t>
  </si>
  <si>
    <t>ФОНД ПОДДЕРЖКИ СТРОИТЕЛЬСТВА ХРАМА ПРЕПОДОБНОГО СЕРГИЯ РАДОНЕЖСКОГО И РАЗВИТИЯ ГОРОДА САТКА, ЧЕЛЯБИНСКОЙ ОБЛАСТИ, БФ</t>
  </si>
  <si>
    <t>ФОНД РАЗВИТИЯ ГИМНАЗИИ №3, СРОБФ</t>
  </si>
  <si>
    <t>ФОНД РАЗВИТИЯ ДЕТСКО-ЮНОШЕСКОГО ЦЕНТРА ОРИОН, НЕКОММЕРЧЕСКАЯ ОРГАНИЗАЦИЯ</t>
  </si>
  <si>
    <t>ФОНД РАЗВИТИЯ ЛИЦЕЯ № 137, МБО</t>
  </si>
  <si>
    <t>ФОНД РАЗВИТИЯ МБ ДОУ № 237</t>
  </si>
  <si>
    <t>ФОНД РАЗВИТИЯ ПЕТРОВСКОЙ ШКОЛЫ, КРБОО</t>
  </si>
  <si>
    <t>ФОНД РАЗВИТИЯ ТРИАТЛОНА ТРИАТЛОН, НРБООКС</t>
  </si>
  <si>
    <t>ФОНД РАССЕЛЕНИЯ, БФ</t>
  </si>
  <si>
    <t>ФОНД СВЕТА, БЛАГОТВОРИТЕЛЬНЫЙ ФОНД</t>
  </si>
  <si>
    <t>ФОНД СВЯТИТЕЛЯ МИТРОФАНИЯ, БЛАГОТВОРИТЕЛЬНЫЙ ФОНД</t>
  </si>
  <si>
    <t>ФОНД СГИСООП, КРО</t>
  </si>
  <si>
    <t>ФОНД СОБОРА СВЯТОЙ ЕКАТЕРИНЫ</t>
  </si>
  <si>
    <t>ФОНД СОВЕТА РУКОВОДИТЕЛЕЙ ОКТЯБРЬСКОГО РАЙОНА ГОРОДА СТАВРОПОЛЯ, НО</t>
  </si>
  <si>
    <t>ФОНД СОДЕЙСТВИЯ ДЕТСКОМУ СПОРТУ, БФ</t>
  </si>
  <si>
    <t>ФОНД СОДЕЙСТВИЯ РАЗВИТИЮ УРФУ, НО БФ</t>
  </si>
  <si>
    <t>ФОНД СОДЕЙСТВИЯ РАЗВИТИЮ ФК АВИАТОР, РОФ СВЕРДЛОВСКОЙ ОБЛАСТИ</t>
  </si>
  <si>
    <t>ФОНД СОЦИАЛЬНОГО БЛАГОПОЛУЧИЯ СПАССКОГО РАЙОНА</t>
  </si>
  <si>
    <t>ФОНД СОЦИАЛЬНОЙ ПОДДЕРЖКИ НАСЕЛЕНИЯ СТАВРОПОЛЬСКОГО КРАЯ, БНО</t>
  </si>
  <si>
    <t>ФОНД СОЦИАЛЬНЫХ ИНИЦИАТИВ И РАЗВИТИЯ АВТОЗАВОДСКОГО РАЙОНА ГОРОДА НИЖНЕГО НОВГОРОДА, ФОНД</t>
  </si>
  <si>
    <t>ФОНД ТОЛЬЯТТИ, ГБФ</t>
  </si>
  <si>
    <t>ФОНД ХАЙРУЛЛИНА</t>
  </si>
  <si>
    <t>ФОНД ХИРУРГА Л.ГЛЕБОВА, ДБФ</t>
  </si>
  <si>
    <t>ФОНД ШКОЛЫ № 76</t>
  </si>
  <si>
    <t>ФОНД ЭЙЛЕРА</t>
  </si>
  <si>
    <t>ФОНД-130</t>
  </si>
  <si>
    <t>ФОПОС</t>
  </si>
  <si>
    <t>ФОРАС, БФ</t>
  </si>
  <si>
    <t>ФОРМУЛА ЧУДА, СПБОФ ГЭРИОД</t>
  </si>
  <si>
    <t>ФОРТЕ, НО БФ</t>
  </si>
  <si>
    <t>ФОРУМ КАМЕРНЫХ ИСКУССТВ, БФ</t>
  </si>
  <si>
    <t>ФПР МОУ ЛИЦЕЙ №165 ИМ. 65-ЛЕТИЯ ГАЗ, НО</t>
  </si>
  <si>
    <t>ФПРДТ</t>
  </si>
  <si>
    <t>ФПРП ЛУКОЯНОВСКОГО РАЙОНА</t>
  </si>
  <si>
    <t>ФПРСР, КОМИ</t>
  </si>
  <si>
    <t>ФПРШ №29, БЛАГОТВОРИТЕЛЬНЫЙ ФОНД</t>
  </si>
  <si>
    <t>ФПС</t>
  </si>
  <si>
    <t>ФРБИ БРЯНСКОЙ ОБЛАСТИ</t>
  </si>
  <si>
    <t>ФРКП</t>
  </si>
  <si>
    <t>ФРМО БЕЛОКАЛИТВИНСКИЙ РАЙОН</t>
  </si>
  <si>
    <t>ФСР</t>
  </si>
  <si>
    <t>ФУТБОЛЬНЫЙ КЛУБ МАШУК-КМВ, КМВ ФОНД</t>
  </si>
  <si>
    <t>ФФП РАЗВИТИЯ ГОРОДА УСИНСКА, НН</t>
  </si>
  <si>
    <t>ФЭР</t>
  </si>
  <si>
    <t>Х. НАГОЕВА, ФОНД</t>
  </si>
  <si>
    <t>ХАБАРОВСКИЙ ФОНД КУЛЬТУРЫ</t>
  </si>
  <si>
    <t>ХАЙАТ, БЛАГОТВОРИТЕЛЬНЫЙ ФОНД</t>
  </si>
  <si>
    <t>ХАРЫСХАЛ ( МИЛОСЕРДИЕ ), БЛАГОТВОРИТЕЛЬНЫЙ ФОНД</t>
  </si>
  <si>
    <t>ХЕСЕД МИЛЕВ, ЕБФ</t>
  </si>
  <si>
    <t>ХЕСЕД ШИМОН, БЕФ РК</t>
  </si>
  <si>
    <t>ХЕСЕД ШОЛОМ БЕР, ЕВРЕЙСКИЙ БЛАГОТВОРИТЕЛЬНЫЙ ФОНД</t>
  </si>
  <si>
    <t>ХЕСЕД-ШАХАР (РАССВЕТ МИЛОСЕРДИЯ), СЕБФ</t>
  </si>
  <si>
    <t>ХОРОВОЕ БРАТСТВО, БЛАГОТВОРИТЕЛЬНЫЙ ФОНД</t>
  </si>
  <si>
    <t>ХОРОШИЕ ЛЮДИ, БФ</t>
  </si>
  <si>
    <t>ХРАМА РОЖДЕСТВА ХРИСТОВА, ФОНД</t>
  </si>
  <si>
    <t>ХФДЖ, РОБ</t>
  </si>
  <si>
    <t>ХШ ИМ.В.Н.КОРБАКОВА Г.ВОЛОГДЫ, БФР</t>
  </si>
  <si>
    <t>ХЭСЭД АГАМИМ, ПМОБЕФ</t>
  </si>
  <si>
    <t>ХЭСЭД КАЛИНИНГРАД, БФ</t>
  </si>
  <si>
    <t>ХЭСЭД МОШЕ, РБФ ЕЦ</t>
  </si>
  <si>
    <t>ХЭСЭД САРА, БФ ЕЦ</t>
  </si>
  <si>
    <t>ХЭСЭД ХАИМ, БЛАГОТВОРИТЕЛЬНЫЙ ФОНД</t>
  </si>
  <si>
    <t>ХЭСЭД-АРИЭЛЬ, БЛАГОТВОРИТЕЛЬНЫЙ ФОНД</t>
  </si>
  <si>
    <t>ЦАРСКОЕ СЕЛО, БЛАГОТВОРИТЕЛЬНЫЙ ФОНД</t>
  </si>
  <si>
    <t>ЦГКБ № 18 Г. КАЗАНИ, ОБЩЕСТВЕННЫЙ БЛАГОТВОРИТЕЛЬНЫЙ ФОНД СОДЕЙСТВИЯ РАЗВИТИЮ ДЕТСКОГО СТАЦИОНАРА ПРИ МУЗ</t>
  </si>
  <si>
    <t>ЦЕЛЕВОГО КАПИТАЛА ПНИПУ, ФОНД</t>
  </si>
  <si>
    <t>ЦЕНТР В.ВЫСОЦКОГО В САМАРЕ, САМАРСКИЙ РЕГИОНАЛЬНЫЙ ОБЩЕСТВЕННЫЙ ФОНД</t>
  </si>
  <si>
    <t>ЦЕНТР ДЕТСКОГО ТВОРЧЕСТВА ЗЕЛЕНОДОЛЬСКОГО МУНИЦИПАЛЬНОГО РАЙОНА РЕСПУБЛИКИ ТАТАРСТАН, БЛАГОТВОРИТЕЛЬНЫЙ ОБЩЕСТВЕННЫЙ ФОНД РАЗВИТИЯ МУНИЦИПАЛЬНОГО УЧРЕЖДЕНИЯ ДОПОЛНИТЕЛЬНОГО ОБРАЗОВАНИЯ ДЕТЕЙ</t>
  </si>
  <si>
    <t>ЦЕНТР КАЧЕСТВА СТРОИТЕЛЬСТВА, ПЕРМСКОЕ КРАЕВОЕ ОТДЕЛЕНИЕ ОБЩЕРОССИЙСКОГО ОБЩЕСТВЕННОГО ФОНДА</t>
  </si>
  <si>
    <t>ЦЕНТР КАЧЕСТВА СТРОИТЕЛЬСТВА, СООООФ</t>
  </si>
  <si>
    <t>ЦЕНТР КАЧЕСТВА СТРОИТЕЛЬСТВА, СРО ООФ</t>
  </si>
  <si>
    <t>ЦЕНТР ПОДДЕРЖКИ И РАЗВИТИЯ Д/С № 506, ГОФ</t>
  </si>
  <si>
    <t>ЦЕНТР ПОДДЕРЖКИ ОБЩЕСТВЕННЫХ ИНИЦИАТИВ РАБОЧИЙ ГОРОД, БЛАГОТВОРИТЕЛЬНЫЙ ФОНД</t>
  </si>
  <si>
    <t>ЦЕНТР РАЗВИТИЯ ТХЭКВОНДО АЛЬТИС, МЕЖРЕГИОНАЛЬНЫЙ ОБЩЕСТВЕННЫЙ ФОНД</t>
  </si>
  <si>
    <t>ЦЕНТР РАЗВИТИЯ ШКОЛЬНИКА, МОБФ</t>
  </si>
  <si>
    <t>ЦЕНТР РЕАБИЛИТАЦИИ РЕБЕНКА, СПБФ</t>
  </si>
  <si>
    <t>ЦЕНТР СВТ. ВАСИЛИЯ, БФ</t>
  </si>
  <si>
    <t>ЦЕНТР СОЦИАЛЬНЫХ ПРОЕКТОВ, БФ ГК ХАМИНА</t>
  </si>
  <si>
    <t>ЦЕНТР СПЕЦИАЛЬНЫХ ПРОГРАММ</t>
  </si>
  <si>
    <t>ЦЕНТР, ОБФ</t>
  </si>
  <si>
    <t>ЦКИ, НО-ФОНД</t>
  </si>
  <si>
    <t>ЦКС, СПБ ОТДЕЛЕНИЕ ООФ</t>
  </si>
  <si>
    <t>ЦМОР, НБФ</t>
  </si>
  <si>
    <t>ЦОР, ТООФ</t>
  </si>
  <si>
    <t>ЦРМИ, КРОБФ</t>
  </si>
  <si>
    <t>ЦСИ, ОФ</t>
  </si>
  <si>
    <t>ЦСП, БО ФОНД</t>
  </si>
  <si>
    <t>ЦСП, НБФ</t>
  </si>
  <si>
    <t>ЧАСОВНЯ, ПРОФ</t>
  </si>
  <si>
    <t>ЧЕЛОВЕК И ЗАКОН, БЛАГОТВОРИТЕЛЬНЫЙ ФОНД ОБЩЕСТВЕННОЙ ПРИЕМНОЙ</t>
  </si>
  <si>
    <t>ЧЕРЕЗ ТЕРНИИ К ЗВЕЗДАМ, БФ</t>
  </si>
  <si>
    <t>ЧЕРНЯНСКИЙ МЕСТНЫЙ ОБЩЕСТВЕННЫЙ ФОНД СОДЕЙСТВИЯ РАЗВИТИЮ ПОСЕЛКА ЧЕРНЯНКА</t>
  </si>
  <si>
    <t>ЧЕСТНОЕ СЛОВО, БЛАГОТВОРИТЕЛЬНЫЙ ФОНД ПОДДЕРЖКИ НЕЗАВИСИМОЙ ЖУРНАЛИСТИКИ</t>
  </si>
  <si>
    <t>ЧИСТОЕ СЕРДЦЕ, БЛАГОТВОРИТЕЛЬНЫЙ ФОНД</t>
  </si>
  <si>
    <t>ЧИСТОЕ СЕРДЦЕ, БФ</t>
  </si>
  <si>
    <t>ЧИСТЫЕ ЗЕМЛИ, БФ</t>
  </si>
  <si>
    <t>ЧООФК</t>
  </si>
  <si>
    <t>ШАГ В БУДУЩЕЕ, БЛАГОТВОРИТЕЛЬНЫЙ ФОНД</t>
  </si>
  <si>
    <t>ШАГ ЗА ШАГОМ, БФ</t>
  </si>
  <si>
    <t>ШАГ ЗА ШАГОМ, НО МРБФ</t>
  </si>
  <si>
    <t>ШАГ НА ВСТРЕЧУ, БФ</t>
  </si>
  <si>
    <t>ШАГ НАВСТРЕЧУ, БФ</t>
  </si>
  <si>
    <t>ШАГ НАВСТРЕЧУ, МОБФ ПРЖР Г.КРАСНОЯРСКА</t>
  </si>
  <si>
    <t>ШАГ НАВСТРЕЧУ, ФОНД</t>
  </si>
  <si>
    <t>ШАНС, БФ</t>
  </si>
  <si>
    <t>ШАНС, БФ ПОМОЩИ ПО ОХРАНЕ ЗДОРОВЬЯ ИНВАЛИДОВ И НЕИМУЩИХ ГРАЖДАН</t>
  </si>
  <si>
    <t>ШАХТЕРСКАЯ ПАМЯТЬ, ФОНД</t>
  </si>
  <si>
    <t>ШАХТЕРСКАЯ ПОМОЩЬ, НО БФ</t>
  </si>
  <si>
    <t>РЕГИОНАЛЬНЫЙ БЛАГОТВОРИТЕЛЬНЫЙ ОБЩЕСТВЕННЫЙ ФОНД ИМЕНИ ШЕЙХА АБДУРАХМАНА-ХАДЖИ</t>
  </si>
  <si>
    <t>ШЕКИХАЧЕВА МАРИЯ, БЛАГОТВОРИТЕЛЬНЫЙ ФОНД</t>
  </si>
  <si>
    <t>ШЕРЕДАРЬ, ФОНД</t>
  </si>
  <si>
    <t>ШИФА, БФ</t>
  </si>
  <si>
    <t>ШКОЛА №39, ФОНД РАЗВИТИЯ МАОУ</t>
  </si>
  <si>
    <t>ШКОЛА №47 ИМЕНИ Д.С.ЛИХАЧЕВА, БЛАГОТВОРИТЕЛЬНЫЙ ФОНД</t>
  </si>
  <si>
    <t>ШКОЛЫ, ФОНД</t>
  </si>
  <si>
    <t>ШКОЛЬНИК-2, ФОНД</t>
  </si>
  <si>
    <t>ШУВАЛОВСКИЙ ПАРК, БФ</t>
  </si>
  <si>
    <t>ЭВЕЛА, НО БФ</t>
  </si>
  <si>
    <t>ЭКОЛОГИЧЕСКИЙ ФОНД АРГУТ, НФ</t>
  </si>
  <si>
    <t>ЭКОЛОГИЯ ЯМАЛА, ЭНФ</t>
  </si>
  <si>
    <t>ЭЛЕМ-БЛАГОТВОРИТЕЛЬНОСТЬ, НО БФ</t>
  </si>
  <si>
    <t>ЭЛИЕР, БФСП</t>
  </si>
  <si>
    <t>ЭЛИТА, МБОФ РАЗВИТИЯ ЛИЦЕЯ №1 Г.КРАСНОЯРСКА</t>
  </si>
  <si>
    <t>ЭНЕРГЕТИК, БФ</t>
  </si>
  <si>
    <t>ЭНЕРГИЯ ЖИЗНИ, БЛАГОТВОРИТЕЛЬНЫЙ ФОНД</t>
  </si>
  <si>
    <t>ЭНИЕМ, БЛАГОТВОРИТЕЛЬНЫЙ ФОНД</t>
  </si>
  <si>
    <t>ЭРА ЗДОРОВЬЯ, СРОФ</t>
  </si>
  <si>
    <t>ЭРА МИЛОСЕРДИЯ, БЛАГОТВОРИТЕЛЬНЫЙ ФОНД</t>
  </si>
  <si>
    <t>ЭСПЛАНАДА, КФТР</t>
  </si>
  <si>
    <t>ЭСТАФЕТА ПОКОЛЕНИЙ, КРОФ СОДЕЙСТВИЯ УВЕКОВЕЧИВАНИЮ ПАМЯТИ ПОГИБШИХ ПРИ ЗАЩИТЕ ОТЕЧЕСТВА</t>
  </si>
  <si>
    <t>ЭТО ЧУДО, БФ</t>
  </si>
  <si>
    <t>ЭФФЕКТИВНАЯ ПОМОЩЬ, БФ</t>
  </si>
  <si>
    <t>ЮБИЛЕЙНЫЙ ФОНД ПЕРВОГО САНКТ-ПЕТЕРБУРГСКОГО ГОСУДАРСТВЕННОГО МЕДИЦИНСКОГО УНИВЕРСИТЕТА ИМ. АКАДЕМИКА И.П. ПАВЛОВА, РЕГИОНАЛЬНЫЙ ОБЩЕСТВЕННЫЙ ФОНД</t>
  </si>
  <si>
    <t>ЮГО-ВОСТОК, БФ</t>
  </si>
  <si>
    <t>ЮЖНЫЙ РЕГИОН, АРОБФ</t>
  </si>
  <si>
    <t>ЮМАС, БФ</t>
  </si>
  <si>
    <t>ЮНОНА, БФ</t>
  </si>
  <si>
    <t>ЮНЫЕ ДАРОВАНИЯ СИБИРИ, НБО ФОНД</t>
  </si>
  <si>
    <t>ЮРИЯ ТЕНА, БЛАГОТВОРИТЕЛЬНЫЙ ФОНД</t>
  </si>
  <si>
    <t>ЮРМАТЫ, БФ</t>
  </si>
  <si>
    <t>ЮРФРТП</t>
  </si>
  <si>
    <t>Я ВЕРЮ, БФ</t>
  </si>
  <si>
    <t>Я ЕСТЬ, СПБОБ ФОНД</t>
  </si>
  <si>
    <t>Я ЛЮБЛЮ ДЕРБЕНТ, БЛАГОТВОРИТЕЛЬНЫЙ ФОНД</t>
  </si>
  <si>
    <t>Я СВОБОДЕН, БЛАГОТВОРИТЕЛЬНЫЙ ФОНД</t>
  </si>
  <si>
    <t>ЯБЛОКО ДОБРА, БФ</t>
  </si>
  <si>
    <t>ЯМАТО, РУССКО-ЯПОНСКИЙ КУЛЬТУРНО-ПРОСВЕТИТЕЛЬНЫЙ МЕЖРЕГИОНАЛЬНЫЙ ОБЩЕСТВЕННЫЙ ФОНД</t>
  </si>
  <si>
    <t>ЯРДАМ-ПОМОЩЬ, ОБФ</t>
  </si>
  <si>
    <t>ЯРКАЯ ЖИЗНЬ, БФ</t>
  </si>
  <si>
    <t>ЯРКОЕ ДЕТСТВО, БФ ПДС</t>
  </si>
  <si>
    <t>ЯРОСЛАВСКИЙ ФПРСР</t>
  </si>
  <si>
    <t>ссч</t>
  </si>
  <si>
    <t>доходы</t>
  </si>
  <si>
    <t>расходы</t>
  </si>
  <si>
    <t>финансовый результат</t>
  </si>
  <si>
    <t>доход на сотрудника</t>
  </si>
  <si>
    <t>прибыль на сотрудника</t>
  </si>
  <si>
    <t>малые</t>
  </si>
  <si>
    <t>средние</t>
  </si>
  <si>
    <t>крупные</t>
  </si>
  <si>
    <t>размер</t>
  </si>
  <si>
    <t>ссч(примерное)</t>
  </si>
  <si>
    <t>регион</t>
  </si>
  <si>
    <t>ссч примерное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</si>
</sst>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>
    <font>
      <sz val="11"/>
      <color rgb="FF000000"/>
      <name val="Calibri"/>
      <scheme val="minor"/>
    </font>
    <font>
      <sz val="11"/>
      <color rgb="FF000000"/>
      <name val="Calibri"/>
    </font>
    <font>
      <b/>
      <sz val="10"/>
      <color rgb="FF000000"/>
      <name val="Helvetica Neue"/>
    </font>
    <font>
      <u/>
      <sz val="11"/>
      <color rgb="FF000000"/>
      <name val="Calibri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49" fontId="2" fillId="2" borderId="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4" fontId="1" fillId="2" borderId="1" xfId="0" applyNumberFormat="1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49" fontId="1" fillId="2" borderId="1" xfId="0" applyNumberFormat="1" applyFont="1" applyFill="1" applyBorder="1" applyAlignment="1">
      <alignment horizontal="right" wrapText="1"/>
    </xf>
    <xf numFmtId="49" fontId="2" fillId="2" borderId="0" xfId="0" applyNumberFormat="1" applyFont="1" applyFill="1" applyBorder="1" applyAlignment="1">
      <alignment horizontal="center" vertical="center" wrapText="1"/>
    </xf>
    <xf numFmtId="3" fontId="1" fillId="2" borderId="0" xfId="0" applyNumberFormat="1" applyFont="1" applyFill="1" applyBorder="1" applyAlignment="1">
      <alignment horizontal="right" wrapText="1"/>
    </xf>
    <xf numFmtId="0" fontId="4" fillId="0" borderId="0" xfId="0" applyFont="1" applyAlignment="1"/>
    <xf numFmtId="164" fontId="1" fillId="2" borderId="0" xfId="0" applyNumberFormat="1" applyFont="1" applyFill="1" applyBorder="1" applyAlignment="1">
      <alignment horizontal="right" wrapText="1"/>
    </xf>
    <xf numFmtId="2" fontId="0" fillId="0" borderId="0" xfId="0" applyNumberFormat="1" applyFont="1" applyAlignment="1"/>
    <xf numFmtId="3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park-interfax.ru/system/home/card%23/company/0EC40D731BC3435690F918B9B8620103/101" TargetMode="External"/><Relationship Id="rId299" Type="http://schemas.openxmlformats.org/officeDocument/2006/relationships/hyperlink" Target="https://spark-interfax.ru/system/home/card%23/company/37E81B5DF95241C6A2732185398CD60E/101" TargetMode="External"/><Relationship Id="rId21" Type="http://schemas.openxmlformats.org/officeDocument/2006/relationships/hyperlink" Target="https://spark-interfax.ru/system/home/card%23/company/A08C603390B94836957BB9E005F21DD2/101" TargetMode="External"/><Relationship Id="rId63" Type="http://schemas.openxmlformats.org/officeDocument/2006/relationships/hyperlink" Target="https://spark-interfax.ru/system/home/card%23/company/DB6ADF8C8F6F43E29F5956D51E90628F/101" TargetMode="External"/><Relationship Id="rId159" Type="http://schemas.openxmlformats.org/officeDocument/2006/relationships/hyperlink" Target="https://spark-interfax.ru/system/home/card%23/company/C080661F0E8744008F1914E8A7BEFDF5/101" TargetMode="External"/><Relationship Id="rId324" Type="http://schemas.openxmlformats.org/officeDocument/2006/relationships/hyperlink" Target="https://spark-interfax.ru/system/home/card%23/company/BFF3E26C248E489EB54A33AE82A64392/101" TargetMode="External"/><Relationship Id="rId366" Type="http://schemas.openxmlformats.org/officeDocument/2006/relationships/hyperlink" Target="https://spark-interfax.ru/system/home/card%23/company/8DF6707E64294E2484612DE590997E8D/101" TargetMode="External"/><Relationship Id="rId170" Type="http://schemas.openxmlformats.org/officeDocument/2006/relationships/hyperlink" Target="https://spark-interfax.ru/system/home/card%23/company/11B7237311794F3E981B6F1CABA24400/101" TargetMode="External"/><Relationship Id="rId226" Type="http://schemas.openxmlformats.org/officeDocument/2006/relationships/hyperlink" Target="https://spark-interfax.ru/system/home/card%23/company/67CC139000F049C3BB1467B4D6F49257/101" TargetMode="External"/><Relationship Id="rId433" Type="http://schemas.openxmlformats.org/officeDocument/2006/relationships/hyperlink" Target="https://spark-interfax.ru/system/home/card%23/company/977ECDF54E7D47DDBEE969CFD36BA0A8/101" TargetMode="External"/><Relationship Id="rId268" Type="http://schemas.openxmlformats.org/officeDocument/2006/relationships/hyperlink" Target="https://spark-interfax.ru/system/home/card%23/company/573A64243F204B6AB3C1B03DF3D55712/101" TargetMode="External"/><Relationship Id="rId475" Type="http://schemas.openxmlformats.org/officeDocument/2006/relationships/hyperlink" Target="https://spark-interfax.ru/system/home/card%23/company/7C3626D12E7241558377CD1C489AE197/101" TargetMode="External"/><Relationship Id="rId32" Type="http://schemas.openxmlformats.org/officeDocument/2006/relationships/hyperlink" Target="https://spark-interfax.ru/system/home/card%23/company/A48913DC652648228EF2502C2F6FDAC8/101" TargetMode="External"/><Relationship Id="rId74" Type="http://schemas.openxmlformats.org/officeDocument/2006/relationships/hyperlink" Target="https://spark-interfax.ru/system/home/card%23/company/AC36575BE00C40EE9A98AAD4FAA61F0F/101" TargetMode="External"/><Relationship Id="rId128" Type="http://schemas.openxmlformats.org/officeDocument/2006/relationships/hyperlink" Target="https://spark-interfax.ru/system/home/card%23/company/DFCF8C6C11CB44E48A449A26167DAFD7/101" TargetMode="External"/><Relationship Id="rId335" Type="http://schemas.openxmlformats.org/officeDocument/2006/relationships/hyperlink" Target="https://spark-interfax.ru/system/home/card%23/company/3A91F87396E741A39FFB4DC471241061/101" TargetMode="External"/><Relationship Id="rId377" Type="http://schemas.openxmlformats.org/officeDocument/2006/relationships/hyperlink" Target="https://spark-interfax.ru/system/home/card%23/company/8A43AFBB0DB2477ABDB17635CD74BA78/101" TargetMode="External"/><Relationship Id="rId5" Type="http://schemas.openxmlformats.org/officeDocument/2006/relationships/hyperlink" Target="https://spark-interfax.ru/system/home/card%23/company/21CC52210FF3464499DF8F62DC6507F9/101" TargetMode="External"/><Relationship Id="rId181" Type="http://schemas.openxmlformats.org/officeDocument/2006/relationships/hyperlink" Target="https://spark-interfax.ru/system/home/card%23/company/753B810B257F40208F7A3AE02EDBA284/101" TargetMode="External"/><Relationship Id="rId237" Type="http://schemas.openxmlformats.org/officeDocument/2006/relationships/hyperlink" Target="https://spark-interfax.ru/system/home/card%23/company/3C310CB1F03B4A30B899AC7250D179EC/101" TargetMode="External"/><Relationship Id="rId402" Type="http://schemas.openxmlformats.org/officeDocument/2006/relationships/hyperlink" Target="https://spark-interfax.ru/system/home/card%23/company/2974628D86D240898085F4FBBD84C7EF/101" TargetMode="External"/><Relationship Id="rId279" Type="http://schemas.openxmlformats.org/officeDocument/2006/relationships/hyperlink" Target="https://spark-interfax.ru/system/home/card%23/company/6C58BFF498A94F26B9B8A46302716B42/101" TargetMode="External"/><Relationship Id="rId444" Type="http://schemas.openxmlformats.org/officeDocument/2006/relationships/hyperlink" Target="https://spark-interfax.ru/system/home/card%23/company/DA78DD9C26674841B482C9B302E276BC/101" TargetMode="External"/><Relationship Id="rId486" Type="http://schemas.openxmlformats.org/officeDocument/2006/relationships/hyperlink" Target="https://spark-interfax.ru/system/home/card%23/company/5F59F11CE77143D5B05930F0C5E05456/101" TargetMode="External"/><Relationship Id="rId43" Type="http://schemas.openxmlformats.org/officeDocument/2006/relationships/hyperlink" Target="https://spark-interfax.ru/system/home/card%23/company/2426986EC7AF4936A51D57686DB497CC/101" TargetMode="External"/><Relationship Id="rId139" Type="http://schemas.openxmlformats.org/officeDocument/2006/relationships/hyperlink" Target="https://spark-interfax.ru/system/home/card%23/company/8E530C4AA1BF4960B6898719624B9BCE/101" TargetMode="External"/><Relationship Id="rId290" Type="http://schemas.openxmlformats.org/officeDocument/2006/relationships/hyperlink" Target="https://spark-interfax.ru/system/home/card%23/company/918407A61A81417DBFD4EEFC32E712D1/101" TargetMode="External"/><Relationship Id="rId304" Type="http://schemas.openxmlformats.org/officeDocument/2006/relationships/hyperlink" Target="https://spark-interfax.ru/system/home/card%23/company/D3327B8C31B14E55BF47EF6CFC3317BA/101" TargetMode="External"/><Relationship Id="rId346" Type="http://schemas.openxmlformats.org/officeDocument/2006/relationships/hyperlink" Target="https://spark-interfax.ru/system/home/card%23/company/406EF4B455F44911A1E40CDBB22E740D/101" TargetMode="External"/><Relationship Id="rId388" Type="http://schemas.openxmlformats.org/officeDocument/2006/relationships/hyperlink" Target="https://spark-interfax.ru/system/home/card%23/company/7C8C2857208D487F917AB61DEE741DE3/101" TargetMode="External"/><Relationship Id="rId85" Type="http://schemas.openxmlformats.org/officeDocument/2006/relationships/hyperlink" Target="https://spark-interfax.ru/system/home/card%23/company/85B68D24F31B4E3885BD18C8014A32A3/101" TargetMode="External"/><Relationship Id="rId150" Type="http://schemas.openxmlformats.org/officeDocument/2006/relationships/hyperlink" Target="https://spark-interfax.ru/system/home/card%23/company/5B4716522131419E9D75CA238D2B0762/101" TargetMode="External"/><Relationship Id="rId192" Type="http://schemas.openxmlformats.org/officeDocument/2006/relationships/hyperlink" Target="https://spark-interfax.ru/system/home/card%23/company/B7858D512D754DA3B6042254BD3CE5B4/101" TargetMode="External"/><Relationship Id="rId206" Type="http://schemas.openxmlformats.org/officeDocument/2006/relationships/hyperlink" Target="https://spark-interfax.ru/system/home/card%23/company/E8F421514F964E95AA8D0606A0558702/101" TargetMode="External"/><Relationship Id="rId413" Type="http://schemas.openxmlformats.org/officeDocument/2006/relationships/hyperlink" Target="https://spark-interfax.ru/system/home/card%23/company/4C5AEE8B26F443D4B9815952F6034205/101" TargetMode="External"/><Relationship Id="rId248" Type="http://schemas.openxmlformats.org/officeDocument/2006/relationships/hyperlink" Target="https://spark-interfax.ru/system/home/card%23/company/D4BF6D04888446359712DCDF4AFFFDE5/101" TargetMode="External"/><Relationship Id="rId455" Type="http://schemas.openxmlformats.org/officeDocument/2006/relationships/hyperlink" Target="https://spark-interfax.ru/system/home/card%23/company/5177F7E245D44F88B0561FBAB7B93E6F/101" TargetMode="External"/><Relationship Id="rId12" Type="http://schemas.openxmlformats.org/officeDocument/2006/relationships/hyperlink" Target="https://spark-interfax.ru/system/home/card%23/company/6465D7FB848F4C1BB761A81E4EBCE892/101" TargetMode="External"/><Relationship Id="rId108" Type="http://schemas.openxmlformats.org/officeDocument/2006/relationships/hyperlink" Target="https://spark-interfax.ru/system/home/card%23/company/CF371744BC544FB6B09F32B85B80263B/101" TargetMode="External"/><Relationship Id="rId315" Type="http://schemas.openxmlformats.org/officeDocument/2006/relationships/hyperlink" Target="https://spark-interfax.ru/system/home/card%23/company/4CD9AB30F3D64611A3A4C9C202F584A4/101" TargetMode="External"/><Relationship Id="rId357" Type="http://schemas.openxmlformats.org/officeDocument/2006/relationships/hyperlink" Target="https://spark-interfax.ru/system/home/card%23/company/F2A3BC175C38440992065FACB74F4AD0/101" TargetMode="External"/><Relationship Id="rId54" Type="http://schemas.openxmlformats.org/officeDocument/2006/relationships/hyperlink" Target="https://spark-interfax.ru/system/home/card%23/company/E0D0B8BE8CA6433082A6687F9A7770A9/101" TargetMode="External"/><Relationship Id="rId96" Type="http://schemas.openxmlformats.org/officeDocument/2006/relationships/hyperlink" Target="https://spark-interfax.ru/system/home/card%23/company/EB0767D98A8E464086465097C6A9013B/101" TargetMode="External"/><Relationship Id="rId161" Type="http://schemas.openxmlformats.org/officeDocument/2006/relationships/hyperlink" Target="https://spark-interfax.ru/system/home/card%23/company/820B516151E544AF871F07EACFDB1D2A/101" TargetMode="External"/><Relationship Id="rId217" Type="http://schemas.openxmlformats.org/officeDocument/2006/relationships/hyperlink" Target="https://spark-interfax.ru/system/home/card%23/company/B8487A60DD354F9F8BD95FD44CCA79F7/101" TargetMode="External"/><Relationship Id="rId399" Type="http://schemas.openxmlformats.org/officeDocument/2006/relationships/hyperlink" Target="https://spark-interfax.ru/system/home/card%23/company/34FE3538DA494198A8B3588580359C42/101" TargetMode="External"/><Relationship Id="rId259" Type="http://schemas.openxmlformats.org/officeDocument/2006/relationships/hyperlink" Target="https://spark-interfax.ru/system/home/card%23/company/A67BB6733C274D6ABC7E7F4D519F6811/101" TargetMode="External"/><Relationship Id="rId424" Type="http://schemas.openxmlformats.org/officeDocument/2006/relationships/hyperlink" Target="https://spark-interfax.ru/system/home/card%23/company/B132125A2EA74D82A70B63550BB61357/101" TargetMode="External"/><Relationship Id="rId466" Type="http://schemas.openxmlformats.org/officeDocument/2006/relationships/hyperlink" Target="https://spark-interfax.ru/system/home/card%23/company/B7BB7AF99164493590243FC65A7EFB96/101" TargetMode="External"/><Relationship Id="rId23" Type="http://schemas.openxmlformats.org/officeDocument/2006/relationships/hyperlink" Target="https://spark-interfax.ru/system/home/card%23/company/287F93047D4041DE8787FD757B46E551/101" TargetMode="External"/><Relationship Id="rId119" Type="http://schemas.openxmlformats.org/officeDocument/2006/relationships/hyperlink" Target="https://spark-interfax.ru/system/home/card%23/company/2E1F665EFB8D4E119444FF6D81A526C0/101" TargetMode="External"/><Relationship Id="rId270" Type="http://schemas.openxmlformats.org/officeDocument/2006/relationships/hyperlink" Target="https://spark-interfax.ru/system/home/card%23/company/31B9E77D1E5C4AB98AE665AF46A9D853/101" TargetMode="External"/><Relationship Id="rId326" Type="http://schemas.openxmlformats.org/officeDocument/2006/relationships/hyperlink" Target="https://spark-interfax.ru/system/home/card%23/company/91B579D34EA54BBC9FAC847DBDF9754D/101" TargetMode="External"/><Relationship Id="rId65" Type="http://schemas.openxmlformats.org/officeDocument/2006/relationships/hyperlink" Target="https://spark-interfax.ru/system/home/card%23/company/52F09BE5CFCC411E86A0FA439ECD9D85/101" TargetMode="External"/><Relationship Id="rId130" Type="http://schemas.openxmlformats.org/officeDocument/2006/relationships/hyperlink" Target="https://spark-interfax.ru/system/home/card%23/company/FFFE7C1E413448AD8EC7A6B4F0F101F6/101" TargetMode="External"/><Relationship Id="rId368" Type="http://schemas.openxmlformats.org/officeDocument/2006/relationships/hyperlink" Target="https://spark-interfax.ru/system/home/card%23/company/3B9D703AC40442C2821E4D8730A024F9/101" TargetMode="External"/><Relationship Id="rId172" Type="http://schemas.openxmlformats.org/officeDocument/2006/relationships/hyperlink" Target="https://spark-interfax.ru/system/home/card%23/company/EB28DC3FCCD149E7AFBF645CC82AA768/101" TargetMode="External"/><Relationship Id="rId228" Type="http://schemas.openxmlformats.org/officeDocument/2006/relationships/hyperlink" Target="https://spark-interfax.ru/system/home/card%23/company/3FB427CD1CEF48B99D240AEE866383B1/101" TargetMode="External"/><Relationship Id="rId435" Type="http://schemas.openxmlformats.org/officeDocument/2006/relationships/hyperlink" Target="https://spark-interfax.ru/system/home/card%23/company/433D45E543024061AEBA529FDE69C510/101" TargetMode="External"/><Relationship Id="rId477" Type="http://schemas.openxmlformats.org/officeDocument/2006/relationships/hyperlink" Target="https://spark-interfax.ru/system/home/card%23/company/296D3B3F8182409D92C66E257C5E555A/101" TargetMode="External"/><Relationship Id="rId281" Type="http://schemas.openxmlformats.org/officeDocument/2006/relationships/hyperlink" Target="https://spark-interfax.ru/system/home/card%23/company/6D249FE835F8485CBBE77143E39F097C/101" TargetMode="External"/><Relationship Id="rId337" Type="http://schemas.openxmlformats.org/officeDocument/2006/relationships/hyperlink" Target="https://spark-interfax.ru/system/home/card%23/company/D11D93CA36BF4D31B1AEE8769649A237/101" TargetMode="External"/><Relationship Id="rId34" Type="http://schemas.openxmlformats.org/officeDocument/2006/relationships/hyperlink" Target="https://spark-interfax.ru/system/home/card%23/company/A67FFDC7A4CF4508AA23C6604A5900C1/101" TargetMode="External"/><Relationship Id="rId76" Type="http://schemas.openxmlformats.org/officeDocument/2006/relationships/hyperlink" Target="https://spark-interfax.ru/system/home/card%23/company/AA06241789E94E64B912B59715FC8AF1/101" TargetMode="External"/><Relationship Id="rId141" Type="http://schemas.openxmlformats.org/officeDocument/2006/relationships/hyperlink" Target="https://spark-interfax.ru/system/home/card%23/company/A3FAD963A3744513ABDC99100094C94C/101" TargetMode="External"/><Relationship Id="rId379" Type="http://schemas.openxmlformats.org/officeDocument/2006/relationships/hyperlink" Target="https://spark-interfax.ru/system/home/card%23/company/A6E59858B45D46EEBDDD5E0015003873/101" TargetMode="External"/><Relationship Id="rId7" Type="http://schemas.openxmlformats.org/officeDocument/2006/relationships/hyperlink" Target="https://spark-interfax.ru/system/home/card%23/company/84FB912AF20146C1B67B779543E8DC29/101" TargetMode="External"/><Relationship Id="rId183" Type="http://schemas.openxmlformats.org/officeDocument/2006/relationships/hyperlink" Target="https://spark-interfax.ru/system/home/card%23/company/9247332DC441430CACB53BB3D861FA72/101" TargetMode="External"/><Relationship Id="rId239" Type="http://schemas.openxmlformats.org/officeDocument/2006/relationships/hyperlink" Target="https://spark-interfax.ru/system/home/card%23/company/B798B22371C148D4A861DDA5B927E95C/101" TargetMode="External"/><Relationship Id="rId390" Type="http://schemas.openxmlformats.org/officeDocument/2006/relationships/hyperlink" Target="https://spark-interfax.ru/system/home/card%23/company/C52667E1D4CB4976AD792DFEFE0C1701/101" TargetMode="External"/><Relationship Id="rId404" Type="http://schemas.openxmlformats.org/officeDocument/2006/relationships/hyperlink" Target="https://spark-interfax.ru/system/home/card%23/company/3F5E229C291F4D7D96F8093A47AEDBB3/101" TargetMode="External"/><Relationship Id="rId446" Type="http://schemas.openxmlformats.org/officeDocument/2006/relationships/hyperlink" Target="https://spark-interfax.ru/system/home/card%23/company/135157B89335454BA513606C12BD7B3D/101" TargetMode="External"/><Relationship Id="rId250" Type="http://schemas.openxmlformats.org/officeDocument/2006/relationships/hyperlink" Target="https://spark-interfax.ru/system/home/card%23/company/B9B7D5A700F1437082C81C6B6B147D3D/101" TargetMode="External"/><Relationship Id="rId292" Type="http://schemas.openxmlformats.org/officeDocument/2006/relationships/hyperlink" Target="https://spark-interfax.ru/system/home/card%23/company/B0B7C834040144F7A247AFA08D7A901B/101" TargetMode="External"/><Relationship Id="rId306" Type="http://schemas.openxmlformats.org/officeDocument/2006/relationships/hyperlink" Target="https://spark-interfax.ru/system/home/card%23/company/8BEB3BF6065D43618A21FEAE6A615D1B/101" TargetMode="External"/><Relationship Id="rId488" Type="http://schemas.openxmlformats.org/officeDocument/2006/relationships/hyperlink" Target="https://spark-interfax.ru/system/home/card%23/company/7FD945E904724C50B89953B5B25A4731/101" TargetMode="External"/><Relationship Id="rId45" Type="http://schemas.openxmlformats.org/officeDocument/2006/relationships/hyperlink" Target="https://spark-interfax.ru/system/home/card%23/company/238720A7BB7F4C219ABCCD6CA93F9C6D/101" TargetMode="External"/><Relationship Id="rId87" Type="http://schemas.openxmlformats.org/officeDocument/2006/relationships/hyperlink" Target="https://spark-interfax.ru/system/home/card%23/company/A321D68782CE401B82A0017235FDE271/101" TargetMode="External"/><Relationship Id="rId110" Type="http://schemas.openxmlformats.org/officeDocument/2006/relationships/hyperlink" Target="https://spark-interfax.ru/system/home/card%23/company/B6D394ECFDCC4FB687E42937B17ED40D/101" TargetMode="External"/><Relationship Id="rId348" Type="http://schemas.openxmlformats.org/officeDocument/2006/relationships/hyperlink" Target="https://spark-interfax.ru/system/home/card%23/company/2EA547546C0641E7A7488355E59DD0D9/101" TargetMode="External"/><Relationship Id="rId152" Type="http://schemas.openxmlformats.org/officeDocument/2006/relationships/hyperlink" Target="https://spark-interfax.ru/system/home/card%23/company/2E8A20AF1F9048D99C3D348DE04A7C3B/101" TargetMode="External"/><Relationship Id="rId194" Type="http://schemas.openxmlformats.org/officeDocument/2006/relationships/hyperlink" Target="https://spark-interfax.ru/system/home/card%23/company/253D555EFB8D49D5B8F6D9FF2033D5FE/101" TargetMode="External"/><Relationship Id="rId208" Type="http://schemas.openxmlformats.org/officeDocument/2006/relationships/hyperlink" Target="https://spark-interfax.ru/system/home/card%23/company/F1B26D36F6284618A8B7769961EFA853/101" TargetMode="External"/><Relationship Id="rId415" Type="http://schemas.openxmlformats.org/officeDocument/2006/relationships/hyperlink" Target="https://spark-interfax.ru/system/home/card%23/company/15248C6A640E4CF2A46733E1DF2E8EBC/101" TargetMode="External"/><Relationship Id="rId457" Type="http://schemas.openxmlformats.org/officeDocument/2006/relationships/hyperlink" Target="https://spark-interfax.ru/system/home/card%23/company/F03A23BA06BD4F3193F5D624FB20C1E8/101" TargetMode="External"/><Relationship Id="rId261" Type="http://schemas.openxmlformats.org/officeDocument/2006/relationships/hyperlink" Target="https://spark-interfax.ru/system/home/card%23/company/D91F1D2EFCD646768DE33A35EFC8CEFB/101" TargetMode="External"/><Relationship Id="rId14" Type="http://schemas.openxmlformats.org/officeDocument/2006/relationships/hyperlink" Target="https://spark-interfax.ru/system/home/card%23/company/3E158BCFB9234A0E99751FAD48976AC4/101" TargetMode="External"/><Relationship Id="rId56" Type="http://schemas.openxmlformats.org/officeDocument/2006/relationships/hyperlink" Target="https://spark-interfax.ru/system/home/card%23/company/A5F121BE5DA243B7B64AC07170BD114F/101" TargetMode="External"/><Relationship Id="rId317" Type="http://schemas.openxmlformats.org/officeDocument/2006/relationships/hyperlink" Target="https://spark-interfax.ru/system/home/card%23/company/EF0E933844534BAA88AB39BD50051897/101" TargetMode="External"/><Relationship Id="rId359" Type="http://schemas.openxmlformats.org/officeDocument/2006/relationships/hyperlink" Target="https://spark-interfax.ru/system/home/card%23/company/3E15002CE7AC4301B9966885CA825501/101" TargetMode="External"/><Relationship Id="rId98" Type="http://schemas.openxmlformats.org/officeDocument/2006/relationships/hyperlink" Target="https://spark-interfax.ru/system/home/card%23/company/8FDD1880702D4F2081F1BC595491FB82/101" TargetMode="External"/><Relationship Id="rId121" Type="http://schemas.openxmlformats.org/officeDocument/2006/relationships/hyperlink" Target="https://spark-interfax.ru/system/home/card%23/company/036276CBDF0245879D25F8A801384F84/101" TargetMode="External"/><Relationship Id="rId163" Type="http://schemas.openxmlformats.org/officeDocument/2006/relationships/hyperlink" Target="https://spark-interfax.ru/system/home/card%23/company/C621674AB1B8459AB3A8DED63D7170E8/101" TargetMode="External"/><Relationship Id="rId219" Type="http://schemas.openxmlformats.org/officeDocument/2006/relationships/hyperlink" Target="https://spark-interfax.ru/system/home/card%23/company/A941D1D841C540A8BC2B2DC70513C8EF/101" TargetMode="External"/><Relationship Id="rId370" Type="http://schemas.openxmlformats.org/officeDocument/2006/relationships/hyperlink" Target="https://spark-interfax.ru/system/home/card%23/company/8EFB5ADBCE414CBAB6E96A88DF90AF9C/101" TargetMode="External"/><Relationship Id="rId426" Type="http://schemas.openxmlformats.org/officeDocument/2006/relationships/hyperlink" Target="https://spark-interfax.ru/system/home/card%23/company/47088B2B159B4DE7AAD4592960F5484F/101" TargetMode="External"/><Relationship Id="rId230" Type="http://schemas.openxmlformats.org/officeDocument/2006/relationships/hyperlink" Target="https://spark-interfax.ru/system/home/card%23/company/A8BDCDA12DDC49A1B3816A778EF2CBB6/101" TargetMode="External"/><Relationship Id="rId468" Type="http://schemas.openxmlformats.org/officeDocument/2006/relationships/hyperlink" Target="https://spark-interfax.ru/system/home/card%23/company/F28B45B0AA7944CCB0AF4ECE453130F3/101" TargetMode="External"/><Relationship Id="rId25" Type="http://schemas.openxmlformats.org/officeDocument/2006/relationships/hyperlink" Target="https://spark-interfax.ru/system/home/card%23/company/8F92C3333E274765AC478A81A7865020/101" TargetMode="External"/><Relationship Id="rId67" Type="http://schemas.openxmlformats.org/officeDocument/2006/relationships/hyperlink" Target="https://spark-interfax.ru/system/home/card%23/company/731363FA91C6429B82A54EA34E995D67/101" TargetMode="External"/><Relationship Id="rId272" Type="http://schemas.openxmlformats.org/officeDocument/2006/relationships/hyperlink" Target="https://spark-interfax.ru/system/home/card%23/company/17F2ACF647704DBB9C07A3820DF4B46A/101" TargetMode="External"/><Relationship Id="rId328" Type="http://schemas.openxmlformats.org/officeDocument/2006/relationships/hyperlink" Target="https://spark-interfax.ru/system/home/card%23/company/72D7FC414BD444E480613CE55C83B4D3/101" TargetMode="External"/><Relationship Id="rId132" Type="http://schemas.openxmlformats.org/officeDocument/2006/relationships/hyperlink" Target="https://spark-interfax.ru/system/home/card%23/company/C2088DF4304A4D39BAA4345A9CF044BF/101" TargetMode="External"/><Relationship Id="rId174" Type="http://schemas.openxmlformats.org/officeDocument/2006/relationships/hyperlink" Target="https://spark-interfax.ru/system/home/card%23/company/EB8F78FD6FEA4DB8A7A8251A602AA006/101" TargetMode="External"/><Relationship Id="rId381" Type="http://schemas.openxmlformats.org/officeDocument/2006/relationships/hyperlink" Target="https://spark-interfax.ru/system/home/card%23/company/A88E45E7F69D4D9B9636846E4EC56D3F/101" TargetMode="External"/><Relationship Id="rId241" Type="http://schemas.openxmlformats.org/officeDocument/2006/relationships/hyperlink" Target="https://spark-interfax.ru/system/home/card%23/company/1C42A1FEE66D439888EF112E94912557/101" TargetMode="External"/><Relationship Id="rId437" Type="http://schemas.openxmlformats.org/officeDocument/2006/relationships/hyperlink" Target="https://spark-interfax.ru/system/home/card%23/company/4A6B18C7C6CC49FE9D1FE428A929E956/101" TargetMode="External"/><Relationship Id="rId479" Type="http://schemas.openxmlformats.org/officeDocument/2006/relationships/hyperlink" Target="https://spark-interfax.ru/system/home/card%23/company/9F365C4A47AD43B6ACE82E1973141BCF/101" TargetMode="External"/><Relationship Id="rId36" Type="http://schemas.openxmlformats.org/officeDocument/2006/relationships/hyperlink" Target="https://spark-interfax.ru/system/home/card%23/company/6DD567AFE573484687C09281DD6F0AA4/101" TargetMode="External"/><Relationship Id="rId283" Type="http://schemas.openxmlformats.org/officeDocument/2006/relationships/hyperlink" Target="https://spark-interfax.ru/system/home/card%23/company/10120FAC4735496F9EF632542B221A19/101" TargetMode="External"/><Relationship Id="rId339" Type="http://schemas.openxmlformats.org/officeDocument/2006/relationships/hyperlink" Target="https://spark-interfax.ru/system/home/card%23/company/214241937CA4436C900F9364D63C37AD/101" TargetMode="External"/><Relationship Id="rId490" Type="http://schemas.openxmlformats.org/officeDocument/2006/relationships/hyperlink" Target="https://spark-interfax.ru/system/home/card%23/company/85A24305FF7840F792039F898968FC18/101" TargetMode="External"/><Relationship Id="rId78" Type="http://schemas.openxmlformats.org/officeDocument/2006/relationships/hyperlink" Target="https://spark-interfax.ru/system/home/card%23/company/26ACB5C6D3044327AB24840820573CEE/101" TargetMode="External"/><Relationship Id="rId101" Type="http://schemas.openxmlformats.org/officeDocument/2006/relationships/hyperlink" Target="https://spark-interfax.ru/system/home/card%23/company/1622621FB3604ED283A930175CFB9036/101" TargetMode="External"/><Relationship Id="rId143" Type="http://schemas.openxmlformats.org/officeDocument/2006/relationships/hyperlink" Target="https://spark-interfax.ru/system/home/card%23/company/1D42A194E0E34FD6A00225D60F49D84B/101" TargetMode="External"/><Relationship Id="rId185" Type="http://schemas.openxmlformats.org/officeDocument/2006/relationships/hyperlink" Target="https://spark-interfax.ru/system/home/card%23/company/A5AECCC619FD4478B787CCFD8A0B1954/101" TargetMode="External"/><Relationship Id="rId350" Type="http://schemas.openxmlformats.org/officeDocument/2006/relationships/hyperlink" Target="https://spark-interfax.ru/system/home/card%23/company/942EF6F1038D402FB369BD9E87005594/101" TargetMode="External"/><Relationship Id="rId406" Type="http://schemas.openxmlformats.org/officeDocument/2006/relationships/hyperlink" Target="https://spark-interfax.ru/system/home/card%23/company/B9D5E763F4E443958AE7755D023BA1FC/101" TargetMode="External"/><Relationship Id="rId9" Type="http://schemas.openxmlformats.org/officeDocument/2006/relationships/hyperlink" Target="https://spark-interfax.ru/system/home/card%23/company/B7358D75BAF44A99AE2C39CBA1C42949/101" TargetMode="External"/><Relationship Id="rId210" Type="http://schemas.openxmlformats.org/officeDocument/2006/relationships/hyperlink" Target="https://spark-interfax.ru/system/home/card%23/company/8BB9042BA0F842B28AA97D89F0E6A79D/101" TargetMode="External"/><Relationship Id="rId392" Type="http://schemas.openxmlformats.org/officeDocument/2006/relationships/hyperlink" Target="https://spark-interfax.ru/system/home/card%23/company/DF43BB8AD61847F09E55F01915C4EC90/101" TargetMode="External"/><Relationship Id="rId448" Type="http://schemas.openxmlformats.org/officeDocument/2006/relationships/hyperlink" Target="https://spark-interfax.ru/system/home/card%23/company/D49273A7C54E419C9BB7284B6658E084/101" TargetMode="External"/><Relationship Id="rId252" Type="http://schemas.openxmlformats.org/officeDocument/2006/relationships/hyperlink" Target="https://spark-interfax.ru/system/home/card%23/company/DB2439A896354F3196C8928D12E6317A/101" TargetMode="External"/><Relationship Id="rId294" Type="http://schemas.openxmlformats.org/officeDocument/2006/relationships/hyperlink" Target="https://spark-interfax.ru/system/home/card%23/company/7961A006FF8340C4A18724BF95DABF59/101" TargetMode="External"/><Relationship Id="rId308" Type="http://schemas.openxmlformats.org/officeDocument/2006/relationships/hyperlink" Target="https://spark-interfax.ru/system/home/card%23/company/5E4DCA8F1AF04990928A5E06D8EB5804/101" TargetMode="External"/><Relationship Id="rId47" Type="http://schemas.openxmlformats.org/officeDocument/2006/relationships/hyperlink" Target="https://spark-interfax.ru/system/home/card%23/company/AA13B914632B432FB51392F5895E1784/101" TargetMode="External"/><Relationship Id="rId89" Type="http://schemas.openxmlformats.org/officeDocument/2006/relationships/hyperlink" Target="https://spark-interfax.ru/system/home/card%23/company/210D5C0F507A40A7A327B9BAE45368D0/101" TargetMode="External"/><Relationship Id="rId112" Type="http://schemas.openxmlformats.org/officeDocument/2006/relationships/hyperlink" Target="https://spark-interfax.ru/system/home/card%23/company/3D8BAAADF2B4425E92C55F9B717C11F7/101" TargetMode="External"/><Relationship Id="rId154" Type="http://schemas.openxmlformats.org/officeDocument/2006/relationships/hyperlink" Target="https://spark-interfax.ru/system/home/card%23/company/5D51408FFDE949B19999456A6608D84B/101" TargetMode="External"/><Relationship Id="rId361" Type="http://schemas.openxmlformats.org/officeDocument/2006/relationships/hyperlink" Target="https://spark-interfax.ru/system/home/card%23/company/306EA35047064D18A2B81E5354C9A751/101" TargetMode="External"/><Relationship Id="rId196" Type="http://schemas.openxmlformats.org/officeDocument/2006/relationships/hyperlink" Target="https://spark-interfax.ru/system/home/card%23/company/3ECA50FA544E459B8DE226F2D618C1FF/101" TargetMode="External"/><Relationship Id="rId417" Type="http://schemas.openxmlformats.org/officeDocument/2006/relationships/hyperlink" Target="https://spark-interfax.ru/system/home/card%23/company/B13CC2508BF743F3BD3EC469F09EB687/101" TargetMode="External"/><Relationship Id="rId459" Type="http://schemas.openxmlformats.org/officeDocument/2006/relationships/hyperlink" Target="https://spark-interfax.ru/system/home/card%23/company/A42656636B4043748CDC2945476D7AD0/101" TargetMode="External"/><Relationship Id="rId16" Type="http://schemas.openxmlformats.org/officeDocument/2006/relationships/hyperlink" Target="https://spark-interfax.ru/system/home/card%23/company/ED690AA848FB42759DCC754B34FDB0AA/101" TargetMode="External"/><Relationship Id="rId221" Type="http://schemas.openxmlformats.org/officeDocument/2006/relationships/hyperlink" Target="https://spark-interfax.ru/system/home/card%23/company/5912364170104503B32D666F55DF9ECB/101" TargetMode="External"/><Relationship Id="rId263" Type="http://schemas.openxmlformats.org/officeDocument/2006/relationships/hyperlink" Target="https://spark-interfax.ru/system/home/card%23/company/E7FF9E15A8CC41CF98E695F260652322/101" TargetMode="External"/><Relationship Id="rId319" Type="http://schemas.openxmlformats.org/officeDocument/2006/relationships/hyperlink" Target="https://spark-interfax.ru/system/home/card%23/company/F69A65E41D74458A81D1959F9C12CB75/101" TargetMode="External"/><Relationship Id="rId470" Type="http://schemas.openxmlformats.org/officeDocument/2006/relationships/hyperlink" Target="https://spark-interfax.ru/system/home/card%23/company/6E85876A7F1040D6962F71E5C803EAE3/101" TargetMode="External"/><Relationship Id="rId58" Type="http://schemas.openxmlformats.org/officeDocument/2006/relationships/hyperlink" Target="https://spark-interfax.ru/system/home/card%23/company/99B6B876BBDE40D6B20C0972F738E19E/101" TargetMode="External"/><Relationship Id="rId123" Type="http://schemas.openxmlformats.org/officeDocument/2006/relationships/hyperlink" Target="https://spark-interfax.ru/system/home/card%23/company/70D1381D51AC483BA406848544DB0768/101" TargetMode="External"/><Relationship Id="rId330" Type="http://schemas.openxmlformats.org/officeDocument/2006/relationships/hyperlink" Target="https://spark-interfax.ru/system/home/card%23/company/544A49325912420EA8A662E02372E658/101" TargetMode="External"/><Relationship Id="rId165" Type="http://schemas.openxmlformats.org/officeDocument/2006/relationships/hyperlink" Target="https://spark-interfax.ru/system/home/card%23/company/B165EC134A6F4A49A1EFD2FFA96B9343/101" TargetMode="External"/><Relationship Id="rId372" Type="http://schemas.openxmlformats.org/officeDocument/2006/relationships/hyperlink" Target="https://spark-interfax.ru/system/home/card%23/company/C4C1D3B0487543279419346D413C78AA/101" TargetMode="External"/><Relationship Id="rId428" Type="http://schemas.openxmlformats.org/officeDocument/2006/relationships/hyperlink" Target="https://spark-interfax.ru/system/home/card%23/company/E3E15DBBEF654334B50368241AD87818/101" TargetMode="External"/><Relationship Id="rId232" Type="http://schemas.openxmlformats.org/officeDocument/2006/relationships/hyperlink" Target="https://spark-interfax.ru/system/home/card%23/company/6CFA3F56DDFD459F9B019DD83CD52B0B/101" TargetMode="External"/><Relationship Id="rId274" Type="http://schemas.openxmlformats.org/officeDocument/2006/relationships/hyperlink" Target="https://spark-interfax.ru/system/home/card%23/company/889493F22FF64B68877E01E1E0265978/101" TargetMode="External"/><Relationship Id="rId481" Type="http://schemas.openxmlformats.org/officeDocument/2006/relationships/hyperlink" Target="https://spark-interfax.ru/system/home/card%23/company/DBA5A5715BA042F7B6C9028B32930B67/101" TargetMode="External"/><Relationship Id="rId27" Type="http://schemas.openxmlformats.org/officeDocument/2006/relationships/hyperlink" Target="https://spark-interfax.ru/system/home/card%23/company/3FE2849C21FA4191BE8E833D33B08FC4/101" TargetMode="External"/><Relationship Id="rId69" Type="http://schemas.openxmlformats.org/officeDocument/2006/relationships/hyperlink" Target="https://spark-interfax.ru/system/home/card%23/company/96766C8DF29142D4B2BFF01A365D2733/101" TargetMode="External"/><Relationship Id="rId134" Type="http://schemas.openxmlformats.org/officeDocument/2006/relationships/hyperlink" Target="https://spark-interfax.ru/system/home/card%23/company/7A9E92DCF36C4B10BE9ADB615F55B233/101" TargetMode="External"/><Relationship Id="rId80" Type="http://schemas.openxmlformats.org/officeDocument/2006/relationships/hyperlink" Target="https://spark-interfax.ru/system/home/card%23/company/B806A933C2364BA196B7A4AF988FD7D5/101" TargetMode="External"/><Relationship Id="rId176" Type="http://schemas.openxmlformats.org/officeDocument/2006/relationships/hyperlink" Target="https://spark-interfax.ru/system/home/card%23/company/88364856377748CFB5B1ECCFC58B7E7B/101" TargetMode="External"/><Relationship Id="rId341" Type="http://schemas.openxmlformats.org/officeDocument/2006/relationships/hyperlink" Target="https://spark-interfax.ru/system/home/card%23/company/423FF24BAED44113827D1761421F7506/101" TargetMode="External"/><Relationship Id="rId383" Type="http://schemas.openxmlformats.org/officeDocument/2006/relationships/hyperlink" Target="https://spark-interfax.ru/system/home/card%23/company/5CF43ADA6C294329988EA7046FE6C719/101" TargetMode="External"/><Relationship Id="rId439" Type="http://schemas.openxmlformats.org/officeDocument/2006/relationships/hyperlink" Target="https://spark-interfax.ru/system/home/card%23/company/993C575C2C174A1D8FD0F4164A4366E1/101" TargetMode="External"/><Relationship Id="rId201" Type="http://schemas.openxmlformats.org/officeDocument/2006/relationships/hyperlink" Target="https://spark-interfax.ru/system/home/card%23/company/285325AAB8E441FC91A9A28C17E9FEE0/101" TargetMode="External"/><Relationship Id="rId243" Type="http://schemas.openxmlformats.org/officeDocument/2006/relationships/hyperlink" Target="https://spark-interfax.ru/system/home/card%23/company/66C790BDF57F4DDFBB89A422952C49CC/101" TargetMode="External"/><Relationship Id="rId285" Type="http://schemas.openxmlformats.org/officeDocument/2006/relationships/hyperlink" Target="https://spark-interfax.ru/system/home/card%23/company/0378FF8E5DE943BA95288D9DCB7683D7/101" TargetMode="External"/><Relationship Id="rId450" Type="http://schemas.openxmlformats.org/officeDocument/2006/relationships/hyperlink" Target="https://spark-interfax.ru/system/home/card%23/company/9D22695DB6444DD39EBC5E57D59DCE6F/101" TargetMode="External"/><Relationship Id="rId38" Type="http://schemas.openxmlformats.org/officeDocument/2006/relationships/hyperlink" Target="https://spark-interfax.ru/system/home/card%23/company/B58F1D3CD7AD4DAA8484F63C278759B7/101" TargetMode="External"/><Relationship Id="rId103" Type="http://schemas.openxmlformats.org/officeDocument/2006/relationships/hyperlink" Target="https://spark-interfax.ru/system/home/card%23/company/FC1BD77509F14E0E84A29D0613740387/101" TargetMode="External"/><Relationship Id="rId310" Type="http://schemas.openxmlformats.org/officeDocument/2006/relationships/hyperlink" Target="https://spark-interfax.ru/system/home/card%23/company/350F8FBD90E84F23AD674F156B446F5F/101" TargetMode="External"/><Relationship Id="rId492" Type="http://schemas.openxmlformats.org/officeDocument/2006/relationships/hyperlink" Target="https://spark-interfax.ru/system/home/card%23/company/0818011547FE44D8AA5E616513406E7B/101" TargetMode="External"/><Relationship Id="rId91" Type="http://schemas.openxmlformats.org/officeDocument/2006/relationships/hyperlink" Target="https://spark-interfax.ru/system/home/card%23/company/B5282ED6B24B4ABEB0A7A26F03ADD404/101" TargetMode="External"/><Relationship Id="rId145" Type="http://schemas.openxmlformats.org/officeDocument/2006/relationships/hyperlink" Target="https://spark-interfax.ru/system/home/card%23/company/4106A2C5AFAF4D1197E60B6E40EB7226/101" TargetMode="External"/><Relationship Id="rId187" Type="http://schemas.openxmlformats.org/officeDocument/2006/relationships/hyperlink" Target="https://spark-interfax.ru/system/home/card%23/company/A66385EF966049BD8841E05F9EB2AF8D/101" TargetMode="External"/><Relationship Id="rId352" Type="http://schemas.openxmlformats.org/officeDocument/2006/relationships/hyperlink" Target="https://spark-interfax.ru/system/home/card%23/company/0F935B5001A34F7AB93EC0763846B5A5/101" TargetMode="External"/><Relationship Id="rId394" Type="http://schemas.openxmlformats.org/officeDocument/2006/relationships/hyperlink" Target="https://spark-interfax.ru/system/home/card%23/company/CE60D36474E740B3A0A03E1FA0E5F8D1/101" TargetMode="External"/><Relationship Id="rId408" Type="http://schemas.openxmlformats.org/officeDocument/2006/relationships/hyperlink" Target="https://spark-interfax.ru/system/home/card%23/company/DB58B430A4114D55A1E95823E650CD77/101" TargetMode="External"/><Relationship Id="rId212" Type="http://schemas.openxmlformats.org/officeDocument/2006/relationships/hyperlink" Target="https://spark-interfax.ru/system/home/card%23/company/1DE74A2C57044CEC94233F0B2906DC09/101" TargetMode="External"/><Relationship Id="rId254" Type="http://schemas.openxmlformats.org/officeDocument/2006/relationships/hyperlink" Target="https://spark-interfax.ru/system/home/card%23/company/E962DB09A3A345A9A06016ADBE54EA0C/101" TargetMode="External"/><Relationship Id="rId49" Type="http://schemas.openxmlformats.org/officeDocument/2006/relationships/hyperlink" Target="https://spark-interfax.ru/system/home/card%23/company/C829F8B331674A3BB541E8A6A250CD52/101" TargetMode="External"/><Relationship Id="rId114" Type="http://schemas.openxmlformats.org/officeDocument/2006/relationships/hyperlink" Target="https://spark-interfax.ru/system/home/card%23/company/2C8E696B3CFF4929A7702C8C73AFA2AE/101" TargetMode="External"/><Relationship Id="rId296" Type="http://schemas.openxmlformats.org/officeDocument/2006/relationships/hyperlink" Target="https://spark-interfax.ru/system/home/card%23/company/45A8446B2FFA4F9998BC5B58AB87F5E8/101" TargetMode="External"/><Relationship Id="rId461" Type="http://schemas.openxmlformats.org/officeDocument/2006/relationships/hyperlink" Target="https://spark-interfax.ru/system/home/card%23/company/78A715286DC04CC19B413DD1A7379F33/101" TargetMode="External"/><Relationship Id="rId60" Type="http://schemas.openxmlformats.org/officeDocument/2006/relationships/hyperlink" Target="https://spark-interfax.ru/system/home/card%23/company/DBDDA25F390346D4993DD763666550CB/101" TargetMode="External"/><Relationship Id="rId156" Type="http://schemas.openxmlformats.org/officeDocument/2006/relationships/hyperlink" Target="https://spark-interfax.ru/system/home/card%23/company/F0641288CF81430EA2DB13917CC152A4/101" TargetMode="External"/><Relationship Id="rId198" Type="http://schemas.openxmlformats.org/officeDocument/2006/relationships/hyperlink" Target="https://spark-interfax.ru/system/home/card%23/company/4AB84931180F420C8B8CD859BAEA84A4/101" TargetMode="External"/><Relationship Id="rId321" Type="http://schemas.openxmlformats.org/officeDocument/2006/relationships/hyperlink" Target="https://spark-interfax.ru/system/home/card%23/company/C335D4AFD30A4142BAF925C4CB6DBA92/101" TargetMode="External"/><Relationship Id="rId363" Type="http://schemas.openxmlformats.org/officeDocument/2006/relationships/hyperlink" Target="https://spark-interfax.ru/system/home/card%23/company/4B55E1861B424600A396BBFE2325D290/101" TargetMode="External"/><Relationship Id="rId419" Type="http://schemas.openxmlformats.org/officeDocument/2006/relationships/hyperlink" Target="https://spark-interfax.ru/system/home/card%23/company/704B05DF02E94CC7AC021D6BE47894D8/101" TargetMode="External"/><Relationship Id="rId223" Type="http://schemas.openxmlformats.org/officeDocument/2006/relationships/hyperlink" Target="https://spark-interfax.ru/system/home/card%23/company/1E9DE286B7BD41F3973118B3CADB5ED4/101" TargetMode="External"/><Relationship Id="rId430" Type="http://schemas.openxmlformats.org/officeDocument/2006/relationships/hyperlink" Target="https://spark-interfax.ru/system/home/card%23/company/08821F3458364871A90BE32D69C09A77/101" TargetMode="External"/><Relationship Id="rId18" Type="http://schemas.openxmlformats.org/officeDocument/2006/relationships/hyperlink" Target="https://spark-interfax.ru/system/home/card%23/company/F77A1053C8C34ED083EB4DC1CC7E0A5B/101" TargetMode="External"/><Relationship Id="rId265" Type="http://schemas.openxmlformats.org/officeDocument/2006/relationships/hyperlink" Target="https://spark-interfax.ru/system/home/card%23/company/12AFF7173FEB4CF0A9277C1A60AB0FFB/101" TargetMode="External"/><Relationship Id="rId472" Type="http://schemas.openxmlformats.org/officeDocument/2006/relationships/hyperlink" Target="https://spark-interfax.ru/system/home/card%23/company/25404486338F4676A03729E7687ABFC3/101" TargetMode="External"/><Relationship Id="rId125" Type="http://schemas.openxmlformats.org/officeDocument/2006/relationships/hyperlink" Target="https://spark-interfax.ru/system/home/card%23/company/B0EC6BB4343143ED9BB496CA1C44C241/101" TargetMode="External"/><Relationship Id="rId167" Type="http://schemas.openxmlformats.org/officeDocument/2006/relationships/hyperlink" Target="https://spark-interfax.ru/system/home/card%23/company/DFA64882FA114DFF9032FA3800304CFD/101" TargetMode="External"/><Relationship Id="rId332" Type="http://schemas.openxmlformats.org/officeDocument/2006/relationships/hyperlink" Target="https://spark-interfax.ru/system/home/card%23/company/8CCDDFDD7B4E4B949538B87C8322FE9C/101" TargetMode="External"/><Relationship Id="rId374" Type="http://schemas.openxmlformats.org/officeDocument/2006/relationships/hyperlink" Target="https://spark-interfax.ru/system/home/card%23/company/25E9477A796C4AB68FB4F6DF6965850D/101" TargetMode="External"/><Relationship Id="rId71" Type="http://schemas.openxmlformats.org/officeDocument/2006/relationships/hyperlink" Target="https://spark-interfax.ru/system/home/card%23/company/2C5D64B969034DE7A65CFE5EB3517829/101" TargetMode="External"/><Relationship Id="rId234" Type="http://schemas.openxmlformats.org/officeDocument/2006/relationships/hyperlink" Target="https://spark-interfax.ru/system/home/card%23/company/6F4FC3BA15384487AA02EF8375B7323A/101" TargetMode="External"/><Relationship Id="rId2" Type="http://schemas.openxmlformats.org/officeDocument/2006/relationships/hyperlink" Target="https://spark-interfax.ru/system/home/card%23/company/67067461E4D14417B4E214391165D5CE/101" TargetMode="External"/><Relationship Id="rId29" Type="http://schemas.openxmlformats.org/officeDocument/2006/relationships/hyperlink" Target="https://spark-interfax.ru/system/home/card%23/company/1C173D3A5FF244CF9BBD63431CEFA17A/101" TargetMode="External"/><Relationship Id="rId276" Type="http://schemas.openxmlformats.org/officeDocument/2006/relationships/hyperlink" Target="https://spark-interfax.ru/system/home/card%23/company/070709292E46493CBDD7756952FD892E/101" TargetMode="External"/><Relationship Id="rId441" Type="http://schemas.openxmlformats.org/officeDocument/2006/relationships/hyperlink" Target="https://spark-interfax.ru/system/home/card%23/company/CEBA60B5BC1346C095DB5F8E00EB5437/101" TargetMode="External"/><Relationship Id="rId483" Type="http://schemas.openxmlformats.org/officeDocument/2006/relationships/hyperlink" Target="https://spark-interfax.ru/system/home/card%23/company/4278C3BBD5D7457BA9CD96062334C2E9/101" TargetMode="External"/><Relationship Id="rId40" Type="http://schemas.openxmlformats.org/officeDocument/2006/relationships/hyperlink" Target="https://spark-interfax.ru/system/home/card%23/company/E52A0C1E225D4E48AAC0206FB1932C64/101" TargetMode="External"/><Relationship Id="rId136" Type="http://schemas.openxmlformats.org/officeDocument/2006/relationships/hyperlink" Target="https://spark-interfax.ru/system/home/card%23/company/25C21D1AC7C9454B8894EA83F7D2D7A1/101" TargetMode="External"/><Relationship Id="rId178" Type="http://schemas.openxmlformats.org/officeDocument/2006/relationships/hyperlink" Target="https://spark-interfax.ru/system/home/card%23/company/97AF4FE4DCEA4F52B08E0E549D4BF8DC/101" TargetMode="External"/><Relationship Id="rId301" Type="http://schemas.openxmlformats.org/officeDocument/2006/relationships/hyperlink" Target="https://spark-interfax.ru/system/home/card%23/company/B91F3A5250334034AFC84D16C3A7F000/101" TargetMode="External"/><Relationship Id="rId343" Type="http://schemas.openxmlformats.org/officeDocument/2006/relationships/hyperlink" Target="https://spark-interfax.ru/system/home/card%23/company/9AE8240D0CF54B6DB7FFC4147F1B2702/101" TargetMode="External"/><Relationship Id="rId82" Type="http://schemas.openxmlformats.org/officeDocument/2006/relationships/hyperlink" Target="https://spark-interfax.ru/system/home/card%23/company/0F91B77DBA46402C92421A9A3DEDB5C7/101" TargetMode="External"/><Relationship Id="rId203" Type="http://schemas.openxmlformats.org/officeDocument/2006/relationships/hyperlink" Target="https://spark-interfax.ru/system/home/card%23/company/1D8F551684F94D0491E8F7EBBBF03454/101" TargetMode="External"/><Relationship Id="rId385" Type="http://schemas.openxmlformats.org/officeDocument/2006/relationships/hyperlink" Target="https://spark-interfax.ru/system/home/card%23/company/18256534CDBB4DA4B3583D8AFDD06CCE/101" TargetMode="External"/><Relationship Id="rId245" Type="http://schemas.openxmlformats.org/officeDocument/2006/relationships/hyperlink" Target="https://spark-interfax.ru/system/home/card%23/company/7AD7A7812B80431FAF48999122F1440E/101" TargetMode="External"/><Relationship Id="rId287" Type="http://schemas.openxmlformats.org/officeDocument/2006/relationships/hyperlink" Target="https://spark-interfax.ru/system/home/card%23/company/6C2FCCA45B4C44078E5CD9B575FF0D8D/101" TargetMode="External"/><Relationship Id="rId410" Type="http://schemas.openxmlformats.org/officeDocument/2006/relationships/hyperlink" Target="https://spark-interfax.ru/system/home/card%23/company/E4BB69A649A6446390E9D3F17C8D1E21/101" TargetMode="External"/><Relationship Id="rId452" Type="http://schemas.openxmlformats.org/officeDocument/2006/relationships/hyperlink" Target="https://spark-interfax.ru/system/home/card%23/company/B799AE2BB6054D21B639F91E253AD2CC/101" TargetMode="External"/><Relationship Id="rId105" Type="http://schemas.openxmlformats.org/officeDocument/2006/relationships/hyperlink" Target="https://spark-interfax.ru/system/home/card%23/company/D82D34D4F6164F67A1ABE9434A4213D4/101" TargetMode="External"/><Relationship Id="rId147" Type="http://schemas.openxmlformats.org/officeDocument/2006/relationships/hyperlink" Target="https://spark-interfax.ru/system/home/card%23/company/00BE7E6083C942AB8687F5B8411901AA/101" TargetMode="External"/><Relationship Id="rId312" Type="http://schemas.openxmlformats.org/officeDocument/2006/relationships/hyperlink" Target="https://spark-interfax.ru/system/home/card%23/company/59C650DB54174FA1AF7280C083B7055D/101" TargetMode="External"/><Relationship Id="rId354" Type="http://schemas.openxmlformats.org/officeDocument/2006/relationships/hyperlink" Target="https://spark-interfax.ru/system/home/card%23/company/E6B0C5A8B69C48C9B17CB1AA9582BA4E/101" TargetMode="External"/><Relationship Id="rId51" Type="http://schemas.openxmlformats.org/officeDocument/2006/relationships/hyperlink" Target="https://spark-interfax.ru/system/home/card%23/company/FD8276FF7B404F268097F53D0FB294B0/101" TargetMode="External"/><Relationship Id="rId93" Type="http://schemas.openxmlformats.org/officeDocument/2006/relationships/hyperlink" Target="https://spark-interfax.ru/system/home/card%23/company/36C98A56368D4871BA7B6B95A468A111/101" TargetMode="External"/><Relationship Id="rId189" Type="http://schemas.openxmlformats.org/officeDocument/2006/relationships/hyperlink" Target="https://spark-interfax.ru/system/home/card%23/company/F98E040994C941C2B0017B193A5B8D29/101" TargetMode="External"/><Relationship Id="rId396" Type="http://schemas.openxmlformats.org/officeDocument/2006/relationships/hyperlink" Target="https://spark-interfax.ru/system/home/card%23/company/DB2CE2ABAEC940418325AA8EAE4DAE14/101" TargetMode="External"/><Relationship Id="rId214" Type="http://schemas.openxmlformats.org/officeDocument/2006/relationships/hyperlink" Target="https://spark-interfax.ru/system/home/card%23/company/EFA24B4031614056A37263195D8E88CD/101" TargetMode="External"/><Relationship Id="rId256" Type="http://schemas.openxmlformats.org/officeDocument/2006/relationships/hyperlink" Target="https://spark-interfax.ru/system/home/card%23/company/C865260EE44F49EDABD662CA244FB11E/101" TargetMode="External"/><Relationship Id="rId298" Type="http://schemas.openxmlformats.org/officeDocument/2006/relationships/hyperlink" Target="https://spark-interfax.ru/system/home/card%23/company/AADA1810FEDF4AAE802D4A59D8F9383D/101" TargetMode="External"/><Relationship Id="rId421" Type="http://schemas.openxmlformats.org/officeDocument/2006/relationships/hyperlink" Target="https://spark-interfax.ru/system/home/card%23/company/5CC1BCC8A16941D997F17F804A50B565/101" TargetMode="External"/><Relationship Id="rId463" Type="http://schemas.openxmlformats.org/officeDocument/2006/relationships/hyperlink" Target="https://spark-interfax.ru/system/home/card%23/company/B57E63455301448E83536199E77D3971/101" TargetMode="External"/><Relationship Id="rId116" Type="http://schemas.openxmlformats.org/officeDocument/2006/relationships/hyperlink" Target="https://spark-interfax.ru/system/home/card%23/company/BDE7172E615245439C4383CF578186FF/101" TargetMode="External"/><Relationship Id="rId158" Type="http://schemas.openxmlformats.org/officeDocument/2006/relationships/hyperlink" Target="https://spark-interfax.ru/system/home/card%23/company/FE9CED78B58E4605BC369EA7A6036816/101" TargetMode="External"/><Relationship Id="rId323" Type="http://schemas.openxmlformats.org/officeDocument/2006/relationships/hyperlink" Target="https://spark-interfax.ru/system/home/card%23/company/8FA0D51575A14E2FA690D9FA1B5BBC63/101" TargetMode="External"/><Relationship Id="rId20" Type="http://schemas.openxmlformats.org/officeDocument/2006/relationships/hyperlink" Target="https://spark-interfax.ru/system/home/card%23/company/B1875C398CBF440F92A058FF6CCDC7DE/101" TargetMode="External"/><Relationship Id="rId41" Type="http://schemas.openxmlformats.org/officeDocument/2006/relationships/hyperlink" Target="https://spark-interfax.ru/system/home/card%23/company/C86C8EDCFB2A4A48B312D280134633A3/101" TargetMode="External"/><Relationship Id="rId62" Type="http://schemas.openxmlformats.org/officeDocument/2006/relationships/hyperlink" Target="https://spark-interfax.ru/system/home/card%23/company/4AE3166E057240CD9806FC38B66CB59A/101" TargetMode="External"/><Relationship Id="rId83" Type="http://schemas.openxmlformats.org/officeDocument/2006/relationships/hyperlink" Target="https://spark-interfax.ru/system/home/card%23/company/BF26FC1C5ABF447981EC95A2FBCCE6F0/101" TargetMode="External"/><Relationship Id="rId179" Type="http://schemas.openxmlformats.org/officeDocument/2006/relationships/hyperlink" Target="https://spark-interfax.ru/system/home/card%23/company/3EEA819E41124E44B990D49E26B3E9E6/101" TargetMode="External"/><Relationship Id="rId365" Type="http://schemas.openxmlformats.org/officeDocument/2006/relationships/hyperlink" Target="https://spark-interfax.ru/system/home/card%23/company/BA497303F2FF485B905050191AD26CE6/101" TargetMode="External"/><Relationship Id="rId386" Type="http://schemas.openxmlformats.org/officeDocument/2006/relationships/hyperlink" Target="https://spark-interfax.ru/system/home/card%23/company/8FA8E9B0DB404207818CF22BBAB9B7E5/101" TargetMode="External"/><Relationship Id="rId190" Type="http://schemas.openxmlformats.org/officeDocument/2006/relationships/hyperlink" Target="https://spark-interfax.ru/system/home/card%23/company/5C5F1A5862AC4BD8A2DC404DD2D51272/101" TargetMode="External"/><Relationship Id="rId204" Type="http://schemas.openxmlformats.org/officeDocument/2006/relationships/hyperlink" Target="https://spark-interfax.ru/system/home/card%23/company/4D1691218E2B43AD898E745EE5843BAC/101" TargetMode="External"/><Relationship Id="rId225" Type="http://schemas.openxmlformats.org/officeDocument/2006/relationships/hyperlink" Target="https://spark-interfax.ru/system/home/card%23/company/7A8EECE6FB1842C69080AA15F1AC109E/101" TargetMode="External"/><Relationship Id="rId246" Type="http://schemas.openxmlformats.org/officeDocument/2006/relationships/hyperlink" Target="https://spark-interfax.ru/system/home/card%23/company/88D87893B9C54A62B770F6D777C09E26/101" TargetMode="External"/><Relationship Id="rId267" Type="http://schemas.openxmlformats.org/officeDocument/2006/relationships/hyperlink" Target="https://spark-interfax.ru/system/home/card%23/company/DF33BD1E54B34D71B022DC41396FE124/101" TargetMode="External"/><Relationship Id="rId288" Type="http://schemas.openxmlformats.org/officeDocument/2006/relationships/hyperlink" Target="https://spark-interfax.ru/system/home/card%23/company/47B96AD83A7F4A1AACB022AB7988BF39/101" TargetMode="External"/><Relationship Id="rId411" Type="http://schemas.openxmlformats.org/officeDocument/2006/relationships/hyperlink" Target="https://spark-interfax.ru/system/home/card%23/company/11A56A4A84B64E749E9B710E74111487/101" TargetMode="External"/><Relationship Id="rId432" Type="http://schemas.openxmlformats.org/officeDocument/2006/relationships/hyperlink" Target="https://spark-interfax.ru/system/home/card%23/company/F00D813CE8DE43868FC5A4DAFD4FC3B6/101" TargetMode="External"/><Relationship Id="rId453" Type="http://schemas.openxmlformats.org/officeDocument/2006/relationships/hyperlink" Target="https://spark-interfax.ru/system/home/card%23/company/C5C07A3A29044FA2B4982AA40861B110/101" TargetMode="External"/><Relationship Id="rId474" Type="http://schemas.openxmlformats.org/officeDocument/2006/relationships/hyperlink" Target="https://spark-interfax.ru/system/home/card%23/company/9CB848ECEFE3424D9257F3E23D6EE6B9/101" TargetMode="External"/><Relationship Id="rId106" Type="http://schemas.openxmlformats.org/officeDocument/2006/relationships/hyperlink" Target="https://spark-interfax.ru/system/home/card%23/company/5F91E8558C8747889CE2C02CE251904A/101" TargetMode="External"/><Relationship Id="rId127" Type="http://schemas.openxmlformats.org/officeDocument/2006/relationships/hyperlink" Target="https://spark-interfax.ru/system/home/card%23/company/6B96CBF517AB4D738DBAED63C0C8C2D8/101" TargetMode="External"/><Relationship Id="rId313" Type="http://schemas.openxmlformats.org/officeDocument/2006/relationships/hyperlink" Target="https://spark-interfax.ru/system/home/card%23/company/0F1F835A45234A18A921469F6D67F0A5/101" TargetMode="External"/><Relationship Id="rId10" Type="http://schemas.openxmlformats.org/officeDocument/2006/relationships/hyperlink" Target="https://spark-interfax.ru/system/home/card%23/company/4BC87AE87E334098AD6B983AD1DE3225/101" TargetMode="External"/><Relationship Id="rId31" Type="http://schemas.openxmlformats.org/officeDocument/2006/relationships/hyperlink" Target="https://spark-interfax.ru/system/home/card%23/company/CC1D027B065548DEADA76611F743BA32/101" TargetMode="External"/><Relationship Id="rId52" Type="http://schemas.openxmlformats.org/officeDocument/2006/relationships/hyperlink" Target="https://spark-interfax.ru/system/home/card%23/company/3FD11F548D1F41E3B9C6693990A72C8A/101" TargetMode="External"/><Relationship Id="rId73" Type="http://schemas.openxmlformats.org/officeDocument/2006/relationships/hyperlink" Target="https://spark-interfax.ru/system/home/card%23/company/0DF9BA7FFEE04B378CA06339E545EF9A/101" TargetMode="External"/><Relationship Id="rId94" Type="http://schemas.openxmlformats.org/officeDocument/2006/relationships/hyperlink" Target="https://spark-interfax.ru/system/home/card%23/company/334BDFA415244EB8B58E6227C9F8CB40/101" TargetMode="External"/><Relationship Id="rId148" Type="http://schemas.openxmlformats.org/officeDocument/2006/relationships/hyperlink" Target="https://spark-interfax.ru/system/home/card%23/company/49A7CE72144B43F597FAB3E46A6F6299/101" TargetMode="External"/><Relationship Id="rId169" Type="http://schemas.openxmlformats.org/officeDocument/2006/relationships/hyperlink" Target="https://spark-interfax.ru/system/home/card%23/company/27FCAF04E8E1445B9EC876C092CC40C7/101" TargetMode="External"/><Relationship Id="rId334" Type="http://schemas.openxmlformats.org/officeDocument/2006/relationships/hyperlink" Target="https://spark-interfax.ru/system/home/card%23/company/520C74BA5855478AA0C717821322EC2D/101" TargetMode="External"/><Relationship Id="rId355" Type="http://schemas.openxmlformats.org/officeDocument/2006/relationships/hyperlink" Target="https://spark-interfax.ru/system/home/card%23/company/FF682B2C1E8A44838B3B3566E96930AD/101" TargetMode="External"/><Relationship Id="rId376" Type="http://schemas.openxmlformats.org/officeDocument/2006/relationships/hyperlink" Target="https://spark-interfax.ru/system/home/card%23/company/0CB07903DBD44C5BB3B428907C8DF623/101" TargetMode="External"/><Relationship Id="rId397" Type="http://schemas.openxmlformats.org/officeDocument/2006/relationships/hyperlink" Target="https://spark-interfax.ru/system/home/card%23/company/C480EDC5FC484421A2E7A75C51709866/101" TargetMode="External"/><Relationship Id="rId4" Type="http://schemas.openxmlformats.org/officeDocument/2006/relationships/hyperlink" Target="https://spark-interfax.ru/system/home/card%23/company/8FEB29F1170646FE9066883E7E4BE804/101" TargetMode="External"/><Relationship Id="rId180" Type="http://schemas.openxmlformats.org/officeDocument/2006/relationships/hyperlink" Target="https://spark-interfax.ru/system/home/card%23/company/C7E8BC42004149B19D5839BE2A3BF98A/101" TargetMode="External"/><Relationship Id="rId215" Type="http://schemas.openxmlformats.org/officeDocument/2006/relationships/hyperlink" Target="https://spark-interfax.ru/system/home/card%23/company/2F815C16AFD042FF93FC604546BEAFD5/101" TargetMode="External"/><Relationship Id="rId236" Type="http://schemas.openxmlformats.org/officeDocument/2006/relationships/hyperlink" Target="https://spark-interfax.ru/system/home/card%23/company/122CCD817988487AA354BAD79BDBAF4E/101" TargetMode="External"/><Relationship Id="rId257" Type="http://schemas.openxmlformats.org/officeDocument/2006/relationships/hyperlink" Target="https://spark-interfax.ru/system/home/card%23/company/03218BE6028E44E79E69169277BD992F/101" TargetMode="External"/><Relationship Id="rId278" Type="http://schemas.openxmlformats.org/officeDocument/2006/relationships/hyperlink" Target="https://spark-interfax.ru/system/home/card%23/company/A175736135A648B797F78D3F35926AAB/101" TargetMode="External"/><Relationship Id="rId401" Type="http://schemas.openxmlformats.org/officeDocument/2006/relationships/hyperlink" Target="https://spark-interfax.ru/system/home/card%23/company/1B350BD2053944C48603CB1930EDBAEA/101" TargetMode="External"/><Relationship Id="rId422" Type="http://schemas.openxmlformats.org/officeDocument/2006/relationships/hyperlink" Target="https://spark-interfax.ru/system/home/card%23/company/91979301B55041EDB86C0BADC30CBAF2/101" TargetMode="External"/><Relationship Id="rId443" Type="http://schemas.openxmlformats.org/officeDocument/2006/relationships/hyperlink" Target="https://spark-interfax.ru/system/home/card%23/company/6AF69386B95F4E5796862E78AD9C78BB/101" TargetMode="External"/><Relationship Id="rId464" Type="http://schemas.openxmlformats.org/officeDocument/2006/relationships/hyperlink" Target="https://spark-interfax.ru/system/home/card%23/company/21FEE65ADCC84DE3A2BFE0A4840C69DB/101" TargetMode="External"/><Relationship Id="rId303" Type="http://schemas.openxmlformats.org/officeDocument/2006/relationships/hyperlink" Target="https://spark-interfax.ru/system/home/card%23/company/AB68B6437133418C900C34A047401E4E/101" TargetMode="External"/><Relationship Id="rId485" Type="http://schemas.openxmlformats.org/officeDocument/2006/relationships/hyperlink" Target="https://spark-interfax.ru/system/home/card%23/company/7C091B94460A40C990CCE7BC1419F6E8/101" TargetMode="External"/><Relationship Id="rId42" Type="http://schemas.openxmlformats.org/officeDocument/2006/relationships/hyperlink" Target="https://spark-interfax.ru/system/home/card%23/company/FF8694DC237A43119763BC4CE151E7E5/101" TargetMode="External"/><Relationship Id="rId84" Type="http://schemas.openxmlformats.org/officeDocument/2006/relationships/hyperlink" Target="https://spark-interfax.ru/system/home/card%23/company/52E528F091DD42359DD8F94C7F3F81DC/101" TargetMode="External"/><Relationship Id="rId138" Type="http://schemas.openxmlformats.org/officeDocument/2006/relationships/hyperlink" Target="https://spark-interfax.ru/system/home/card%23/company/E2D7DBE22DB54C759BA2716F75890DAA/101" TargetMode="External"/><Relationship Id="rId345" Type="http://schemas.openxmlformats.org/officeDocument/2006/relationships/hyperlink" Target="https://spark-interfax.ru/system/home/card%23/company/6FEF42571FF846EC88E6A6486ACDFA8A/101" TargetMode="External"/><Relationship Id="rId387" Type="http://schemas.openxmlformats.org/officeDocument/2006/relationships/hyperlink" Target="https://spark-interfax.ru/system/home/card%23/company/235EB8A7A38241FA9E1309B30A7A8555/101" TargetMode="External"/><Relationship Id="rId191" Type="http://schemas.openxmlformats.org/officeDocument/2006/relationships/hyperlink" Target="https://spark-interfax.ru/system/home/card%23/company/3E85A6F1F18A4A9E9EEC5161219F32AD/101" TargetMode="External"/><Relationship Id="rId205" Type="http://schemas.openxmlformats.org/officeDocument/2006/relationships/hyperlink" Target="https://spark-interfax.ru/system/home/card%23/company/5C2B2265494B47ADAE4B9B4EE6610FE5/101" TargetMode="External"/><Relationship Id="rId247" Type="http://schemas.openxmlformats.org/officeDocument/2006/relationships/hyperlink" Target="https://spark-interfax.ru/system/home/card%23/company/70538FAF4BAF4B2CB77BD4E76633FC34/101" TargetMode="External"/><Relationship Id="rId412" Type="http://schemas.openxmlformats.org/officeDocument/2006/relationships/hyperlink" Target="https://spark-interfax.ru/system/home/card%23/company/C1DD4CCB5AAF4FC099740E0A0F7B9938/101" TargetMode="External"/><Relationship Id="rId107" Type="http://schemas.openxmlformats.org/officeDocument/2006/relationships/hyperlink" Target="https://spark-interfax.ru/system/home/card%23/company/3EB08DEDAA5F4AADB5D8FF7448CB3134/101" TargetMode="External"/><Relationship Id="rId289" Type="http://schemas.openxmlformats.org/officeDocument/2006/relationships/hyperlink" Target="https://spark-interfax.ru/system/home/card%23/company/96A4E18784E8494F8250FB17A96EBBB1/101" TargetMode="External"/><Relationship Id="rId454" Type="http://schemas.openxmlformats.org/officeDocument/2006/relationships/hyperlink" Target="https://spark-interfax.ru/system/home/card%23/company/AE145B1D023242DBBDAA138D29A3210C/101" TargetMode="External"/><Relationship Id="rId11" Type="http://schemas.openxmlformats.org/officeDocument/2006/relationships/hyperlink" Target="https://spark-interfax.ru/system/home/card%23/company/7DD65015101A42A0AA417A18807333FF/101" TargetMode="External"/><Relationship Id="rId53" Type="http://schemas.openxmlformats.org/officeDocument/2006/relationships/hyperlink" Target="https://spark-interfax.ru/system/home/card%23/company/0836123E910D4002AF80F88EF4FCA39C/101" TargetMode="External"/><Relationship Id="rId149" Type="http://schemas.openxmlformats.org/officeDocument/2006/relationships/hyperlink" Target="https://spark-interfax.ru/system/home/card%23/company/8778203A0BEA460B95F98BF0D30F2209/101" TargetMode="External"/><Relationship Id="rId314" Type="http://schemas.openxmlformats.org/officeDocument/2006/relationships/hyperlink" Target="https://spark-interfax.ru/system/home/card%23/company/74D154D717464169ABAA651D5E940E12/101" TargetMode="External"/><Relationship Id="rId356" Type="http://schemas.openxmlformats.org/officeDocument/2006/relationships/hyperlink" Target="https://spark-interfax.ru/system/home/card%23/company/C2D8F6F005874F67A31E6B3EF7A2B666/101" TargetMode="External"/><Relationship Id="rId398" Type="http://schemas.openxmlformats.org/officeDocument/2006/relationships/hyperlink" Target="https://spark-interfax.ru/system/home/card%23/company/5AB3E7F0072844D69079BAED911D81BF/101" TargetMode="External"/><Relationship Id="rId95" Type="http://schemas.openxmlformats.org/officeDocument/2006/relationships/hyperlink" Target="https://spark-interfax.ru/system/home/card%23/company/0A1829A439CB4ECAA2B6BF072D70C867/101" TargetMode="External"/><Relationship Id="rId160" Type="http://schemas.openxmlformats.org/officeDocument/2006/relationships/hyperlink" Target="https://spark-interfax.ru/system/home/card%23/company/E3A42F2535F0487A910D9131B4053CCA/101" TargetMode="External"/><Relationship Id="rId216" Type="http://schemas.openxmlformats.org/officeDocument/2006/relationships/hyperlink" Target="https://spark-interfax.ru/system/home/card%23/company/B77A7666E0274DAA816AEB11D216AA1D/101" TargetMode="External"/><Relationship Id="rId423" Type="http://schemas.openxmlformats.org/officeDocument/2006/relationships/hyperlink" Target="https://spark-interfax.ru/system/home/card%23/company/34A8A8D23E9849F2BE2BA2EB9209AF1C/101" TargetMode="External"/><Relationship Id="rId258" Type="http://schemas.openxmlformats.org/officeDocument/2006/relationships/hyperlink" Target="https://spark-interfax.ru/system/home/card%23/company/9B27F7916DCD4494996D57581C0B2C6A/101" TargetMode="External"/><Relationship Id="rId465" Type="http://schemas.openxmlformats.org/officeDocument/2006/relationships/hyperlink" Target="https://spark-interfax.ru/system/home/card%23/company/8045150D2CA6410392FBA8F20B6FA874/101" TargetMode="External"/><Relationship Id="rId22" Type="http://schemas.openxmlformats.org/officeDocument/2006/relationships/hyperlink" Target="https://spark-interfax.ru/system/home/card%23/company/FF2A7DA6094149F4995D242AFA7BC4F4/101" TargetMode="External"/><Relationship Id="rId64" Type="http://schemas.openxmlformats.org/officeDocument/2006/relationships/hyperlink" Target="https://spark-interfax.ru/system/home/card%23/company/FB51BA46E7254B4DA6F015AD32486206/101" TargetMode="External"/><Relationship Id="rId118" Type="http://schemas.openxmlformats.org/officeDocument/2006/relationships/hyperlink" Target="https://spark-interfax.ru/system/home/card%23/company/8AB05F068C1E4E3ABF3D51A88BD3C12B/101" TargetMode="External"/><Relationship Id="rId325" Type="http://schemas.openxmlformats.org/officeDocument/2006/relationships/hyperlink" Target="https://spark-interfax.ru/system/home/card%23/company/DEFDCB94E4DA4C5F88395C0545C8A56E/101" TargetMode="External"/><Relationship Id="rId367" Type="http://schemas.openxmlformats.org/officeDocument/2006/relationships/hyperlink" Target="https://spark-interfax.ru/system/home/card%23/company/1486DCCA6EB04CF38A311885FD0ED00A/101" TargetMode="External"/><Relationship Id="rId171" Type="http://schemas.openxmlformats.org/officeDocument/2006/relationships/hyperlink" Target="https://spark-interfax.ru/system/home/card%23/company/AA87C43EE30146B4B574229EC3D7D56A/101" TargetMode="External"/><Relationship Id="rId227" Type="http://schemas.openxmlformats.org/officeDocument/2006/relationships/hyperlink" Target="https://spark-interfax.ru/system/home/card%23/company/DBC3B9AE17C44265AFB093856B059A8A/101" TargetMode="External"/><Relationship Id="rId269" Type="http://schemas.openxmlformats.org/officeDocument/2006/relationships/hyperlink" Target="https://spark-interfax.ru/system/home/card%23/company/2A8D9DFC0AFF467CAE7F67C318901490/101" TargetMode="External"/><Relationship Id="rId434" Type="http://schemas.openxmlformats.org/officeDocument/2006/relationships/hyperlink" Target="https://spark-interfax.ru/system/home/card%23/company/5ADF88DA7D904645B67D4E35A17FBF71/101" TargetMode="External"/><Relationship Id="rId476" Type="http://schemas.openxmlformats.org/officeDocument/2006/relationships/hyperlink" Target="https://spark-interfax.ru/system/home/card%23/company/FE653C949F47415083915E302025C00B/101" TargetMode="External"/><Relationship Id="rId33" Type="http://schemas.openxmlformats.org/officeDocument/2006/relationships/hyperlink" Target="https://spark-interfax.ru/system/home/card%23/company/9443C5D5EE28404997C3E024F910A972/101" TargetMode="External"/><Relationship Id="rId129" Type="http://schemas.openxmlformats.org/officeDocument/2006/relationships/hyperlink" Target="https://spark-interfax.ru/system/home/card%23/company/98234EE885AB4616B4D95D51EC485B78/101" TargetMode="External"/><Relationship Id="rId280" Type="http://schemas.openxmlformats.org/officeDocument/2006/relationships/hyperlink" Target="https://spark-interfax.ru/system/home/card%23/company/716B56D50E9E4572A0DDB18AE38E84A6/101" TargetMode="External"/><Relationship Id="rId336" Type="http://schemas.openxmlformats.org/officeDocument/2006/relationships/hyperlink" Target="https://spark-interfax.ru/system/home/card%23/company/4AD39C36554E4E15B1DA2B0400EA5F7A/101" TargetMode="External"/><Relationship Id="rId75" Type="http://schemas.openxmlformats.org/officeDocument/2006/relationships/hyperlink" Target="https://spark-interfax.ru/system/home/card%23/company/5C6A91C8EAA2495C991AA3FC88F77806/101" TargetMode="External"/><Relationship Id="rId140" Type="http://schemas.openxmlformats.org/officeDocument/2006/relationships/hyperlink" Target="https://spark-interfax.ru/system/home/card%23/company/C785E343D49646308E3BAB0B39DA8547/101" TargetMode="External"/><Relationship Id="rId182" Type="http://schemas.openxmlformats.org/officeDocument/2006/relationships/hyperlink" Target="https://spark-interfax.ru/system/home/card%23/company/7EAF9EF94F944C71A68C4D70ADCA87CF/101" TargetMode="External"/><Relationship Id="rId378" Type="http://schemas.openxmlformats.org/officeDocument/2006/relationships/hyperlink" Target="https://spark-interfax.ru/system/home/card%23/company/A0E87BD4816B40CA86A186A9053DE9E0/101" TargetMode="External"/><Relationship Id="rId403" Type="http://schemas.openxmlformats.org/officeDocument/2006/relationships/hyperlink" Target="https://spark-interfax.ru/system/home/card%23/company/9A7057E246194A4BAACE5E81AD84BB99/101" TargetMode="External"/><Relationship Id="rId6" Type="http://schemas.openxmlformats.org/officeDocument/2006/relationships/hyperlink" Target="https://spark-interfax.ru/system/home/card%23/company/7046F3C115AA4400B5A9C18A78E641EC/101" TargetMode="External"/><Relationship Id="rId238" Type="http://schemas.openxmlformats.org/officeDocument/2006/relationships/hyperlink" Target="https://spark-interfax.ru/system/home/card%23/company/24B3F886873A42F1ADA582B012A085D5/101" TargetMode="External"/><Relationship Id="rId445" Type="http://schemas.openxmlformats.org/officeDocument/2006/relationships/hyperlink" Target="https://spark-interfax.ru/system/home/card%23/company/65CBB8DD4A3B4FE7AC960F278A5911B8/101" TargetMode="External"/><Relationship Id="rId487" Type="http://schemas.openxmlformats.org/officeDocument/2006/relationships/hyperlink" Target="https://spark-interfax.ru/system/home/card%23/company/6FF9417E59234921A9A4EB0A3037442A/101" TargetMode="External"/><Relationship Id="rId291" Type="http://schemas.openxmlformats.org/officeDocument/2006/relationships/hyperlink" Target="https://spark-interfax.ru/system/home/card%23/company/8BB1372769EC4A8CBD05472F41504E8E/101" TargetMode="External"/><Relationship Id="rId305" Type="http://schemas.openxmlformats.org/officeDocument/2006/relationships/hyperlink" Target="https://spark-interfax.ru/system/home/card%23/company/98F4B720308C4DF28CD97E46FB46E908/101" TargetMode="External"/><Relationship Id="rId347" Type="http://schemas.openxmlformats.org/officeDocument/2006/relationships/hyperlink" Target="https://spark-interfax.ru/system/home/card%23/company/DAB069C698A04F3182C4A39DB61E799D/101" TargetMode="External"/><Relationship Id="rId44" Type="http://schemas.openxmlformats.org/officeDocument/2006/relationships/hyperlink" Target="https://spark-interfax.ru/system/home/card%23/company/E5096CBE5AFC4D83977C9302E74FA0E1/101" TargetMode="External"/><Relationship Id="rId86" Type="http://schemas.openxmlformats.org/officeDocument/2006/relationships/hyperlink" Target="https://spark-interfax.ru/system/home/card%23/company/2E706175804749D28900555C33D36A74/101" TargetMode="External"/><Relationship Id="rId151" Type="http://schemas.openxmlformats.org/officeDocument/2006/relationships/hyperlink" Target="https://spark-interfax.ru/system/home/card%23/company/E083264DC2A64DA4944A406BF0EAA04C/101" TargetMode="External"/><Relationship Id="rId389" Type="http://schemas.openxmlformats.org/officeDocument/2006/relationships/hyperlink" Target="https://spark-interfax.ru/system/home/card%23/company/3339CC9FFC5342BC99867BB91FC90040/101" TargetMode="External"/><Relationship Id="rId193" Type="http://schemas.openxmlformats.org/officeDocument/2006/relationships/hyperlink" Target="https://spark-interfax.ru/system/home/card%23/company/EB1A012E725441499FDB8039AE396174/101" TargetMode="External"/><Relationship Id="rId207" Type="http://schemas.openxmlformats.org/officeDocument/2006/relationships/hyperlink" Target="https://spark-interfax.ru/system/home/card%23/company/12CD3C2BC5A94494BF978D5BCE32C015/101" TargetMode="External"/><Relationship Id="rId249" Type="http://schemas.openxmlformats.org/officeDocument/2006/relationships/hyperlink" Target="https://spark-interfax.ru/system/home/card%23/company/E458A4E1C57642F681DB89037E7EE974/101" TargetMode="External"/><Relationship Id="rId414" Type="http://schemas.openxmlformats.org/officeDocument/2006/relationships/hyperlink" Target="https://spark-interfax.ru/system/home/card%23/company/BEA07F638F0446ED8700940EA3378134/101" TargetMode="External"/><Relationship Id="rId456" Type="http://schemas.openxmlformats.org/officeDocument/2006/relationships/hyperlink" Target="https://spark-interfax.ru/system/home/card%23/company/60108FC8CBF24983B4155DCAA1E363E3/101" TargetMode="External"/><Relationship Id="rId13" Type="http://schemas.openxmlformats.org/officeDocument/2006/relationships/hyperlink" Target="https://spark-interfax.ru/system/home/card%23/company/B9C3E14FDEEA45AABD0F0803E3349287/101" TargetMode="External"/><Relationship Id="rId109" Type="http://schemas.openxmlformats.org/officeDocument/2006/relationships/hyperlink" Target="https://spark-interfax.ru/system/home/card%23/company/E7993BB1616048069F53C6248F6A6156/101" TargetMode="External"/><Relationship Id="rId260" Type="http://schemas.openxmlformats.org/officeDocument/2006/relationships/hyperlink" Target="https://spark-interfax.ru/system/home/card%23/company/643D8F98095F4CD8BF7BE45B1C0FD6DD/101" TargetMode="External"/><Relationship Id="rId316" Type="http://schemas.openxmlformats.org/officeDocument/2006/relationships/hyperlink" Target="https://spark-interfax.ru/system/home/card%23/company/2802CDD9E4A9454E85CB1694F36376CB/101" TargetMode="External"/><Relationship Id="rId55" Type="http://schemas.openxmlformats.org/officeDocument/2006/relationships/hyperlink" Target="https://spark-interfax.ru/system/home/card%23/company/DC62235EC165441596F5D6BF7DF62A00/101" TargetMode="External"/><Relationship Id="rId97" Type="http://schemas.openxmlformats.org/officeDocument/2006/relationships/hyperlink" Target="https://spark-interfax.ru/system/home/card%23/company/5F5491A7DB134013A5063D2516B77570/101" TargetMode="External"/><Relationship Id="rId120" Type="http://schemas.openxmlformats.org/officeDocument/2006/relationships/hyperlink" Target="https://spark-interfax.ru/system/home/card%23/company/D2590118A4F74534B6FE6A9F78D78289/101" TargetMode="External"/><Relationship Id="rId358" Type="http://schemas.openxmlformats.org/officeDocument/2006/relationships/hyperlink" Target="https://spark-interfax.ru/system/home/card%23/company/25D2D183474A4CC5B45A1346D49EC35D/101" TargetMode="External"/><Relationship Id="rId162" Type="http://schemas.openxmlformats.org/officeDocument/2006/relationships/hyperlink" Target="https://spark-interfax.ru/system/home/card%23/company/F77BA8A77AEE47F88B622518AC769AE4/101" TargetMode="External"/><Relationship Id="rId218" Type="http://schemas.openxmlformats.org/officeDocument/2006/relationships/hyperlink" Target="https://spark-interfax.ru/system/home/card%23/company/7CAE835B28634A378D72D65B4C0AB8B6/101" TargetMode="External"/><Relationship Id="rId425" Type="http://schemas.openxmlformats.org/officeDocument/2006/relationships/hyperlink" Target="https://spark-interfax.ru/system/home/card%23/company/3BD0D2035B894C7B8F05C493EB9EEC1B/101" TargetMode="External"/><Relationship Id="rId467" Type="http://schemas.openxmlformats.org/officeDocument/2006/relationships/hyperlink" Target="https://spark-interfax.ru/system/home/card%23/company/78897BEE783048CF81BAC885D9694DD3/101" TargetMode="External"/><Relationship Id="rId271" Type="http://schemas.openxmlformats.org/officeDocument/2006/relationships/hyperlink" Target="https://spark-interfax.ru/system/home/card%23/company/C5E3B5569D2447B9A4864EC276D1D607/101" TargetMode="External"/><Relationship Id="rId24" Type="http://schemas.openxmlformats.org/officeDocument/2006/relationships/hyperlink" Target="https://spark-interfax.ru/system/home/card%23/company/B27705502CFF476EBFC249D9D57F22C8/101" TargetMode="External"/><Relationship Id="rId66" Type="http://schemas.openxmlformats.org/officeDocument/2006/relationships/hyperlink" Target="https://spark-interfax.ru/system/home/card%23/company/03DCA9671ECA4A3CB31066DC9BF4F125/101" TargetMode="External"/><Relationship Id="rId131" Type="http://schemas.openxmlformats.org/officeDocument/2006/relationships/hyperlink" Target="https://spark-interfax.ru/system/home/card%23/company/DAE9C06194BD41969ADFD9D6B94E440A/101" TargetMode="External"/><Relationship Id="rId327" Type="http://schemas.openxmlformats.org/officeDocument/2006/relationships/hyperlink" Target="https://spark-interfax.ru/system/home/card%23/company/CEE18A0A21F74C8984086AD0776E0FB5/101" TargetMode="External"/><Relationship Id="rId369" Type="http://schemas.openxmlformats.org/officeDocument/2006/relationships/hyperlink" Target="https://spark-interfax.ru/system/home/card%23/company/0FEF7275A46D4BB3BB82CC7ECECE5193/101" TargetMode="External"/><Relationship Id="rId173" Type="http://schemas.openxmlformats.org/officeDocument/2006/relationships/hyperlink" Target="https://spark-interfax.ru/system/home/card%23/company/1F741E67A9B74340A2EC8F6F491EBF95/101" TargetMode="External"/><Relationship Id="rId229" Type="http://schemas.openxmlformats.org/officeDocument/2006/relationships/hyperlink" Target="https://spark-interfax.ru/system/home/card%23/company/7BFA40A705454A889AE69B6344827DC1/101" TargetMode="External"/><Relationship Id="rId380" Type="http://schemas.openxmlformats.org/officeDocument/2006/relationships/hyperlink" Target="https://spark-interfax.ru/system/home/card%23/company/9E6595C7DEFA42F8ADF06EEAD899D88F/101" TargetMode="External"/><Relationship Id="rId436" Type="http://schemas.openxmlformats.org/officeDocument/2006/relationships/hyperlink" Target="https://spark-interfax.ru/system/home/card%23/company/FBF221C78F0F4FCDAB1020E8CC6D3D88/101" TargetMode="External"/><Relationship Id="rId240" Type="http://schemas.openxmlformats.org/officeDocument/2006/relationships/hyperlink" Target="https://spark-interfax.ru/system/home/card%23/company/427B8BDE41774209BDFDBBAE84DFC35E/101" TargetMode="External"/><Relationship Id="rId478" Type="http://schemas.openxmlformats.org/officeDocument/2006/relationships/hyperlink" Target="https://spark-interfax.ru/system/home/card%23/company/C4B724D9CF6A4772958BC1E0B59D164B/101" TargetMode="External"/><Relationship Id="rId35" Type="http://schemas.openxmlformats.org/officeDocument/2006/relationships/hyperlink" Target="https://spark-interfax.ru/system/home/card%23/company/3843CA2C5C2E46E5B341B0AE1EEAC924/101" TargetMode="External"/><Relationship Id="rId77" Type="http://schemas.openxmlformats.org/officeDocument/2006/relationships/hyperlink" Target="https://spark-interfax.ru/system/home/card%23/company/FAB36980415148109E415B8077A197AC/101" TargetMode="External"/><Relationship Id="rId100" Type="http://schemas.openxmlformats.org/officeDocument/2006/relationships/hyperlink" Target="https://spark-interfax.ru/system/home/card%23/company/AEE8092A291A4636B023AEE6C6C7E747/101" TargetMode="External"/><Relationship Id="rId282" Type="http://schemas.openxmlformats.org/officeDocument/2006/relationships/hyperlink" Target="https://spark-interfax.ru/system/home/card%23/company/548E7B016BB34A4587497D69DC9E66C7/101" TargetMode="External"/><Relationship Id="rId338" Type="http://schemas.openxmlformats.org/officeDocument/2006/relationships/hyperlink" Target="https://spark-interfax.ru/system/home/card%23/company/D7DA8DCD6D2F47E289560877150F386F/101" TargetMode="External"/><Relationship Id="rId8" Type="http://schemas.openxmlformats.org/officeDocument/2006/relationships/hyperlink" Target="https://spark-interfax.ru/system/home/card%23/company/71B37DE83A3144B0ACD5038C7EB4204B/101" TargetMode="External"/><Relationship Id="rId142" Type="http://schemas.openxmlformats.org/officeDocument/2006/relationships/hyperlink" Target="https://spark-interfax.ru/system/home/card%23/company/EB75F86EE74344208FE00B2DE2D7ACF3/101" TargetMode="External"/><Relationship Id="rId184" Type="http://schemas.openxmlformats.org/officeDocument/2006/relationships/hyperlink" Target="https://spark-interfax.ru/system/home/card%23/company/1C85083B5D0C47FAA2B1C123FDE0EC2F/101" TargetMode="External"/><Relationship Id="rId391" Type="http://schemas.openxmlformats.org/officeDocument/2006/relationships/hyperlink" Target="https://spark-interfax.ru/system/home/card%23/company/E05BF17F150B4AFDA7427E013E127FE6/101" TargetMode="External"/><Relationship Id="rId405" Type="http://schemas.openxmlformats.org/officeDocument/2006/relationships/hyperlink" Target="https://spark-interfax.ru/system/home/card%23/company/666F677850D749A59D9C3FF3A5711EB9/101" TargetMode="External"/><Relationship Id="rId447" Type="http://schemas.openxmlformats.org/officeDocument/2006/relationships/hyperlink" Target="https://spark-interfax.ru/system/home/card%23/company/9CA1A1E67E3443C5909D06D919ECB050/101" TargetMode="External"/><Relationship Id="rId251" Type="http://schemas.openxmlformats.org/officeDocument/2006/relationships/hyperlink" Target="https://spark-interfax.ru/system/home/card%23/company/6DE8879A6A9140D89C7631F873CBA79A/101" TargetMode="External"/><Relationship Id="rId489" Type="http://schemas.openxmlformats.org/officeDocument/2006/relationships/hyperlink" Target="https://spark-interfax.ru/system/home/card%23/company/D272D95722824D7DA8FA31B3D4172D09/101" TargetMode="External"/><Relationship Id="rId46" Type="http://schemas.openxmlformats.org/officeDocument/2006/relationships/hyperlink" Target="https://spark-interfax.ru/system/home/card%23/company/962110A168B94BFC8AC34B8F66251159/101" TargetMode="External"/><Relationship Id="rId293" Type="http://schemas.openxmlformats.org/officeDocument/2006/relationships/hyperlink" Target="https://spark-interfax.ru/system/home/card%23/company/E6D49220488B4FD484CDC364CDBED12A/101" TargetMode="External"/><Relationship Id="rId307" Type="http://schemas.openxmlformats.org/officeDocument/2006/relationships/hyperlink" Target="https://spark-interfax.ru/system/home/card%23/company/4C20954C29E44689922D7FE0DE9D9DE2/101" TargetMode="External"/><Relationship Id="rId349" Type="http://schemas.openxmlformats.org/officeDocument/2006/relationships/hyperlink" Target="https://spark-interfax.ru/system/home/card%23/company/92F2716C8E28432999B7CB16C075FD11/101" TargetMode="External"/><Relationship Id="rId88" Type="http://schemas.openxmlformats.org/officeDocument/2006/relationships/hyperlink" Target="https://spark-interfax.ru/system/home/card%23/company/197D14834E814FBFACBB08AB0F322692/101" TargetMode="External"/><Relationship Id="rId111" Type="http://schemas.openxmlformats.org/officeDocument/2006/relationships/hyperlink" Target="https://spark-interfax.ru/system/home/card%23/company/DB6D28B126EC4B5EBC7FB264D70EE157/101" TargetMode="External"/><Relationship Id="rId153" Type="http://schemas.openxmlformats.org/officeDocument/2006/relationships/hyperlink" Target="https://spark-interfax.ru/system/home/card%23/company/5CF8773D90184EFCB8450B63CE16C410/101" TargetMode="External"/><Relationship Id="rId195" Type="http://schemas.openxmlformats.org/officeDocument/2006/relationships/hyperlink" Target="https://spark-interfax.ru/system/home/card%23/company/2A813967712547BABDC5E4A8AEA8D9E6/101" TargetMode="External"/><Relationship Id="rId209" Type="http://schemas.openxmlformats.org/officeDocument/2006/relationships/hyperlink" Target="https://spark-interfax.ru/system/home/card%23/company/A0806210814A4DCC894A8A84C0280C95/101" TargetMode="External"/><Relationship Id="rId360" Type="http://schemas.openxmlformats.org/officeDocument/2006/relationships/hyperlink" Target="https://spark-interfax.ru/system/home/card%23/company/B1E0E8156BD749D3827EB0E29F186FB1/101" TargetMode="External"/><Relationship Id="rId416" Type="http://schemas.openxmlformats.org/officeDocument/2006/relationships/hyperlink" Target="https://spark-interfax.ru/system/home/card%23/company/17291E1A7E364A6DB61804DFD21B6709/101" TargetMode="External"/><Relationship Id="rId220" Type="http://schemas.openxmlformats.org/officeDocument/2006/relationships/hyperlink" Target="https://spark-interfax.ru/system/home/card%23/company/9C13C12688C04A25B85FA84B67726727/101" TargetMode="External"/><Relationship Id="rId458" Type="http://schemas.openxmlformats.org/officeDocument/2006/relationships/hyperlink" Target="https://spark-interfax.ru/system/home/card%23/company/0EDEC5440A534489A3B6B036347B42F2/101" TargetMode="External"/><Relationship Id="rId15" Type="http://schemas.openxmlformats.org/officeDocument/2006/relationships/hyperlink" Target="https://spark-interfax.ru/system/home/card%23/company/CC3B17BE45874CC499BD4CA75AFC1722/101" TargetMode="External"/><Relationship Id="rId57" Type="http://schemas.openxmlformats.org/officeDocument/2006/relationships/hyperlink" Target="https://spark-interfax.ru/system/home/card%23/company/3133E8D330DE4E02A38F8E4FA5E74A6B/101" TargetMode="External"/><Relationship Id="rId262" Type="http://schemas.openxmlformats.org/officeDocument/2006/relationships/hyperlink" Target="https://spark-interfax.ru/system/home/card%23/company/52DF1A49DC5643ED931F8D17F98FFA0A/101" TargetMode="External"/><Relationship Id="rId318" Type="http://schemas.openxmlformats.org/officeDocument/2006/relationships/hyperlink" Target="https://spark-interfax.ru/system/home/card%23/company/B3C6F17366B34962AD9EA45306F8166E/101" TargetMode="External"/><Relationship Id="rId99" Type="http://schemas.openxmlformats.org/officeDocument/2006/relationships/hyperlink" Target="https://spark-interfax.ru/system/home/card%23/company/85F16CED36A24CA0948E473AE6C3558F/101" TargetMode="External"/><Relationship Id="rId122" Type="http://schemas.openxmlformats.org/officeDocument/2006/relationships/hyperlink" Target="https://spark-interfax.ru/system/home/card%23/company/3BD1090CF039458395B6F5D7574594F6/101" TargetMode="External"/><Relationship Id="rId164" Type="http://schemas.openxmlformats.org/officeDocument/2006/relationships/hyperlink" Target="https://spark-interfax.ru/system/home/card%23/company/02381655D6A14ED4B07DCD502CFC0C57/101" TargetMode="External"/><Relationship Id="rId371" Type="http://schemas.openxmlformats.org/officeDocument/2006/relationships/hyperlink" Target="https://spark-interfax.ru/system/home/card%23/company/734E1BAD4728421CA20D5901D763F2CA/101" TargetMode="External"/><Relationship Id="rId427" Type="http://schemas.openxmlformats.org/officeDocument/2006/relationships/hyperlink" Target="https://spark-interfax.ru/system/home/card%23/company/1F99361AEB18403C8AA6F85BE6EA523D/101" TargetMode="External"/><Relationship Id="rId469" Type="http://schemas.openxmlformats.org/officeDocument/2006/relationships/hyperlink" Target="https://spark-interfax.ru/system/home/card%23/company/14B38063DDBF434A963D97CEAA6DF296/101" TargetMode="External"/><Relationship Id="rId26" Type="http://schemas.openxmlformats.org/officeDocument/2006/relationships/hyperlink" Target="https://spark-interfax.ru/system/home/card%23/company/01A7798D15E5439AB14B2196BCD619B9/101" TargetMode="External"/><Relationship Id="rId231" Type="http://schemas.openxmlformats.org/officeDocument/2006/relationships/hyperlink" Target="https://spark-interfax.ru/system/home/card%23/company/0B34C5F9E52E4EF89DB7E35C531B35A7/101" TargetMode="External"/><Relationship Id="rId273" Type="http://schemas.openxmlformats.org/officeDocument/2006/relationships/hyperlink" Target="https://spark-interfax.ru/system/home/card%23/company/C0B51520A30A406CA24265113EC1F589/101" TargetMode="External"/><Relationship Id="rId329" Type="http://schemas.openxmlformats.org/officeDocument/2006/relationships/hyperlink" Target="https://spark-interfax.ru/system/home/card%23/company/021A0E41A2E5461CAB241D3DE0B9D9A7/101" TargetMode="External"/><Relationship Id="rId480" Type="http://schemas.openxmlformats.org/officeDocument/2006/relationships/hyperlink" Target="https://spark-interfax.ru/system/home/card%23/company/EDB8CCB153C5461280CF27D48D09B06C/101" TargetMode="External"/><Relationship Id="rId68" Type="http://schemas.openxmlformats.org/officeDocument/2006/relationships/hyperlink" Target="https://spark-interfax.ru/system/home/card%23/company/09DB95BEC0C34F2C9FF1246B92D75067/101" TargetMode="External"/><Relationship Id="rId133" Type="http://schemas.openxmlformats.org/officeDocument/2006/relationships/hyperlink" Target="https://spark-interfax.ru/system/home/card%23/company/96E1A8A7E2ED47D684DDBFF3E7E5BF4A/101" TargetMode="External"/><Relationship Id="rId175" Type="http://schemas.openxmlformats.org/officeDocument/2006/relationships/hyperlink" Target="https://spark-interfax.ru/system/home/card%23/company/FF7A22FD540D4E649CB57EAE679585C9/101" TargetMode="External"/><Relationship Id="rId340" Type="http://schemas.openxmlformats.org/officeDocument/2006/relationships/hyperlink" Target="https://spark-interfax.ru/system/home/card%23/company/DF9A5F16496D4A3383111102810BA74C/101" TargetMode="External"/><Relationship Id="rId200" Type="http://schemas.openxmlformats.org/officeDocument/2006/relationships/hyperlink" Target="https://spark-interfax.ru/system/home/card%23/company/8E40D3F61CC54F9F86DC69E84D9D378E/101" TargetMode="External"/><Relationship Id="rId382" Type="http://schemas.openxmlformats.org/officeDocument/2006/relationships/hyperlink" Target="https://spark-interfax.ru/system/home/card%23/company/1EEE3BCBDF47452399D9C3DF1983219B/101" TargetMode="External"/><Relationship Id="rId438" Type="http://schemas.openxmlformats.org/officeDocument/2006/relationships/hyperlink" Target="https://spark-interfax.ru/system/home/card%23/company/54A32AB2CA9C4DFBB4AA1A502D4B001A/101" TargetMode="External"/><Relationship Id="rId242" Type="http://schemas.openxmlformats.org/officeDocument/2006/relationships/hyperlink" Target="https://spark-interfax.ru/system/home/card%23/company/9F294B93C4CF4E87A021ABF82FC7FF95/101" TargetMode="External"/><Relationship Id="rId284" Type="http://schemas.openxmlformats.org/officeDocument/2006/relationships/hyperlink" Target="https://spark-interfax.ru/system/home/card%23/company/337DA04FD7AA46039A5DC418D514BC01/101" TargetMode="External"/><Relationship Id="rId491" Type="http://schemas.openxmlformats.org/officeDocument/2006/relationships/hyperlink" Target="https://spark-interfax.ru/system/home/card%23/company/47520D596C7A4D489502B26F72C5ACD4/101" TargetMode="External"/><Relationship Id="rId37" Type="http://schemas.openxmlformats.org/officeDocument/2006/relationships/hyperlink" Target="https://spark-interfax.ru/system/home/card%23/company/94C575B5065746D0814D93591CC7987E/101" TargetMode="External"/><Relationship Id="rId79" Type="http://schemas.openxmlformats.org/officeDocument/2006/relationships/hyperlink" Target="https://spark-interfax.ru/system/home/card%23/company/DC359BB0EDE14F7FB8A7A8371CE421EE/101" TargetMode="External"/><Relationship Id="rId102" Type="http://schemas.openxmlformats.org/officeDocument/2006/relationships/hyperlink" Target="https://spark-interfax.ru/system/home/card%23/company/430AF85C81F3424E8F05F118D4EFD9BC/101" TargetMode="External"/><Relationship Id="rId144" Type="http://schemas.openxmlformats.org/officeDocument/2006/relationships/hyperlink" Target="https://spark-interfax.ru/system/home/card%23/company/8550079613F44C4096B04C4F092E3F4C/101" TargetMode="External"/><Relationship Id="rId90" Type="http://schemas.openxmlformats.org/officeDocument/2006/relationships/hyperlink" Target="https://spark-interfax.ru/system/home/card%23/company/C08848B8062C4871A4EA6728AF11F3CA/101" TargetMode="External"/><Relationship Id="rId186" Type="http://schemas.openxmlformats.org/officeDocument/2006/relationships/hyperlink" Target="https://spark-interfax.ru/system/home/card%23/company/819FDB0895D249F28449550C12674B0E/101" TargetMode="External"/><Relationship Id="rId351" Type="http://schemas.openxmlformats.org/officeDocument/2006/relationships/hyperlink" Target="https://spark-interfax.ru/system/home/card%23/company/4E47A9C4876749AF8874A493886EB445/101" TargetMode="External"/><Relationship Id="rId393" Type="http://schemas.openxmlformats.org/officeDocument/2006/relationships/hyperlink" Target="https://spark-interfax.ru/system/home/card%23/company/489FADE9A9464B2CB121D5F5FFD97B16/101" TargetMode="External"/><Relationship Id="rId407" Type="http://schemas.openxmlformats.org/officeDocument/2006/relationships/hyperlink" Target="https://spark-interfax.ru/system/home/card%23/company/DB513DA67C624E7A9FFE4FA840D07E34/101" TargetMode="External"/><Relationship Id="rId449" Type="http://schemas.openxmlformats.org/officeDocument/2006/relationships/hyperlink" Target="https://spark-interfax.ru/system/home/card%23/company/D9AE0BFC96D2415096416FDCA90F2A4A/101" TargetMode="External"/><Relationship Id="rId211" Type="http://schemas.openxmlformats.org/officeDocument/2006/relationships/hyperlink" Target="https://spark-interfax.ru/system/home/card%23/company/ED9CBBFCADAA419D992D1C53BD442F04/101" TargetMode="External"/><Relationship Id="rId253" Type="http://schemas.openxmlformats.org/officeDocument/2006/relationships/hyperlink" Target="https://spark-interfax.ru/system/home/card%23/company/DF5D65C060C14EA2BF65533356FC2830/101" TargetMode="External"/><Relationship Id="rId295" Type="http://schemas.openxmlformats.org/officeDocument/2006/relationships/hyperlink" Target="https://spark-interfax.ru/system/home/card%23/company/4E4123FA1E8C41B0B4A8B9F8042D6C07/101" TargetMode="External"/><Relationship Id="rId309" Type="http://schemas.openxmlformats.org/officeDocument/2006/relationships/hyperlink" Target="https://spark-interfax.ru/system/home/card%23/company/6FFA8BF0E4F6478CA512704BA26BA022/101" TargetMode="External"/><Relationship Id="rId460" Type="http://schemas.openxmlformats.org/officeDocument/2006/relationships/hyperlink" Target="https://spark-interfax.ru/system/home/card%23/company/B998EC52F8174AFD9C9289720CE1711E/101" TargetMode="External"/><Relationship Id="rId48" Type="http://schemas.openxmlformats.org/officeDocument/2006/relationships/hyperlink" Target="https://spark-interfax.ru/system/home/card%23/company/0BEFEDA4FD044707BDF44A0C79598F79/101" TargetMode="External"/><Relationship Id="rId113" Type="http://schemas.openxmlformats.org/officeDocument/2006/relationships/hyperlink" Target="https://spark-interfax.ru/system/home/card%23/company/2724F48B353D470D809CD571C3877E9B/101" TargetMode="External"/><Relationship Id="rId320" Type="http://schemas.openxmlformats.org/officeDocument/2006/relationships/hyperlink" Target="https://spark-interfax.ru/system/home/card%23/company/583AC892AB664C2181C18DEE3138538A/101" TargetMode="External"/><Relationship Id="rId155" Type="http://schemas.openxmlformats.org/officeDocument/2006/relationships/hyperlink" Target="https://spark-interfax.ru/system/home/card%23/company/E0DC8F3B7D8B4750B45173497D80A0B8/101" TargetMode="External"/><Relationship Id="rId197" Type="http://schemas.openxmlformats.org/officeDocument/2006/relationships/hyperlink" Target="https://spark-interfax.ru/system/home/card%23/company/CE897D229AA84208AB58F84646F32C1B/101" TargetMode="External"/><Relationship Id="rId362" Type="http://schemas.openxmlformats.org/officeDocument/2006/relationships/hyperlink" Target="https://spark-interfax.ru/system/home/card%23/company/714517A8561649ABBE07B4928CF0E8AF/101" TargetMode="External"/><Relationship Id="rId418" Type="http://schemas.openxmlformats.org/officeDocument/2006/relationships/hyperlink" Target="https://spark-interfax.ru/system/home/card%23/company/020EFD6A1CDB43848F63F06FD54CE651/101" TargetMode="External"/><Relationship Id="rId222" Type="http://schemas.openxmlformats.org/officeDocument/2006/relationships/hyperlink" Target="https://spark-interfax.ru/system/home/card%23/company/B823E3A069974916B0E1A32391957831/101" TargetMode="External"/><Relationship Id="rId264" Type="http://schemas.openxmlformats.org/officeDocument/2006/relationships/hyperlink" Target="https://spark-interfax.ru/system/home/card%23/company/0E7AAF3570A640C08154BAB2C6CC361B/101" TargetMode="External"/><Relationship Id="rId471" Type="http://schemas.openxmlformats.org/officeDocument/2006/relationships/hyperlink" Target="https://spark-interfax.ru/system/home/card%23/company/026F1EC977204FA38D43883EBAEEEF03/101" TargetMode="External"/><Relationship Id="rId17" Type="http://schemas.openxmlformats.org/officeDocument/2006/relationships/hyperlink" Target="https://spark-interfax.ru/system/home/card%23/company/BF7F86972BAB45A9815195F2A2B0DABD/101" TargetMode="External"/><Relationship Id="rId59" Type="http://schemas.openxmlformats.org/officeDocument/2006/relationships/hyperlink" Target="https://spark-interfax.ru/system/home/card%23/company/716013A9CB274939B247935CD5BFCBAA/101" TargetMode="External"/><Relationship Id="rId124" Type="http://schemas.openxmlformats.org/officeDocument/2006/relationships/hyperlink" Target="https://spark-interfax.ru/system/home/card%23/company/3201A3D58FD84FC28373518C2A7A0190/101" TargetMode="External"/><Relationship Id="rId70" Type="http://schemas.openxmlformats.org/officeDocument/2006/relationships/hyperlink" Target="https://spark-interfax.ru/system/home/card%23/company/B42B7F1D5B874636A37E563F888D7682/101" TargetMode="External"/><Relationship Id="rId166" Type="http://schemas.openxmlformats.org/officeDocument/2006/relationships/hyperlink" Target="https://spark-interfax.ru/system/home/card%23/company/A79036CD1846429D81A6160C9ABFBF7A/101" TargetMode="External"/><Relationship Id="rId331" Type="http://schemas.openxmlformats.org/officeDocument/2006/relationships/hyperlink" Target="https://spark-interfax.ru/system/home/card%23/company/CA7629B7E61F48299BA60355C9D578D5/101" TargetMode="External"/><Relationship Id="rId373" Type="http://schemas.openxmlformats.org/officeDocument/2006/relationships/hyperlink" Target="https://spark-interfax.ru/system/home/card%23/company/A6550D347CDE4FD3B8BBC9E203FA8F08/101" TargetMode="External"/><Relationship Id="rId429" Type="http://schemas.openxmlformats.org/officeDocument/2006/relationships/hyperlink" Target="https://spark-interfax.ru/system/home/card%23/company/AE870ABE3DFC4D968DBB4D6887C39168/101" TargetMode="External"/><Relationship Id="rId1" Type="http://schemas.openxmlformats.org/officeDocument/2006/relationships/hyperlink" Target="https://spark-interfax.ru/system/home/card%23/company/81C679904EE347208261FE62061995F4/101" TargetMode="External"/><Relationship Id="rId233" Type="http://schemas.openxmlformats.org/officeDocument/2006/relationships/hyperlink" Target="https://spark-interfax.ru/system/home/card%23/company/2D7D1AEE2EB845E78734B5E8351E71E0/101" TargetMode="External"/><Relationship Id="rId440" Type="http://schemas.openxmlformats.org/officeDocument/2006/relationships/hyperlink" Target="https://spark-interfax.ru/system/home/card%23/company/5C9899E44E9540E1843A71FB568A059D/101" TargetMode="External"/><Relationship Id="rId28" Type="http://schemas.openxmlformats.org/officeDocument/2006/relationships/hyperlink" Target="https://spark-interfax.ru/system/home/card%23/company/6E3D32CC133F46EABA8B1714AAF75A4C/101" TargetMode="External"/><Relationship Id="rId275" Type="http://schemas.openxmlformats.org/officeDocument/2006/relationships/hyperlink" Target="https://spark-interfax.ru/system/home/card%23/company/7B9A096BCCF74D00951526496E566E43/101" TargetMode="External"/><Relationship Id="rId300" Type="http://schemas.openxmlformats.org/officeDocument/2006/relationships/hyperlink" Target="https://spark-interfax.ru/system/home/card%23/company/0817FD60EEE14BB4BB5C53B5F5CCD788/101" TargetMode="External"/><Relationship Id="rId482" Type="http://schemas.openxmlformats.org/officeDocument/2006/relationships/hyperlink" Target="https://spark-interfax.ru/system/home/card%23/company/84B18D4B984441CAAC89D7F154876CB9/101" TargetMode="External"/><Relationship Id="rId81" Type="http://schemas.openxmlformats.org/officeDocument/2006/relationships/hyperlink" Target="https://spark-interfax.ru/system/home/card%23/company/0A8B05171842492EBE3D5DC7E6119DA3/101" TargetMode="External"/><Relationship Id="rId135" Type="http://schemas.openxmlformats.org/officeDocument/2006/relationships/hyperlink" Target="https://spark-interfax.ru/system/home/card%23/company/1B23D60E3A9B453CA07EDB640A3DFF5C/101" TargetMode="External"/><Relationship Id="rId177" Type="http://schemas.openxmlformats.org/officeDocument/2006/relationships/hyperlink" Target="https://spark-interfax.ru/system/home/card%23/company/952BF59E7F5F47E3AD4A72C770E9F913/101" TargetMode="External"/><Relationship Id="rId342" Type="http://schemas.openxmlformats.org/officeDocument/2006/relationships/hyperlink" Target="https://spark-interfax.ru/system/home/card%23/company/E1592B33C6DC49CA8C0EA14B9BD565AA/101" TargetMode="External"/><Relationship Id="rId384" Type="http://schemas.openxmlformats.org/officeDocument/2006/relationships/hyperlink" Target="https://spark-interfax.ru/system/home/card%23/company/6BFD9F66404343E2BB1CE5384CBAEE3E/101" TargetMode="External"/><Relationship Id="rId202" Type="http://schemas.openxmlformats.org/officeDocument/2006/relationships/hyperlink" Target="https://spark-interfax.ru/system/home/card%23/company/FE63EDAE9E824D4A9C50F7853BC363EC/101" TargetMode="External"/><Relationship Id="rId244" Type="http://schemas.openxmlformats.org/officeDocument/2006/relationships/hyperlink" Target="https://spark-interfax.ru/system/home/card%23/company/6ED184F5293A4A54996C1A7C82015F20/101" TargetMode="External"/><Relationship Id="rId39" Type="http://schemas.openxmlformats.org/officeDocument/2006/relationships/hyperlink" Target="https://spark-interfax.ru/system/home/card%23/company/DB6FC2B80ED449EDB81349F8CFDC5BE9/101" TargetMode="External"/><Relationship Id="rId286" Type="http://schemas.openxmlformats.org/officeDocument/2006/relationships/hyperlink" Target="https://spark-interfax.ru/system/home/card%23/company/66A8F5AAE8C2453B91D4CE7E282D3162/101" TargetMode="External"/><Relationship Id="rId451" Type="http://schemas.openxmlformats.org/officeDocument/2006/relationships/hyperlink" Target="https://spark-interfax.ru/system/home/card%23/company/958EA82098314936BD838A7EDF693123/101" TargetMode="External"/><Relationship Id="rId50" Type="http://schemas.openxmlformats.org/officeDocument/2006/relationships/hyperlink" Target="https://spark-interfax.ru/system/home/card%23/company/EB975F9DCFDC45A2B33D90A37B20E802/101" TargetMode="External"/><Relationship Id="rId104" Type="http://schemas.openxmlformats.org/officeDocument/2006/relationships/hyperlink" Target="https://spark-interfax.ru/system/home/card%23/company/5D1A355CF38A4D949BA873957C0859C4/101" TargetMode="External"/><Relationship Id="rId146" Type="http://schemas.openxmlformats.org/officeDocument/2006/relationships/hyperlink" Target="https://spark-interfax.ru/system/home/card%23/company/436391850B924018883B3E3777C016BE/101" TargetMode="External"/><Relationship Id="rId188" Type="http://schemas.openxmlformats.org/officeDocument/2006/relationships/hyperlink" Target="https://spark-interfax.ru/system/home/card%23/company/C6B86CE335F6490E82EDA7C8D94147D4/101" TargetMode="External"/><Relationship Id="rId311" Type="http://schemas.openxmlformats.org/officeDocument/2006/relationships/hyperlink" Target="https://spark-interfax.ru/system/home/card%23/company/7A2996C5F710453C883DC6C5DF42ABA6/101" TargetMode="External"/><Relationship Id="rId353" Type="http://schemas.openxmlformats.org/officeDocument/2006/relationships/hyperlink" Target="https://spark-interfax.ru/system/home/card%23/company/D84C1597C91C4F33A66467CC6D8BCC83/101" TargetMode="External"/><Relationship Id="rId395" Type="http://schemas.openxmlformats.org/officeDocument/2006/relationships/hyperlink" Target="https://spark-interfax.ru/system/home/card%23/company/E0D3BDA56A754FA89F2DF035D0363635/101" TargetMode="External"/><Relationship Id="rId409" Type="http://schemas.openxmlformats.org/officeDocument/2006/relationships/hyperlink" Target="https://spark-interfax.ru/system/home/card%23/company/F2029FA8418247DC8BEA2DE39E7885BC/101" TargetMode="External"/><Relationship Id="rId92" Type="http://schemas.openxmlformats.org/officeDocument/2006/relationships/hyperlink" Target="https://spark-interfax.ru/system/home/card%23/company/5794B08812A044D4A66503C76C8459E9/101" TargetMode="External"/><Relationship Id="rId213" Type="http://schemas.openxmlformats.org/officeDocument/2006/relationships/hyperlink" Target="https://spark-interfax.ru/system/home/card%23/company/7303E17498DD4E80847B31C83F2B17A9/101" TargetMode="External"/><Relationship Id="rId420" Type="http://schemas.openxmlformats.org/officeDocument/2006/relationships/hyperlink" Target="https://spark-interfax.ru/system/home/card%23/company/470D60E9A24B4649AC16902FEEFC5EFD/101" TargetMode="External"/><Relationship Id="rId255" Type="http://schemas.openxmlformats.org/officeDocument/2006/relationships/hyperlink" Target="https://spark-interfax.ru/system/home/card%23/company/123C5E5D69114F17A7D1EC529B04FFBE/101" TargetMode="External"/><Relationship Id="rId297" Type="http://schemas.openxmlformats.org/officeDocument/2006/relationships/hyperlink" Target="https://spark-interfax.ru/system/home/card%23/company/D073CDCF70674CDFB496318E50C8D081/101" TargetMode="External"/><Relationship Id="rId462" Type="http://schemas.openxmlformats.org/officeDocument/2006/relationships/hyperlink" Target="https://spark-interfax.ru/system/home/card%23/company/80D37B9D7D8641B0A1886AC866ED2F9E/101" TargetMode="External"/><Relationship Id="rId115" Type="http://schemas.openxmlformats.org/officeDocument/2006/relationships/hyperlink" Target="https://spark-interfax.ru/system/home/card%23/company/F0820BAB6BD6469C85F8041DBFCDD028/101" TargetMode="External"/><Relationship Id="rId157" Type="http://schemas.openxmlformats.org/officeDocument/2006/relationships/hyperlink" Target="https://spark-interfax.ru/system/home/card%23/company/3A3F5A1F07484F6B9F6D2176627BBCF5/101" TargetMode="External"/><Relationship Id="rId322" Type="http://schemas.openxmlformats.org/officeDocument/2006/relationships/hyperlink" Target="https://spark-interfax.ru/system/home/card%23/company/7ABA12EB88994ED9B99790DACC28896A/101" TargetMode="External"/><Relationship Id="rId364" Type="http://schemas.openxmlformats.org/officeDocument/2006/relationships/hyperlink" Target="https://spark-interfax.ru/system/home/card%23/company/F1B68DC9B8544941ACACA705A31C3F8B/101" TargetMode="External"/><Relationship Id="rId61" Type="http://schemas.openxmlformats.org/officeDocument/2006/relationships/hyperlink" Target="https://spark-interfax.ru/system/home/card%23/company/64D20ED53AAE46CFA35E7E382A3F366B/101" TargetMode="External"/><Relationship Id="rId199" Type="http://schemas.openxmlformats.org/officeDocument/2006/relationships/hyperlink" Target="https://spark-interfax.ru/system/home/card%23/company/0D4E8496210D42C5AB17B134548AE806/101" TargetMode="External"/><Relationship Id="rId19" Type="http://schemas.openxmlformats.org/officeDocument/2006/relationships/hyperlink" Target="https://spark-interfax.ru/system/home/card%23/company/787EA361B6214C56B4C77EEDAA2451B7/101" TargetMode="External"/><Relationship Id="rId224" Type="http://schemas.openxmlformats.org/officeDocument/2006/relationships/hyperlink" Target="https://spark-interfax.ru/system/home/card%23/company/CF928BEBD75947439A79CA2E57879308/101" TargetMode="External"/><Relationship Id="rId266" Type="http://schemas.openxmlformats.org/officeDocument/2006/relationships/hyperlink" Target="https://spark-interfax.ru/system/home/card%23/company/AA27CCB0E99045CC9F9D6D5785AFA5DD/101" TargetMode="External"/><Relationship Id="rId431" Type="http://schemas.openxmlformats.org/officeDocument/2006/relationships/hyperlink" Target="https://spark-interfax.ru/system/home/card%23/company/D9EF5F6B9840476FBD1FDE4BD86C2E04/101" TargetMode="External"/><Relationship Id="rId473" Type="http://schemas.openxmlformats.org/officeDocument/2006/relationships/hyperlink" Target="https://spark-interfax.ru/system/home/card%23/company/3268FE283CBB48918D98D8AB4905DC42/101" TargetMode="External"/><Relationship Id="rId30" Type="http://schemas.openxmlformats.org/officeDocument/2006/relationships/hyperlink" Target="https://spark-interfax.ru/system/home/card%23/company/AF4616518C7F4C83B81440EF9B8C860F/101" TargetMode="External"/><Relationship Id="rId126" Type="http://schemas.openxmlformats.org/officeDocument/2006/relationships/hyperlink" Target="https://spark-interfax.ru/system/home/card%23/company/FCF4FCEFFEFD47849208F394FC5A5C84/101" TargetMode="External"/><Relationship Id="rId168" Type="http://schemas.openxmlformats.org/officeDocument/2006/relationships/hyperlink" Target="https://spark-interfax.ru/system/home/card%23/company/E68606A01458480DA4BFEA3DDC90EC05/101" TargetMode="External"/><Relationship Id="rId333" Type="http://schemas.openxmlformats.org/officeDocument/2006/relationships/hyperlink" Target="https://spark-interfax.ru/system/home/card%23/company/5D206849B26243D18EC6358FD3178EE4/101" TargetMode="External"/><Relationship Id="rId72" Type="http://schemas.openxmlformats.org/officeDocument/2006/relationships/hyperlink" Target="https://spark-interfax.ru/system/home/card%23/company/AE4E7EBF0A3848B7B733D4E53B9414B2/101" TargetMode="External"/><Relationship Id="rId375" Type="http://schemas.openxmlformats.org/officeDocument/2006/relationships/hyperlink" Target="https://spark-interfax.ru/system/home/card%23/company/3B2C4BA344CB49D8A5EE81EBEDC2DE74/101" TargetMode="External"/><Relationship Id="rId3" Type="http://schemas.openxmlformats.org/officeDocument/2006/relationships/hyperlink" Target="https://spark-interfax.ru/system/home/card%23/company/B85A1D0F7B024496B9F68AD5756F6556/101" TargetMode="External"/><Relationship Id="rId235" Type="http://schemas.openxmlformats.org/officeDocument/2006/relationships/hyperlink" Target="https://spark-interfax.ru/system/home/card%23/company/237E04A61F0744D19E2804B5DE2B636C/101" TargetMode="External"/><Relationship Id="rId277" Type="http://schemas.openxmlformats.org/officeDocument/2006/relationships/hyperlink" Target="https://spark-interfax.ru/system/home/card%23/company/29AFACB3A25E40A7B63EBD0FD1B5EE0D/101" TargetMode="External"/><Relationship Id="rId400" Type="http://schemas.openxmlformats.org/officeDocument/2006/relationships/hyperlink" Target="https://spark-interfax.ru/system/home/card%23/company/BFF22852A8FD4BA68C14B58739433BCA/101" TargetMode="External"/><Relationship Id="rId442" Type="http://schemas.openxmlformats.org/officeDocument/2006/relationships/hyperlink" Target="https://spark-interfax.ru/system/home/card%23/company/72942878CC02422A878D1FE42802360A/101" TargetMode="External"/><Relationship Id="rId484" Type="http://schemas.openxmlformats.org/officeDocument/2006/relationships/hyperlink" Target="https://spark-interfax.ru/system/home/card%23/company/11620E1E0F994865B99B441710650C8E/101" TargetMode="External"/><Relationship Id="rId137" Type="http://schemas.openxmlformats.org/officeDocument/2006/relationships/hyperlink" Target="https://spark-interfax.ru/system/home/card%23/company/A62ED94114A1486099FA2822E52ADA66/101" TargetMode="External"/><Relationship Id="rId302" Type="http://schemas.openxmlformats.org/officeDocument/2006/relationships/hyperlink" Target="https://spark-interfax.ru/system/home/card%23/company/F13B0B1822F54F56B7EF787C69224CDD/101" TargetMode="External"/><Relationship Id="rId344" Type="http://schemas.openxmlformats.org/officeDocument/2006/relationships/hyperlink" Target="https://spark-interfax.ru/system/home/card%23/company/36A1DE26C9834E3293C9C215556A4D13/10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18"/>
  <sheetViews>
    <sheetView showGridLines="0" zoomScale="70" zoomScaleNormal="70" workbookViewId="0">
      <pane ySplit="1" topLeftCell="A2545" activePane="bottomLeft" state="frozen"/>
      <selection activeCell="E1" sqref="E1"/>
      <selection pane="bottomLeft" activeCell="F1" sqref="F1:L2618"/>
    </sheetView>
  </sheetViews>
  <sheetFormatPr defaultColWidth="14.42578125" defaultRowHeight="15" customHeight="1"/>
  <cols>
    <col min="1" max="1" width="32" customWidth="1"/>
    <col min="2" max="2" width="22.7109375" customWidth="1"/>
    <col min="3" max="3" width="15.7109375" customWidth="1"/>
    <col min="4" max="4" width="22.28515625" customWidth="1"/>
    <col min="5" max="5" width="18.42578125" customWidth="1"/>
    <col min="6" max="6" width="30.7109375" customWidth="1"/>
    <col min="7" max="8" width="32" customWidth="1"/>
    <col min="9" max="10" width="31.7109375" customWidth="1"/>
    <col min="11" max="12" width="32" customWidth="1"/>
  </cols>
  <sheetData>
    <row r="1" spans="1:12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>
      <c r="A2" s="2" t="s">
        <v>15</v>
      </c>
      <c r="B2" s="3" t="s">
        <v>16</v>
      </c>
      <c r="C2" s="3" t="s">
        <v>12</v>
      </c>
      <c r="D2" s="3" t="s">
        <v>17</v>
      </c>
      <c r="E2" s="3" t="s">
        <v>13</v>
      </c>
      <c r="F2" s="3" t="s">
        <v>14</v>
      </c>
      <c r="G2" s="6" t="s">
        <v>18</v>
      </c>
      <c r="H2" s="4"/>
      <c r="I2" s="5">
        <v>1533000</v>
      </c>
      <c r="J2" s="5">
        <v>3635000</v>
      </c>
      <c r="K2" s="5">
        <v>1458000</v>
      </c>
      <c r="L2" s="5">
        <v>2559000</v>
      </c>
    </row>
    <row r="3" spans="1:12" ht="15.75" customHeight="1">
      <c r="A3" s="2" t="s">
        <v>19</v>
      </c>
      <c r="B3" s="3" t="s">
        <v>20</v>
      </c>
      <c r="C3" s="3" t="s">
        <v>12</v>
      </c>
      <c r="D3" s="3" t="s">
        <v>21</v>
      </c>
      <c r="E3" s="3" t="s">
        <v>13</v>
      </c>
      <c r="F3" s="3" t="s">
        <v>14</v>
      </c>
      <c r="G3" s="6" t="s">
        <v>22</v>
      </c>
      <c r="H3" s="6" t="s">
        <v>23</v>
      </c>
      <c r="I3" s="5">
        <v>754602000</v>
      </c>
      <c r="J3" s="5">
        <v>248596000</v>
      </c>
      <c r="K3" s="5">
        <v>641697000</v>
      </c>
      <c r="L3" s="5">
        <v>408668000</v>
      </c>
    </row>
    <row r="4" spans="1:12" ht="28.5" customHeight="1">
      <c r="A4" s="2" t="s">
        <v>26</v>
      </c>
      <c r="B4" s="3" t="s">
        <v>27</v>
      </c>
      <c r="C4" s="3" t="s">
        <v>12</v>
      </c>
      <c r="D4" s="3" t="s">
        <v>28</v>
      </c>
      <c r="E4" s="3" t="s">
        <v>13</v>
      </c>
      <c r="F4" s="3" t="s">
        <v>14</v>
      </c>
      <c r="G4" s="6" t="s">
        <v>18</v>
      </c>
      <c r="H4" s="4"/>
      <c r="I4" s="5">
        <v>5000000</v>
      </c>
      <c r="J4" s="5"/>
      <c r="K4" s="5">
        <v>4516000</v>
      </c>
      <c r="L4" s="5"/>
    </row>
    <row r="5" spans="1:12" ht="28.5" customHeight="1">
      <c r="A5" s="2" t="s">
        <v>29</v>
      </c>
      <c r="B5" s="3" t="s">
        <v>30</v>
      </c>
      <c r="C5" s="3" t="s">
        <v>12</v>
      </c>
      <c r="D5" s="3" t="s">
        <v>31</v>
      </c>
      <c r="E5" s="3" t="s">
        <v>13</v>
      </c>
      <c r="F5" s="3" t="s">
        <v>25</v>
      </c>
      <c r="G5" s="6" t="s">
        <v>18</v>
      </c>
      <c r="H5" s="4"/>
      <c r="I5" s="5"/>
      <c r="J5" s="5"/>
      <c r="K5" s="5"/>
      <c r="L5" s="5"/>
    </row>
    <row r="6" spans="1:12" ht="28.5" customHeight="1">
      <c r="A6" s="2" t="s">
        <v>32</v>
      </c>
      <c r="B6" s="3" t="s">
        <v>33</v>
      </c>
      <c r="C6" s="3" t="s">
        <v>12</v>
      </c>
      <c r="D6" s="3" t="s">
        <v>34</v>
      </c>
      <c r="E6" s="3" t="s">
        <v>13</v>
      </c>
      <c r="F6" s="3" t="s">
        <v>25</v>
      </c>
      <c r="G6" s="6" t="s">
        <v>22</v>
      </c>
      <c r="H6" s="6" t="s">
        <v>23</v>
      </c>
      <c r="I6" s="5">
        <v>27002000</v>
      </c>
      <c r="J6" s="5">
        <v>25410000</v>
      </c>
      <c r="K6" s="5">
        <v>29355000</v>
      </c>
      <c r="L6" s="5">
        <v>24228000</v>
      </c>
    </row>
    <row r="7" spans="1:12" ht="28.5" customHeight="1">
      <c r="A7" s="2" t="s">
        <v>35</v>
      </c>
      <c r="B7" s="3" t="s">
        <v>36</v>
      </c>
      <c r="C7" s="3" t="s">
        <v>12</v>
      </c>
      <c r="D7" s="3" t="s">
        <v>37</v>
      </c>
      <c r="E7" s="3" t="s">
        <v>13</v>
      </c>
      <c r="F7" s="3" t="s">
        <v>24</v>
      </c>
      <c r="G7" s="6" t="s">
        <v>18</v>
      </c>
      <c r="H7" s="4"/>
      <c r="I7" s="5">
        <v>4280000</v>
      </c>
      <c r="J7" s="5">
        <v>2880000</v>
      </c>
      <c r="K7" s="5">
        <v>4122000</v>
      </c>
      <c r="L7" s="5">
        <v>2847000</v>
      </c>
    </row>
    <row r="8" spans="1:12" ht="15.75" customHeight="1">
      <c r="A8" s="2" t="s">
        <v>38</v>
      </c>
      <c r="B8" s="3" t="s">
        <v>39</v>
      </c>
      <c r="C8" s="3" t="s">
        <v>12</v>
      </c>
      <c r="D8" s="3" t="s">
        <v>40</v>
      </c>
      <c r="E8" s="3" t="s">
        <v>13</v>
      </c>
      <c r="F8" s="3" t="s">
        <v>14</v>
      </c>
      <c r="G8" s="6" t="s">
        <v>18</v>
      </c>
      <c r="H8" s="4"/>
      <c r="I8" s="5">
        <v>1661000</v>
      </c>
      <c r="J8" s="5">
        <v>1613000</v>
      </c>
      <c r="K8" s="5">
        <v>1674000</v>
      </c>
      <c r="L8" s="5">
        <v>1701000</v>
      </c>
    </row>
    <row r="9" spans="1:12" ht="15.75" customHeight="1">
      <c r="A9" s="2" t="s">
        <v>41</v>
      </c>
      <c r="B9" s="3" t="s">
        <v>42</v>
      </c>
      <c r="C9" s="3" t="s">
        <v>12</v>
      </c>
      <c r="D9" s="3" t="s">
        <v>43</v>
      </c>
      <c r="E9" s="3" t="s">
        <v>13</v>
      </c>
      <c r="F9" s="3" t="s">
        <v>14</v>
      </c>
      <c r="G9" s="6" t="s">
        <v>18</v>
      </c>
      <c r="H9" s="4"/>
      <c r="I9" s="5">
        <v>67000000</v>
      </c>
      <c r="J9" s="5">
        <v>146876000</v>
      </c>
      <c r="K9" s="5">
        <v>74958000</v>
      </c>
      <c r="L9" s="5">
        <v>107775000</v>
      </c>
    </row>
    <row r="10" spans="1:12" ht="28.5" customHeight="1">
      <c r="A10" s="2" t="s">
        <v>44</v>
      </c>
      <c r="B10" s="3" t="s">
        <v>45</v>
      </c>
      <c r="C10" s="3" t="s">
        <v>12</v>
      </c>
      <c r="D10" s="3" t="s">
        <v>46</v>
      </c>
      <c r="E10" s="3" t="s">
        <v>13</v>
      </c>
      <c r="F10" s="3" t="s">
        <v>14</v>
      </c>
      <c r="G10" s="6" t="s">
        <v>18</v>
      </c>
      <c r="H10" s="4"/>
      <c r="I10" s="5"/>
      <c r="J10" s="5"/>
      <c r="K10" s="5"/>
      <c r="L10" s="5"/>
    </row>
    <row r="11" spans="1:12" ht="28.5" customHeight="1">
      <c r="A11" s="2" t="s">
        <v>47</v>
      </c>
      <c r="B11" s="3" t="s">
        <v>48</v>
      </c>
      <c r="C11" s="3" t="s">
        <v>12</v>
      </c>
      <c r="D11" s="3" t="s">
        <v>49</v>
      </c>
      <c r="E11" s="3" t="s">
        <v>13</v>
      </c>
      <c r="F11" s="3" t="s">
        <v>14</v>
      </c>
      <c r="G11" s="6" t="s">
        <v>18</v>
      </c>
      <c r="H11" s="4"/>
      <c r="I11" s="5">
        <v>366217000</v>
      </c>
      <c r="J11" s="5">
        <v>362116000</v>
      </c>
      <c r="K11" s="5">
        <v>363962000</v>
      </c>
      <c r="L11" s="5">
        <v>362539000</v>
      </c>
    </row>
    <row r="12" spans="1:12" ht="28.5" customHeight="1">
      <c r="A12" s="2" t="s">
        <v>50</v>
      </c>
      <c r="B12" s="3" t="s">
        <v>51</v>
      </c>
      <c r="C12" s="3" t="s">
        <v>12</v>
      </c>
      <c r="D12" s="3" t="s">
        <v>52</v>
      </c>
      <c r="E12" s="3" t="s">
        <v>13</v>
      </c>
      <c r="F12" s="3" t="s">
        <v>25</v>
      </c>
      <c r="G12" s="6" t="s">
        <v>23</v>
      </c>
      <c r="H12" s="4"/>
      <c r="I12" s="5">
        <v>253031000</v>
      </c>
      <c r="J12" s="5">
        <v>150000000</v>
      </c>
      <c r="K12" s="5">
        <v>256576000</v>
      </c>
      <c r="L12" s="5">
        <v>211270000</v>
      </c>
    </row>
    <row r="13" spans="1:12" ht="28.5" customHeight="1">
      <c r="A13" s="2" t="s">
        <v>53</v>
      </c>
      <c r="B13" s="3" t="s">
        <v>54</v>
      </c>
      <c r="C13" s="3" t="s">
        <v>12</v>
      </c>
      <c r="D13" s="3" t="s">
        <v>55</v>
      </c>
      <c r="E13" s="3" t="s">
        <v>13</v>
      </c>
      <c r="F13" s="3" t="s">
        <v>14</v>
      </c>
      <c r="G13" s="6" t="s">
        <v>18</v>
      </c>
      <c r="H13" s="4"/>
      <c r="I13" s="5">
        <v>18169000</v>
      </c>
      <c r="J13" s="5">
        <v>23911000</v>
      </c>
      <c r="K13" s="5">
        <v>15809000</v>
      </c>
      <c r="L13" s="5">
        <v>21475000</v>
      </c>
    </row>
    <row r="14" spans="1:12" ht="15.75" customHeight="1">
      <c r="A14" s="2" t="s">
        <v>56</v>
      </c>
      <c r="B14" s="3" t="s">
        <v>57</v>
      </c>
      <c r="C14" s="3" t="s">
        <v>12</v>
      </c>
      <c r="D14" s="3" t="s">
        <v>58</v>
      </c>
      <c r="E14" s="3" t="s">
        <v>13</v>
      </c>
      <c r="F14" s="3" t="s">
        <v>25</v>
      </c>
      <c r="G14" s="6" t="s">
        <v>18</v>
      </c>
      <c r="H14" s="4"/>
      <c r="I14" s="5"/>
      <c r="J14" s="5">
        <v>473000</v>
      </c>
      <c r="K14" s="5"/>
      <c r="L14" s="5">
        <v>473000</v>
      </c>
    </row>
    <row r="15" spans="1:12" ht="54.75" customHeight="1">
      <c r="A15" s="2" t="s">
        <v>59</v>
      </c>
      <c r="B15" s="3" t="s">
        <v>60</v>
      </c>
      <c r="C15" s="3" t="s">
        <v>12</v>
      </c>
      <c r="D15" s="3" t="s">
        <v>61</v>
      </c>
      <c r="E15" s="3" t="s">
        <v>13</v>
      </c>
      <c r="F15" s="3" t="s">
        <v>25</v>
      </c>
      <c r="G15" s="6" t="s">
        <v>22</v>
      </c>
      <c r="H15" s="4"/>
      <c r="I15" s="5">
        <v>191006000</v>
      </c>
      <c r="J15" s="5">
        <v>195326000</v>
      </c>
      <c r="K15" s="5">
        <v>207475000</v>
      </c>
      <c r="L15" s="5">
        <v>165612000</v>
      </c>
    </row>
    <row r="16" spans="1:12" ht="15.75" customHeight="1">
      <c r="A16" s="2" t="s">
        <v>62</v>
      </c>
      <c r="B16" s="3" t="s">
        <v>63</v>
      </c>
      <c r="C16" s="3" t="s">
        <v>12</v>
      </c>
      <c r="D16" s="3" t="s">
        <v>64</v>
      </c>
      <c r="E16" s="3" t="s">
        <v>13</v>
      </c>
      <c r="F16" s="3" t="s">
        <v>14</v>
      </c>
      <c r="G16" s="6" t="s">
        <v>23</v>
      </c>
      <c r="H16" s="6" t="s">
        <v>23</v>
      </c>
      <c r="I16" s="5">
        <v>128983000</v>
      </c>
      <c r="J16" s="5">
        <v>105573000</v>
      </c>
      <c r="K16" s="5">
        <v>95513000</v>
      </c>
      <c r="L16" s="5">
        <v>107906000</v>
      </c>
    </row>
    <row r="17" spans="1:12" ht="28.5" customHeight="1">
      <c r="A17" s="2" t="s">
        <v>65</v>
      </c>
      <c r="B17" s="3" t="s">
        <v>66</v>
      </c>
      <c r="C17" s="3" t="s">
        <v>12</v>
      </c>
      <c r="D17" s="3" t="s">
        <v>67</v>
      </c>
      <c r="E17" s="3" t="s">
        <v>13</v>
      </c>
      <c r="F17" s="3" t="s">
        <v>14</v>
      </c>
      <c r="G17" s="6" t="s">
        <v>18</v>
      </c>
      <c r="H17" s="4"/>
      <c r="I17" s="5"/>
      <c r="J17" s="5">
        <v>35643000</v>
      </c>
      <c r="K17" s="5"/>
      <c r="L17" s="5">
        <v>34247000</v>
      </c>
    </row>
    <row r="18" spans="1:12" ht="28.5" customHeight="1">
      <c r="A18" s="2" t="s">
        <v>68</v>
      </c>
      <c r="B18" s="3" t="s">
        <v>69</v>
      </c>
      <c r="C18" s="3" t="s">
        <v>12</v>
      </c>
      <c r="D18" s="3" t="s">
        <v>70</v>
      </c>
      <c r="E18" s="3" t="s">
        <v>13</v>
      </c>
      <c r="F18" s="3" t="s">
        <v>14</v>
      </c>
      <c r="G18" s="6" t="s">
        <v>18</v>
      </c>
      <c r="H18" s="4"/>
      <c r="I18" s="5">
        <v>16977000</v>
      </c>
      <c r="J18" s="5">
        <v>43816000</v>
      </c>
      <c r="K18" s="5">
        <v>20640000</v>
      </c>
      <c r="L18" s="5">
        <v>17161000</v>
      </c>
    </row>
    <row r="19" spans="1:12" ht="28.5" customHeight="1">
      <c r="A19" s="2" t="s">
        <v>71</v>
      </c>
      <c r="B19" s="3" t="s">
        <v>72</v>
      </c>
      <c r="C19" s="3" t="s">
        <v>12</v>
      </c>
      <c r="D19" s="3" t="s">
        <v>73</v>
      </c>
      <c r="E19" s="3" t="s">
        <v>13</v>
      </c>
      <c r="F19" s="3" t="s">
        <v>14</v>
      </c>
      <c r="G19" s="6" t="s">
        <v>18</v>
      </c>
      <c r="H19" s="4"/>
      <c r="I19" s="5">
        <v>78588000</v>
      </c>
      <c r="J19" s="5">
        <v>90809000</v>
      </c>
      <c r="K19" s="5">
        <v>76572000</v>
      </c>
      <c r="L19" s="5">
        <v>93156000</v>
      </c>
    </row>
    <row r="20" spans="1:12" ht="28.5" customHeight="1">
      <c r="A20" s="2" t="s">
        <v>74</v>
      </c>
      <c r="B20" s="3" t="s">
        <v>75</v>
      </c>
      <c r="C20" s="3" t="s">
        <v>12</v>
      </c>
      <c r="D20" s="3" t="s">
        <v>76</v>
      </c>
      <c r="E20" s="3" t="s">
        <v>13</v>
      </c>
      <c r="F20" s="3" t="s">
        <v>14</v>
      </c>
      <c r="G20" s="6" t="s">
        <v>77</v>
      </c>
      <c r="H20" s="4"/>
      <c r="I20" s="5">
        <v>381000</v>
      </c>
      <c r="J20" s="5">
        <v>857000</v>
      </c>
      <c r="K20" s="5">
        <v>3501000</v>
      </c>
      <c r="L20" s="5">
        <v>1441000</v>
      </c>
    </row>
    <row r="21" spans="1:12" ht="28.5" customHeight="1">
      <c r="A21" s="2" t="s">
        <v>78</v>
      </c>
      <c r="B21" s="3" t="s">
        <v>79</v>
      </c>
      <c r="C21" s="3" t="s">
        <v>12</v>
      </c>
      <c r="D21" s="3" t="s">
        <v>80</v>
      </c>
      <c r="E21" s="3" t="s">
        <v>13</v>
      </c>
      <c r="F21" s="3" t="s">
        <v>14</v>
      </c>
      <c r="G21" s="6" t="s">
        <v>18</v>
      </c>
      <c r="H21" s="4"/>
      <c r="I21" s="5">
        <v>1684000</v>
      </c>
      <c r="J21" s="5">
        <v>734000</v>
      </c>
      <c r="K21" s="5">
        <v>81000</v>
      </c>
      <c r="L21" s="5">
        <v>2416000</v>
      </c>
    </row>
    <row r="22" spans="1:12" ht="28.5" customHeight="1">
      <c r="A22" s="2" t="s">
        <v>81</v>
      </c>
      <c r="B22" s="3" t="s">
        <v>82</v>
      </c>
      <c r="C22" s="3" t="s">
        <v>12</v>
      </c>
      <c r="D22" s="3" t="s">
        <v>83</v>
      </c>
      <c r="E22" s="3" t="s">
        <v>13</v>
      </c>
      <c r="F22" s="3" t="s">
        <v>14</v>
      </c>
      <c r="G22" s="6" t="s">
        <v>18</v>
      </c>
      <c r="H22" s="4"/>
      <c r="I22" s="5"/>
      <c r="J22" s="5">
        <v>7821000</v>
      </c>
      <c r="K22" s="5"/>
      <c r="L22" s="5">
        <v>6681000</v>
      </c>
    </row>
    <row r="23" spans="1:12" ht="28.5" customHeight="1">
      <c r="A23" s="2" t="s">
        <v>84</v>
      </c>
      <c r="B23" s="3" t="s">
        <v>85</v>
      </c>
      <c r="C23" s="3" t="s">
        <v>12</v>
      </c>
      <c r="D23" s="3" t="s">
        <v>86</v>
      </c>
      <c r="E23" s="3" t="s">
        <v>13</v>
      </c>
      <c r="F23" s="3" t="s">
        <v>14</v>
      </c>
      <c r="G23" s="6" t="s">
        <v>77</v>
      </c>
      <c r="H23" s="4"/>
      <c r="I23" s="5">
        <v>9631000</v>
      </c>
      <c r="J23" s="5">
        <v>6580000</v>
      </c>
      <c r="K23" s="5">
        <v>24596000</v>
      </c>
      <c r="L23" s="5">
        <v>2387000</v>
      </c>
    </row>
    <row r="24" spans="1:12" ht="15.75" customHeight="1">
      <c r="A24" s="2" t="s">
        <v>87</v>
      </c>
      <c r="B24" s="3" t="s">
        <v>88</v>
      </c>
      <c r="C24" s="3" t="s">
        <v>12</v>
      </c>
      <c r="D24" s="3" t="s">
        <v>89</v>
      </c>
      <c r="E24" s="3" t="s">
        <v>13</v>
      </c>
      <c r="F24" s="3" t="s">
        <v>14</v>
      </c>
      <c r="G24" s="6" t="s">
        <v>18</v>
      </c>
      <c r="H24" s="4"/>
      <c r="I24" s="5">
        <v>153000</v>
      </c>
      <c r="J24" s="5">
        <v>786000</v>
      </c>
      <c r="K24" s="5">
        <v>123000</v>
      </c>
      <c r="L24" s="5">
        <v>822000</v>
      </c>
    </row>
    <row r="25" spans="1:12" ht="15.75" customHeight="1">
      <c r="A25" s="2" t="s">
        <v>90</v>
      </c>
      <c r="B25" s="3" t="s">
        <v>91</v>
      </c>
      <c r="C25" s="3" t="s">
        <v>12</v>
      </c>
      <c r="D25" s="3" t="s">
        <v>92</v>
      </c>
      <c r="E25" s="3" t="s">
        <v>13</v>
      </c>
      <c r="F25" s="3" t="s">
        <v>14</v>
      </c>
      <c r="G25" s="6" t="s">
        <v>18</v>
      </c>
      <c r="H25" s="4"/>
      <c r="I25" s="5">
        <v>12211000</v>
      </c>
      <c r="J25" s="5">
        <v>12871000</v>
      </c>
      <c r="K25" s="5">
        <v>12285000</v>
      </c>
      <c r="L25" s="5">
        <v>12837000</v>
      </c>
    </row>
    <row r="26" spans="1:12" ht="15.75" customHeight="1">
      <c r="A26" s="2" t="s">
        <v>93</v>
      </c>
      <c r="B26" s="3" t="s">
        <v>94</v>
      </c>
      <c r="C26" s="3" t="s">
        <v>12</v>
      </c>
      <c r="D26" s="3" t="s">
        <v>95</v>
      </c>
      <c r="E26" s="3" t="s">
        <v>13</v>
      </c>
      <c r="F26" s="3" t="s">
        <v>14</v>
      </c>
      <c r="G26" s="6" t="s">
        <v>18</v>
      </c>
      <c r="H26" s="4"/>
      <c r="I26" s="5"/>
      <c r="J26" s="5">
        <v>150571000</v>
      </c>
      <c r="K26" s="5"/>
      <c r="L26" s="5">
        <v>163859000</v>
      </c>
    </row>
    <row r="27" spans="1:12" ht="15.75" customHeight="1">
      <c r="A27" s="2" t="s">
        <v>96</v>
      </c>
      <c r="B27" s="3" t="s">
        <v>97</v>
      </c>
      <c r="C27" s="3" t="s">
        <v>12</v>
      </c>
      <c r="D27" s="3" t="s">
        <v>98</v>
      </c>
      <c r="E27" s="3" t="s">
        <v>13</v>
      </c>
      <c r="F27" s="3" t="s">
        <v>14</v>
      </c>
      <c r="G27" s="6" t="s">
        <v>18</v>
      </c>
      <c r="H27" s="4"/>
      <c r="I27" s="5">
        <v>220873000</v>
      </c>
      <c r="J27" s="5"/>
      <c r="K27" s="5">
        <v>218348000</v>
      </c>
      <c r="L27" s="5"/>
    </row>
    <row r="28" spans="1:12" ht="15.75" customHeight="1">
      <c r="A28" s="2" t="s">
        <v>99</v>
      </c>
      <c r="B28" s="3" t="s">
        <v>100</v>
      </c>
      <c r="C28" s="3" t="s">
        <v>12</v>
      </c>
      <c r="D28" s="3" t="s">
        <v>101</v>
      </c>
      <c r="E28" s="3" t="s">
        <v>13</v>
      </c>
      <c r="F28" s="3" t="s">
        <v>25</v>
      </c>
      <c r="G28" s="6" t="s">
        <v>18</v>
      </c>
      <c r="H28" s="4"/>
      <c r="I28" s="5">
        <v>397000</v>
      </c>
      <c r="J28" s="5"/>
      <c r="K28" s="5">
        <v>397000</v>
      </c>
      <c r="L28" s="5"/>
    </row>
    <row r="29" spans="1:12" ht="15.75" customHeight="1">
      <c r="A29" s="2" t="s">
        <v>102</v>
      </c>
      <c r="B29" s="3" t="s">
        <v>103</v>
      </c>
      <c r="C29" s="3" t="s">
        <v>12</v>
      </c>
      <c r="D29" s="3" t="s">
        <v>104</v>
      </c>
      <c r="E29" s="3" t="s">
        <v>13</v>
      </c>
      <c r="F29" s="3" t="s">
        <v>14</v>
      </c>
      <c r="G29" s="6" t="s">
        <v>18</v>
      </c>
      <c r="H29" s="4"/>
      <c r="I29" s="5"/>
      <c r="J29" s="5"/>
      <c r="K29" s="5"/>
      <c r="L29" s="5"/>
    </row>
    <row r="30" spans="1:12" ht="28.5" customHeight="1">
      <c r="A30" s="2" t="s">
        <v>105</v>
      </c>
      <c r="B30" s="3" t="s">
        <v>106</v>
      </c>
      <c r="C30" s="3" t="s">
        <v>12</v>
      </c>
      <c r="D30" s="3" t="s">
        <v>107</v>
      </c>
      <c r="E30" s="3" t="s">
        <v>13</v>
      </c>
      <c r="F30" s="3" t="s">
        <v>14</v>
      </c>
      <c r="G30" s="6" t="s">
        <v>22</v>
      </c>
      <c r="H30" s="4"/>
      <c r="I30" s="5"/>
      <c r="J30" s="5"/>
      <c r="K30" s="5"/>
      <c r="L30" s="5"/>
    </row>
    <row r="31" spans="1:12" ht="15.75" customHeight="1">
      <c r="A31" s="2" t="s">
        <v>108</v>
      </c>
      <c r="B31" s="3" t="s">
        <v>109</v>
      </c>
      <c r="C31" s="3" t="s">
        <v>12</v>
      </c>
      <c r="D31" s="3" t="s">
        <v>110</v>
      </c>
      <c r="E31" s="3" t="s">
        <v>13</v>
      </c>
      <c r="F31" s="3" t="s">
        <v>14</v>
      </c>
      <c r="G31" s="6" t="s">
        <v>18</v>
      </c>
      <c r="H31" s="4"/>
      <c r="I31" s="5">
        <v>560000</v>
      </c>
      <c r="J31" s="5">
        <v>693000</v>
      </c>
      <c r="K31" s="5">
        <v>522000</v>
      </c>
      <c r="L31" s="5">
        <v>700000</v>
      </c>
    </row>
    <row r="32" spans="1:12" ht="28.5" customHeight="1">
      <c r="A32" s="2" t="s">
        <v>111</v>
      </c>
      <c r="B32" s="3" t="s">
        <v>112</v>
      </c>
      <c r="C32" s="3" t="s">
        <v>12</v>
      </c>
      <c r="D32" s="3" t="s">
        <v>113</v>
      </c>
      <c r="E32" s="3" t="s">
        <v>13</v>
      </c>
      <c r="F32" s="3" t="s">
        <v>14</v>
      </c>
      <c r="G32" s="6" t="s">
        <v>18</v>
      </c>
      <c r="H32" s="4"/>
      <c r="I32" s="5">
        <v>3700000</v>
      </c>
      <c r="J32" s="5">
        <v>5970000</v>
      </c>
      <c r="K32" s="5">
        <v>3400000</v>
      </c>
      <c r="L32" s="5">
        <v>4861000</v>
      </c>
    </row>
    <row r="33" spans="1:12" ht="28.5" customHeight="1">
      <c r="A33" s="2" t="s">
        <v>114</v>
      </c>
      <c r="B33" s="3" t="s">
        <v>115</v>
      </c>
      <c r="C33" s="3" t="s">
        <v>12</v>
      </c>
      <c r="D33" s="3" t="s">
        <v>116</v>
      </c>
      <c r="E33" s="3" t="s">
        <v>13</v>
      </c>
      <c r="F33" s="3" t="s">
        <v>14</v>
      </c>
      <c r="G33" s="6" t="s">
        <v>77</v>
      </c>
      <c r="H33" s="4"/>
      <c r="I33" s="5"/>
      <c r="J33" s="5">
        <v>71730000</v>
      </c>
      <c r="K33" s="5"/>
      <c r="L33" s="5">
        <v>66625000</v>
      </c>
    </row>
    <row r="34" spans="1:12" ht="28.5" customHeight="1">
      <c r="A34" s="2" t="s">
        <v>117</v>
      </c>
      <c r="B34" s="3" t="s">
        <v>118</v>
      </c>
      <c r="C34" s="3" t="s">
        <v>12</v>
      </c>
      <c r="D34" s="3" t="s">
        <v>119</v>
      </c>
      <c r="E34" s="3" t="s">
        <v>13</v>
      </c>
      <c r="F34" s="3" t="s">
        <v>14</v>
      </c>
      <c r="G34" s="6" t="s">
        <v>18</v>
      </c>
      <c r="H34" s="4"/>
      <c r="I34" s="5">
        <v>3226000</v>
      </c>
      <c r="J34" s="5">
        <v>2803000</v>
      </c>
      <c r="K34" s="5">
        <v>3248000</v>
      </c>
      <c r="L34" s="5">
        <v>2921000</v>
      </c>
    </row>
    <row r="35" spans="1:12" ht="28.5" customHeight="1">
      <c r="A35" s="2" t="s">
        <v>120</v>
      </c>
      <c r="B35" s="3" t="s">
        <v>121</v>
      </c>
      <c r="C35" s="3" t="s">
        <v>12</v>
      </c>
      <c r="D35" s="3" t="s">
        <v>122</v>
      </c>
      <c r="E35" s="3" t="s">
        <v>13</v>
      </c>
      <c r="F35" s="3" t="s">
        <v>14</v>
      </c>
      <c r="G35" s="6" t="s">
        <v>18</v>
      </c>
      <c r="H35" s="4"/>
      <c r="I35" s="5">
        <v>4154000</v>
      </c>
      <c r="J35" s="5"/>
      <c r="K35" s="5">
        <v>4154000</v>
      </c>
      <c r="L35" s="5"/>
    </row>
    <row r="36" spans="1:12" ht="28.5" customHeight="1">
      <c r="A36" s="2" t="s">
        <v>123</v>
      </c>
      <c r="B36" s="3" t="s">
        <v>124</v>
      </c>
      <c r="C36" s="3" t="s">
        <v>12</v>
      </c>
      <c r="D36" s="3" t="s">
        <v>125</v>
      </c>
      <c r="E36" s="3" t="s">
        <v>13</v>
      </c>
      <c r="F36" s="3" t="s">
        <v>14</v>
      </c>
      <c r="G36" s="6" t="s">
        <v>18</v>
      </c>
      <c r="H36" s="4"/>
      <c r="I36" s="5"/>
      <c r="J36" s="5"/>
      <c r="K36" s="5"/>
      <c r="L36" s="5"/>
    </row>
    <row r="37" spans="1:12" ht="28.5" customHeight="1">
      <c r="A37" s="2" t="s">
        <v>126</v>
      </c>
      <c r="B37" s="3" t="s">
        <v>127</v>
      </c>
      <c r="C37" s="3" t="s">
        <v>12</v>
      </c>
      <c r="D37" s="3" t="s">
        <v>128</v>
      </c>
      <c r="E37" s="3" t="s">
        <v>13</v>
      </c>
      <c r="F37" s="3" t="s">
        <v>14</v>
      </c>
      <c r="G37" s="6" t="s">
        <v>18</v>
      </c>
      <c r="H37" s="4"/>
      <c r="I37" s="5">
        <v>4290000</v>
      </c>
      <c r="J37" s="5">
        <v>1719000</v>
      </c>
      <c r="K37" s="5">
        <v>2999000</v>
      </c>
      <c r="L37" s="5">
        <v>2861000</v>
      </c>
    </row>
    <row r="38" spans="1:12" ht="42" customHeight="1">
      <c r="A38" s="2" t="s">
        <v>129</v>
      </c>
      <c r="B38" s="3" t="s">
        <v>130</v>
      </c>
      <c r="C38" s="3" t="s">
        <v>12</v>
      </c>
      <c r="D38" s="3" t="s">
        <v>131</v>
      </c>
      <c r="E38" s="3" t="s">
        <v>13</v>
      </c>
      <c r="F38" s="3" t="s">
        <v>14</v>
      </c>
      <c r="G38" s="6" t="s">
        <v>18</v>
      </c>
      <c r="H38" s="4"/>
      <c r="I38" s="5">
        <v>275000</v>
      </c>
      <c r="J38" s="5">
        <v>2765000</v>
      </c>
      <c r="K38" s="5">
        <v>111000</v>
      </c>
      <c r="L38" s="5">
        <v>513000</v>
      </c>
    </row>
    <row r="39" spans="1:12" ht="28.5" customHeight="1">
      <c r="A39" s="2" t="s">
        <v>132</v>
      </c>
      <c r="B39" s="3" t="s">
        <v>133</v>
      </c>
      <c r="C39" s="3" t="s">
        <v>12</v>
      </c>
      <c r="D39" s="3" t="s">
        <v>134</v>
      </c>
      <c r="E39" s="3" t="s">
        <v>13</v>
      </c>
      <c r="F39" s="3" t="s">
        <v>14</v>
      </c>
      <c r="G39" s="6" t="s">
        <v>22</v>
      </c>
      <c r="H39" s="4"/>
      <c r="I39" s="5">
        <v>13640000</v>
      </c>
      <c r="J39" s="5">
        <v>19783000</v>
      </c>
      <c r="K39" s="5">
        <v>2813000</v>
      </c>
      <c r="L39" s="5">
        <v>15449000</v>
      </c>
    </row>
    <row r="40" spans="1:12" ht="28.5" customHeight="1">
      <c r="A40" s="2" t="s">
        <v>135</v>
      </c>
      <c r="B40" s="3" t="s">
        <v>136</v>
      </c>
      <c r="C40" s="3" t="s">
        <v>12</v>
      </c>
      <c r="D40" s="3" t="s">
        <v>137</v>
      </c>
      <c r="E40" s="3" t="s">
        <v>13</v>
      </c>
      <c r="F40" s="3" t="s">
        <v>14</v>
      </c>
      <c r="G40" s="6" t="s">
        <v>18</v>
      </c>
      <c r="H40" s="4"/>
      <c r="I40" s="5">
        <v>13220000</v>
      </c>
      <c r="J40" s="5">
        <v>14404000</v>
      </c>
      <c r="K40" s="5">
        <v>12976000</v>
      </c>
      <c r="L40" s="5">
        <v>13168000</v>
      </c>
    </row>
    <row r="41" spans="1:12" ht="28.5" customHeight="1">
      <c r="A41" s="2" t="s">
        <v>138</v>
      </c>
      <c r="B41" s="3" t="s">
        <v>139</v>
      </c>
      <c r="C41" s="3" t="s">
        <v>12</v>
      </c>
      <c r="D41" s="3" t="s">
        <v>140</v>
      </c>
      <c r="E41" s="3" t="s">
        <v>13</v>
      </c>
      <c r="F41" s="3" t="s">
        <v>14</v>
      </c>
      <c r="G41" s="6" t="s">
        <v>18</v>
      </c>
      <c r="H41" s="4"/>
      <c r="I41" s="5">
        <v>1782000</v>
      </c>
      <c r="J41" s="5">
        <v>1621000</v>
      </c>
      <c r="K41" s="5">
        <v>1655000</v>
      </c>
      <c r="L41" s="5">
        <v>1621000</v>
      </c>
    </row>
    <row r="42" spans="1:12" ht="54.75" customHeight="1">
      <c r="A42" s="2" t="s">
        <v>141</v>
      </c>
      <c r="B42" s="3" t="s">
        <v>142</v>
      </c>
      <c r="C42" s="3" t="s">
        <v>12</v>
      </c>
      <c r="D42" s="3" t="s">
        <v>143</v>
      </c>
      <c r="E42" s="3" t="s">
        <v>13</v>
      </c>
      <c r="F42" s="3" t="s">
        <v>14</v>
      </c>
      <c r="G42" s="6" t="s">
        <v>18</v>
      </c>
      <c r="H42" s="4"/>
      <c r="I42" s="5">
        <v>144895000</v>
      </c>
      <c r="J42" s="5">
        <v>120695000</v>
      </c>
      <c r="K42" s="5">
        <v>178280000</v>
      </c>
      <c r="L42" s="5">
        <v>147215000</v>
      </c>
    </row>
    <row r="43" spans="1:12" ht="42" customHeight="1">
      <c r="A43" s="2" t="s">
        <v>144</v>
      </c>
      <c r="B43" s="3" t="s">
        <v>145</v>
      </c>
      <c r="C43" s="3" t="s">
        <v>12</v>
      </c>
      <c r="D43" s="3" t="s">
        <v>146</v>
      </c>
      <c r="E43" s="3" t="s">
        <v>13</v>
      </c>
      <c r="F43" s="3" t="s">
        <v>14</v>
      </c>
      <c r="G43" s="6" t="s">
        <v>18</v>
      </c>
      <c r="H43" s="4"/>
      <c r="I43" s="5">
        <v>45304000</v>
      </c>
      <c r="J43" s="5">
        <v>42993000</v>
      </c>
      <c r="K43" s="5">
        <v>46293000</v>
      </c>
      <c r="L43" s="5">
        <v>38545000</v>
      </c>
    </row>
    <row r="44" spans="1:12" ht="28.5" customHeight="1">
      <c r="A44" s="2" t="s">
        <v>147</v>
      </c>
      <c r="B44" s="3" t="s">
        <v>148</v>
      </c>
      <c r="C44" s="3" t="s">
        <v>12</v>
      </c>
      <c r="D44" s="3" t="s">
        <v>149</v>
      </c>
      <c r="E44" s="3" t="s">
        <v>13</v>
      </c>
      <c r="F44" s="3" t="s">
        <v>14</v>
      </c>
      <c r="G44" s="6" t="s">
        <v>18</v>
      </c>
      <c r="H44" s="4"/>
      <c r="I44" s="5"/>
      <c r="J44" s="5"/>
      <c r="K44" s="5"/>
      <c r="L44" s="5"/>
    </row>
    <row r="45" spans="1:12" ht="42" customHeight="1">
      <c r="A45" s="2" t="s">
        <v>150</v>
      </c>
      <c r="B45" s="3" t="s">
        <v>151</v>
      </c>
      <c r="C45" s="3" t="s">
        <v>12</v>
      </c>
      <c r="D45" s="3" t="s">
        <v>152</v>
      </c>
      <c r="E45" s="3" t="s">
        <v>13</v>
      </c>
      <c r="F45" s="3" t="s">
        <v>14</v>
      </c>
      <c r="G45" s="6" t="s">
        <v>77</v>
      </c>
      <c r="H45" s="4"/>
      <c r="I45" s="5">
        <v>9916000</v>
      </c>
      <c r="J45" s="5">
        <v>14935000</v>
      </c>
      <c r="K45" s="5">
        <v>14554000</v>
      </c>
      <c r="L45" s="5">
        <v>14885000</v>
      </c>
    </row>
    <row r="46" spans="1:12" ht="28.5" customHeight="1">
      <c r="A46" s="2" t="s">
        <v>153</v>
      </c>
      <c r="B46" s="3" t="s">
        <v>154</v>
      </c>
      <c r="C46" s="3" t="s">
        <v>12</v>
      </c>
      <c r="D46" s="3" t="s">
        <v>155</v>
      </c>
      <c r="E46" s="3" t="s">
        <v>13</v>
      </c>
      <c r="F46" s="3" t="s">
        <v>14</v>
      </c>
      <c r="G46" s="6" t="s">
        <v>18</v>
      </c>
      <c r="H46" s="4"/>
      <c r="I46" s="5">
        <v>30155000</v>
      </c>
      <c r="J46" s="5">
        <v>25752000</v>
      </c>
      <c r="K46" s="5">
        <v>35079000</v>
      </c>
      <c r="L46" s="5">
        <v>26558000</v>
      </c>
    </row>
    <row r="47" spans="1:12" ht="67.5" customHeight="1">
      <c r="A47" s="2" t="s">
        <v>156</v>
      </c>
      <c r="B47" s="3" t="s">
        <v>157</v>
      </c>
      <c r="C47" s="3" t="s">
        <v>12</v>
      </c>
      <c r="D47" s="3" t="s">
        <v>158</v>
      </c>
      <c r="E47" s="3" t="s">
        <v>13</v>
      </c>
      <c r="F47" s="3" t="s">
        <v>14</v>
      </c>
      <c r="G47" s="6" t="s">
        <v>18</v>
      </c>
      <c r="H47" s="4"/>
      <c r="I47" s="5"/>
      <c r="J47" s="5"/>
      <c r="K47" s="5"/>
      <c r="L47" s="5"/>
    </row>
    <row r="48" spans="1:12" ht="42" customHeight="1">
      <c r="A48" s="2" t="s">
        <v>159</v>
      </c>
      <c r="B48" s="3" t="s">
        <v>160</v>
      </c>
      <c r="C48" s="3" t="s">
        <v>12</v>
      </c>
      <c r="D48" s="3" t="s">
        <v>161</v>
      </c>
      <c r="E48" s="3" t="s">
        <v>13</v>
      </c>
      <c r="F48" s="3" t="s">
        <v>14</v>
      </c>
      <c r="G48" s="6" t="s">
        <v>18</v>
      </c>
      <c r="H48" s="4"/>
      <c r="I48" s="5">
        <v>3091000</v>
      </c>
      <c r="J48" s="5">
        <v>2251000</v>
      </c>
      <c r="K48" s="5">
        <v>5694000</v>
      </c>
      <c r="L48" s="5">
        <v>2379000</v>
      </c>
    </row>
    <row r="49" spans="1:12" ht="28.5" customHeight="1">
      <c r="A49" s="2" t="s">
        <v>162</v>
      </c>
      <c r="B49" s="3" t="s">
        <v>163</v>
      </c>
      <c r="C49" s="3" t="s">
        <v>12</v>
      </c>
      <c r="D49" s="3" t="s">
        <v>164</v>
      </c>
      <c r="E49" s="3" t="s">
        <v>13</v>
      </c>
      <c r="F49" s="3" t="s">
        <v>14</v>
      </c>
      <c r="G49" s="6" t="s">
        <v>18</v>
      </c>
      <c r="H49" s="4"/>
      <c r="I49" s="5">
        <v>4737000</v>
      </c>
      <c r="J49" s="5">
        <v>2316000</v>
      </c>
      <c r="K49" s="5">
        <v>4219000</v>
      </c>
      <c r="L49" s="5">
        <v>2777000</v>
      </c>
    </row>
    <row r="50" spans="1:12" ht="28.5" customHeight="1">
      <c r="A50" s="2" t="s">
        <v>165</v>
      </c>
      <c r="B50" s="3" t="s">
        <v>166</v>
      </c>
      <c r="C50" s="3" t="s">
        <v>12</v>
      </c>
      <c r="D50" s="3" t="s">
        <v>167</v>
      </c>
      <c r="E50" s="3" t="s">
        <v>13</v>
      </c>
      <c r="F50" s="3" t="s">
        <v>14</v>
      </c>
      <c r="G50" s="6" t="s">
        <v>18</v>
      </c>
      <c r="H50" s="4"/>
      <c r="I50" s="5">
        <v>2577000</v>
      </c>
      <c r="J50" s="5">
        <v>366000</v>
      </c>
      <c r="K50" s="5">
        <v>548000</v>
      </c>
      <c r="L50" s="5">
        <v>531000</v>
      </c>
    </row>
    <row r="51" spans="1:12" ht="15.75" customHeight="1">
      <c r="A51" s="2" t="s">
        <v>168</v>
      </c>
      <c r="B51" s="3" t="s">
        <v>169</v>
      </c>
      <c r="C51" s="3" t="s">
        <v>12</v>
      </c>
      <c r="D51" s="3" t="s">
        <v>170</v>
      </c>
      <c r="E51" s="3" t="s">
        <v>13</v>
      </c>
      <c r="F51" s="3" t="s">
        <v>14</v>
      </c>
      <c r="G51" s="6" t="s">
        <v>18</v>
      </c>
      <c r="H51" s="4"/>
      <c r="I51" s="5">
        <v>28095000</v>
      </c>
      <c r="J51" s="5">
        <v>35972000</v>
      </c>
      <c r="K51" s="5">
        <v>29532000</v>
      </c>
      <c r="L51" s="5">
        <v>34057000</v>
      </c>
    </row>
    <row r="52" spans="1:12" ht="28.5" customHeight="1">
      <c r="A52" s="2" t="s">
        <v>171</v>
      </c>
      <c r="B52" s="3" t="s">
        <v>172</v>
      </c>
      <c r="C52" s="3" t="s">
        <v>12</v>
      </c>
      <c r="D52" s="3" t="s">
        <v>173</v>
      </c>
      <c r="E52" s="3" t="s">
        <v>13</v>
      </c>
      <c r="F52" s="3" t="s">
        <v>14</v>
      </c>
      <c r="G52" s="6" t="s">
        <v>18</v>
      </c>
      <c r="H52" s="4"/>
      <c r="I52" s="5">
        <v>3316000</v>
      </c>
      <c r="J52" s="5">
        <v>1089000</v>
      </c>
      <c r="K52" s="5">
        <v>12956000</v>
      </c>
      <c r="L52" s="5">
        <v>13850000</v>
      </c>
    </row>
    <row r="53" spans="1:12" ht="28.5" customHeight="1">
      <c r="A53" s="2" t="s">
        <v>174</v>
      </c>
      <c r="B53" s="3" t="s">
        <v>175</v>
      </c>
      <c r="C53" s="3" t="s">
        <v>12</v>
      </c>
      <c r="D53" s="3" t="s">
        <v>176</v>
      </c>
      <c r="E53" s="3" t="s">
        <v>13</v>
      </c>
      <c r="F53" s="3" t="s">
        <v>14</v>
      </c>
      <c r="G53" s="6" t="s">
        <v>18</v>
      </c>
      <c r="H53" s="4"/>
      <c r="I53" s="5">
        <v>150000</v>
      </c>
      <c r="J53" s="5">
        <v>1500000</v>
      </c>
      <c r="K53" s="5">
        <v>120000</v>
      </c>
      <c r="L53" s="5">
        <v>1800000</v>
      </c>
    </row>
    <row r="54" spans="1:12" ht="28.5" customHeight="1">
      <c r="A54" s="2" t="s">
        <v>177</v>
      </c>
      <c r="B54" s="3" t="s">
        <v>178</v>
      </c>
      <c r="C54" s="3" t="s">
        <v>12</v>
      </c>
      <c r="D54" s="3" t="s">
        <v>179</v>
      </c>
      <c r="E54" s="3" t="s">
        <v>13</v>
      </c>
      <c r="F54" s="3" t="s">
        <v>14</v>
      </c>
      <c r="G54" s="6" t="s">
        <v>18</v>
      </c>
      <c r="H54" s="4"/>
      <c r="I54" s="5">
        <v>10334000</v>
      </c>
      <c r="J54" s="5">
        <v>4472000</v>
      </c>
      <c r="K54" s="5">
        <v>12605000</v>
      </c>
      <c r="L54" s="5">
        <v>8266000</v>
      </c>
    </row>
    <row r="55" spans="1:12" ht="28.5" customHeight="1">
      <c r="A55" s="2" t="s">
        <v>180</v>
      </c>
      <c r="B55" s="3" t="s">
        <v>181</v>
      </c>
      <c r="C55" s="3" t="s">
        <v>12</v>
      </c>
      <c r="D55" s="3" t="s">
        <v>182</v>
      </c>
      <c r="E55" s="3" t="s">
        <v>13</v>
      </c>
      <c r="F55" s="3" t="s">
        <v>14</v>
      </c>
      <c r="G55" s="6" t="s">
        <v>18</v>
      </c>
      <c r="H55" s="4"/>
      <c r="I55" s="5">
        <v>2185000</v>
      </c>
      <c r="J55" s="5">
        <v>1850000</v>
      </c>
      <c r="K55" s="5">
        <v>3304000</v>
      </c>
      <c r="L55" s="5">
        <v>2283000</v>
      </c>
    </row>
    <row r="56" spans="1:12" ht="28.5" customHeight="1">
      <c r="A56" s="2" t="s">
        <v>183</v>
      </c>
      <c r="B56" s="3" t="s">
        <v>184</v>
      </c>
      <c r="C56" s="3" t="s">
        <v>12</v>
      </c>
      <c r="D56" s="3" t="s">
        <v>185</v>
      </c>
      <c r="E56" s="3" t="s">
        <v>13</v>
      </c>
      <c r="F56" s="3" t="s">
        <v>14</v>
      </c>
      <c r="G56" s="6" t="s">
        <v>22</v>
      </c>
      <c r="H56" s="6" t="s">
        <v>23</v>
      </c>
      <c r="I56" s="5">
        <v>192489000</v>
      </c>
      <c r="J56" s="5">
        <v>192711000</v>
      </c>
      <c r="K56" s="5">
        <v>226637000</v>
      </c>
      <c r="L56" s="5">
        <v>181373000</v>
      </c>
    </row>
    <row r="57" spans="1:12" ht="28.5" customHeight="1">
      <c r="A57" s="2" t="s">
        <v>186</v>
      </c>
      <c r="B57" s="3" t="s">
        <v>187</v>
      </c>
      <c r="C57" s="3" t="s">
        <v>12</v>
      </c>
      <c r="D57" s="3" t="s">
        <v>188</v>
      </c>
      <c r="E57" s="3" t="s">
        <v>13</v>
      </c>
      <c r="F57" s="3" t="s">
        <v>14</v>
      </c>
      <c r="G57" s="6" t="s">
        <v>18</v>
      </c>
      <c r="H57" s="4"/>
      <c r="I57" s="5">
        <v>1532000</v>
      </c>
      <c r="J57" s="5">
        <v>301000</v>
      </c>
      <c r="K57" s="5">
        <v>5507000</v>
      </c>
      <c r="L57" s="5">
        <v>71000</v>
      </c>
    </row>
    <row r="58" spans="1:12" ht="15.75" customHeight="1">
      <c r="A58" s="2" t="s">
        <v>189</v>
      </c>
      <c r="B58" s="3" t="s">
        <v>190</v>
      </c>
      <c r="C58" s="3" t="s">
        <v>12</v>
      </c>
      <c r="D58" s="3" t="s">
        <v>191</v>
      </c>
      <c r="E58" s="3" t="s">
        <v>13</v>
      </c>
      <c r="F58" s="3" t="s">
        <v>14</v>
      </c>
      <c r="G58" s="6" t="s">
        <v>18</v>
      </c>
      <c r="H58" s="4"/>
      <c r="I58" s="5">
        <v>2640000</v>
      </c>
      <c r="J58" s="5"/>
      <c r="K58" s="5">
        <v>2646000</v>
      </c>
      <c r="L58" s="5"/>
    </row>
    <row r="59" spans="1:12" ht="15.75" customHeight="1">
      <c r="A59" s="2" t="s">
        <v>192</v>
      </c>
      <c r="B59" s="3" t="s">
        <v>193</v>
      </c>
      <c r="C59" s="3" t="s">
        <v>12</v>
      </c>
      <c r="D59" s="3" t="s">
        <v>194</v>
      </c>
      <c r="E59" s="3" t="s">
        <v>13</v>
      </c>
      <c r="F59" s="3" t="s">
        <v>14</v>
      </c>
      <c r="G59" s="6" t="s">
        <v>18</v>
      </c>
      <c r="H59" s="4"/>
      <c r="I59" s="5">
        <v>4184000</v>
      </c>
      <c r="J59" s="5">
        <v>2544000</v>
      </c>
      <c r="K59" s="5">
        <v>14307000</v>
      </c>
      <c r="L59" s="5">
        <v>14032000</v>
      </c>
    </row>
    <row r="60" spans="1:12" ht="28.5" customHeight="1">
      <c r="A60" s="2" t="s">
        <v>195</v>
      </c>
      <c r="B60" s="3" t="s">
        <v>196</v>
      </c>
      <c r="C60" s="3" t="s">
        <v>12</v>
      </c>
      <c r="D60" s="3" t="s">
        <v>197</v>
      </c>
      <c r="E60" s="3" t="s">
        <v>13</v>
      </c>
      <c r="F60" s="3" t="s">
        <v>14</v>
      </c>
      <c r="G60" s="6" t="s">
        <v>18</v>
      </c>
      <c r="H60" s="4"/>
      <c r="I60" s="5">
        <v>10000</v>
      </c>
      <c r="J60" s="5">
        <v>230000</v>
      </c>
      <c r="K60" s="5">
        <v>19000</v>
      </c>
      <c r="L60" s="5">
        <v>107000</v>
      </c>
    </row>
    <row r="61" spans="1:12" ht="28.5" customHeight="1">
      <c r="A61" s="2" t="s">
        <v>198</v>
      </c>
      <c r="B61" s="3" t="s">
        <v>199</v>
      </c>
      <c r="C61" s="3" t="s">
        <v>12</v>
      </c>
      <c r="D61" s="3" t="s">
        <v>200</v>
      </c>
      <c r="E61" s="3" t="s">
        <v>13</v>
      </c>
      <c r="F61" s="3" t="s">
        <v>14</v>
      </c>
      <c r="G61" s="6" t="s">
        <v>18</v>
      </c>
      <c r="H61" s="4"/>
      <c r="I61" s="5">
        <v>778000</v>
      </c>
      <c r="J61" s="5">
        <v>537000</v>
      </c>
      <c r="K61" s="5">
        <v>1170000</v>
      </c>
      <c r="L61" s="5">
        <v>534000</v>
      </c>
    </row>
    <row r="62" spans="1:12" ht="15.75" customHeight="1">
      <c r="A62" s="2" t="s">
        <v>201</v>
      </c>
      <c r="B62" s="3" t="s">
        <v>202</v>
      </c>
      <c r="C62" s="3" t="s">
        <v>12</v>
      </c>
      <c r="D62" s="3" t="s">
        <v>203</v>
      </c>
      <c r="E62" s="3" t="s">
        <v>13</v>
      </c>
      <c r="F62" s="3" t="s">
        <v>14</v>
      </c>
      <c r="G62" s="6" t="s">
        <v>18</v>
      </c>
      <c r="H62" s="4"/>
      <c r="I62" s="5">
        <v>15000</v>
      </c>
      <c r="J62" s="5">
        <v>11000</v>
      </c>
      <c r="K62" s="5">
        <v>11000</v>
      </c>
      <c r="L62" s="5">
        <v>13000</v>
      </c>
    </row>
    <row r="63" spans="1:12" ht="15.75" customHeight="1">
      <c r="A63" s="2" t="s">
        <v>204</v>
      </c>
      <c r="B63" s="3" t="s">
        <v>205</v>
      </c>
      <c r="C63" s="3" t="s">
        <v>12</v>
      </c>
      <c r="D63" s="3" t="s">
        <v>206</v>
      </c>
      <c r="E63" s="3" t="s">
        <v>13</v>
      </c>
      <c r="F63" s="3" t="s">
        <v>14</v>
      </c>
      <c r="G63" s="6" t="s">
        <v>18</v>
      </c>
      <c r="H63" s="4"/>
      <c r="I63" s="5">
        <v>664000</v>
      </c>
      <c r="J63" s="5">
        <v>270000</v>
      </c>
      <c r="K63" s="5">
        <v>629000</v>
      </c>
      <c r="L63" s="5">
        <v>334000</v>
      </c>
    </row>
    <row r="64" spans="1:12" ht="15.75" customHeight="1">
      <c r="A64" s="2" t="s">
        <v>207</v>
      </c>
      <c r="B64" s="3" t="s">
        <v>208</v>
      </c>
      <c r="C64" s="3" t="s">
        <v>12</v>
      </c>
      <c r="D64" s="3" t="s">
        <v>209</v>
      </c>
      <c r="E64" s="3" t="s">
        <v>13</v>
      </c>
      <c r="F64" s="3" t="s">
        <v>14</v>
      </c>
      <c r="G64" s="6" t="s">
        <v>18</v>
      </c>
      <c r="H64" s="4"/>
      <c r="I64" s="5">
        <v>23151000</v>
      </c>
      <c r="J64" s="5">
        <v>29488000</v>
      </c>
      <c r="K64" s="5">
        <v>99038000</v>
      </c>
      <c r="L64" s="5">
        <v>52894000</v>
      </c>
    </row>
    <row r="65" spans="1:12" ht="28.5" customHeight="1">
      <c r="A65" s="2" t="s">
        <v>210</v>
      </c>
      <c r="B65" s="3" t="s">
        <v>211</v>
      </c>
      <c r="C65" s="3" t="s">
        <v>12</v>
      </c>
      <c r="D65" s="3" t="s">
        <v>212</v>
      </c>
      <c r="E65" s="3" t="s">
        <v>13</v>
      </c>
      <c r="F65" s="3" t="s">
        <v>14</v>
      </c>
      <c r="G65" s="6" t="s">
        <v>18</v>
      </c>
      <c r="H65" s="4"/>
      <c r="I65" s="5">
        <v>2781000</v>
      </c>
      <c r="J65" s="5">
        <v>3389000</v>
      </c>
      <c r="K65" s="5">
        <v>1269000</v>
      </c>
      <c r="L65" s="5">
        <v>1707000</v>
      </c>
    </row>
    <row r="66" spans="1:12" ht="28.5" customHeight="1">
      <c r="A66" s="2" t="s">
        <v>213</v>
      </c>
      <c r="B66" s="3" t="s">
        <v>214</v>
      </c>
      <c r="C66" s="3" t="s">
        <v>12</v>
      </c>
      <c r="D66" s="3" t="s">
        <v>215</v>
      </c>
      <c r="E66" s="3" t="s">
        <v>13</v>
      </c>
      <c r="F66" s="3" t="s">
        <v>14</v>
      </c>
      <c r="G66" s="6" t="s">
        <v>18</v>
      </c>
      <c r="H66" s="4"/>
      <c r="I66" s="5">
        <v>709000</v>
      </c>
      <c r="J66" s="5">
        <v>821000</v>
      </c>
      <c r="K66" s="5">
        <v>851000</v>
      </c>
      <c r="L66" s="5">
        <v>345000</v>
      </c>
    </row>
    <row r="67" spans="1:12" ht="42" customHeight="1">
      <c r="A67" s="2" t="s">
        <v>216</v>
      </c>
      <c r="B67" s="3" t="s">
        <v>217</v>
      </c>
      <c r="C67" s="3" t="s">
        <v>12</v>
      </c>
      <c r="D67" s="3" t="s">
        <v>218</v>
      </c>
      <c r="E67" s="3" t="s">
        <v>13</v>
      </c>
      <c r="F67" s="3" t="s">
        <v>14</v>
      </c>
      <c r="G67" s="6" t="s">
        <v>18</v>
      </c>
      <c r="H67" s="4"/>
      <c r="I67" s="5">
        <v>6450000</v>
      </c>
      <c r="J67" s="5">
        <v>8122000</v>
      </c>
      <c r="K67" s="5">
        <v>6312000</v>
      </c>
      <c r="L67" s="5">
        <v>8140000</v>
      </c>
    </row>
    <row r="68" spans="1:12" ht="28.5" customHeight="1">
      <c r="A68" s="2" t="s">
        <v>219</v>
      </c>
      <c r="B68" s="3" t="s">
        <v>220</v>
      </c>
      <c r="C68" s="3" t="s">
        <v>12</v>
      </c>
      <c r="D68" s="3" t="s">
        <v>221</v>
      </c>
      <c r="E68" s="3" t="s">
        <v>13</v>
      </c>
      <c r="F68" s="3" t="s">
        <v>14</v>
      </c>
      <c r="G68" s="6" t="s">
        <v>77</v>
      </c>
      <c r="H68" s="4"/>
      <c r="I68" s="5">
        <v>7612000</v>
      </c>
      <c r="J68" s="5">
        <v>9624000</v>
      </c>
      <c r="K68" s="5">
        <v>7401000</v>
      </c>
      <c r="L68" s="5">
        <v>10652000</v>
      </c>
    </row>
    <row r="69" spans="1:12" ht="15.75" customHeight="1">
      <c r="A69" s="2" t="s">
        <v>222</v>
      </c>
      <c r="B69" s="3" t="s">
        <v>223</v>
      </c>
      <c r="C69" s="3" t="s">
        <v>12</v>
      </c>
      <c r="D69" s="3" t="s">
        <v>224</v>
      </c>
      <c r="E69" s="3" t="s">
        <v>13</v>
      </c>
      <c r="F69" s="3" t="s">
        <v>14</v>
      </c>
      <c r="G69" s="6" t="s">
        <v>18</v>
      </c>
      <c r="H69" s="4"/>
      <c r="I69" s="5"/>
      <c r="J69" s="5">
        <v>70000</v>
      </c>
      <c r="K69" s="5"/>
      <c r="L69" s="5">
        <v>1000</v>
      </c>
    </row>
    <row r="70" spans="1:12" ht="28.5" customHeight="1">
      <c r="A70" s="2" t="s">
        <v>225</v>
      </c>
      <c r="B70" s="3" t="s">
        <v>226</v>
      </c>
      <c r="C70" s="3" t="s">
        <v>12</v>
      </c>
      <c r="D70" s="3" t="s">
        <v>227</v>
      </c>
      <c r="E70" s="3" t="s">
        <v>13</v>
      </c>
      <c r="F70" s="3" t="s">
        <v>14</v>
      </c>
      <c r="G70" s="6" t="s">
        <v>18</v>
      </c>
      <c r="H70" s="4"/>
      <c r="I70" s="5">
        <v>172000</v>
      </c>
      <c r="J70" s="5">
        <v>33000</v>
      </c>
      <c r="K70" s="5">
        <v>245000</v>
      </c>
      <c r="L70" s="5">
        <v>3202000</v>
      </c>
    </row>
    <row r="71" spans="1:12" ht="42" customHeight="1">
      <c r="A71" s="2" t="s">
        <v>228</v>
      </c>
      <c r="B71" s="3" t="s">
        <v>229</v>
      </c>
      <c r="C71" s="3" t="s">
        <v>12</v>
      </c>
      <c r="D71" s="3" t="s">
        <v>230</v>
      </c>
      <c r="E71" s="3" t="s">
        <v>13</v>
      </c>
      <c r="F71" s="3" t="s">
        <v>14</v>
      </c>
      <c r="G71" s="6" t="s">
        <v>18</v>
      </c>
      <c r="H71" s="4"/>
      <c r="I71" s="5">
        <v>110000</v>
      </c>
      <c r="J71" s="5"/>
      <c r="K71" s="5">
        <v>115000</v>
      </c>
      <c r="L71" s="5"/>
    </row>
    <row r="72" spans="1:12" ht="15.75" customHeight="1">
      <c r="A72" s="2" t="s">
        <v>231</v>
      </c>
      <c r="B72" s="3" t="s">
        <v>232</v>
      </c>
      <c r="C72" s="3" t="s">
        <v>12</v>
      </c>
      <c r="D72" s="3" t="s">
        <v>233</v>
      </c>
      <c r="E72" s="3" t="s">
        <v>13</v>
      </c>
      <c r="F72" s="3" t="s">
        <v>14</v>
      </c>
      <c r="G72" s="6" t="s">
        <v>18</v>
      </c>
      <c r="H72" s="4"/>
      <c r="I72" s="5">
        <v>1650000</v>
      </c>
      <c r="J72" s="5">
        <v>50000</v>
      </c>
      <c r="K72" s="5">
        <v>2197000</v>
      </c>
      <c r="L72" s="5"/>
    </row>
    <row r="73" spans="1:12" ht="28.5" customHeight="1">
      <c r="A73" s="2" t="s">
        <v>234</v>
      </c>
      <c r="B73" s="3" t="s">
        <v>235</v>
      </c>
      <c r="C73" s="3" t="s">
        <v>12</v>
      </c>
      <c r="D73" s="3" t="s">
        <v>236</v>
      </c>
      <c r="E73" s="3" t="s">
        <v>13</v>
      </c>
      <c r="F73" s="3" t="s">
        <v>14</v>
      </c>
      <c r="G73" s="6" t="s">
        <v>18</v>
      </c>
      <c r="H73" s="4"/>
      <c r="I73" s="5">
        <v>11611000</v>
      </c>
      <c r="J73" s="5">
        <v>12269000</v>
      </c>
      <c r="K73" s="5"/>
      <c r="L73" s="5">
        <v>10555000</v>
      </c>
    </row>
    <row r="74" spans="1:12" ht="15.75" customHeight="1">
      <c r="A74" s="2" t="s">
        <v>237</v>
      </c>
      <c r="B74" s="3" t="s">
        <v>238</v>
      </c>
      <c r="C74" s="3" t="s">
        <v>12</v>
      </c>
      <c r="D74" s="3" t="s">
        <v>239</v>
      </c>
      <c r="E74" s="3" t="s">
        <v>13</v>
      </c>
      <c r="F74" s="3" t="s">
        <v>14</v>
      </c>
      <c r="G74" s="6" t="s">
        <v>22</v>
      </c>
      <c r="H74" s="4"/>
      <c r="I74" s="5">
        <v>97403000</v>
      </c>
      <c r="J74" s="5">
        <v>142176000</v>
      </c>
      <c r="K74" s="5">
        <v>62297000</v>
      </c>
      <c r="L74" s="5">
        <v>120946000</v>
      </c>
    </row>
    <row r="75" spans="1:12" ht="28.5" customHeight="1">
      <c r="A75" s="2" t="s">
        <v>240</v>
      </c>
      <c r="B75" s="3" t="s">
        <v>241</v>
      </c>
      <c r="C75" s="3" t="s">
        <v>12</v>
      </c>
      <c r="D75" s="3" t="s">
        <v>242</v>
      </c>
      <c r="E75" s="3" t="s">
        <v>13</v>
      </c>
      <c r="F75" s="3" t="s">
        <v>14</v>
      </c>
      <c r="G75" s="6" t="s">
        <v>18</v>
      </c>
      <c r="H75" s="4"/>
      <c r="I75" s="5">
        <v>18068000</v>
      </c>
      <c r="J75" s="5">
        <v>16185000</v>
      </c>
      <c r="K75" s="5">
        <v>17711000</v>
      </c>
      <c r="L75" s="5">
        <v>14211000</v>
      </c>
    </row>
    <row r="76" spans="1:12" ht="28.5" customHeight="1">
      <c r="A76" s="2" t="s">
        <v>243</v>
      </c>
      <c r="B76" s="3" t="s">
        <v>244</v>
      </c>
      <c r="C76" s="3" t="s">
        <v>12</v>
      </c>
      <c r="D76" s="3" t="s">
        <v>245</v>
      </c>
      <c r="E76" s="3" t="s">
        <v>13</v>
      </c>
      <c r="F76" s="3" t="s">
        <v>14</v>
      </c>
      <c r="G76" s="6" t="s">
        <v>18</v>
      </c>
      <c r="H76" s="4"/>
      <c r="I76" s="5">
        <v>19792000</v>
      </c>
      <c r="J76" s="5">
        <v>18419000</v>
      </c>
      <c r="K76" s="5">
        <v>30402000</v>
      </c>
      <c r="L76" s="5">
        <v>-19174000</v>
      </c>
    </row>
    <row r="77" spans="1:12" ht="15.75" customHeight="1">
      <c r="A77" s="2" t="s">
        <v>246</v>
      </c>
      <c r="B77" s="3" t="s">
        <v>247</v>
      </c>
      <c r="C77" s="3" t="s">
        <v>12</v>
      </c>
      <c r="D77" s="3" t="s">
        <v>248</v>
      </c>
      <c r="E77" s="3" t="s">
        <v>13</v>
      </c>
      <c r="F77" s="3" t="s">
        <v>14</v>
      </c>
      <c r="G77" s="6" t="s">
        <v>18</v>
      </c>
      <c r="H77" s="4"/>
      <c r="I77" s="5"/>
      <c r="J77" s="5">
        <v>7241000</v>
      </c>
      <c r="K77" s="5"/>
      <c r="L77" s="5">
        <v>7354000</v>
      </c>
    </row>
    <row r="78" spans="1:12" ht="28.5" customHeight="1">
      <c r="A78" s="2" t="s">
        <v>250</v>
      </c>
      <c r="B78" s="3" t="s">
        <v>251</v>
      </c>
      <c r="C78" s="3" t="s">
        <v>12</v>
      </c>
      <c r="D78" s="3" t="s">
        <v>252</v>
      </c>
      <c r="E78" s="3" t="s">
        <v>13</v>
      </c>
      <c r="F78" s="3" t="s">
        <v>14</v>
      </c>
      <c r="G78" s="6" t="s">
        <v>18</v>
      </c>
      <c r="H78" s="4"/>
      <c r="I78" s="5">
        <v>3514000</v>
      </c>
      <c r="J78" s="5">
        <v>2174000</v>
      </c>
      <c r="K78" s="5">
        <v>3452000</v>
      </c>
      <c r="L78" s="5">
        <v>2349000</v>
      </c>
    </row>
    <row r="79" spans="1:12" ht="15.75" customHeight="1">
      <c r="A79" s="2" t="s">
        <v>253</v>
      </c>
      <c r="B79" s="3" t="s">
        <v>254</v>
      </c>
      <c r="C79" s="3" t="s">
        <v>12</v>
      </c>
      <c r="D79" s="3" t="s">
        <v>255</v>
      </c>
      <c r="E79" s="3" t="s">
        <v>13</v>
      </c>
      <c r="F79" s="3" t="s">
        <v>14</v>
      </c>
      <c r="G79" s="6" t="s">
        <v>18</v>
      </c>
      <c r="H79" s="4"/>
      <c r="I79" s="5">
        <v>6800000</v>
      </c>
      <c r="J79" s="5">
        <v>19469000</v>
      </c>
      <c r="K79" s="5">
        <v>5647000</v>
      </c>
      <c r="L79" s="5">
        <v>20516000</v>
      </c>
    </row>
    <row r="80" spans="1:12" ht="28.5" customHeight="1">
      <c r="A80" s="2" t="s">
        <v>256</v>
      </c>
      <c r="B80" s="3" t="s">
        <v>257</v>
      </c>
      <c r="C80" s="3" t="s">
        <v>12</v>
      </c>
      <c r="D80" s="3" t="s">
        <v>258</v>
      </c>
      <c r="E80" s="3" t="s">
        <v>13</v>
      </c>
      <c r="F80" s="3" t="s">
        <v>14</v>
      </c>
      <c r="G80" s="6" t="s">
        <v>23</v>
      </c>
      <c r="H80" s="6" t="s">
        <v>23</v>
      </c>
      <c r="I80" s="5">
        <v>514068000</v>
      </c>
      <c r="J80" s="5">
        <v>392217000</v>
      </c>
      <c r="K80" s="5">
        <v>442917000</v>
      </c>
      <c r="L80" s="5">
        <v>391510000</v>
      </c>
    </row>
    <row r="81" spans="1:12" ht="28.5" customHeight="1">
      <c r="A81" s="2" t="s">
        <v>259</v>
      </c>
      <c r="B81" s="3" t="s">
        <v>260</v>
      </c>
      <c r="C81" s="3" t="s">
        <v>12</v>
      </c>
      <c r="D81" s="3" t="s">
        <v>261</v>
      </c>
      <c r="E81" s="3" t="s">
        <v>13</v>
      </c>
      <c r="F81" s="3" t="s">
        <v>14</v>
      </c>
      <c r="G81" s="6" t="s">
        <v>18</v>
      </c>
      <c r="H81" s="4"/>
      <c r="I81" s="5">
        <v>13390000</v>
      </c>
      <c r="J81" s="5">
        <v>22650000</v>
      </c>
      <c r="K81" s="5">
        <v>13674000</v>
      </c>
      <c r="L81" s="5">
        <v>21499000</v>
      </c>
    </row>
    <row r="82" spans="1:12" ht="15.75" customHeight="1">
      <c r="A82" s="2" t="s">
        <v>262</v>
      </c>
      <c r="B82" s="3" t="s">
        <v>263</v>
      </c>
      <c r="C82" s="3" t="s">
        <v>12</v>
      </c>
      <c r="D82" s="3" t="s">
        <v>264</v>
      </c>
      <c r="E82" s="3" t="s">
        <v>13</v>
      </c>
      <c r="F82" s="3" t="s">
        <v>14</v>
      </c>
      <c r="G82" s="6" t="s">
        <v>18</v>
      </c>
      <c r="H82" s="4"/>
      <c r="I82" s="5"/>
      <c r="J82" s="5"/>
      <c r="K82" s="5"/>
      <c r="L82" s="5"/>
    </row>
    <row r="83" spans="1:12" ht="28.5" customHeight="1">
      <c r="A83" s="2" t="s">
        <v>265</v>
      </c>
      <c r="B83" s="3" t="s">
        <v>266</v>
      </c>
      <c r="C83" s="3" t="s">
        <v>12</v>
      </c>
      <c r="D83" s="3" t="s">
        <v>267</v>
      </c>
      <c r="E83" s="3" t="s">
        <v>13</v>
      </c>
      <c r="F83" s="3" t="s">
        <v>14</v>
      </c>
      <c r="G83" s="6" t="s">
        <v>18</v>
      </c>
      <c r="H83" s="4"/>
      <c r="I83" s="5">
        <v>12594000</v>
      </c>
      <c r="J83" s="5">
        <v>8552000</v>
      </c>
      <c r="K83" s="5">
        <v>10451000</v>
      </c>
      <c r="L83" s="5">
        <v>7688000</v>
      </c>
    </row>
    <row r="84" spans="1:12" ht="54.75" customHeight="1">
      <c r="A84" s="2" t="s">
        <v>268</v>
      </c>
      <c r="B84" s="3" t="s">
        <v>269</v>
      </c>
      <c r="C84" s="3" t="s">
        <v>12</v>
      </c>
      <c r="D84" s="3" t="s">
        <v>270</v>
      </c>
      <c r="E84" s="3" t="s">
        <v>13</v>
      </c>
      <c r="F84" s="3" t="s">
        <v>25</v>
      </c>
      <c r="G84" s="6" t="s">
        <v>18</v>
      </c>
      <c r="H84" s="4"/>
      <c r="I84" s="5">
        <v>12980000</v>
      </c>
      <c r="J84" s="5">
        <v>2611000</v>
      </c>
      <c r="K84" s="5">
        <v>9158000</v>
      </c>
      <c r="L84" s="5">
        <v>6293000</v>
      </c>
    </row>
    <row r="85" spans="1:12" ht="15.75" customHeight="1">
      <c r="A85" s="2" t="s">
        <v>271</v>
      </c>
      <c r="B85" s="3" t="s">
        <v>272</v>
      </c>
      <c r="C85" s="3" t="s">
        <v>12</v>
      </c>
      <c r="D85" s="3" t="s">
        <v>273</v>
      </c>
      <c r="E85" s="3" t="s">
        <v>13</v>
      </c>
      <c r="F85" s="3" t="s">
        <v>25</v>
      </c>
      <c r="G85" s="6" t="s">
        <v>22</v>
      </c>
      <c r="H85" s="4"/>
      <c r="I85" s="5">
        <v>3425000</v>
      </c>
      <c r="J85" s="5">
        <v>2355000</v>
      </c>
      <c r="K85" s="5">
        <v>3667000</v>
      </c>
      <c r="L85" s="5">
        <v>1979000</v>
      </c>
    </row>
    <row r="86" spans="1:12" ht="15.75" customHeight="1">
      <c r="A86" s="2" t="s">
        <v>274</v>
      </c>
      <c r="B86" s="3" t="s">
        <v>275</v>
      </c>
      <c r="C86" s="3" t="s">
        <v>12</v>
      </c>
      <c r="D86" s="3" t="s">
        <v>276</v>
      </c>
      <c r="E86" s="3" t="s">
        <v>13</v>
      </c>
      <c r="F86" s="3" t="s">
        <v>14</v>
      </c>
      <c r="G86" s="6" t="s">
        <v>22</v>
      </c>
      <c r="H86" s="4"/>
      <c r="I86" s="5">
        <v>66620000</v>
      </c>
      <c r="J86" s="5">
        <v>66560000</v>
      </c>
      <c r="K86" s="5">
        <v>66674000</v>
      </c>
      <c r="L86" s="5">
        <v>89127000</v>
      </c>
    </row>
    <row r="87" spans="1:12" ht="15.75" customHeight="1">
      <c r="A87" s="2" t="s">
        <v>277</v>
      </c>
      <c r="B87" s="3" t="s">
        <v>278</v>
      </c>
      <c r="C87" s="3" t="s">
        <v>12</v>
      </c>
      <c r="D87" s="3" t="s">
        <v>279</v>
      </c>
      <c r="E87" s="3" t="s">
        <v>13</v>
      </c>
      <c r="F87" s="3" t="s">
        <v>14</v>
      </c>
      <c r="G87" s="6" t="s">
        <v>280</v>
      </c>
      <c r="H87" s="4"/>
      <c r="I87" s="5">
        <v>77367000</v>
      </c>
      <c r="J87" s="5">
        <v>46773000</v>
      </c>
      <c r="K87" s="5">
        <v>67628000</v>
      </c>
      <c r="L87" s="5">
        <v>55370000</v>
      </c>
    </row>
    <row r="88" spans="1:12" ht="28.5" customHeight="1">
      <c r="A88" s="2" t="s">
        <v>281</v>
      </c>
      <c r="B88" s="3" t="s">
        <v>282</v>
      </c>
      <c r="C88" s="3" t="s">
        <v>12</v>
      </c>
      <c r="D88" s="3" t="s">
        <v>283</v>
      </c>
      <c r="E88" s="3" t="s">
        <v>13</v>
      </c>
      <c r="F88" s="3" t="s">
        <v>14</v>
      </c>
      <c r="G88" s="6" t="s">
        <v>18</v>
      </c>
      <c r="H88" s="4"/>
      <c r="I88" s="5">
        <v>269412000</v>
      </c>
      <c r="J88" s="5">
        <v>576169000</v>
      </c>
      <c r="K88" s="5">
        <v>251203000</v>
      </c>
      <c r="L88" s="5">
        <v>337138000</v>
      </c>
    </row>
    <row r="89" spans="1:12" ht="28.5" customHeight="1">
      <c r="A89" s="2" t="s">
        <v>284</v>
      </c>
      <c r="B89" s="3" t="s">
        <v>285</v>
      </c>
      <c r="C89" s="3" t="s">
        <v>12</v>
      </c>
      <c r="D89" s="3" t="s">
        <v>286</v>
      </c>
      <c r="E89" s="3" t="s">
        <v>13</v>
      </c>
      <c r="F89" s="3" t="s">
        <v>14</v>
      </c>
      <c r="G89" s="6" t="s">
        <v>18</v>
      </c>
      <c r="H89" s="4"/>
      <c r="I89" s="5">
        <v>69000</v>
      </c>
      <c r="J89" s="5">
        <v>165000</v>
      </c>
      <c r="K89" s="5">
        <v>150000</v>
      </c>
      <c r="L89" s="5">
        <v>128000</v>
      </c>
    </row>
    <row r="90" spans="1:12" ht="15.75" customHeight="1">
      <c r="A90" s="2" t="s">
        <v>287</v>
      </c>
      <c r="B90" s="3" t="s">
        <v>288</v>
      </c>
      <c r="C90" s="3" t="s">
        <v>12</v>
      </c>
      <c r="D90" s="3" t="s">
        <v>289</v>
      </c>
      <c r="E90" s="3" t="s">
        <v>13</v>
      </c>
      <c r="F90" s="3" t="s">
        <v>25</v>
      </c>
      <c r="G90" s="6" t="s">
        <v>23</v>
      </c>
      <c r="H90" s="4"/>
      <c r="I90" s="5">
        <v>50019000</v>
      </c>
      <c r="J90" s="5">
        <v>47520000</v>
      </c>
      <c r="K90" s="5">
        <v>41433000</v>
      </c>
      <c r="L90" s="5">
        <v>60058000</v>
      </c>
    </row>
    <row r="91" spans="1:12" ht="28.5" customHeight="1">
      <c r="A91" s="2" t="s">
        <v>290</v>
      </c>
      <c r="B91" s="3" t="s">
        <v>291</v>
      </c>
      <c r="C91" s="3" t="s">
        <v>12</v>
      </c>
      <c r="D91" s="3" t="s">
        <v>292</v>
      </c>
      <c r="E91" s="3" t="s">
        <v>13</v>
      </c>
      <c r="F91" s="3" t="s">
        <v>14</v>
      </c>
      <c r="G91" s="6" t="s">
        <v>18</v>
      </c>
      <c r="H91" s="4"/>
      <c r="I91" s="5">
        <v>7416000</v>
      </c>
      <c r="J91" s="5">
        <v>10138000</v>
      </c>
      <c r="K91" s="5">
        <v>7176000</v>
      </c>
      <c r="L91" s="5">
        <v>10392000</v>
      </c>
    </row>
    <row r="92" spans="1:12" ht="28.5" customHeight="1">
      <c r="A92" s="2" t="s">
        <v>293</v>
      </c>
      <c r="B92" s="3" t="s">
        <v>294</v>
      </c>
      <c r="C92" s="3" t="s">
        <v>12</v>
      </c>
      <c r="D92" s="3" t="s">
        <v>295</v>
      </c>
      <c r="E92" s="3" t="s">
        <v>13</v>
      </c>
      <c r="F92" s="3" t="s">
        <v>14</v>
      </c>
      <c r="G92" s="6" t="s">
        <v>18</v>
      </c>
      <c r="H92" s="4"/>
      <c r="I92" s="5">
        <v>3539000</v>
      </c>
      <c r="J92" s="5">
        <v>14432000</v>
      </c>
      <c r="K92" s="5">
        <v>6026000</v>
      </c>
      <c r="L92" s="5">
        <v>13461000</v>
      </c>
    </row>
    <row r="93" spans="1:12" ht="15.75" customHeight="1">
      <c r="A93" s="2" t="s">
        <v>296</v>
      </c>
      <c r="B93" s="3" t="s">
        <v>297</v>
      </c>
      <c r="C93" s="3" t="s">
        <v>12</v>
      </c>
      <c r="D93" s="3" t="s">
        <v>298</v>
      </c>
      <c r="E93" s="3" t="s">
        <v>13</v>
      </c>
      <c r="F93" s="3" t="s">
        <v>14</v>
      </c>
      <c r="G93" s="6" t="s">
        <v>18</v>
      </c>
      <c r="H93" s="4"/>
      <c r="I93" s="5">
        <v>1231000</v>
      </c>
      <c r="J93" s="5">
        <v>825000</v>
      </c>
      <c r="K93" s="5">
        <v>1229000</v>
      </c>
      <c r="L93" s="5">
        <v>846000</v>
      </c>
    </row>
    <row r="94" spans="1:12" ht="28.5" customHeight="1">
      <c r="A94" s="2" t="s">
        <v>299</v>
      </c>
      <c r="B94" s="3" t="s">
        <v>300</v>
      </c>
      <c r="C94" s="3" t="s">
        <v>12</v>
      </c>
      <c r="D94" s="3" t="s">
        <v>301</v>
      </c>
      <c r="E94" s="3" t="s">
        <v>13</v>
      </c>
      <c r="F94" s="3" t="s">
        <v>14</v>
      </c>
      <c r="G94" s="6" t="s">
        <v>302</v>
      </c>
      <c r="H94" s="6" t="s">
        <v>23</v>
      </c>
      <c r="I94" s="5">
        <v>82558000</v>
      </c>
      <c r="J94" s="5">
        <v>81438000</v>
      </c>
      <c r="K94" s="5">
        <v>71662000</v>
      </c>
      <c r="L94" s="5">
        <v>80312000</v>
      </c>
    </row>
    <row r="95" spans="1:12" ht="15.75" customHeight="1">
      <c r="A95" s="2" t="s">
        <v>303</v>
      </c>
      <c r="B95" s="3" t="s">
        <v>304</v>
      </c>
      <c r="C95" s="3" t="s">
        <v>12</v>
      </c>
      <c r="D95" s="3" t="s">
        <v>305</v>
      </c>
      <c r="E95" s="3" t="s">
        <v>13</v>
      </c>
      <c r="F95" s="3" t="s">
        <v>24</v>
      </c>
      <c r="G95" s="6" t="s">
        <v>18</v>
      </c>
      <c r="H95" s="4"/>
      <c r="I95" s="5">
        <v>9431000</v>
      </c>
      <c r="J95" s="5">
        <v>58973000</v>
      </c>
      <c r="K95" s="5">
        <v>33219000</v>
      </c>
      <c r="L95" s="5">
        <v>57765000</v>
      </c>
    </row>
    <row r="96" spans="1:12" ht="15.75" customHeight="1">
      <c r="A96" s="2" t="s">
        <v>306</v>
      </c>
      <c r="B96" s="3" t="s">
        <v>307</v>
      </c>
      <c r="C96" s="3" t="s">
        <v>12</v>
      </c>
      <c r="D96" s="3" t="s">
        <v>308</v>
      </c>
      <c r="E96" s="3" t="s">
        <v>13</v>
      </c>
      <c r="F96" s="3" t="s">
        <v>14</v>
      </c>
      <c r="G96" s="6" t="s">
        <v>18</v>
      </c>
      <c r="H96" s="4"/>
      <c r="I96" s="5">
        <v>1728000</v>
      </c>
      <c r="J96" s="5">
        <v>1104000</v>
      </c>
      <c r="K96" s="5">
        <v>1197000</v>
      </c>
      <c r="L96" s="5">
        <v>905000</v>
      </c>
    </row>
    <row r="97" spans="1:12" ht="28.5" customHeight="1">
      <c r="A97" s="2" t="s">
        <v>309</v>
      </c>
      <c r="B97" s="3" t="s">
        <v>310</v>
      </c>
      <c r="C97" s="3" t="s">
        <v>12</v>
      </c>
      <c r="D97" s="3" t="s">
        <v>311</v>
      </c>
      <c r="E97" s="3" t="s">
        <v>13</v>
      </c>
      <c r="F97" s="3" t="s">
        <v>25</v>
      </c>
      <c r="G97" s="6" t="s">
        <v>18</v>
      </c>
      <c r="H97" s="4"/>
      <c r="I97" s="5">
        <v>1428000</v>
      </c>
      <c r="J97" s="5">
        <v>1337000</v>
      </c>
      <c r="K97" s="5">
        <v>1425000</v>
      </c>
      <c r="L97" s="5">
        <v>1351000</v>
      </c>
    </row>
    <row r="98" spans="1:12" ht="15.75" customHeight="1">
      <c r="A98" s="2" t="s">
        <v>312</v>
      </c>
      <c r="B98" s="3" t="s">
        <v>313</v>
      </c>
      <c r="C98" s="3" t="s">
        <v>12</v>
      </c>
      <c r="D98" s="3" t="s">
        <v>314</v>
      </c>
      <c r="E98" s="3" t="s">
        <v>13</v>
      </c>
      <c r="F98" s="3" t="s">
        <v>14</v>
      </c>
      <c r="G98" s="6" t="s">
        <v>18</v>
      </c>
      <c r="H98" s="4"/>
      <c r="I98" s="5">
        <v>7719000</v>
      </c>
      <c r="J98" s="5">
        <v>8272000</v>
      </c>
      <c r="K98" s="5">
        <v>7142000</v>
      </c>
      <c r="L98" s="5">
        <v>8521000</v>
      </c>
    </row>
    <row r="99" spans="1:12" ht="28.5" customHeight="1">
      <c r="A99" s="2" t="s">
        <v>315</v>
      </c>
      <c r="B99" s="3" t="s">
        <v>316</v>
      </c>
      <c r="C99" s="3" t="s">
        <v>12</v>
      </c>
      <c r="D99" s="3" t="s">
        <v>317</v>
      </c>
      <c r="E99" s="3" t="s">
        <v>13</v>
      </c>
      <c r="F99" s="3" t="s">
        <v>25</v>
      </c>
      <c r="G99" s="6" t="s">
        <v>18</v>
      </c>
      <c r="H99" s="4"/>
      <c r="I99" s="5"/>
      <c r="J99" s="5">
        <v>9000</v>
      </c>
      <c r="K99" s="5"/>
      <c r="L99" s="5">
        <v>8000</v>
      </c>
    </row>
    <row r="100" spans="1:12" ht="15.75" customHeight="1">
      <c r="A100" s="2" t="s">
        <v>318</v>
      </c>
      <c r="B100" s="3" t="s">
        <v>319</v>
      </c>
      <c r="C100" s="3" t="s">
        <v>12</v>
      </c>
      <c r="D100" s="3" t="s">
        <v>320</v>
      </c>
      <c r="E100" s="3" t="s">
        <v>13</v>
      </c>
      <c r="F100" s="3" t="s">
        <v>14</v>
      </c>
      <c r="G100" s="6" t="s">
        <v>18</v>
      </c>
      <c r="H100" s="4"/>
      <c r="I100" s="5"/>
      <c r="J100" s="5">
        <v>7807000</v>
      </c>
      <c r="K100" s="5"/>
      <c r="L100" s="5">
        <v>8391000</v>
      </c>
    </row>
    <row r="101" spans="1:12" ht="28.5" customHeight="1">
      <c r="A101" s="2" t="s">
        <v>321</v>
      </c>
      <c r="B101" s="3" t="s">
        <v>322</v>
      </c>
      <c r="C101" s="3" t="s">
        <v>12</v>
      </c>
      <c r="D101" s="3" t="s">
        <v>323</v>
      </c>
      <c r="E101" s="3" t="s">
        <v>13</v>
      </c>
      <c r="F101" s="3" t="s">
        <v>14</v>
      </c>
      <c r="G101" s="6" t="s">
        <v>18</v>
      </c>
      <c r="H101" s="4"/>
      <c r="I101" s="5">
        <v>13961000</v>
      </c>
      <c r="J101" s="5">
        <v>29313000</v>
      </c>
      <c r="K101" s="5">
        <v>6713000</v>
      </c>
      <c r="L101" s="5">
        <v>16748000</v>
      </c>
    </row>
    <row r="102" spans="1:12" ht="28.5" customHeight="1">
      <c r="A102" s="2" t="s">
        <v>324</v>
      </c>
      <c r="B102" s="3" t="s">
        <v>325</v>
      </c>
      <c r="C102" s="3" t="s">
        <v>12</v>
      </c>
      <c r="D102" s="3" t="s">
        <v>326</v>
      </c>
      <c r="E102" s="3" t="s">
        <v>13</v>
      </c>
      <c r="F102" s="3" t="s">
        <v>14</v>
      </c>
      <c r="G102" s="6" t="s">
        <v>18</v>
      </c>
      <c r="H102" s="4"/>
      <c r="I102" s="5">
        <v>118183000</v>
      </c>
      <c r="J102" s="5">
        <v>89187000</v>
      </c>
      <c r="K102" s="5">
        <v>96446000</v>
      </c>
      <c r="L102" s="5">
        <v>118254000</v>
      </c>
    </row>
    <row r="103" spans="1:12" ht="28.5" customHeight="1">
      <c r="A103" s="2" t="s">
        <v>327</v>
      </c>
      <c r="B103" s="3" t="s">
        <v>328</v>
      </c>
      <c r="C103" s="3" t="s">
        <v>12</v>
      </c>
      <c r="D103" s="3" t="s">
        <v>329</v>
      </c>
      <c r="E103" s="3" t="s">
        <v>13</v>
      </c>
      <c r="F103" s="3" t="s">
        <v>14</v>
      </c>
      <c r="G103" s="6" t="s">
        <v>77</v>
      </c>
      <c r="H103" s="4"/>
      <c r="I103" s="5">
        <v>74828000</v>
      </c>
      <c r="J103" s="5">
        <v>43202000</v>
      </c>
      <c r="K103" s="5">
        <v>67885000</v>
      </c>
      <c r="L103" s="5">
        <v>97834000</v>
      </c>
    </row>
    <row r="104" spans="1:12" ht="15.75" customHeight="1">
      <c r="A104" s="2" t="s">
        <v>330</v>
      </c>
      <c r="B104" s="3" t="s">
        <v>331</v>
      </c>
      <c r="C104" s="3" t="s">
        <v>12</v>
      </c>
      <c r="D104" s="3" t="s">
        <v>332</v>
      </c>
      <c r="E104" s="3" t="s">
        <v>13</v>
      </c>
      <c r="F104" s="3" t="s">
        <v>25</v>
      </c>
      <c r="G104" s="6" t="s">
        <v>18</v>
      </c>
      <c r="H104" s="4"/>
      <c r="I104" s="5">
        <v>2558000</v>
      </c>
      <c r="J104" s="5">
        <v>2398000</v>
      </c>
      <c r="K104" s="5">
        <v>1855000</v>
      </c>
      <c r="L104" s="5">
        <v>2966000</v>
      </c>
    </row>
    <row r="105" spans="1:12" ht="28.5" customHeight="1">
      <c r="A105" s="2" t="s">
        <v>333</v>
      </c>
      <c r="B105" s="3" t="s">
        <v>334</v>
      </c>
      <c r="C105" s="3" t="s">
        <v>12</v>
      </c>
      <c r="D105" s="3" t="s">
        <v>335</v>
      </c>
      <c r="E105" s="3" t="s">
        <v>13</v>
      </c>
      <c r="F105" s="3" t="s">
        <v>14</v>
      </c>
      <c r="G105" s="6" t="s">
        <v>18</v>
      </c>
      <c r="H105" s="4"/>
      <c r="I105" s="5">
        <v>85019000</v>
      </c>
      <c r="J105" s="5">
        <v>76225000</v>
      </c>
      <c r="K105" s="5">
        <v>53611000</v>
      </c>
      <c r="L105" s="5">
        <v>70437000</v>
      </c>
    </row>
    <row r="106" spans="1:12" ht="28.5" customHeight="1">
      <c r="A106" s="2" t="s">
        <v>336</v>
      </c>
      <c r="B106" s="3" t="s">
        <v>337</v>
      </c>
      <c r="C106" s="3" t="s">
        <v>12</v>
      </c>
      <c r="D106" s="3" t="s">
        <v>338</v>
      </c>
      <c r="E106" s="3" t="s">
        <v>13</v>
      </c>
      <c r="F106" s="3" t="s">
        <v>14</v>
      </c>
      <c r="G106" s="6" t="s">
        <v>18</v>
      </c>
      <c r="H106" s="4"/>
      <c r="I106" s="5">
        <v>4537000</v>
      </c>
      <c r="J106" s="5">
        <v>4078000</v>
      </c>
      <c r="K106" s="5">
        <v>4519000</v>
      </c>
      <c r="L106" s="5">
        <v>4068000</v>
      </c>
    </row>
    <row r="107" spans="1:12" ht="28.5" customHeight="1">
      <c r="A107" s="2" t="s">
        <v>339</v>
      </c>
      <c r="B107" s="3" t="s">
        <v>340</v>
      </c>
      <c r="C107" s="3" t="s">
        <v>12</v>
      </c>
      <c r="D107" s="3" t="s">
        <v>341</v>
      </c>
      <c r="E107" s="3" t="s">
        <v>13</v>
      </c>
      <c r="F107" s="3" t="s">
        <v>14</v>
      </c>
      <c r="G107" s="6" t="s">
        <v>23</v>
      </c>
      <c r="H107" s="4"/>
      <c r="I107" s="5">
        <v>41859000</v>
      </c>
      <c r="J107" s="5">
        <v>38697000</v>
      </c>
      <c r="K107" s="5">
        <v>36172000</v>
      </c>
      <c r="L107" s="5">
        <v>42900000</v>
      </c>
    </row>
    <row r="108" spans="1:12" ht="28.5" customHeight="1">
      <c r="A108" s="2" t="s">
        <v>342</v>
      </c>
      <c r="B108" s="3" t="s">
        <v>343</v>
      </c>
      <c r="C108" s="3" t="s">
        <v>12</v>
      </c>
      <c r="D108" s="3" t="s">
        <v>344</v>
      </c>
      <c r="E108" s="3" t="s">
        <v>13</v>
      </c>
      <c r="F108" s="3" t="s">
        <v>14</v>
      </c>
      <c r="G108" s="6" t="s">
        <v>18</v>
      </c>
      <c r="H108" s="4"/>
      <c r="I108" s="5">
        <v>17000</v>
      </c>
      <c r="J108" s="5"/>
      <c r="K108" s="5">
        <v>17000</v>
      </c>
      <c r="L108" s="5"/>
    </row>
    <row r="109" spans="1:12" ht="15.75" customHeight="1">
      <c r="A109" s="2" t="s">
        <v>345</v>
      </c>
      <c r="B109" s="3" t="s">
        <v>346</v>
      </c>
      <c r="C109" s="3" t="s">
        <v>12</v>
      </c>
      <c r="D109" s="3" t="s">
        <v>347</v>
      </c>
      <c r="E109" s="3" t="s">
        <v>13</v>
      </c>
      <c r="F109" s="3" t="s">
        <v>14</v>
      </c>
      <c r="G109" s="6" t="s">
        <v>18</v>
      </c>
      <c r="H109" s="4"/>
      <c r="I109" s="5">
        <v>16619000</v>
      </c>
      <c r="J109" s="5">
        <v>34411000</v>
      </c>
      <c r="K109" s="5">
        <v>17244000</v>
      </c>
      <c r="L109" s="5">
        <v>31070000</v>
      </c>
    </row>
    <row r="110" spans="1:12" ht="15.75" customHeight="1">
      <c r="A110" s="2" t="s">
        <v>348</v>
      </c>
      <c r="B110" s="3" t="s">
        <v>349</v>
      </c>
      <c r="C110" s="3" t="s">
        <v>12</v>
      </c>
      <c r="D110" s="3" t="s">
        <v>350</v>
      </c>
      <c r="E110" s="3" t="s">
        <v>13</v>
      </c>
      <c r="F110" s="3" t="s">
        <v>14</v>
      </c>
      <c r="G110" s="6" t="s">
        <v>77</v>
      </c>
      <c r="H110" s="4"/>
      <c r="I110" s="5">
        <v>6258000</v>
      </c>
      <c r="J110" s="5">
        <v>10442000</v>
      </c>
      <c r="K110" s="5">
        <v>8466000</v>
      </c>
      <c r="L110" s="5">
        <v>11783000</v>
      </c>
    </row>
    <row r="111" spans="1:12" ht="15.75" customHeight="1">
      <c r="A111" s="2" t="s">
        <v>351</v>
      </c>
      <c r="B111" s="3" t="s">
        <v>352</v>
      </c>
      <c r="C111" s="3" t="s">
        <v>12</v>
      </c>
      <c r="D111" s="3" t="s">
        <v>353</v>
      </c>
      <c r="E111" s="3" t="s">
        <v>13</v>
      </c>
      <c r="F111" s="3" t="s">
        <v>14</v>
      </c>
      <c r="G111" s="6" t="s">
        <v>18</v>
      </c>
      <c r="H111" s="4"/>
      <c r="I111" s="5">
        <v>143794000</v>
      </c>
      <c r="J111" s="5">
        <v>87649000</v>
      </c>
      <c r="K111" s="5">
        <v>265249000</v>
      </c>
      <c r="L111" s="5">
        <v>316381000</v>
      </c>
    </row>
    <row r="112" spans="1:12" ht="28.5" customHeight="1">
      <c r="A112" s="2" t="s">
        <v>354</v>
      </c>
      <c r="B112" s="3" t="s">
        <v>355</v>
      </c>
      <c r="C112" s="3" t="s">
        <v>12</v>
      </c>
      <c r="D112" s="3" t="s">
        <v>356</v>
      </c>
      <c r="E112" s="3" t="s">
        <v>13</v>
      </c>
      <c r="F112" s="3" t="s">
        <v>14</v>
      </c>
      <c r="G112" s="6" t="s">
        <v>18</v>
      </c>
      <c r="H112" s="4"/>
      <c r="I112" s="5">
        <v>14400000</v>
      </c>
      <c r="J112" s="5">
        <v>15900000</v>
      </c>
      <c r="K112" s="5">
        <v>14841000</v>
      </c>
      <c r="L112" s="5">
        <v>15980000</v>
      </c>
    </row>
    <row r="113" spans="1:12" ht="28.5" customHeight="1">
      <c r="A113" s="2" t="s">
        <v>357</v>
      </c>
      <c r="B113" s="3" t="s">
        <v>358</v>
      </c>
      <c r="C113" s="3" t="s">
        <v>12</v>
      </c>
      <c r="D113" s="3" t="s">
        <v>359</v>
      </c>
      <c r="E113" s="3" t="s">
        <v>13</v>
      </c>
      <c r="F113" s="3" t="s">
        <v>14</v>
      </c>
      <c r="G113" s="6" t="s">
        <v>18</v>
      </c>
      <c r="H113" s="4"/>
      <c r="I113" s="5">
        <v>25973000</v>
      </c>
      <c r="J113" s="5">
        <v>10366000</v>
      </c>
      <c r="K113" s="5">
        <v>12812000</v>
      </c>
      <c r="L113" s="5">
        <v>23217000</v>
      </c>
    </row>
    <row r="114" spans="1:12" ht="28.5" customHeight="1">
      <c r="A114" s="2" t="s">
        <v>360</v>
      </c>
      <c r="B114" s="3" t="s">
        <v>361</v>
      </c>
      <c r="C114" s="3" t="s">
        <v>12</v>
      </c>
      <c r="D114" s="3" t="s">
        <v>362</v>
      </c>
      <c r="E114" s="3" t="s">
        <v>13</v>
      </c>
      <c r="F114" s="3" t="s">
        <v>14</v>
      </c>
      <c r="G114" s="6" t="s">
        <v>18</v>
      </c>
      <c r="H114" s="4"/>
      <c r="I114" s="5">
        <v>6946000</v>
      </c>
      <c r="J114" s="5">
        <v>6703000</v>
      </c>
      <c r="K114" s="5">
        <v>6541000</v>
      </c>
      <c r="L114" s="5">
        <v>9162000</v>
      </c>
    </row>
    <row r="115" spans="1:12" ht="15.75" customHeight="1">
      <c r="A115" s="2" t="s">
        <v>363</v>
      </c>
      <c r="B115" s="3" t="s">
        <v>364</v>
      </c>
      <c r="C115" s="3" t="s">
        <v>12</v>
      </c>
      <c r="D115" s="3" t="s">
        <v>365</v>
      </c>
      <c r="E115" s="3" t="s">
        <v>13</v>
      </c>
      <c r="F115" s="3" t="s">
        <v>14</v>
      </c>
      <c r="G115" s="6" t="s">
        <v>23</v>
      </c>
      <c r="H115" s="6" t="s">
        <v>23</v>
      </c>
      <c r="I115" s="5">
        <v>155467000</v>
      </c>
      <c r="J115" s="5">
        <v>77820000</v>
      </c>
      <c r="K115" s="5">
        <v>69241000</v>
      </c>
      <c r="L115" s="5">
        <v>80423000</v>
      </c>
    </row>
    <row r="116" spans="1:12" ht="15.75" customHeight="1">
      <c r="A116" s="2" t="s">
        <v>366</v>
      </c>
      <c r="B116" s="3" t="s">
        <v>367</v>
      </c>
      <c r="C116" s="3" t="s">
        <v>12</v>
      </c>
      <c r="D116" s="3" t="s">
        <v>368</v>
      </c>
      <c r="E116" s="3" t="s">
        <v>13</v>
      </c>
      <c r="F116" s="3" t="s">
        <v>14</v>
      </c>
      <c r="G116" s="6" t="s">
        <v>18</v>
      </c>
      <c r="H116" s="4"/>
      <c r="I116" s="5">
        <v>2505000</v>
      </c>
      <c r="J116" s="5">
        <v>2519000</v>
      </c>
      <c r="K116" s="5">
        <v>2445000</v>
      </c>
      <c r="L116" s="5">
        <v>2507000</v>
      </c>
    </row>
    <row r="117" spans="1:12" ht="15.75" customHeight="1">
      <c r="A117" s="2" t="s">
        <v>369</v>
      </c>
      <c r="B117" s="3" t="s">
        <v>370</v>
      </c>
      <c r="C117" s="3" t="s">
        <v>12</v>
      </c>
      <c r="D117" s="3" t="s">
        <v>371</v>
      </c>
      <c r="E117" s="3" t="s">
        <v>13</v>
      </c>
      <c r="F117" s="3" t="s">
        <v>14</v>
      </c>
      <c r="G117" s="6" t="s">
        <v>18</v>
      </c>
      <c r="H117" s="4"/>
      <c r="I117" s="5">
        <v>201000</v>
      </c>
      <c r="J117" s="5">
        <v>130000</v>
      </c>
      <c r="K117" s="5">
        <v>207000</v>
      </c>
      <c r="L117" s="5">
        <v>69000</v>
      </c>
    </row>
    <row r="118" spans="1:12" ht="28.5" customHeight="1">
      <c r="A118" s="2" t="s">
        <v>372</v>
      </c>
      <c r="B118" s="3" t="s">
        <v>373</v>
      </c>
      <c r="C118" s="3" t="s">
        <v>12</v>
      </c>
      <c r="D118" s="3" t="s">
        <v>374</v>
      </c>
      <c r="E118" s="3" t="s">
        <v>13</v>
      </c>
      <c r="F118" s="3" t="s">
        <v>14</v>
      </c>
      <c r="G118" s="6" t="s">
        <v>18</v>
      </c>
      <c r="H118" s="4"/>
      <c r="I118" s="5">
        <v>50000</v>
      </c>
      <c r="J118" s="5"/>
      <c r="K118" s="5">
        <v>47000</v>
      </c>
      <c r="L118" s="5">
        <v>5000</v>
      </c>
    </row>
    <row r="119" spans="1:12" ht="28.5" customHeight="1">
      <c r="A119" s="2" t="s">
        <v>375</v>
      </c>
      <c r="B119" s="3" t="s">
        <v>376</v>
      </c>
      <c r="C119" s="3" t="s">
        <v>12</v>
      </c>
      <c r="D119" s="3" t="s">
        <v>377</v>
      </c>
      <c r="E119" s="3" t="s">
        <v>13</v>
      </c>
      <c r="F119" s="3" t="s">
        <v>14</v>
      </c>
      <c r="G119" s="6" t="s">
        <v>18</v>
      </c>
      <c r="H119" s="4"/>
      <c r="I119" s="5">
        <v>3209000</v>
      </c>
      <c r="J119" s="5">
        <v>5916000</v>
      </c>
      <c r="K119" s="5">
        <v>2670000</v>
      </c>
      <c r="L119" s="5">
        <v>1581000</v>
      </c>
    </row>
    <row r="120" spans="1:12" ht="67.5" customHeight="1">
      <c r="A120" s="2" t="s">
        <v>378</v>
      </c>
      <c r="B120" s="3" t="s">
        <v>379</v>
      </c>
      <c r="C120" s="3" t="s">
        <v>12</v>
      </c>
      <c r="D120" s="3" t="s">
        <v>380</v>
      </c>
      <c r="E120" s="3" t="s">
        <v>13</v>
      </c>
      <c r="F120" s="3" t="s">
        <v>25</v>
      </c>
      <c r="G120" s="6" t="s">
        <v>18</v>
      </c>
      <c r="H120" s="4"/>
      <c r="I120" s="5"/>
      <c r="J120" s="5"/>
      <c r="K120" s="5"/>
      <c r="L120" s="5"/>
    </row>
    <row r="121" spans="1:12" ht="15.75" customHeight="1">
      <c r="A121" s="2" t="s">
        <v>381</v>
      </c>
      <c r="B121" s="3" t="s">
        <v>382</v>
      </c>
      <c r="C121" s="3" t="s">
        <v>12</v>
      </c>
      <c r="D121" s="3" t="s">
        <v>383</v>
      </c>
      <c r="E121" s="3" t="s">
        <v>13</v>
      </c>
      <c r="F121" s="3" t="s">
        <v>14</v>
      </c>
      <c r="G121" s="6" t="s">
        <v>18</v>
      </c>
      <c r="H121" s="4"/>
      <c r="I121" s="5">
        <v>3799000</v>
      </c>
      <c r="J121" s="5">
        <v>2644000</v>
      </c>
      <c r="K121" s="5">
        <v>3653000</v>
      </c>
      <c r="L121" s="5">
        <v>2084000</v>
      </c>
    </row>
    <row r="122" spans="1:12" ht="15.75" customHeight="1">
      <c r="A122" s="2" t="s">
        <v>384</v>
      </c>
      <c r="B122" s="3" t="s">
        <v>385</v>
      </c>
      <c r="C122" s="3" t="s">
        <v>12</v>
      </c>
      <c r="D122" s="3" t="s">
        <v>386</v>
      </c>
      <c r="E122" s="3" t="s">
        <v>13</v>
      </c>
      <c r="F122" s="3" t="s">
        <v>14</v>
      </c>
      <c r="G122" s="6" t="s">
        <v>18</v>
      </c>
      <c r="H122" s="4"/>
      <c r="I122" s="5"/>
      <c r="J122" s="5">
        <v>39315000</v>
      </c>
      <c r="K122" s="5"/>
      <c r="L122" s="5">
        <v>69452000</v>
      </c>
    </row>
    <row r="123" spans="1:12" ht="93.75" customHeight="1">
      <c r="A123" s="2" t="s">
        <v>387</v>
      </c>
      <c r="B123" s="3" t="s">
        <v>388</v>
      </c>
      <c r="C123" s="3" t="s">
        <v>12</v>
      </c>
      <c r="D123" s="3" t="s">
        <v>389</v>
      </c>
      <c r="E123" s="3" t="s">
        <v>13</v>
      </c>
      <c r="F123" s="3" t="s">
        <v>25</v>
      </c>
      <c r="G123" s="6" t="s">
        <v>18</v>
      </c>
      <c r="H123" s="4"/>
      <c r="I123" s="5">
        <v>1576000</v>
      </c>
      <c r="J123" s="5">
        <v>1519000</v>
      </c>
      <c r="K123" s="5">
        <v>3872000</v>
      </c>
      <c r="L123" s="5">
        <v>1872000</v>
      </c>
    </row>
    <row r="124" spans="1:12" ht="15.75" customHeight="1">
      <c r="A124" s="2" t="s">
        <v>390</v>
      </c>
      <c r="B124" s="3" t="s">
        <v>391</v>
      </c>
      <c r="C124" s="3" t="s">
        <v>12</v>
      </c>
      <c r="D124" s="3" t="s">
        <v>392</v>
      </c>
      <c r="E124" s="3" t="s">
        <v>13</v>
      </c>
      <c r="F124" s="3" t="s">
        <v>14</v>
      </c>
      <c r="G124" s="6" t="s">
        <v>18</v>
      </c>
      <c r="H124" s="4"/>
      <c r="I124" s="5"/>
      <c r="J124" s="5"/>
      <c r="K124" s="5"/>
      <c r="L124" s="5"/>
    </row>
    <row r="125" spans="1:12" ht="15.75" customHeight="1">
      <c r="A125" s="2" t="s">
        <v>393</v>
      </c>
      <c r="B125" s="3" t="s">
        <v>394</v>
      </c>
      <c r="C125" s="3" t="s">
        <v>12</v>
      </c>
      <c r="D125" s="3" t="s">
        <v>395</v>
      </c>
      <c r="E125" s="3" t="s">
        <v>13</v>
      </c>
      <c r="F125" s="3" t="s">
        <v>25</v>
      </c>
      <c r="G125" s="6" t="s">
        <v>18</v>
      </c>
      <c r="H125" s="4"/>
      <c r="I125" s="5"/>
      <c r="J125" s="5">
        <v>54000</v>
      </c>
      <c r="K125" s="5"/>
      <c r="L125" s="5">
        <v>4000</v>
      </c>
    </row>
    <row r="126" spans="1:12" ht="28.5" customHeight="1">
      <c r="A126" s="2" t="s">
        <v>396</v>
      </c>
      <c r="B126" s="3" t="s">
        <v>397</v>
      </c>
      <c r="C126" s="3" t="s">
        <v>12</v>
      </c>
      <c r="D126" s="3" t="s">
        <v>398</v>
      </c>
      <c r="E126" s="3" t="s">
        <v>13</v>
      </c>
      <c r="F126" s="3" t="s">
        <v>14</v>
      </c>
      <c r="G126" s="6" t="s">
        <v>18</v>
      </c>
      <c r="H126" s="4"/>
      <c r="I126" s="5">
        <v>3060000</v>
      </c>
      <c r="J126" s="5">
        <v>3336000</v>
      </c>
      <c r="K126" s="5">
        <v>3468000</v>
      </c>
      <c r="L126" s="5">
        <v>3598000</v>
      </c>
    </row>
    <row r="127" spans="1:12" ht="15.75" customHeight="1">
      <c r="A127" s="2" t="s">
        <v>399</v>
      </c>
      <c r="B127" s="3" t="s">
        <v>400</v>
      </c>
      <c r="C127" s="3" t="s">
        <v>12</v>
      </c>
      <c r="D127" s="3" t="s">
        <v>401</v>
      </c>
      <c r="E127" s="3" t="s">
        <v>13</v>
      </c>
      <c r="F127" s="3" t="s">
        <v>14</v>
      </c>
      <c r="G127" s="6" t="s">
        <v>22</v>
      </c>
      <c r="H127" s="4"/>
      <c r="I127" s="5">
        <v>11031000</v>
      </c>
      <c r="J127" s="5">
        <v>14091000</v>
      </c>
      <c r="K127" s="5">
        <v>18407000</v>
      </c>
      <c r="L127" s="5">
        <v>14071000</v>
      </c>
    </row>
    <row r="128" spans="1:12" ht="28.5" customHeight="1">
      <c r="A128" s="2" t="s">
        <v>402</v>
      </c>
      <c r="B128" s="3" t="s">
        <v>403</v>
      </c>
      <c r="C128" s="3" t="s">
        <v>12</v>
      </c>
      <c r="D128" s="3" t="s">
        <v>404</v>
      </c>
      <c r="E128" s="3" t="s">
        <v>13</v>
      </c>
      <c r="F128" s="3" t="s">
        <v>14</v>
      </c>
      <c r="G128" s="6" t="s">
        <v>23</v>
      </c>
      <c r="H128" s="6" t="s">
        <v>23</v>
      </c>
      <c r="I128" s="5">
        <v>41475000</v>
      </c>
      <c r="J128" s="5">
        <v>34662000</v>
      </c>
      <c r="K128" s="5">
        <v>40195000</v>
      </c>
      <c r="L128" s="5">
        <v>36655000</v>
      </c>
    </row>
    <row r="129" spans="1:12" ht="28.5" customHeight="1">
      <c r="A129" s="2" t="s">
        <v>405</v>
      </c>
      <c r="B129" s="3" t="s">
        <v>406</v>
      </c>
      <c r="C129" s="3" t="s">
        <v>12</v>
      </c>
      <c r="D129" s="3" t="s">
        <v>407</v>
      </c>
      <c r="E129" s="3" t="s">
        <v>13</v>
      </c>
      <c r="F129" s="3" t="s">
        <v>14</v>
      </c>
      <c r="G129" s="6" t="s">
        <v>18</v>
      </c>
      <c r="H129" s="4"/>
      <c r="I129" s="5"/>
      <c r="J129" s="5">
        <v>50650000</v>
      </c>
      <c r="K129" s="5"/>
      <c r="L129" s="5">
        <v>47109000</v>
      </c>
    </row>
    <row r="130" spans="1:12" ht="28.5" customHeight="1">
      <c r="A130" s="2" t="s">
        <v>408</v>
      </c>
      <c r="B130" s="3" t="s">
        <v>409</v>
      </c>
      <c r="C130" s="3" t="s">
        <v>12</v>
      </c>
      <c r="D130" s="3" t="s">
        <v>410</v>
      </c>
      <c r="E130" s="3" t="s">
        <v>13</v>
      </c>
      <c r="F130" s="3" t="s">
        <v>14</v>
      </c>
      <c r="G130" s="6" t="s">
        <v>18</v>
      </c>
      <c r="H130" s="4"/>
      <c r="I130" s="5"/>
      <c r="J130" s="5">
        <v>18048000</v>
      </c>
      <c r="K130" s="5"/>
      <c r="L130" s="5">
        <v>17562000</v>
      </c>
    </row>
    <row r="131" spans="1:12" ht="15.75" customHeight="1">
      <c r="A131" s="2" t="s">
        <v>411</v>
      </c>
      <c r="B131" s="3" t="s">
        <v>412</v>
      </c>
      <c r="C131" s="3" t="s">
        <v>12</v>
      </c>
      <c r="D131" s="3" t="s">
        <v>413</v>
      </c>
      <c r="E131" s="3" t="s">
        <v>13</v>
      </c>
      <c r="F131" s="3" t="s">
        <v>14</v>
      </c>
      <c r="G131" s="6" t="s">
        <v>18</v>
      </c>
      <c r="H131" s="4"/>
      <c r="I131" s="5">
        <v>24710000</v>
      </c>
      <c r="J131" s="5">
        <v>13211000</v>
      </c>
      <c r="K131" s="5">
        <v>21286000</v>
      </c>
      <c r="L131" s="5">
        <v>18061000</v>
      </c>
    </row>
    <row r="132" spans="1:12" ht="15.75" customHeight="1">
      <c r="A132" s="2" t="s">
        <v>414</v>
      </c>
      <c r="B132" s="3" t="s">
        <v>415</v>
      </c>
      <c r="C132" s="3" t="s">
        <v>12</v>
      </c>
      <c r="D132" s="3" t="s">
        <v>416</v>
      </c>
      <c r="E132" s="3" t="s">
        <v>13</v>
      </c>
      <c r="F132" s="3" t="s">
        <v>14</v>
      </c>
      <c r="G132" s="6" t="s">
        <v>18</v>
      </c>
      <c r="H132" s="4"/>
      <c r="I132" s="5">
        <v>15715000</v>
      </c>
      <c r="J132" s="5">
        <v>13922000</v>
      </c>
      <c r="K132" s="5">
        <v>12215000</v>
      </c>
      <c r="L132" s="5">
        <v>19030000</v>
      </c>
    </row>
    <row r="133" spans="1:12" ht="28.5" customHeight="1">
      <c r="A133" s="2" t="s">
        <v>417</v>
      </c>
      <c r="B133" s="3" t="s">
        <v>418</v>
      </c>
      <c r="C133" s="3" t="s">
        <v>12</v>
      </c>
      <c r="D133" s="3" t="s">
        <v>419</v>
      </c>
      <c r="E133" s="3" t="s">
        <v>13</v>
      </c>
      <c r="F133" s="3" t="s">
        <v>14</v>
      </c>
      <c r="G133" s="6" t="s">
        <v>18</v>
      </c>
      <c r="H133" s="4"/>
      <c r="I133" s="5"/>
      <c r="J133" s="5">
        <v>12356000</v>
      </c>
      <c r="K133" s="5"/>
      <c r="L133" s="5">
        <v>8911000</v>
      </c>
    </row>
    <row r="134" spans="1:12" ht="15.75" customHeight="1">
      <c r="A134" s="2" t="s">
        <v>420</v>
      </c>
      <c r="B134" s="3" t="s">
        <v>421</v>
      </c>
      <c r="C134" s="3" t="s">
        <v>12</v>
      </c>
      <c r="D134" s="3" t="s">
        <v>422</v>
      </c>
      <c r="E134" s="3" t="s">
        <v>13</v>
      </c>
      <c r="F134" s="3" t="s">
        <v>14</v>
      </c>
      <c r="G134" s="6" t="s">
        <v>18</v>
      </c>
      <c r="H134" s="4"/>
      <c r="I134" s="5"/>
      <c r="J134" s="5"/>
      <c r="K134" s="5"/>
      <c r="L134" s="5"/>
    </row>
    <row r="135" spans="1:12" ht="42" customHeight="1">
      <c r="A135" s="2" t="s">
        <v>423</v>
      </c>
      <c r="B135" s="3" t="s">
        <v>424</v>
      </c>
      <c r="C135" s="3" t="s">
        <v>12</v>
      </c>
      <c r="D135" s="3" t="s">
        <v>425</v>
      </c>
      <c r="E135" s="3" t="s">
        <v>13</v>
      </c>
      <c r="F135" s="3" t="s">
        <v>14</v>
      </c>
      <c r="G135" s="6" t="s">
        <v>18</v>
      </c>
      <c r="H135" s="4"/>
      <c r="I135" s="5">
        <v>8550000</v>
      </c>
      <c r="J135" s="5">
        <v>7821000</v>
      </c>
      <c r="K135" s="5">
        <v>8076000</v>
      </c>
      <c r="L135" s="5">
        <v>8181000</v>
      </c>
    </row>
    <row r="136" spans="1:12" ht="15.75" customHeight="1">
      <c r="A136" s="2" t="s">
        <v>426</v>
      </c>
      <c r="B136" s="3" t="s">
        <v>427</v>
      </c>
      <c r="C136" s="3" t="s">
        <v>12</v>
      </c>
      <c r="D136" s="3" t="s">
        <v>428</v>
      </c>
      <c r="E136" s="3" t="s">
        <v>13</v>
      </c>
      <c r="F136" s="3" t="s">
        <v>14</v>
      </c>
      <c r="G136" s="6" t="s">
        <v>22</v>
      </c>
      <c r="H136" s="4"/>
      <c r="I136" s="5">
        <v>2682331000</v>
      </c>
      <c r="J136" s="5">
        <v>3172883000</v>
      </c>
      <c r="K136" s="5">
        <v>2664750000</v>
      </c>
      <c r="L136" s="5">
        <v>3174294000</v>
      </c>
    </row>
    <row r="137" spans="1:12" ht="28.5" customHeight="1">
      <c r="A137" s="2" t="s">
        <v>429</v>
      </c>
      <c r="B137" s="3" t="s">
        <v>430</v>
      </c>
      <c r="C137" s="3" t="s">
        <v>12</v>
      </c>
      <c r="D137" s="3" t="s">
        <v>431</v>
      </c>
      <c r="E137" s="3" t="s">
        <v>13</v>
      </c>
      <c r="F137" s="3" t="s">
        <v>25</v>
      </c>
      <c r="G137" s="6" t="s">
        <v>18</v>
      </c>
      <c r="H137" s="4"/>
      <c r="I137" s="5">
        <v>9565000</v>
      </c>
      <c r="J137" s="5">
        <v>9716000</v>
      </c>
      <c r="K137" s="5">
        <v>7416000</v>
      </c>
      <c r="L137" s="5">
        <v>9513000</v>
      </c>
    </row>
    <row r="138" spans="1:12" ht="28.5" customHeight="1">
      <c r="A138" s="2" t="s">
        <v>432</v>
      </c>
      <c r="B138" s="3" t="s">
        <v>433</v>
      </c>
      <c r="C138" s="3" t="s">
        <v>12</v>
      </c>
      <c r="D138" s="3" t="s">
        <v>434</v>
      </c>
      <c r="E138" s="3" t="s">
        <v>13</v>
      </c>
      <c r="F138" s="3" t="s">
        <v>14</v>
      </c>
      <c r="G138" s="6" t="s">
        <v>22</v>
      </c>
      <c r="H138" s="4"/>
      <c r="I138" s="5">
        <v>19026000</v>
      </c>
      <c r="J138" s="5">
        <v>22504000</v>
      </c>
      <c r="K138" s="5">
        <v>18736000</v>
      </c>
      <c r="L138" s="5">
        <v>19040000</v>
      </c>
    </row>
    <row r="139" spans="1:12" ht="54.75" customHeight="1">
      <c r="A139" s="2" t="s">
        <v>435</v>
      </c>
      <c r="B139" s="3" t="s">
        <v>436</v>
      </c>
      <c r="C139" s="3" t="s">
        <v>12</v>
      </c>
      <c r="D139" s="3" t="s">
        <v>437</v>
      </c>
      <c r="E139" s="3" t="s">
        <v>13</v>
      </c>
      <c r="F139" s="3" t="s">
        <v>14</v>
      </c>
      <c r="G139" s="6" t="s">
        <v>18</v>
      </c>
      <c r="H139" s="4"/>
      <c r="I139" s="5">
        <v>14000000</v>
      </c>
      <c r="J139" s="5">
        <v>29765000</v>
      </c>
      <c r="K139" s="5">
        <v>13500000</v>
      </c>
      <c r="L139" s="5">
        <v>30265000</v>
      </c>
    </row>
    <row r="140" spans="1:12" ht="42" customHeight="1">
      <c r="A140" s="2" t="s">
        <v>438</v>
      </c>
      <c r="B140" s="3" t="s">
        <v>439</v>
      </c>
      <c r="C140" s="3" t="s">
        <v>12</v>
      </c>
      <c r="D140" s="3" t="s">
        <v>440</v>
      </c>
      <c r="E140" s="3" t="s">
        <v>13</v>
      </c>
      <c r="F140" s="3" t="s">
        <v>14</v>
      </c>
      <c r="G140" s="6" t="s">
        <v>18</v>
      </c>
      <c r="H140" s="4"/>
      <c r="I140" s="5">
        <v>1539000</v>
      </c>
      <c r="J140" s="5">
        <v>2829000</v>
      </c>
      <c r="K140" s="5">
        <v>1573000</v>
      </c>
      <c r="L140" s="5">
        <v>2932000</v>
      </c>
    </row>
    <row r="141" spans="1:12" ht="28.5" customHeight="1">
      <c r="A141" s="2" t="s">
        <v>441</v>
      </c>
      <c r="B141" s="3" t="s">
        <v>442</v>
      </c>
      <c r="C141" s="3" t="s">
        <v>12</v>
      </c>
      <c r="D141" s="3" t="s">
        <v>443</v>
      </c>
      <c r="E141" s="3" t="s">
        <v>13</v>
      </c>
      <c r="F141" s="3" t="s">
        <v>14</v>
      </c>
      <c r="G141" s="6" t="s">
        <v>18</v>
      </c>
      <c r="H141" s="4"/>
      <c r="I141" s="5"/>
      <c r="J141" s="5"/>
      <c r="K141" s="5"/>
      <c r="L141" s="5"/>
    </row>
    <row r="142" spans="1:12" ht="28.5" customHeight="1">
      <c r="A142" s="2" t="s">
        <v>444</v>
      </c>
      <c r="B142" s="3" t="s">
        <v>445</v>
      </c>
      <c r="C142" s="3" t="s">
        <v>12</v>
      </c>
      <c r="D142" s="3" t="s">
        <v>446</v>
      </c>
      <c r="E142" s="3" t="s">
        <v>13</v>
      </c>
      <c r="F142" s="3" t="s">
        <v>14</v>
      </c>
      <c r="G142" s="6" t="s">
        <v>18</v>
      </c>
      <c r="H142" s="4"/>
      <c r="I142" s="5">
        <v>2050000</v>
      </c>
      <c r="J142" s="5">
        <v>8756000</v>
      </c>
      <c r="K142" s="5">
        <v>2078000</v>
      </c>
      <c r="L142" s="5">
        <v>5755000</v>
      </c>
    </row>
    <row r="143" spans="1:12" ht="28.5" customHeight="1">
      <c r="A143" s="2" t="s">
        <v>447</v>
      </c>
      <c r="B143" s="3" t="s">
        <v>448</v>
      </c>
      <c r="C143" s="3" t="s">
        <v>12</v>
      </c>
      <c r="D143" s="3" t="s">
        <v>449</v>
      </c>
      <c r="E143" s="3" t="s">
        <v>13</v>
      </c>
      <c r="F143" s="3" t="s">
        <v>14</v>
      </c>
      <c r="G143" s="6" t="s">
        <v>18</v>
      </c>
      <c r="H143" s="4"/>
      <c r="I143" s="5">
        <v>11287000</v>
      </c>
      <c r="J143" s="5">
        <v>8863000</v>
      </c>
      <c r="K143" s="5">
        <v>10698000</v>
      </c>
      <c r="L143" s="5">
        <v>7496000</v>
      </c>
    </row>
    <row r="144" spans="1:12" ht="15.75" customHeight="1">
      <c r="A144" s="2" t="s">
        <v>450</v>
      </c>
      <c r="B144" s="3" t="s">
        <v>451</v>
      </c>
      <c r="C144" s="3" t="s">
        <v>12</v>
      </c>
      <c r="D144" s="3" t="s">
        <v>452</v>
      </c>
      <c r="E144" s="3" t="s">
        <v>13</v>
      </c>
      <c r="F144" s="3" t="s">
        <v>24</v>
      </c>
      <c r="G144" s="6" t="s">
        <v>18</v>
      </c>
      <c r="H144" s="4"/>
      <c r="I144" s="5">
        <v>795000</v>
      </c>
      <c r="J144" s="5">
        <v>1111000</v>
      </c>
      <c r="K144" s="5">
        <v>712000</v>
      </c>
      <c r="L144" s="5">
        <v>1198000</v>
      </c>
    </row>
    <row r="145" spans="1:12" ht="28.5" customHeight="1">
      <c r="A145" s="2" t="s">
        <v>453</v>
      </c>
      <c r="B145" s="3" t="s">
        <v>454</v>
      </c>
      <c r="C145" s="3" t="s">
        <v>12</v>
      </c>
      <c r="D145" s="3" t="s">
        <v>455</v>
      </c>
      <c r="E145" s="3" t="s">
        <v>13</v>
      </c>
      <c r="F145" s="3" t="s">
        <v>14</v>
      </c>
      <c r="G145" s="6" t="s">
        <v>22</v>
      </c>
      <c r="H145" s="4"/>
      <c r="I145" s="5">
        <v>1799000</v>
      </c>
      <c r="J145" s="5">
        <v>4471000</v>
      </c>
      <c r="K145" s="5">
        <v>3777000</v>
      </c>
      <c r="L145" s="5">
        <v>5061000</v>
      </c>
    </row>
    <row r="146" spans="1:12" ht="15.75" customHeight="1">
      <c r="A146" s="2" t="s">
        <v>456</v>
      </c>
      <c r="B146" s="3" t="s">
        <v>457</v>
      </c>
      <c r="C146" s="3" t="s">
        <v>12</v>
      </c>
      <c r="D146" s="3" t="s">
        <v>458</v>
      </c>
      <c r="E146" s="3" t="s">
        <v>13</v>
      </c>
      <c r="F146" s="3" t="s">
        <v>14</v>
      </c>
      <c r="G146" s="6" t="s">
        <v>18</v>
      </c>
      <c r="H146" s="4"/>
      <c r="I146" s="5">
        <v>3992000</v>
      </c>
      <c r="J146" s="5">
        <v>4318000</v>
      </c>
      <c r="K146" s="5">
        <v>4723000</v>
      </c>
      <c r="L146" s="5">
        <v>4462000</v>
      </c>
    </row>
    <row r="147" spans="1:12" ht="28.5" customHeight="1">
      <c r="A147" s="2" t="s">
        <v>459</v>
      </c>
      <c r="B147" s="3" t="s">
        <v>460</v>
      </c>
      <c r="C147" s="3" t="s">
        <v>12</v>
      </c>
      <c r="D147" s="3" t="s">
        <v>461</v>
      </c>
      <c r="E147" s="3" t="s">
        <v>13</v>
      </c>
      <c r="F147" s="3" t="s">
        <v>14</v>
      </c>
      <c r="G147" s="6" t="s">
        <v>22</v>
      </c>
      <c r="H147" s="4"/>
      <c r="I147" s="5">
        <v>79973000</v>
      </c>
      <c r="J147" s="5">
        <v>79299000</v>
      </c>
      <c r="K147" s="5">
        <v>53135000</v>
      </c>
      <c r="L147" s="5">
        <v>55066000</v>
      </c>
    </row>
    <row r="148" spans="1:12" ht="28.5" customHeight="1">
      <c r="A148" s="2" t="s">
        <v>462</v>
      </c>
      <c r="B148" s="3" t="s">
        <v>463</v>
      </c>
      <c r="C148" s="3" t="s">
        <v>12</v>
      </c>
      <c r="D148" s="3" t="s">
        <v>464</v>
      </c>
      <c r="E148" s="3" t="s">
        <v>13</v>
      </c>
      <c r="F148" s="3" t="s">
        <v>14</v>
      </c>
      <c r="G148" s="6" t="s">
        <v>18</v>
      </c>
      <c r="H148" s="4"/>
      <c r="I148" s="5">
        <v>1251000</v>
      </c>
      <c r="J148" s="5">
        <v>1170000</v>
      </c>
      <c r="K148" s="5">
        <v>1269000</v>
      </c>
      <c r="L148" s="5">
        <v>1152000</v>
      </c>
    </row>
    <row r="149" spans="1:12" ht="28.5" customHeight="1">
      <c r="A149" s="2" t="s">
        <v>465</v>
      </c>
      <c r="B149" s="3" t="s">
        <v>466</v>
      </c>
      <c r="C149" s="3" t="s">
        <v>12</v>
      </c>
      <c r="D149" s="3" t="s">
        <v>467</v>
      </c>
      <c r="E149" s="3" t="s">
        <v>13</v>
      </c>
      <c r="F149" s="3" t="s">
        <v>14</v>
      </c>
      <c r="G149" s="6" t="s">
        <v>22</v>
      </c>
      <c r="H149" s="4"/>
      <c r="I149" s="5">
        <v>1843000</v>
      </c>
      <c r="J149" s="5">
        <v>5808000</v>
      </c>
      <c r="K149" s="5">
        <v>1843000</v>
      </c>
      <c r="L149" s="5">
        <v>3553000</v>
      </c>
    </row>
    <row r="150" spans="1:12" ht="28.5" customHeight="1">
      <c r="A150" s="2" t="s">
        <v>468</v>
      </c>
      <c r="B150" s="3" t="s">
        <v>469</v>
      </c>
      <c r="C150" s="3" t="s">
        <v>12</v>
      </c>
      <c r="D150" s="3" t="s">
        <v>470</v>
      </c>
      <c r="E150" s="3" t="s">
        <v>13</v>
      </c>
      <c r="F150" s="3" t="s">
        <v>25</v>
      </c>
      <c r="G150" s="6" t="s">
        <v>77</v>
      </c>
      <c r="H150" s="4"/>
      <c r="I150" s="5">
        <v>3528000</v>
      </c>
      <c r="J150" s="5">
        <v>1893000</v>
      </c>
      <c r="K150" s="5">
        <v>4310000</v>
      </c>
      <c r="L150" s="5">
        <v>1922000</v>
      </c>
    </row>
    <row r="151" spans="1:12" ht="28.5" customHeight="1">
      <c r="A151" s="2" t="s">
        <v>471</v>
      </c>
      <c r="B151" s="3" t="s">
        <v>472</v>
      </c>
      <c r="C151" s="3" t="s">
        <v>12</v>
      </c>
      <c r="D151" s="3" t="s">
        <v>473</v>
      </c>
      <c r="E151" s="3" t="s">
        <v>13</v>
      </c>
      <c r="F151" s="3" t="s">
        <v>14</v>
      </c>
      <c r="G151" s="6" t="s">
        <v>18</v>
      </c>
      <c r="H151" s="4"/>
      <c r="I151" s="5">
        <v>49142000</v>
      </c>
      <c r="J151" s="5">
        <v>31256000</v>
      </c>
      <c r="K151" s="5">
        <v>64195000</v>
      </c>
      <c r="L151" s="5">
        <v>37480000</v>
      </c>
    </row>
    <row r="152" spans="1:12" ht="28.5" customHeight="1">
      <c r="A152" s="2" t="s">
        <v>474</v>
      </c>
      <c r="B152" s="3" t="s">
        <v>475</v>
      </c>
      <c r="C152" s="3" t="s">
        <v>12</v>
      </c>
      <c r="D152" s="3" t="s">
        <v>476</v>
      </c>
      <c r="E152" s="3" t="s">
        <v>13</v>
      </c>
      <c r="F152" s="3" t="s">
        <v>14</v>
      </c>
      <c r="G152" s="6" t="s">
        <v>18</v>
      </c>
      <c r="H152" s="4"/>
      <c r="I152" s="5">
        <v>645000</v>
      </c>
      <c r="J152" s="5"/>
      <c r="K152" s="5">
        <v>5612000</v>
      </c>
      <c r="L152" s="5"/>
    </row>
    <row r="153" spans="1:12" ht="28.5" customHeight="1">
      <c r="A153" s="2" t="s">
        <v>477</v>
      </c>
      <c r="B153" s="3" t="s">
        <v>478</v>
      </c>
      <c r="C153" s="3" t="s">
        <v>12</v>
      </c>
      <c r="D153" s="3" t="s">
        <v>479</v>
      </c>
      <c r="E153" s="3" t="s">
        <v>13</v>
      </c>
      <c r="F153" s="3" t="s">
        <v>14</v>
      </c>
      <c r="G153" s="6" t="s">
        <v>18</v>
      </c>
      <c r="H153" s="4"/>
      <c r="I153" s="5">
        <v>47030000</v>
      </c>
      <c r="J153" s="5">
        <v>43018000</v>
      </c>
      <c r="K153" s="5">
        <v>32841000</v>
      </c>
      <c r="L153" s="5">
        <v>51051000</v>
      </c>
    </row>
    <row r="154" spans="1:12" ht="42" customHeight="1">
      <c r="A154" s="2" t="s">
        <v>480</v>
      </c>
      <c r="B154" s="3" t="s">
        <v>481</v>
      </c>
      <c r="C154" s="3" t="s">
        <v>12</v>
      </c>
      <c r="D154" s="3" t="s">
        <v>482</v>
      </c>
      <c r="E154" s="3" t="s">
        <v>13</v>
      </c>
      <c r="F154" s="3" t="s">
        <v>14</v>
      </c>
      <c r="G154" s="6" t="s">
        <v>18</v>
      </c>
      <c r="H154" s="4"/>
      <c r="I154" s="5"/>
      <c r="J154" s="5"/>
      <c r="K154" s="5"/>
      <c r="L154" s="5"/>
    </row>
    <row r="155" spans="1:12" ht="28.5" customHeight="1">
      <c r="A155" s="2" t="s">
        <v>483</v>
      </c>
      <c r="B155" s="3" t="s">
        <v>484</v>
      </c>
      <c r="C155" s="3" t="s">
        <v>12</v>
      </c>
      <c r="D155" s="3" t="s">
        <v>485</v>
      </c>
      <c r="E155" s="3" t="s">
        <v>13</v>
      </c>
      <c r="F155" s="3" t="s">
        <v>14</v>
      </c>
      <c r="G155" s="6" t="s">
        <v>18</v>
      </c>
      <c r="H155" s="4"/>
      <c r="I155" s="5">
        <v>112000</v>
      </c>
      <c r="J155" s="5">
        <v>553000</v>
      </c>
      <c r="K155" s="5">
        <v>213000</v>
      </c>
      <c r="L155" s="5">
        <v>608000</v>
      </c>
    </row>
    <row r="156" spans="1:12" ht="15.75" customHeight="1">
      <c r="A156" s="2" t="s">
        <v>486</v>
      </c>
      <c r="B156" s="3" t="s">
        <v>487</v>
      </c>
      <c r="C156" s="3" t="s">
        <v>12</v>
      </c>
      <c r="D156" s="3" t="s">
        <v>488</v>
      </c>
      <c r="E156" s="3" t="s">
        <v>13</v>
      </c>
      <c r="F156" s="3" t="s">
        <v>14</v>
      </c>
      <c r="G156" s="6" t="s">
        <v>22</v>
      </c>
      <c r="H156" s="4"/>
      <c r="I156" s="5"/>
      <c r="J156" s="5"/>
      <c r="K156" s="5"/>
      <c r="L156" s="5"/>
    </row>
    <row r="157" spans="1:12" ht="28.5" customHeight="1">
      <c r="A157" s="2" t="s">
        <v>489</v>
      </c>
      <c r="B157" s="3" t="s">
        <v>490</v>
      </c>
      <c r="C157" s="3" t="s">
        <v>12</v>
      </c>
      <c r="D157" s="3" t="s">
        <v>491</v>
      </c>
      <c r="E157" s="3" t="s">
        <v>13</v>
      </c>
      <c r="F157" s="3" t="s">
        <v>14</v>
      </c>
      <c r="G157" s="6" t="s">
        <v>18</v>
      </c>
      <c r="H157" s="4"/>
      <c r="I157" s="5">
        <v>51420000</v>
      </c>
      <c r="J157" s="5">
        <v>78958000</v>
      </c>
      <c r="K157" s="5">
        <v>51550000</v>
      </c>
      <c r="L157" s="5">
        <v>68113000</v>
      </c>
    </row>
    <row r="158" spans="1:12" ht="28.5" customHeight="1">
      <c r="A158" s="2" t="s">
        <v>492</v>
      </c>
      <c r="B158" s="3" t="s">
        <v>493</v>
      </c>
      <c r="C158" s="3" t="s">
        <v>12</v>
      </c>
      <c r="D158" s="3" t="s">
        <v>494</v>
      </c>
      <c r="E158" s="3" t="s">
        <v>13</v>
      </c>
      <c r="F158" s="3" t="s">
        <v>14</v>
      </c>
      <c r="G158" s="6" t="s">
        <v>18</v>
      </c>
      <c r="H158" s="4"/>
      <c r="I158" s="5">
        <v>4512000</v>
      </c>
      <c r="J158" s="5">
        <v>6474000</v>
      </c>
      <c r="K158" s="5">
        <v>6516000</v>
      </c>
      <c r="L158" s="5">
        <v>6119000</v>
      </c>
    </row>
    <row r="159" spans="1:12" ht="28.5" customHeight="1">
      <c r="A159" s="2" t="s">
        <v>495</v>
      </c>
      <c r="B159" s="3" t="s">
        <v>496</v>
      </c>
      <c r="C159" s="3" t="s">
        <v>12</v>
      </c>
      <c r="D159" s="3" t="s">
        <v>497</v>
      </c>
      <c r="E159" s="3" t="s">
        <v>13</v>
      </c>
      <c r="F159" s="3" t="s">
        <v>14</v>
      </c>
      <c r="G159" s="6" t="s">
        <v>18</v>
      </c>
      <c r="H159" s="4"/>
      <c r="I159" s="5">
        <v>29048000</v>
      </c>
      <c r="J159" s="5">
        <v>37920000</v>
      </c>
      <c r="K159" s="5">
        <v>30087000</v>
      </c>
      <c r="L159" s="5">
        <v>35917000</v>
      </c>
    </row>
    <row r="160" spans="1:12" ht="15.75" customHeight="1">
      <c r="A160" s="2" t="s">
        <v>498</v>
      </c>
      <c r="B160" s="3" t="s">
        <v>499</v>
      </c>
      <c r="C160" s="3" t="s">
        <v>12</v>
      </c>
      <c r="D160" s="3" t="s">
        <v>500</v>
      </c>
      <c r="E160" s="3" t="s">
        <v>13</v>
      </c>
      <c r="F160" s="3" t="s">
        <v>14</v>
      </c>
      <c r="G160" s="6" t="s">
        <v>22</v>
      </c>
      <c r="H160" s="4"/>
      <c r="I160" s="5">
        <v>12586000</v>
      </c>
      <c r="J160" s="5">
        <v>15562000</v>
      </c>
      <c r="K160" s="5">
        <v>13386000</v>
      </c>
      <c r="L160" s="5">
        <v>15055000</v>
      </c>
    </row>
    <row r="161" spans="1:12" ht="28.5" customHeight="1">
      <c r="A161" s="2" t="s">
        <v>501</v>
      </c>
      <c r="B161" s="3" t="s">
        <v>502</v>
      </c>
      <c r="C161" s="3" t="s">
        <v>12</v>
      </c>
      <c r="D161" s="3" t="s">
        <v>503</v>
      </c>
      <c r="E161" s="3" t="s">
        <v>13</v>
      </c>
      <c r="F161" s="3" t="s">
        <v>14</v>
      </c>
      <c r="G161" s="6" t="s">
        <v>18</v>
      </c>
      <c r="H161" s="4"/>
      <c r="I161" s="5"/>
      <c r="J161" s="5">
        <v>9001000</v>
      </c>
      <c r="K161" s="5"/>
      <c r="L161" s="5">
        <v>10479000</v>
      </c>
    </row>
    <row r="162" spans="1:12" ht="28.5" customHeight="1">
      <c r="A162" s="2" t="s">
        <v>504</v>
      </c>
      <c r="B162" s="3" t="s">
        <v>505</v>
      </c>
      <c r="C162" s="3" t="s">
        <v>12</v>
      </c>
      <c r="D162" s="3" t="s">
        <v>506</v>
      </c>
      <c r="E162" s="3" t="s">
        <v>13</v>
      </c>
      <c r="F162" s="3" t="s">
        <v>14</v>
      </c>
      <c r="G162" s="6" t="s">
        <v>18</v>
      </c>
      <c r="H162" s="4"/>
      <c r="I162" s="5">
        <v>82449000</v>
      </c>
      <c r="J162" s="5">
        <v>108373000</v>
      </c>
      <c r="K162" s="5">
        <v>77478000</v>
      </c>
      <c r="L162" s="5">
        <v>96118000</v>
      </c>
    </row>
    <row r="163" spans="1:12" ht="28.5" customHeight="1">
      <c r="A163" s="2" t="s">
        <v>507</v>
      </c>
      <c r="B163" s="3" t="s">
        <v>508</v>
      </c>
      <c r="C163" s="3" t="s">
        <v>12</v>
      </c>
      <c r="D163" s="3" t="s">
        <v>509</v>
      </c>
      <c r="E163" s="3" t="s">
        <v>13</v>
      </c>
      <c r="F163" s="3" t="s">
        <v>14</v>
      </c>
      <c r="G163" s="6" t="s">
        <v>18</v>
      </c>
      <c r="H163" s="4"/>
      <c r="I163" s="5">
        <v>43840000</v>
      </c>
      <c r="J163" s="5">
        <v>43865000</v>
      </c>
      <c r="K163" s="5">
        <v>38079000</v>
      </c>
      <c r="L163" s="5">
        <v>43376000</v>
      </c>
    </row>
    <row r="164" spans="1:12" ht="42" customHeight="1">
      <c r="A164" s="2" t="s">
        <v>510</v>
      </c>
      <c r="B164" s="3" t="s">
        <v>511</v>
      </c>
      <c r="C164" s="3" t="s">
        <v>12</v>
      </c>
      <c r="D164" s="3" t="s">
        <v>512</v>
      </c>
      <c r="E164" s="3" t="s">
        <v>13</v>
      </c>
      <c r="F164" s="3" t="s">
        <v>14</v>
      </c>
      <c r="G164" s="6" t="s">
        <v>18</v>
      </c>
      <c r="H164" s="4"/>
      <c r="I164" s="5">
        <v>6398000</v>
      </c>
      <c r="J164" s="5">
        <v>2600000</v>
      </c>
      <c r="K164" s="5">
        <v>6410000</v>
      </c>
      <c r="L164" s="5">
        <v>2827000</v>
      </c>
    </row>
    <row r="165" spans="1:12" ht="15.75" customHeight="1">
      <c r="A165" s="2" t="s">
        <v>513</v>
      </c>
      <c r="B165" s="3" t="s">
        <v>514</v>
      </c>
      <c r="C165" s="3" t="s">
        <v>12</v>
      </c>
      <c r="D165" s="3" t="s">
        <v>515</v>
      </c>
      <c r="E165" s="3" t="s">
        <v>13</v>
      </c>
      <c r="F165" s="3" t="s">
        <v>14</v>
      </c>
      <c r="G165" s="6" t="s">
        <v>18</v>
      </c>
      <c r="H165" s="4"/>
      <c r="I165" s="5"/>
      <c r="J165" s="5"/>
      <c r="K165" s="5"/>
      <c r="L165" s="5"/>
    </row>
    <row r="166" spans="1:12" ht="28.5" customHeight="1">
      <c r="A166" s="2" t="s">
        <v>516</v>
      </c>
      <c r="B166" s="3" t="s">
        <v>517</v>
      </c>
      <c r="C166" s="3" t="s">
        <v>12</v>
      </c>
      <c r="D166" s="3" t="s">
        <v>518</v>
      </c>
      <c r="E166" s="3" t="s">
        <v>13</v>
      </c>
      <c r="F166" s="3" t="s">
        <v>14</v>
      </c>
      <c r="G166" s="6" t="s">
        <v>18</v>
      </c>
      <c r="H166" s="4"/>
      <c r="I166" s="5"/>
      <c r="J166" s="5"/>
      <c r="K166" s="5"/>
      <c r="L166" s="5"/>
    </row>
    <row r="167" spans="1:12" ht="28.5" customHeight="1">
      <c r="A167" s="2" t="s">
        <v>519</v>
      </c>
      <c r="B167" s="3" t="s">
        <v>520</v>
      </c>
      <c r="C167" s="3" t="s">
        <v>12</v>
      </c>
      <c r="D167" s="3" t="s">
        <v>521</v>
      </c>
      <c r="E167" s="3" t="s">
        <v>13</v>
      </c>
      <c r="F167" s="3" t="s">
        <v>14</v>
      </c>
      <c r="G167" s="6" t="s">
        <v>77</v>
      </c>
      <c r="H167" s="4"/>
      <c r="I167" s="5"/>
      <c r="J167" s="5">
        <v>16144000</v>
      </c>
      <c r="K167" s="5"/>
      <c r="L167" s="5">
        <v>15575000</v>
      </c>
    </row>
    <row r="168" spans="1:12" ht="28.5" customHeight="1">
      <c r="A168" s="2" t="s">
        <v>522</v>
      </c>
      <c r="B168" s="3" t="s">
        <v>523</v>
      </c>
      <c r="C168" s="3" t="s">
        <v>12</v>
      </c>
      <c r="D168" s="3" t="s">
        <v>524</v>
      </c>
      <c r="E168" s="3" t="s">
        <v>13</v>
      </c>
      <c r="F168" s="3" t="s">
        <v>14</v>
      </c>
      <c r="G168" s="6" t="s">
        <v>18</v>
      </c>
      <c r="H168" s="4"/>
      <c r="I168" s="5"/>
      <c r="J168" s="5"/>
      <c r="K168" s="5"/>
      <c r="L168" s="5"/>
    </row>
    <row r="169" spans="1:12" ht="28.5" customHeight="1">
      <c r="A169" s="2" t="s">
        <v>525</v>
      </c>
      <c r="B169" s="3" t="s">
        <v>526</v>
      </c>
      <c r="C169" s="3" t="s">
        <v>12</v>
      </c>
      <c r="D169" s="3" t="s">
        <v>527</v>
      </c>
      <c r="E169" s="3" t="s">
        <v>13</v>
      </c>
      <c r="F169" s="3" t="s">
        <v>14</v>
      </c>
      <c r="G169" s="6" t="s">
        <v>18</v>
      </c>
      <c r="H169" s="4"/>
      <c r="I169" s="5"/>
      <c r="J169" s="5"/>
      <c r="K169" s="5">
        <v>2000</v>
      </c>
      <c r="L169" s="5"/>
    </row>
    <row r="170" spans="1:12" ht="15.75" customHeight="1">
      <c r="A170" s="2" t="s">
        <v>528</v>
      </c>
      <c r="B170" s="3" t="s">
        <v>529</v>
      </c>
      <c r="C170" s="3" t="s">
        <v>12</v>
      </c>
      <c r="D170" s="3" t="s">
        <v>530</v>
      </c>
      <c r="E170" s="3" t="s">
        <v>13</v>
      </c>
      <c r="F170" s="3" t="s">
        <v>14</v>
      </c>
      <c r="G170" s="6" t="s">
        <v>18</v>
      </c>
      <c r="H170" s="4"/>
      <c r="I170" s="5">
        <v>64105000</v>
      </c>
      <c r="J170" s="5">
        <v>51871000</v>
      </c>
      <c r="K170" s="5">
        <v>48265000</v>
      </c>
      <c r="L170" s="5">
        <v>55242000</v>
      </c>
    </row>
    <row r="171" spans="1:12" ht="28.5" customHeight="1">
      <c r="A171" s="2" t="s">
        <v>531</v>
      </c>
      <c r="B171" s="3" t="s">
        <v>532</v>
      </c>
      <c r="C171" s="3" t="s">
        <v>12</v>
      </c>
      <c r="D171" s="3" t="s">
        <v>533</v>
      </c>
      <c r="E171" s="3" t="s">
        <v>13</v>
      </c>
      <c r="F171" s="3" t="s">
        <v>14</v>
      </c>
      <c r="G171" s="6" t="s">
        <v>18</v>
      </c>
      <c r="H171" s="4"/>
      <c r="I171" s="5"/>
      <c r="J171" s="5">
        <v>21798000</v>
      </c>
      <c r="K171" s="5"/>
      <c r="L171" s="5">
        <v>23790000</v>
      </c>
    </row>
    <row r="172" spans="1:12" ht="15.75" customHeight="1">
      <c r="A172" s="2" t="s">
        <v>534</v>
      </c>
      <c r="B172" s="3" t="s">
        <v>535</v>
      </c>
      <c r="C172" s="3" t="s">
        <v>12</v>
      </c>
      <c r="D172" s="3" t="s">
        <v>536</v>
      </c>
      <c r="E172" s="3" t="s">
        <v>13</v>
      </c>
      <c r="F172" s="3" t="s">
        <v>14</v>
      </c>
      <c r="G172" s="6" t="s">
        <v>18</v>
      </c>
      <c r="H172" s="4"/>
      <c r="I172" s="5">
        <v>346000</v>
      </c>
      <c r="J172" s="5">
        <v>5000</v>
      </c>
      <c r="K172" s="5">
        <v>346000</v>
      </c>
      <c r="L172" s="5">
        <v>5000</v>
      </c>
    </row>
    <row r="173" spans="1:12" ht="28.5" customHeight="1">
      <c r="A173" s="2" t="s">
        <v>537</v>
      </c>
      <c r="B173" s="3" t="s">
        <v>538</v>
      </c>
      <c r="C173" s="3" t="s">
        <v>12</v>
      </c>
      <c r="D173" s="3" t="s">
        <v>539</v>
      </c>
      <c r="E173" s="3" t="s">
        <v>13</v>
      </c>
      <c r="F173" s="3" t="s">
        <v>14</v>
      </c>
      <c r="G173" s="6" t="s">
        <v>18</v>
      </c>
      <c r="H173" s="4"/>
      <c r="I173" s="5"/>
      <c r="J173" s="5">
        <v>920000</v>
      </c>
      <c r="K173" s="5"/>
      <c r="L173" s="5">
        <v>780000</v>
      </c>
    </row>
    <row r="174" spans="1:12" ht="54.75" customHeight="1">
      <c r="A174" s="2" t="s">
        <v>540</v>
      </c>
      <c r="B174" s="3" t="s">
        <v>541</v>
      </c>
      <c r="C174" s="3" t="s">
        <v>12</v>
      </c>
      <c r="D174" s="3" t="s">
        <v>542</v>
      </c>
      <c r="E174" s="3" t="s">
        <v>13</v>
      </c>
      <c r="F174" s="3" t="s">
        <v>14</v>
      </c>
      <c r="G174" s="6" t="s">
        <v>18</v>
      </c>
      <c r="H174" s="4"/>
      <c r="I174" s="5">
        <v>1781000</v>
      </c>
      <c r="J174" s="5">
        <v>92000</v>
      </c>
      <c r="K174" s="5">
        <v>1780000</v>
      </c>
      <c r="L174" s="5">
        <v>97000</v>
      </c>
    </row>
    <row r="175" spans="1:12" ht="28.5" customHeight="1">
      <c r="A175" s="2" t="s">
        <v>543</v>
      </c>
      <c r="B175" s="3" t="s">
        <v>544</v>
      </c>
      <c r="C175" s="3" t="s">
        <v>12</v>
      </c>
      <c r="D175" s="3" t="s">
        <v>545</v>
      </c>
      <c r="E175" s="3" t="s">
        <v>13</v>
      </c>
      <c r="F175" s="3" t="s">
        <v>14</v>
      </c>
      <c r="G175" s="6" t="s">
        <v>77</v>
      </c>
      <c r="H175" s="4"/>
      <c r="I175" s="5">
        <v>4813000</v>
      </c>
      <c r="J175" s="5">
        <v>3365000</v>
      </c>
      <c r="K175" s="5">
        <v>5132000</v>
      </c>
      <c r="L175" s="5">
        <v>3345000</v>
      </c>
    </row>
    <row r="176" spans="1:12" ht="15.75" customHeight="1">
      <c r="A176" s="2" t="s">
        <v>546</v>
      </c>
      <c r="B176" s="3" t="s">
        <v>547</v>
      </c>
      <c r="C176" s="3" t="s">
        <v>12</v>
      </c>
      <c r="D176" s="3" t="s">
        <v>548</v>
      </c>
      <c r="E176" s="3" t="s">
        <v>13</v>
      </c>
      <c r="F176" s="3" t="s">
        <v>14</v>
      </c>
      <c r="G176" s="6" t="s">
        <v>18</v>
      </c>
      <c r="H176" s="4"/>
      <c r="I176" s="5"/>
      <c r="J176" s="5">
        <v>99000</v>
      </c>
      <c r="K176" s="5"/>
      <c r="L176" s="5">
        <v>99000</v>
      </c>
    </row>
    <row r="177" spans="1:12" ht="28.5" customHeight="1">
      <c r="A177" s="2" t="s">
        <v>549</v>
      </c>
      <c r="B177" s="3" t="s">
        <v>550</v>
      </c>
      <c r="C177" s="3" t="s">
        <v>12</v>
      </c>
      <c r="D177" s="3" t="s">
        <v>551</v>
      </c>
      <c r="E177" s="3" t="s">
        <v>13</v>
      </c>
      <c r="F177" s="3" t="s">
        <v>14</v>
      </c>
      <c r="G177" s="6" t="s">
        <v>18</v>
      </c>
      <c r="H177" s="4"/>
      <c r="I177" s="5">
        <v>15842000</v>
      </c>
      <c r="J177" s="5">
        <v>20404000</v>
      </c>
      <c r="K177" s="5">
        <v>12483000</v>
      </c>
      <c r="L177" s="5">
        <v>19150000</v>
      </c>
    </row>
    <row r="178" spans="1:12" ht="15.75" customHeight="1">
      <c r="A178" s="2" t="s">
        <v>552</v>
      </c>
      <c r="B178" s="3" t="s">
        <v>553</v>
      </c>
      <c r="C178" s="3" t="s">
        <v>12</v>
      </c>
      <c r="D178" s="3" t="s">
        <v>554</v>
      </c>
      <c r="E178" s="3" t="s">
        <v>13</v>
      </c>
      <c r="F178" s="3" t="s">
        <v>14</v>
      </c>
      <c r="G178" s="6" t="s">
        <v>18</v>
      </c>
      <c r="H178" s="4"/>
      <c r="I178" s="5">
        <v>6339000</v>
      </c>
      <c r="J178" s="5">
        <v>3210000</v>
      </c>
      <c r="K178" s="5">
        <v>2590000</v>
      </c>
      <c r="L178" s="5">
        <v>3706000</v>
      </c>
    </row>
    <row r="179" spans="1:12" ht="54.75" customHeight="1">
      <c r="A179" s="2" t="s">
        <v>555</v>
      </c>
      <c r="B179" s="3" t="s">
        <v>556</v>
      </c>
      <c r="C179" s="3" t="s">
        <v>12</v>
      </c>
      <c r="D179" s="3" t="s">
        <v>557</v>
      </c>
      <c r="E179" s="3" t="s">
        <v>13</v>
      </c>
      <c r="F179" s="3" t="s">
        <v>14</v>
      </c>
      <c r="G179" s="6" t="s">
        <v>77</v>
      </c>
      <c r="H179" s="4"/>
      <c r="I179" s="5">
        <v>786000</v>
      </c>
      <c r="J179" s="5">
        <v>396000</v>
      </c>
      <c r="K179" s="5">
        <v>2387000</v>
      </c>
      <c r="L179" s="5">
        <v>4098000</v>
      </c>
    </row>
    <row r="180" spans="1:12" ht="15.75" customHeight="1">
      <c r="A180" s="2" t="s">
        <v>558</v>
      </c>
      <c r="B180" s="3" t="s">
        <v>559</v>
      </c>
      <c r="C180" s="3" t="s">
        <v>12</v>
      </c>
      <c r="D180" s="3" t="s">
        <v>560</v>
      </c>
      <c r="E180" s="3" t="s">
        <v>13</v>
      </c>
      <c r="F180" s="3" t="s">
        <v>14</v>
      </c>
      <c r="G180" s="6" t="s">
        <v>18</v>
      </c>
      <c r="H180" s="4"/>
      <c r="I180" s="5">
        <v>10942000</v>
      </c>
      <c r="J180" s="5">
        <v>11986000</v>
      </c>
      <c r="K180" s="5">
        <v>505862000</v>
      </c>
      <c r="L180" s="5">
        <v>21683000</v>
      </c>
    </row>
    <row r="181" spans="1:12" ht="28.5" customHeight="1">
      <c r="A181" s="2" t="s">
        <v>561</v>
      </c>
      <c r="B181" s="3" t="s">
        <v>562</v>
      </c>
      <c r="C181" s="3" t="s">
        <v>12</v>
      </c>
      <c r="D181" s="3" t="s">
        <v>563</v>
      </c>
      <c r="E181" s="3" t="s">
        <v>13</v>
      </c>
      <c r="F181" s="3" t="s">
        <v>14</v>
      </c>
      <c r="G181" s="6" t="s">
        <v>18</v>
      </c>
      <c r="H181" s="4"/>
      <c r="I181" s="5">
        <v>14297000</v>
      </c>
      <c r="J181" s="5">
        <v>17758000</v>
      </c>
      <c r="K181" s="5">
        <v>12168000</v>
      </c>
      <c r="L181" s="5">
        <v>15855000</v>
      </c>
    </row>
    <row r="182" spans="1:12" ht="54.75" customHeight="1">
      <c r="A182" s="2" t="s">
        <v>564</v>
      </c>
      <c r="B182" s="3" t="s">
        <v>565</v>
      </c>
      <c r="C182" s="3" t="s">
        <v>12</v>
      </c>
      <c r="D182" s="3" t="s">
        <v>566</v>
      </c>
      <c r="E182" s="3" t="s">
        <v>13</v>
      </c>
      <c r="F182" s="3" t="s">
        <v>14</v>
      </c>
      <c r="G182" s="6" t="s">
        <v>18</v>
      </c>
      <c r="H182" s="4"/>
      <c r="I182" s="5">
        <v>1003000</v>
      </c>
      <c r="J182" s="5"/>
      <c r="K182" s="5">
        <v>4000</v>
      </c>
      <c r="L182" s="5">
        <v>3000</v>
      </c>
    </row>
    <row r="183" spans="1:12" ht="28.5" customHeight="1">
      <c r="A183" s="2" t="s">
        <v>567</v>
      </c>
      <c r="B183" s="3" t="s">
        <v>568</v>
      </c>
      <c r="C183" s="3" t="s">
        <v>12</v>
      </c>
      <c r="D183" s="3" t="s">
        <v>569</v>
      </c>
      <c r="E183" s="3" t="s">
        <v>13</v>
      </c>
      <c r="F183" s="3" t="s">
        <v>25</v>
      </c>
      <c r="G183" s="6" t="s">
        <v>18</v>
      </c>
      <c r="H183" s="4"/>
      <c r="I183" s="5">
        <v>223000</v>
      </c>
      <c r="J183" s="5"/>
      <c r="K183" s="5">
        <v>77000</v>
      </c>
      <c r="L183" s="5">
        <v>173000</v>
      </c>
    </row>
    <row r="184" spans="1:12" ht="28.5" customHeight="1">
      <c r="A184" s="2" t="s">
        <v>570</v>
      </c>
      <c r="B184" s="3" t="s">
        <v>571</v>
      </c>
      <c r="C184" s="3" t="s">
        <v>12</v>
      </c>
      <c r="D184" s="3" t="s">
        <v>572</v>
      </c>
      <c r="E184" s="3" t="s">
        <v>13</v>
      </c>
      <c r="F184" s="3" t="s">
        <v>14</v>
      </c>
      <c r="G184" s="6" t="s">
        <v>18</v>
      </c>
      <c r="H184" s="4"/>
      <c r="I184" s="5"/>
      <c r="J184" s="5"/>
      <c r="K184" s="5"/>
      <c r="L184" s="5"/>
    </row>
    <row r="185" spans="1:12" ht="28.5" customHeight="1">
      <c r="A185" s="2" t="s">
        <v>573</v>
      </c>
      <c r="B185" s="3" t="s">
        <v>574</v>
      </c>
      <c r="C185" s="3" t="s">
        <v>12</v>
      </c>
      <c r="D185" s="3" t="s">
        <v>575</v>
      </c>
      <c r="E185" s="3" t="s">
        <v>13</v>
      </c>
      <c r="F185" s="3" t="s">
        <v>14</v>
      </c>
      <c r="G185" s="6" t="s">
        <v>22</v>
      </c>
      <c r="H185" s="4"/>
      <c r="I185" s="5">
        <v>69847000</v>
      </c>
      <c r="J185" s="5">
        <v>59130000</v>
      </c>
      <c r="K185" s="5">
        <v>66508000</v>
      </c>
      <c r="L185" s="5">
        <v>56894000</v>
      </c>
    </row>
    <row r="186" spans="1:12" ht="28.5" customHeight="1">
      <c r="A186" s="2" t="s">
        <v>576</v>
      </c>
      <c r="B186" s="3" t="s">
        <v>577</v>
      </c>
      <c r="C186" s="3" t="s">
        <v>12</v>
      </c>
      <c r="D186" s="3" t="s">
        <v>578</v>
      </c>
      <c r="E186" s="3" t="s">
        <v>13</v>
      </c>
      <c r="F186" s="3" t="s">
        <v>14</v>
      </c>
      <c r="G186" s="6" t="s">
        <v>18</v>
      </c>
      <c r="H186" s="4"/>
      <c r="I186" s="5">
        <v>56260000</v>
      </c>
      <c r="J186" s="5">
        <v>56251000</v>
      </c>
      <c r="K186" s="5">
        <v>56796000</v>
      </c>
      <c r="L186" s="5">
        <v>55047000</v>
      </c>
    </row>
    <row r="187" spans="1:12" ht="28.5" customHeight="1">
      <c r="A187" s="2" t="s">
        <v>579</v>
      </c>
      <c r="B187" s="3" t="s">
        <v>580</v>
      </c>
      <c r="C187" s="3" t="s">
        <v>12</v>
      </c>
      <c r="D187" s="3" t="s">
        <v>581</v>
      </c>
      <c r="E187" s="3" t="s">
        <v>13</v>
      </c>
      <c r="F187" s="3" t="s">
        <v>14</v>
      </c>
      <c r="G187" s="6" t="s">
        <v>18</v>
      </c>
      <c r="H187" s="4"/>
      <c r="I187" s="5"/>
      <c r="J187" s="5"/>
      <c r="K187" s="5"/>
      <c r="L187" s="5"/>
    </row>
    <row r="188" spans="1:12" ht="15.75" customHeight="1">
      <c r="A188" s="2" t="s">
        <v>582</v>
      </c>
      <c r="B188" s="3" t="s">
        <v>583</v>
      </c>
      <c r="C188" s="3" t="s">
        <v>12</v>
      </c>
      <c r="D188" s="3" t="s">
        <v>584</v>
      </c>
      <c r="E188" s="3" t="s">
        <v>13</v>
      </c>
      <c r="F188" s="3" t="s">
        <v>14</v>
      </c>
      <c r="G188" s="6" t="s">
        <v>18</v>
      </c>
      <c r="H188" s="4"/>
      <c r="I188" s="5"/>
      <c r="J188" s="5"/>
      <c r="K188" s="5"/>
      <c r="L188" s="5"/>
    </row>
    <row r="189" spans="1:12" ht="42" customHeight="1">
      <c r="A189" s="2" t="s">
        <v>585</v>
      </c>
      <c r="B189" s="3" t="s">
        <v>586</v>
      </c>
      <c r="C189" s="3" t="s">
        <v>12</v>
      </c>
      <c r="D189" s="3" t="s">
        <v>587</v>
      </c>
      <c r="E189" s="3" t="s">
        <v>13</v>
      </c>
      <c r="F189" s="3" t="s">
        <v>25</v>
      </c>
      <c r="G189" s="6" t="s">
        <v>18</v>
      </c>
      <c r="H189" s="4"/>
      <c r="I189" s="5">
        <v>399000</v>
      </c>
      <c r="J189" s="5"/>
      <c r="K189" s="5">
        <v>399000</v>
      </c>
      <c r="L189" s="5"/>
    </row>
    <row r="190" spans="1:12" ht="28.5" customHeight="1">
      <c r="A190" s="2" t="s">
        <v>588</v>
      </c>
      <c r="B190" s="3" t="s">
        <v>589</v>
      </c>
      <c r="C190" s="3" t="s">
        <v>12</v>
      </c>
      <c r="D190" s="3" t="s">
        <v>590</v>
      </c>
      <c r="E190" s="3" t="s">
        <v>13</v>
      </c>
      <c r="F190" s="3" t="s">
        <v>25</v>
      </c>
      <c r="G190" s="6" t="s">
        <v>22</v>
      </c>
      <c r="H190" s="4"/>
      <c r="I190" s="5">
        <v>57703000</v>
      </c>
      <c r="J190" s="5">
        <v>48178000</v>
      </c>
      <c r="K190" s="5">
        <v>45859000</v>
      </c>
      <c r="L190" s="5">
        <v>31752000</v>
      </c>
    </row>
    <row r="191" spans="1:12" ht="54.75" customHeight="1">
      <c r="A191" s="2" t="s">
        <v>591</v>
      </c>
      <c r="B191" s="3" t="s">
        <v>592</v>
      </c>
      <c r="C191" s="3" t="s">
        <v>12</v>
      </c>
      <c r="D191" s="3" t="s">
        <v>593</v>
      </c>
      <c r="E191" s="3" t="s">
        <v>13</v>
      </c>
      <c r="F191" s="3" t="s">
        <v>25</v>
      </c>
      <c r="G191" s="6" t="s">
        <v>18</v>
      </c>
      <c r="H191" s="4"/>
      <c r="I191" s="5">
        <v>17590000</v>
      </c>
      <c r="J191" s="5">
        <v>18855000</v>
      </c>
      <c r="K191" s="5">
        <v>17335000</v>
      </c>
      <c r="L191" s="5">
        <v>18359000</v>
      </c>
    </row>
    <row r="192" spans="1:12" ht="15.75" customHeight="1">
      <c r="A192" s="2" t="s">
        <v>594</v>
      </c>
      <c r="B192" s="3" t="s">
        <v>595</v>
      </c>
      <c r="C192" s="3" t="s">
        <v>12</v>
      </c>
      <c r="D192" s="3" t="s">
        <v>596</v>
      </c>
      <c r="E192" s="3" t="s">
        <v>13</v>
      </c>
      <c r="F192" s="3" t="s">
        <v>14</v>
      </c>
      <c r="G192" s="6" t="s">
        <v>18</v>
      </c>
      <c r="H192" s="4"/>
      <c r="I192" s="5">
        <v>270000</v>
      </c>
      <c r="J192" s="5"/>
      <c r="K192" s="5">
        <v>369000</v>
      </c>
      <c r="L192" s="5"/>
    </row>
    <row r="193" spans="1:12" ht="28.5" customHeight="1">
      <c r="A193" s="2" t="s">
        <v>597</v>
      </c>
      <c r="B193" s="3" t="s">
        <v>598</v>
      </c>
      <c r="C193" s="3" t="s">
        <v>12</v>
      </c>
      <c r="D193" s="3" t="s">
        <v>599</v>
      </c>
      <c r="E193" s="3" t="s">
        <v>13</v>
      </c>
      <c r="F193" s="3" t="s">
        <v>14</v>
      </c>
      <c r="G193" s="6" t="s">
        <v>22</v>
      </c>
      <c r="H193" s="4"/>
      <c r="I193" s="5">
        <v>26329000</v>
      </c>
      <c r="J193" s="5">
        <v>43171000</v>
      </c>
      <c r="K193" s="5">
        <v>27613000</v>
      </c>
      <c r="L193" s="5">
        <v>43005000</v>
      </c>
    </row>
    <row r="194" spans="1:12" ht="28.5" customHeight="1">
      <c r="A194" s="2" t="s">
        <v>600</v>
      </c>
      <c r="B194" s="3" t="s">
        <v>601</v>
      </c>
      <c r="C194" s="3" t="s">
        <v>12</v>
      </c>
      <c r="D194" s="3" t="s">
        <v>602</v>
      </c>
      <c r="E194" s="3" t="s">
        <v>13</v>
      </c>
      <c r="F194" s="3" t="s">
        <v>14</v>
      </c>
      <c r="G194" s="6" t="s">
        <v>22</v>
      </c>
      <c r="H194" s="4"/>
      <c r="I194" s="5">
        <v>1715385000</v>
      </c>
      <c r="J194" s="5">
        <v>932398000</v>
      </c>
      <c r="K194" s="5">
        <v>1575287000</v>
      </c>
      <c r="L194" s="5">
        <v>1046102000</v>
      </c>
    </row>
    <row r="195" spans="1:12" ht="28.5" customHeight="1">
      <c r="A195" s="2" t="s">
        <v>603</v>
      </c>
      <c r="B195" s="3" t="s">
        <v>604</v>
      </c>
      <c r="C195" s="3" t="s">
        <v>12</v>
      </c>
      <c r="D195" s="3" t="s">
        <v>605</v>
      </c>
      <c r="E195" s="3" t="s">
        <v>13</v>
      </c>
      <c r="F195" s="3" t="s">
        <v>14</v>
      </c>
      <c r="G195" s="6" t="s">
        <v>18</v>
      </c>
      <c r="H195" s="4"/>
      <c r="I195" s="5">
        <v>10684000</v>
      </c>
      <c r="J195" s="5">
        <v>5048000</v>
      </c>
      <c r="K195" s="5">
        <v>6249000</v>
      </c>
      <c r="L195" s="5">
        <v>8816000</v>
      </c>
    </row>
    <row r="196" spans="1:12" ht="15.75" customHeight="1">
      <c r="A196" s="2" t="s">
        <v>606</v>
      </c>
      <c r="B196" s="3" t="s">
        <v>607</v>
      </c>
      <c r="C196" s="3" t="s">
        <v>12</v>
      </c>
      <c r="D196" s="3" t="s">
        <v>608</v>
      </c>
      <c r="E196" s="3" t="s">
        <v>13</v>
      </c>
      <c r="F196" s="3" t="s">
        <v>14</v>
      </c>
      <c r="G196" s="6" t="s">
        <v>77</v>
      </c>
      <c r="H196" s="4"/>
      <c r="I196" s="5">
        <v>58018000</v>
      </c>
      <c r="J196" s="5">
        <v>57534000</v>
      </c>
      <c r="K196" s="5">
        <v>66715000</v>
      </c>
      <c r="L196" s="5">
        <v>72642000</v>
      </c>
    </row>
    <row r="197" spans="1:12" ht="28.5" customHeight="1">
      <c r="A197" s="2" t="s">
        <v>609</v>
      </c>
      <c r="B197" s="3" t="s">
        <v>610</v>
      </c>
      <c r="C197" s="3" t="s">
        <v>12</v>
      </c>
      <c r="D197" s="3" t="s">
        <v>611</v>
      </c>
      <c r="E197" s="3" t="s">
        <v>13</v>
      </c>
      <c r="F197" s="3" t="s">
        <v>14</v>
      </c>
      <c r="G197" s="6" t="s">
        <v>18</v>
      </c>
      <c r="H197" s="4"/>
      <c r="I197" s="5"/>
      <c r="J197" s="5">
        <v>14094000</v>
      </c>
      <c r="K197" s="5"/>
      <c r="L197" s="5">
        <v>7226000</v>
      </c>
    </row>
    <row r="198" spans="1:12" ht="15.75" customHeight="1">
      <c r="A198" s="2" t="s">
        <v>612</v>
      </c>
      <c r="B198" s="3" t="s">
        <v>613</v>
      </c>
      <c r="C198" s="3" t="s">
        <v>12</v>
      </c>
      <c r="D198" s="3" t="s">
        <v>614</v>
      </c>
      <c r="E198" s="3" t="s">
        <v>13</v>
      </c>
      <c r="F198" s="3" t="s">
        <v>14</v>
      </c>
      <c r="G198" s="6" t="s">
        <v>22</v>
      </c>
      <c r="H198" s="4"/>
      <c r="I198" s="5">
        <v>9423000</v>
      </c>
      <c r="J198" s="5">
        <v>14039000</v>
      </c>
      <c r="K198" s="5">
        <v>24519000</v>
      </c>
      <c r="L198" s="5">
        <v>21230000</v>
      </c>
    </row>
    <row r="199" spans="1:12" ht="54.75" customHeight="1">
      <c r="A199" s="2" t="s">
        <v>615</v>
      </c>
      <c r="B199" s="3" t="s">
        <v>616</v>
      </c>
      <c r="C199" s="3" t="s">
        <v>12</v>
      </c>
      <c r="D199" s="3" t="s">
        <v>617</v>
      </c>
      <c r="E199" s="3" t="s">
        <v>13</v>
      </c>
      <c r="F199" s="3" t="s">
        <v>14</v>
      </c>
      <c r="G199" s="6" t="s">
        <v>18</v>
      </c>
      <c r="H199" s="4"/>
      <c r="I199" s="5"/>
      <c r="J199" s="5">
        <v>7963000</v>
      </c>
      <c r="K199" s="5"/>
      <c r="L199" s="5">
        <v>6790000</v>
      </c>
    </row>
    <row r="200" spans="1:12" ht="28.5" customHeight="1">
      <c r="A200" s="2" t="s">
        <v>618</v>
      </c>
      <c r="B200" s="3" t="s">
        <v>619</v>
      </c>
      <c r="C200" s="3" t="s">
        <v>12</v>
      </c>
      <c r="D200" s="3" t="s">
        <v>620</v>
      </c>
      <c r="E200" s="3" t="s">
        <v>13</v>
      </c>
      <c r="F200" s="3" t="s">
        <v>14</v>
      </c>
      <c r="G200" s="6" t="s">
        <v>23</v>
      </c>
      <c r="H200" s="4"/>
      <c r="I200" s="5">
        <v>276376000</v>
      </c>
      <c r="J200" s="5">
        <v>325244000</v>
      </c>
      <c r="K200" s="5">
        <v>206676000</v>
      </c>
      <c r="L200" s="5">
        <v>304442000</v>
      </c>
    </row>
    <row r="201" spans="1:12" ht="28.5" customHeight="1">
      <c r="A201" s="2" t="s">
        <v>621</v>
      </c>
      <c r="B201" s="3" t="s">
        <v>622</v>
      </c>
      <c r="C201" s="3" t="s">
        <v>12</v>
      </c>
      <c r="D201" s="3" t="s">
        <v>623</v>
      </c>
      <c r="E201" s="3" t="s">
        <v>13</v>
      </c>
      <c r="F201" s="3" t="s">
        <v>14</v>
      </c>
      <c r="G201" s="6" t="s">
        <v>18</v>
      </c>
      <c r="H201" s="4"/>
      <c r="I201" s="5">
        <v>14725000</v>
      </c>
      <c r="J201" s="5">
        <v>28397000</v>
      </c>
      <c r="K201" s="5">
        <v>15975000</v>
      </c>
      <c r="L201" s="5">
        <v>25140000</v>
      </c>
    </row>
    <row r="202" spans="1:12" ht="28.5" customHeight="1">
      <c r="A202" s="2" t="s">
        <v>624</v>
      </c>
      <c r="B202" s="3" t="s">
        <v>625</v>
      </c>
      <c r="C202" s="3" t="s">
        <v>12</v>
      </c>
      <c r="D202" s="3" t="s">
        <v>626</v>
      </c>
      <c r="E202" s="3" t="s">
        <v>13</v>
      </c>
      <c r="F202" s="3" t="s">
        <v>14</v>
      </c>
      <c r="G202" s="6" t="s">
        <v>18</v>
      </c>
      <c r="H202" s="4"/>
      <c r="I202" s="5">
        <v>34057000</v>
      </c>
      <c r="J202" s="5">
        <v>37488000</v>
      </c>
      <c r="K202" s="5">
        <v>35935000</v>
      </c>
      <c r="L202" s="5">
        <v>28327000</v>
      </c>
    </row>
    <row r="203" spans="1:12" ht="15.75" customHeight="1">
      <c r="A203" s="2" t="s">
        <v>627</v>
      </c>
      <c r="B203" s="3" t="s">
        <v>628</v>
      </c>
      <c r="C203" s="3" t="s">
        <v>12</v>
      </c>
      <c r="D203" s="3" t="s">
        <v>629</v>
      </c>
      <c r="E203" s="3" t="s">
        <v>13</v>
      </c>
      <c r="F203" s="3" t="s">
        <v>25</v>
      </c>
      <c r="G203" s="6" t="s">
        <v>18</v>
      </c>
      <c r="H203" s="4"/>
      <c r="I203" s="5"/>
      <c r="J203" s="5">
        <v>820000</v>
      </c>
      <c r="K203" s="5"/>
      <c r="L203" s="5">
        <v>817000</v>
      </c>
    </row>
    <row r="204" spans="1:12" ht="15.75" customHeight="1">
      <c r="A204" s="2" t="s">
        <v>630</v>
      </c>
      <c r="B204" s="3" t="s">
        <v>631</v>
      </c>
      <c r="C204" s="3" t="s">
        <v>12</v>
      </c>
      <c r="D204" s="3" t="s">
        <v>632</v>
      </c>
      <c r="E204" s="3" t="s">
        <v>13</v>
      </c>
      <c r="F204" s="3" t="s">
        <v>14</v>
      </c>
      <c r="G204" s="6" t="s">
        <v>18</v>
      </c>
      <c r="H204" s="4"/>
      <c r="I204" s="5">
        <v>47830000</v>
      </c>
      <c r="J204" s="5">
        <v>65148000</v>
      </c>
      <c r="K204" s="5">
        <v>47613000</v>
      </c>
      <c r="L204" s="5">
        <v>64091000</v>
      </c>
    </row>
    <row r="205" spans="1:12" ht="28.5" customHeight="1">
      <c r="A205" s="2" t="s">
        <v>633</v>
      </c>
      <c r="B205" s="3" t="s">
        <v>634</v>
      </c>
      <c r="C205" s="3" t="s">
        <v>12</v>
      </c>
      <c r="D205" s="3" t="s">
        <v>635</v>
      </c>
      <c r="E205" s="3" t="s">
        <v>13</v>
      </c>
      <c r="F205" s="3" t="s">
        <v>14</v>
      </c>
      <c r="G205" s="6" t="s">
        <v>18</v>
      </c>
      <c r="H205" s="4"/>
      <c r="I205" s="5">
        <v>8811000</v>
      </c>
      <c r="J205" s="5">
        <v>4390000</v>
      </c>
      <c r="K205" s="5">
        <v>8811000</v>
      </c>
      <c r="L205" s="5">
        <v>4390000</v>
      </c>
    </row>
    <row r="206" spans="1:12" ht="42" customHeight="1">
      <c r="A206" s="2" t="s">
        <v>636</v>
      </c>
      <c r="B206" s="3" t="s">
        <v>637</v>
      </c>
      <c r="C206" s="3" t="s">
        <v>12</v>
      </c>
      <c r="D206" s="3" t="s">
        <v>638</v>
      </c>
      <c r="E206" s="3" t="s">
        <v>13</v>
      </c>
      <c r="F206" s="3" t="s">
        <v>25</v>
      </c>
      <c r="G206" s="6" t="s">
        <v>77</v>
      </c>
      <c r="H206" s="4"/>
      <c r="I206" s="5">
        <v>8000000</v>
      </c>
      <c r="J206" s="5">
        <v>18808000</v>
      </c>
      <c r="K206" s="5">
        <v>9086000</v>
      </c>
      <c r="L206" s="5">
        <v>10800000</v>
      </c>
    </row>
    <row r="207" spans="1:12" ht="28.5" customHeight="1">
      <c r="A207" s="2" t="s">
        <v>639</v>
      </c>
      <c r="B207" s="3" t="s">
        <v>640</v>
      </c>
      <c r="C207" s="3" t="s">
        <v>12</v>
      </c>
      <c r="D207" s="3" t="s">
        <v>641</v>
      </c>
      <c r="E207" s="3" t="s">
        <v>13</v>
      </c>
      <c r="F207" s="3" t="s">
        <v>14</v>
      </c>
      <c r="G207" s="6" t="s">
        <v>18</v>
      </c>
      <c r="H207" s="4"/>
      <c r="I207" s="5"/>
      <c r="J207" s="5"/>
      <c r="K207" s="5">
        <v>28000</v>
      </c>
      <c r="L207" s="5"/>
    </row>
    <row r="208" spans="1:12" ht="28.5" customHeight="1">
      <c r="A208" s="2" t="s">
        <v>642</v>
      </c>
      <c r="B208" s="3" t="s">
        <v>643</v>
      </c>
      <c r="C208" s="3" t="s">
        <v>12</v>
      </c>
      <c r="D208" s="3" t="s">
        <v>644</v>
      </c>
      <c r="E208" s="3" t="s">
        <v>13</v>
      </c>
      <c r="F208" s="3" t="s">
        <v>14</v>
      </c>
      <c r="G208" s="6" t="s">
        <v>18</v>
      </c>
      <c r="H208" s="4"/>
      <c r="I208" s="5">
        <v>1789000</v>
      </c>
      <c r="J208" s="5"/>
      <c r="K208" s="5">
        <v>1830000</v>
      </c>
      <c r="L208" s="5">
        <v>1141000</v>
      </c>
    </row>
    <row r="209" spans="1:12" ht="28.5" customHeight="1">
      <c r="A209" s="2" t="s">
        <v>645</v>
      </c>
      <c r="B209" s="3" t="s">
        <v>646</v>
      </c>
      <c r="C209" s="3" t="s">
        <v>12</v>
      </c>
      <c r="D209" s="3" t="s">
        <v>647</v>
      </c>
      <c r="E209" s="3" t="s">
        <v>13</v>
      </c>
      <c r="F209" s="3" t="s">
        <v>14</v>
      </c>
      <c r="G209" s="6" t="s">
        <v>18</v>
      </c>
      <c r="H209" s="4"/>
      <c r="I209" s="5">
        <v>6213000</v>
      </c>
      <c r="J209" s="5">
        <v>5827000</v>
      </c>
      <c r="K209" s="5">
        <v>6401000</v>
      </c>
      <c r="L209" s="5">
        <v>5804000</v>
      </c>
    </row>
    <row r="210" spans="1:12" ht="15.75" customHeight="1">
      <c r="A210" s="2" t="s">
        <v>648</v>
      </c>
      <c r="B210" s="3" t="s">
        <v>649</v>
      </c>
      <c r="C210" s="3" t="s">
        <v>12</v>
      </c>
      <c r="D210" s="3" t="s">
        <v>650</v>
      </c>
      <c r="E210" s="3" t="s">
        <v>13</v>
      </c>
      <c r="F210" s="3" t="s">
        <v>14</v>
      </c>
      <c r="G210" s="6" t="s">
        <v>22</v>
      </c>
      <c r="H210" s="4"/>
      <c r="I210" s="5">
        <v>22011000</v>
      </c>
      <c r="J210" s="5">
        <v>31631000</v>
      </c>
      <c r="K210" s="5">
        <v>24603000</v>
      </c>
      <c r="L210" s="5">
        <v>24315000</v>
      </c>
    </row>
    <row r="211" spans="1:12" ht="54.75" customHeight="1">
      <c r="A211" s="2" t="s">
        <v>651</v>
      </c>
      <c r="B211" s="3" t="s">
        <v>652</v>
      </c>
      <c r="C211" s="3" t="s">
        <v>12</v>
      </c>
      <c r="D211" s="3" t="s">
        <v>653</v>
      </c>
      <c r="E211" s="3" t="s">
        <v>13</v>
      </c>
      <c r="F211" s="3" t="s">
        <v>14</v>
      </c>
      <c r="G211" s="6" t="s">
        <v>77</v>
      </c>
      <c r="H211" s="4"/>
      <c r="I211" s="5">
        <v>472532000</v>
      </c>
      <c r="J211" s="5">
        <v>434554000</v>
      </c>
      <c r="K211" s="5">
        <v>327707000</v>
      </c>
      <c r="L211" s="5">
        <v>371671000</v>
      </c>
    </row>
    <row r="212" spans="1:12" ht="15.75" customHeight="1">
      <c r="A212" s="2" t="s">
        <v>654</v>
      </c>
      <c r="B212" s="3" t="s">
        <v>655</v>
      </c>
      <c r="C212" s="3" t="s">
        <v>12</v>
      </c>
      <c r="D212" s="3" t="s">
        <v>656</v>
      </c>
      <c r="E212" s="3" t="s">
        <v>13</v>
      </c>
      <c r="F212" s="3" t="s">
        <v>25</v>
      </c>
      <c r="G212" s="6" t="s">
        <v>18</v>
      </c>
      <c r="H212" s="4"/>
      <c r="I212" s="5"/>
      <c r="J212" s="5"/>
      <c r="K212" s="5"/>
      <c r="L212" s="5"/>
    </row>
    <row r="213" spans="1:12" ht="28.5" customHeight="1">
      <c r="A213" s="2" t="s">
        <v>657</v>
      </c>
      <c r="B213" s="3" t="s">
        <v>658</v>
      </c>
      <c r="C213" s="3" t="s">
        <v>12</v>
      </c>
      <c r="D213" s="3" t="s">
        <v>659</v>
      </c>
      <c r="E213" s="3" t="s">
        <v>13</v>
      </c>
      <c r="F213" s="3" t="s">
        <v>14</v>
      </c>
      <c r="G213" s="6" t="s">
        <v>18</v>
      </c>
      <c r="H213" s="4"/>
      <c r="I213" s="5">
        <v>943731000</v>
      </c>
      <c r="J213" s="5">
        <v>854792000</v>
      </c>
      <c r="K213" s="5">
        <v>1321992000</v>
      </c>
      <c r="L213" s="5">
        <v>640661000</v>
      </c>
    </row>
    <row r="214" spans="1:12" ht="42" customHeight="1">
      <c r="A214" s="2" t="s">
        <v>660</v>
      </c>
      <c r="B214" s="3" t="s">
        <v>661</v>
      </c>
      <c r="C214" s="3" t="s">
        <v>12</v>
      </c>
      <c r="D214" s="3" t="s">
        <v>662</v>
      </c>
      <c r="E214" s="3" t="s">
        <v>13</v>
      </c>
      <c r="F214" s="3" t="s">
        <v>14</v>
      </c>
      <c r="G214" s="6" t="s">
        <v>18</v>
      </c>
      <c r="H214" s="4"/>
      <c r="I214" s="5">
        <v>2994000</v>
      </c>
      <c r="J214" s="5">
        <v>2749000</v>
      </c>
      <c r="K214" s="5">
        <v>3055000</v>
      </c>
      <c r="L214" s="5">
        <v>2774000</v>
      </c>
    </row>
    <row r="215" spans="1:12" ht="15.75" customHeight="1">
      <c r="A215" s="2" t="s">
        <v>663</v>
      </c>
      <c r="B215" s="3" t="s">
        <v>664</v>
      </c>
      <c r="C215" s="3" t="s">
        <v>12</v>
      </c>
      <c r="D215" s="3" t="s">
        <v>665</v>
      </c>
      <c r="E215" s="3" t="s">
        <v>13</v>
      </c>
      <c r="F215" s="3" t="s">
        <v>14</v>
      </c>
      <c r="G215" s="6" t="s">
        <v>18</v>
      </c>
      <c r="H215" s="4"/>
      <c r="I215" s="5"/>
      <c r="J215" s="5"/>
      <c r="K215" s="5"/>
      <c r="L215" s="5"/>
    </row>
    <row r="216" spans="1:12" ht="28.5" customHeight="1">
      <c r="A216" s="2" t="s">
        <v>666</v>
      </c>
      <c r="B216" s="3" t="s">
        <v>667</v>
      </c>
      <c r="C216" s="3" t="s">
        <v>12</v>
      </c>
      <c r="D216" s="3" t="s">
        <v>668</v>
      </c>
      <c r="E216" s="3" t="s">
        <v>13</v>
      </c>
      <c r="F216" s="3" t="s">
        <v>14</v>
      </c>
      <c r="G216" s="6" t="s">
        <v>22</v>
      </c>
      <c r="H216" s="4"/>
      <c r="I216" s="5">
        <v>5941000</v>
      </c>
      <c r="J216" s="5">
        <v>11940000</v>
      </c>
      <c r="K216" s="5">
        <v>7125000</v>
      </c>
      <c r="L216" s="5">
        <v>11610000</v>
      </c>
    </row>
    <row r="217" spans="1:12" ht="28.5" customHeight="1">
      <c r="A217" s="2" t="s">
        <v>669</v>
      </c>
      <c r="B217" s="3" t="s">
        <v>670</v>
      </c>
      <c r="C217" s="3" t="s">
        <v>12</v>
      </c>
      <c r="D217" s="3" t="s">
        <v>671</v>
      </c>
      <c r="E217" s="3" t="s">
        <v>13</v>
      </c>
      <c r="F217" s="3" t="s">
        <v>14</v>
      </c>
      <c r="G217" s="6" t="s">
        <v>18</v>
      </c>
      <c r="H217" s="4"/>
      <c r="I217" s="5"/>
      <c r="J217" s="5"/>
      <c r="K217" s="5"/>
      <c r="L217" s="5"/>
    </row>
    <row r="218" spans="1:12" ht="42" customHeight="1">
      <c r="A218" s="2" t="s">
        <v>672</v>
      </c>
      <c r="B218" s="3" t="s">
        <v>673</v>
      </c>
      <c r="C218" s="3" t="s">
        <v>12</v>
      </c>
      <c r="D218" s="3" t="s">
        <v>674</v>
      </c>
      <c r="E218" s="3" t="s">
        <v>13</v>
      </c>
      <c r="F218" s="3" t="s">
        <v>14</v>
      </c>
      <c r="G218" s="6" t="s">
        <v>18</v>
      </c>
      <c r="H218" s="4"/>
      <c r="I218" s="5">
        <v>66296000</v>
      </c>
      <c r="J218" s="5">
        <v>79218000</v>
      </c>
      <c r="K218" s="5">
        <v>66411000</v>
      </c>
      <c r="L218" s="5">
        <v>79235000</v>
      </c>
    </row>
    <row r="219" spans="1:12" ht="15.75" customHeight="1">
      <c r="A219" s="2" t="s">
        <v>675</v>
      </c>
      <c r="B219" s="3" t="s">
        <v>676</v>
      </c>
      <c r="C219" s="3" t="s">
        <v>12</v>
      </c>
      <c r="D219" s="3" t="s">
        <v>677</v>
      </c>
      <c r="E219" s="3" t="s">
        <v>13</v>
      </c>
      <c r="F219" s="3" t="s">
        <v>14</v>
      </c>
      <c r="G219" s="6" t="s">
        <v>18</v>
      </c>
      <c r="H219" s="4"/>
      <c r="I219" s="5">
        <v>200000</v>
      </c>
      <c r="J219" s="5">
        <v>821000</v>
      </c>
      <c r="K219" s="5">
        <v>102000</v>
      </c>
      <c r="L219" s="5">
        <v>834000</v>
      </c>
    </row>
    <row r="220" spans="1:12" ht="28.5" customHeight="1">
      <c r="A220" s="2" t="s">
        <v>678</v>
      </c>
      <c r="B220" s="3" t="s">
        <v>679</v>
      </c>
      <c r="C220" s="3" t="s">
        <v>12</v>
      </c>
      <c r="D220" s="3" t="s">
        <v>680</v>
      </c>
      <c r="E220" s="3" t="s">
        <v>13</v>
      </c>
      <c r="F220" s="3" t="s">
        <v>25</v>
      </c>
      <c r="G220" s="6" t="s">
        <v>77</v>
      </c>
      <c r="H220" s="4"/>
      <c r="I220" s="5">
        <v>31137000</v>
      </c>
      <c r="J220" s="5">
        <v>16874000</v>
      </c>
      <c r="K220" s="5">
        <v>34392000</v>
      </c>
      <c r="L220" s="5">
        <v>17028000</v>
      </c>
    </row>
    <row r="221" spans="1:12" ht="15.75" customHeight="1">
      <c r="A221" s="2" t="s">
        <v>681</v>
      </c>
      <c r="B221" s="3" t="s">
        <v>682</v>
      </c>
      <c r="C221" s="3" t="s">
        <v>12</v>
      </c>
      <c r="D221" s="3" t="s">
        <v>683</v>
      </c>
      <c r="E221" s="3" t="s">
        <v>13</v>
      </c>
      <c r="F221" s="3" t="s">
        <v>14</v>
      </c>
      <c r="G221" s="6" t="s">
        <v>18</v>
      </c>
      <c r="H221" s="4"/>
      <c r="I221" s="5"/>
      <c r="J221" s="5"/>
      <c r="K221" s="5"/>
      <c r="L221" s="5"/>
    </row>
    <row r="222" spans="1:12" ht="28.5" customHeight="1">
      <c r="A222" s="2" t="s">
        <v>684</v>
      </c>
      <c r="B222" s="3" t="s">
        <v>685</v>
      </c>
      <c r="C222" s="3" t="s">
        <v>12</v>
      </c>
      <c r="D222" s="3" t="s">
        <v>686</v>
      </c>
      <c r="E222" s="3" t="s">
        <v>13</v>
      </c>
      <c r="F222" s="3" t="s">
        <v>14</v>
      </c>
      <c r="G222" s="6" t="s">
        <v>18</v>
      </c>
      <c r="H222" s="4"/>
      <c r="I222" s="5">
        <v>11411000</v>
      </c>
      <c r="J222" s="5">
        <v>32698000</v>
      </c>
      <c r="K222" s="5">
        <v>52668000</v>
      </c>
      <c r="L222" s="5">
        <v>29442000</v>
      </c>
    </row>
    <row r="223" spans="1:12" ht="28.5" customHeight="1">
      <c r="A223" s="2" t="s">
        <v>687</v>
      </c>
      <c r="B223" s="3" t="s">
        <v>688</v>
      </c>
      <c r="C223" s="3" t="s">
        <v>12</v>
      </c>
      <c r="D223" s="3" t="s">
        <v>689</v>
      </c>
      <c r="E223" s="3" t="s">
        <v>13</v>
      </c>
      <c r="F223" s="3" t="s">
        <v>14</v>
      </c>
      <c r="G223" s="6" t="s">
        <v>18</v>
      </c>
      <c r="H223" s="4"/>
      <c r="I223" s="5"/>
      <c r="J223" s="5"/>
      <c r="K223" s="5"/>
      <c r="L223" s="5"/>
    </row>
    <row r="224" spans="1:12" ht="15.75" customHeight="1">
      <c r="A224" s="2" t="s">
        <v>690</v>
      </c>
      <c r="B224" s="3" t="s">
        <v>691</v>
      </c>
      <c r="C224" s="3" t="s">
        <v>12</v>
      </c>
      <c r="D224" s="3" t="s">
        <v>692</v>
      </c>
      <c r="E224" s="3" t="s">
        <v>13</v>
      </c>
      <c r="F224" s="3" t="s">
        <v>24</v>
      </c>
      <c r="G224" s="6" t="s">
        <v>18</v>
      </c>
      <c r="H224" s="4"/>
      <c r="I224" s="5"/>
      <c r="J224" s="5"/>
      <c r="K224" s="5"/>
      <c r="L224" s="5"/>
    </row>
    <row r="225" spans="1:12" ht="15.75" customHeight="1">
      <c r="A225" s="2" t="s">
        <v>693</v>
      </c>
      <c r="B225" s="3" t="s">
        <v>694</v>
      </c>
      <c r="C225" s="3" t="s">
        <v>12</v>
      </c>
      <c r="D225" s="3" t="s">
        <v>695</v>
      </c>
      <c r="E225" s="3" t="s">
        <v>13</v>
      </c>
      <c r="F225" s="3" t="s">
        <v>14</v>
      </c>
      <c r="G225" s="6" t="s">
        <v>18</v>
      </c>
      <c r="H225" s="4"/>
      <c r="I225" s="5">
        <v>15843000</v>
      </c>
      <c r="J225" s="5">
        <v>13130000</v>
      </c>
      <c r="K225" s="5">
        <v>15441000</v>
      </c>
      <c r="L225" s="5">
        <v>12781000</v>
      </c>
    </row>
    <row r="226" spans="1:12" ht="54.75" customHeight="1">
      <c r="A226" s="2" t="s">
        <v>696</v>
      </c>
      <c r="B226" s="3" t="s">
        <v>697</v>
      </c>
      <c r="C226" s="3" t="s">
        <v>12</v>
      </c>
      <c r="D226" s="3" t="s">
        <v>698</v>
      </c>
      <c r="E226" s="3" t="s">
        <v>13</v>
      </c>
      <c r="F226" s="3" t="s">
        <v>14</v>
      </c>
      <c r="G226" s="6" t="s">
        <v>18</v>
      </c>
      <c r="H226" s="4"/>
      <c r="I226" s="5">
        <v>724000</v>
      </c>
      <c r="J226" s="5">
        <v>658000</v>
      </c>
      <c r="K226" s="5">
        <v>446000</v>
      </c>
      <c r="L226" s="5">
        <v>424000</v>
      </c>
    </row>
    <row r="227" spans="1:12" ht="15.75" customHeight="1">
      <c r="A227" s="2" t="s">
        <v>699</v>
      </c>
      <c r="B227" s="3" t="s">
        <v>700</v>
      </c>
      <c r="C227" s="3" t="s">
        <v>12</v>
      </c>
      <c r="D227" s="3" t="s">
        <v>701</v>
      </c>
      <c r="E227" s="3" t="s">
        <v>13</v>
      </c>
      <c r="F227" s="3" t="s">
        <v>14</v>
      </c>
      <c r="G227" s="6" t="s">
        <v>18</v>
      </c>
      <c r="H227" s="4"/>
      <c r="I227" s="5"/>
      <c r="J227" s="5">
        <v>2798000</v>
      </c>
      <c r="K227" s="5"/>
      <c r="L227" s="5">
        <v>2625000</v>
      </c>
    </row>
    <row r="228" spans="1:12" ht="15.75" customHeight="1">
      <c r="A228" s="2" t="s">
        <v>702</v>
      </c>
      <c r="B228" s="3" t="s">
        <v>703</v>
      </c>
      <c r="C228" s="3" t="s">
        <v>12</v>
      </c>
      <c r="D228" s="3" t="s">
        <v>704</v>
      </c>
      <c r="E228" s="3" t="s">
        <v>13</v>
      </c>
      <c r="F228" s="3" t="s">
        <v>25</v>
      </c>
      <c r="G228" s="6" t="s">
        <v>18</v>
      </c>
      <c r="H228" s="4"/>
      <c r="I228" s="5"/>
      <c r="J228" s="5"/>
      <c r="K228" s="5"/>
      <c r="L228" s="5"/>
    </row>
    <row r="229" spans="1:12" ht="28.5" customHeight="1">
      <c r="A229" s="2" t="s">
        <v>705</v>
      </c>
      <c r="B229" s="3" t="s">
        <v>706</v>
      </c>
      <c r="C229" s="3" t="s">
        <v>12</v>
      </c>
      <c r="D229" s="3" t="s">
        <v>707</v>
      </c>
      <c r="E229" s="3" t="s">
        <v>13</v>
      </c>
      <c r="F229" s="3" t="s">
        <v>14</v>
      </c>
      <c r="G229" s="6" t="s">
        <v>18</v>
      </c>
      <c r="H229" s="4"/>
      <c r="I229" s="5">
        <v>2414000</v>
      </c>
      <c r="J229" s="5">
        <v>2592000</v>
      </c>
      <c r="K229" s="5">
        <v>2215000</v>
      </c>
      <c r="L229" s="5">
        <v>2937000</v>
      </c>
    </row>
    <row r="230" spans="1:12" ht="28.5" customHeight="1">
      <c r="A230" s="2" t="s">
        <v>708</v>
      </c>
      <c r="B230" s="3" t="s">
        <v>709</v>
      </c>
      <c r="C230" s="3" t="s">
        <v>12</v>
      </c>
      <c r="D230" s="3" t="s">
        <v>710</v>
      </c>
      <c r="E230" s="3" t="s">
        <v>13</v>
      </c>
      <c r="F230" s="3" t="s">
        <v>14</v>
      </c>
      <c r="G230" s="6" t="s">
        <v>18</v>
      </c>
      <c r="H230" s="4"/>
      <c r="I230" s="5">
        <v>41000</v>
      </c>
      <c r="J230" s="5">
        <v>820000</v>
      </c>
      <c r="K230" s="5">
        <v>243691000</v>
      </c>
      <c r="L230" s="5">
        <v>36813000</v>
      </c>
    </row>
    <row r="231" spans="1:12" ht="15.75" customHeight="1">
      <c r="A231" s="2" t="s">
        <v>711</v>
      </c>
      <c r="B231" s="3" t="s">
        <v>712</v>
      </c>
      <c r="C231" s="3" t="s">
        <v>12</v>
      </c>
      <c r="D231" s="3" t="s">
        <v>713</v>
      </c>
      <c r="E231" s="3" t="s">
        <v>13</v>
      </c>
      <c r="F231" s="3" t="s">
        <v>14</v>
      </c>
      <c r="G231" s="6" t="s">
        <v>18</v>
      </c>
      <c r="H231" s="4"/>
      <c r="I231" s="5">
        <v>18928000</v>
      </c>
      <c r="J231" s="5">
        <v>37055000</v>
      </c>
      <c r="K231" s="5">
        <v>6537000</v>
      </c>
      <c r="L231" s="5">
        <v>6806000</v>
      </c>
    </row>
    <row r="232" spans="1:12" ht="28.5" customHeight="1">
      <c r="A232" s="2" t="s">
        <v>714</v>
      </c>
      <c r="B232" s="3" t="s">
        <v>715</v>
      </c>
      <c r="C232" s="3" t="s">
        <v>12</v>
      </c>
      <c r="D232" s="3" t="s">
        <v>716</v>
      </c>
      <c r="E232" s="3" t="s">
        <v>13</v>
      </c>
      <c r="F232" s="3" t="s">
        <v>14</v>
      </c>
      <c r="G232" s="6" t="s">
        <v>18</v>
      </c>
      <c r="H232" s="4"/>
      <c r="I232" s="5"/>
      <c r="J232" s="5"/>
      <c r="K232" s="5">
        <v>14000</v>
      </c>
      <c r="L232" s="5">
        <v>3000</v>
      </c>
    </row>
    <row r="233" spans="1:12" ht="15.75" customHeight="1">
      <c r="A233" s="2" t="s">
        <v>717</v>
      </c>
      <c r="B233" s="3" t="s">
        <v>718</v>
      </c>
      <c r="C233" s="3" t="s">
        <v>12</v>
      </c>
      <c r="D233" s="3" t="s">
        <v>719</v>
      </c>
      <c r="E233" s="3" t="s">
        <v>13</v>
      </c>
      <c r="F233" s="3" t="s">
        <v>14</v>
      </c>
      <c r="G233" s="6" t="s">
        <v>18</v>
      </c>
      <c r="H233" s="4"/>
      <c r="I233" s="5"/>
      <c r="J233" s="5"/>
      <c r="K233" s="5"/>
      <c r="L233" s="5"/>
    </row>
    <row r="234" spans="1:12" ht="28.5" customHeight="1">
      <c r="A234" s="2" t="s">
        <v>720</v>
      </c>
      <c r="B234" s="3" t="s">
        <v>721</v>
      </c>
      <c r="C234" s="3" t="s">
        <v>12</v>
      </c>
      <c r="D234" s="3" t="s">
        <v>722</v>
      </c>
      <c r="E234" s="3" t="s">
        <v>13</v>
      </c>
      <c r="F234" s="3" t="s">
        <v>14</v>
      </c>
      <c r="G234" s="6" t="s">
        <v>18</v>
      </c>
      <c r="H234" s="4"/>
      <c r="I234" s="5">
        <v>10266000</v>
      </c>
      <c r="J234" s="5">
        <v>20971000</v>
      </c>
      <c r="K234" s="5">
        <v>10331000</v>
      </c>
      <c r="L234" s="5">
        <v>18830000</v>
      </c>
    </row>
    <row r="235" spans="1:12" ht="67.5" customHeight="1">
      <c r="A235" s="2" t="s">
        <v>723</v>
      </c>
      <c r="B235" s="3" t="s">
        <v>724</v>
      </c>
      <c r="C235" s="3" t="s">
        <v>12</v>
      </c>
      <c r="D235" s="3" t="s">
        <v>725</v>
      </c>
      <c r="E235" s="3" t="s">
        <v>13</v>
      </c>
      <c r="F235" s="3" t="s">
        <v>25</v>
      </c>
      <c r="G235" s="6" t="s">
        <v>18</v>
      </c>
      <c r="H235" s="4"/>
      <c r="I235" s="5"/>
      <c r="J235" s="5"/>
      <c r="K235" s="5"/>
      <c r="L235" s="5"/>
    </row>
    <row r="236" spans="1:12" ht="28.5" customHeight="1">
      <c r="A236" s="2" t="s">
        <v>726</v>
      </c>
      <c r="B236" s="3" t="s">
        <v>727</v>
      </c>
      <c r="C236" s="3" t="s">
        <v>12</v>
      </c>
      <c r="D236" s="3" t="s">
        <v>728</v>
      </c>
      <c r="E236" s="3" t="s">
        <v>13</v>
      </c>
      <c r="F236" s="3" t="s">
        <v>14</v>
      </c>
      <c r="G236" s="6" t="s">
        <v>18</v>
      </c>
      <c r="H236" s="4"/>
      <c r="I236" s="5">
        <v>7260000</v>
      </c>
      <c r="J236" s="5">
        <v>6762000</v>
      </c>
      <c r="K236" s="5">
        <v>7079000</v>
      </c>
      <c r="L236" s="5">
        <v>10004000</v>
      </c>
    </row>
    <row r="237" spans="1:12" ht="15.75" customHeight="1">
      <c r="A237" s="2" t="s">
        <v>729</v>
      </c>
      <c r="B237" s="3" t="s">
        <v>730</v>
      </c>
      <c r="C237" s="3" t="s">
        <v>12</v>
      </c>
      <c r="D237" s="3" t="s">
        <v>731</v>
      </c>
      <c r="E237" s="3" t="s">
        <v>13</v>
      </c>
      <c r="F237" s="3" t="s">
        <v>14</v>
      </c>
      <c r="G237" s="6" t="s">
        <v>18</v>
      </c>
      <c r="H237" s="4"/>
      <c r="I237" s="5">
        <v>41760000</v>
      </c>
      <c r="J237" s="5">
        <v>750741000</v>
      </c>
      <c r="K237" s="5">
        <v>41373000</v>
      </c>
      <c r="L237" s="5">
        <v>725307000</v>
      </c>
    </row>
    <row r="238" spans="1:12" ht="28.5" customHeight="1">
      <c r="A238" s="2" t="s">
        <v>732</v>
      </c>
      <c r="B238" s="3" t="s">
        <v>733</v>
      </c>
      <c r="C238" s="3" t="s">
        <v>12</v>
      </c>
      <c r="D238" s="3" t="s">
        <v>734</v>
      </c>
      <c r="E238" s="3" t="s">
        <v>13</v>
      </c>
      <c r="F238" s="3" t="s">
        <v>14</v>
      </c>
      <c r="G238" s="6" t="s">
        <v>18</v>
      </c>
      <c r="H238" s="4"/>
      <c r="I238" s="5">
        <v>2416000</v>
      </c>
      <c r="J238" s="5">
        <v>3939000</v>
      </c>
      <c r="K238" s="5">
        <v>2804000</v>
      </c>
      <c r="L238" s="5">
        <v>3771000</v>
      </c>
    </row>
    <row r="239" spans="1:12" ht="28.5" customHeight="1">
      <c r="A239" s="2" t="s">
        <v>735</v>
      </c>
      <c r="B239" s="3" t="s">
        <v>736</v>
      </c>
      <c r="C239" s="3" t="s">
        <v>12</v>
      </c>
      <c r="D239" s="3" t="s">
        <v>737</v>
      </c>
      <c r="E239" s="3" t="s">
        <v>13</v>
      </c>
      <c r="F239" s="3" t="s">
        <v>14</v>
      </c>
      <c r="G239" s="6" t="s">
        <v>18</v>
      </c>
      <c r="H239" s="4"/>
      <c r="I239" s="5">
        <v>1931000</v>
      </c>
      <c r="J239" s="5">
        <v>1800000</v>
      </c>
      <c r="K239" s="5">
        <v>1231000</v>
      </c>
      <c r="L239" s="5">
        <v>1920000</v>
      </c>
    </row>
    <row r="240" spans="1:12" ht="15.75" customHeight="1">
      <c r="A240" s="2" t="s">
        <v>738</v>
      </c>
      <c r="B240" s="3" t="s">
        <v>739</v>
      </c>
      <c r="C240" s="3" t="s">
        <v>12</v>
      </c>
      <c r="D240" s="3" t="s">
        <v>740</v>
      </c>
      <c r="E240" s="3" t="s">
        <v>13</v>
      </c>
      <c r="F240" s="3" t="s">
        <v>14</v>
      </c>
      <c r="G240" s="6" t="s">
        <v>18</v>
      </c>
      <c r="H240" s="4"/>
      <c r="I240" s="5">
        <v>3120000</v>
      </c>
      <c r="J240" s="5">
        <v>12452000</v>
      </c>
      <c r="K240" s="5">
        <v>2236000</v>
      </c>
      <c r="L240" s="5">
        <v>8343000</v>
      </c>
    </row>
    <row r="241" spans="1:12" ht="15.75" customHeight="1">
      <c r="A241" s="2" t="s">
        <v>741</v>
      </c>
      <c r="B241" s="3" t="s">
        <v>742</v>
      </c>
      <c r="C241" s="3" t="s">
        <v>12</v>
      </c>
      <c r="D241" s="3" t="s">
        <v>743</v>
      </c>
      <c r="E241" s="3" t="s">
        <v>13</v>
      </c>
      <c r="F241" s="3" t="s">
        <v>14</v>
      </c>
      <c r="G241" s="6" t="s">
        <v>18</v>
      </c>
      <c r="H241" s="4"/>
      <c r="I241" s="5"/>
      <c r="J241" s="5">
        <v>11992000</v>
      </c>
      <c r="K241" s="5"/>
      <c r="L241" s="5">
        <v>16944000</v>
      </c>
    </row>
    <row r="242" spans="1:12" ht="28.5" customHeight="1">
      <c r="A242" s="2" t="s">
        <v>744</v>
      </c>
      <c r="B242" s="3" t="s">
        <v>745</v>
      </c>
      <c r="C242" s="3" t="s">
        <v>12</v>
      </c>
      <c r="D242" s="3" t="s">
        <v>746</v>
      </c>
      <c r="E242" s="3" t="s">
        <v>13</v>
      </c>
      <c r="F242" s="3" t="s">
        <v>14</v>
      </c>
      <c r="G242" s="6" t="s">
        <v>18</v>
      </c>
      <c r="H242" s="4"/>
      <c r="I242" s="5">
        <v>15173000</v>
      </c>
      <c r="J242" s="5">
        <v>17321000</v>
      </c>
      <c r="K242" s="5">
        <v>13469000</v>
      </c>
      <c r="L242" s="5">
        <v>15019000</v>
      </c>
    </row>
    <row r="243" spans="1:12" ht="42" customHeight="1">
      <c r="A243" s="2" t="s">
        <v>747</v>
      </c>
      <c r="B243" s="3" t="s">
        <v>748</v>
      </c>
      <c r="C243" s="3" t="s">
        <v>12</v>
      </c>
      <c r="D243" s="3" t="s">
        <v>749</v>
      </c>
      <c r="E243" s="3" t="s">
        <v>13</v>
      </c>
      <c r="F243" s="3" t="s">
        <v>25</v>
      </c>
      <c r="G243" s="6" t="s">
        <v>18</v>
      </c>
      <c r="H243" s="4"/>
      <c r="I243" s="5">
        <v>2234000</v>
      </c>
      <c r="J243" s="5">
        <v>1888000</v>
      </c>
      <c r="K243" s="5">
        <v>2240000</v>
      </c>
      <c r="L243" s="5">
        <v>1892000</v>
      </c>
    </row>
    <row r="244" spans="1:12" ht="54.75" customHeight="1">
      <c r="A244" s="2" t="s">
        <v>750</v>
      </c>
      <c r="B244" s="3" t="s">
        <v>751</v>
      </c>
      <c r="C244" s="3" t="s">
        <v>12</v>
      </c>
      <c r="D244" s="3" t="s">
        <v>752</v>
      </c>
      <c r="E244" s="3" t="s">
        <v>13</v>
      </c>
      <c r="F244" s="3" t="s">
        <v>14</v>
      </c>
      <c r="G244" s="6" t="s">
        <v>18</v>
      </c>
      <c r="H244" s="4"/>
      <c r="I244" s="5"/>
      <c r="J244" s="5"/>
      <c r="K244" s="5"/>
      <c r="L244" s="5"/>
    </row>
    <row r="245" spans="1:12" ht="15.75" customHeight="1">
      <c r="A245" s="2" t="s">
        <v>753</v>
      </c>
      <c r="B245" s="3" t="s">
        <v>754</v>
      </c>
      <c r="C245" s="3" t="s">
        <v>12</v>
      </c>
      <c r="D245" s="3" t="s">
        <v>755</v>
      </c>
      <c r="E245" s="3" t="s">
        <v>13</v>
      </c>
      <c r="F245" s="3" t="s">
        <v>25</v>
      </c>
      <c r="G245" s="6" t="s">
        <v>18</v>
      </c>
      <c r="H245" s="4"/>
      <c r="I245" s="5">
        <v>14367000</v>
      </c>
      <c r="J245" s="5">
        <v>31833000</v>
      </c>
      <c r="K245" s="5">
        <v>35417000</v>
      </c>
      <c r="L245" s="5">
        <v>35703000</v>
      </c>
    </row>
    <row r="246" spans="1:12" ht="28.5" customHeight="1">
      <c r="A246" s="2" t="s">
        <v>756</v>
      </c>
      <c r="B246" s="3" t="s">
        <v>757</v>
      </c>
      <c r="C246" s="3" t="s">
        <v>12</v>
      </c>
      <c r="D246" s="3" t="s">
        <v>758</v>
      </c>
      <c r="E246" s="3" t="s">
        <v>13</v>
      </c>
      <c r="F246" s="3" t="s">
        <v>14</v>
      </c>
      <c r="G246" s="6" t="s">
        <v>18</v>
      </c>
      <c r="H246" s="4"/>
      <c r="I246" s="5">
        <v>8479000</v>
      </c>
      <c r="J246" s="5">
        <v>5653000</v>
      </c>
      <c r="K246" s="5">
        <v>9593000</v>
      </c>
      <c r="L246" s="5">
        <v>5448000</v>
      </c>
    </row>
    <row r="247" spans="1:12" ht="15.75" customHeight="1">
      <c r="A247" s="2" t="s">
        <v>759</v>
      </c>
      <c r="B247" s="3" t="s">
        <v>760</v>
      </c>
      <c r="C247" s="3" t="s">
        <v>12</v>
      </c>
      <c r="D247" s="3" t="s">
        <v>761</v>
      </c>
      <c r="E247" s="3" t="s">
        <v>13</v>
      </c>
      <c r="F247" s="3" t="s">
        <v>25</v>
      </c>
      <c r="G247" s="6" t="s">
        <v>22</v>
      </c>
      <c r="H247" s="4"/>
      <c r="I247" s="5">
        <v>258333000</v>
      </c>
      <c r="J247" s="5">
        <v>63651000</v>
      </c>
      <c r="K247" s="5">
        <v>27443000</v>
      </c>
      <c r="L247" s="5">
        <v>55643000</v>
      </c>
    </row>
    <row r="248" spans="1:12" ht="28.5" customHeight="1">
      <c r="A248" s="2" t="s">
        <v>762</v>
      </c>
      <c r="B248" s="3" t="s">
        <v>763</v>
      </c>
      <c r="C248" s="3" t="s">
        <v>12</v>
      </c>
      <c r="D248" s="3" t="s">
        <v>764</v>
      </c>
      <c r="E248" s="3" t="s">
        <v>13</v>
      </c>
      <c r="F248" s="3" t="s">
        <v>25</v>
      </c>
      <c r="G248" s="6" t="s">
        <v>18</v>
      </c>
      <c r="H248" s="4"/>
      <c r="I248" s="5">
        <v>24910000</v>
      </c>
      <c r="J248" s="5">
        <v>27200000</v>
      </c>
      <c r="K248" s="5">
        <v>21239000</v>
      </c>
      <c r="L248" s="5">
        <v>23313000</v>
      </c>
    </row>
    <row r="249" spans="1:12" ht="28.5" customHeight="1">
      <c r="A249" s="2" t="s">
        <v>765</v>
      </c>
      <c r="B249" s="3" t="s">
        <v>766</v>
      </c>
      <c r="C249" s="3" t="s">
        <v>12</v>
      </c>
      <c r="D249" s="3" t="s">
        <v>767</v>
      </c>
      <c r="E249" s="3" t="s">
        <v>13</v>
      </c>
      <c r="F249" s="3" t="s">
        <v>25</v>
      </c>
      <c r="G249" s="6" t="s">
        <v>18</v>
      </c>
      <c r="H249" s="4"/>
      <c r="I249" s="5">
        <v>3550000</v>
      </c>
      <c r="J249" s="5">
        <v>4060000</v>
      </c>
      <c r="K249" s="5">
        <v>3548000</v>
      </c>
      <c r="L249" s="5">
        <v>4020000</v>
      </c>
    </row>
    <row r="250" spans="1:12" ht="28.5" customHeight="1">
      <c r="A250" s="2" t="s">
        <v>768</v>
      </c>
      <c r="B250" s="3" t="s">
        <v>769</v>
      </c>
      <c r="C250" s="3" t="s">
        <v>12</v>
      </c>
      <c r="D250" s="3" t="s">
        <v>770</v>
      </c>
      <c r="E250" s="3" t="s">
        <v>13</v>
      </c>
      <c r="F250" s="3" t="s">
        <v>14</v>
      </c>
      <c r="G250" s="6" t="s">
        <v>18</v>
      </c>
      <c r="H250" s="4"/>
      <c r="I250" s="5">
        <v>4872000</v>
      </c>
      <c r="J250" s="5">
        <v>679000</v>
      </c>
      <c r="K250" s="5">
        <v>5280000</v>
      </c>
      <c r="L250" s="5">
        <v>731000</v>
      </c>
    </row>
    <row r="251" spans="1:12" ht="28.5" customHeight="1">
      <c r="A251" s="2" t="s">
        <v>771</v>
      </c>
      <c r="B251" s="3" t="s">
        <v>772</v>
      </c>
      <c r="C251" s="3" t="s">
        <v>12</v>
      </c>
      <c r="D251" s="3" t="s">
        <v>773</v>
      </c>
      <c r="E251" s="3" t="s">
        <v>13</v>
      </c>
      <c r="F251" s="3" t="s">
        <v>14</v>
      </c>
      <c r="G251" s="6" t="s">
        <v>18</v>
      </c>
      <c r="H251" s="4"/>
      <c r="I251" s="5">
        <v>167910000</v>
      </c>
      <c r="J251" s="5">
        <v>181111000</v>
      </c>
      <c r="K251" s="5">
        <v>169220000</v>
      </c>
      <c r="L251" s="5">
        <v>181727000</v>
      </c>
    </row>
    <row r="252" spans="1:12" ht="28.5" customHeight="1">
      <c r="A252" s="2" t="s">
        <v>774</v>
      </c>
      <c r="B252" s="3" t="s">
        <v>775</v>
      </c>
      <c r="C252" s="3" t="s">
        <v>12</v>
      </c>
      <c r="D252" s="3" t="s">
        <v>776</v>
      </c>
      <c r="E252" s="3" t="s">
        <v>13</v>
      </c>
      <c r="F252" s="3" t="s">
        <v>14</v>
      </c>
      <c r="G252" s="6" t="s">
        <v>18</v>
      </c>
      <c r="H252" s="4"/>
      <c r="I252" s="5"/>
      <c r="J252" s="5">
        <v>15000</v>
      </c>
      <c r="K252" s="5">
        <v>11000</v>
      </c>
      <c r="L252" s="5">
        <v>13000</v>
      </c>
    </row>
    <row r="253" spans="1:12" ht="28.5" customHeight="1">
      <c r="A253" s="2" t="s">
        <v>777</v>
      </c>
      <c r="B253" s="3" t="s">
        <v>778</v>
      </c>
      <c r="C253" s="3" t="s">
        <v>12</v>
      </c>
      <c r="D253" s="3" t="s">
        <v>779</v>
      </c>
      <c r="E253" s="3" t="s">
        <v>13</v>
      </c>
      <c r="F253" s="3" t="s">
        <v>14</v>
      </c>
      <c r="G253" s="6" t="s">
        <v>18</v>
      </c>
      <c r="H253" s="4"/>
      <c r="I253" s="5"/>
      <c r="J253" s="5"/>
      <c r="K253" s="5"/>
      <c r="L253" s="5"/>
    </row>
    <row r="254" spans="1:12" ht="15.75" customHeight="1">
      <c r="A254" s="2" t="s">
        <v>780</v>
      </c>
      <c r="B254" s="3" t="s">
        <v>781</v>
      </c>
      <c r="C254" s="3" t="s">
        <v>12</v>
      </c>
      <c r="D254" s="3" t="s">
        <v>782</v>
      </c>
      <c r="E254" s="3" t="s">
        <v>13</v>
      </c>
      <c r="F254" s="3" t="s">
        <v>14</v>
      </c>
      <c r="G254" s="6" t="s">
        <v>18</v>
      </c>
      <c r="H254" s="4"/>
      <c r="I254" s="5">
        <v>337000</v>
      </c>
      <c r="J254" s="5"/>
      <c r="K254" s="5">
        <v>375000</v>
      </c>
      <c r="L254" s="5"/>
    </row>
    <row r="255" spans="1:12" ht="54.75" customHeight="1">
      <c r="A255" s="2" t="s">
        <v>783</v>
      </c>
      <c r="B255" s="3" t="s">
        <v>784</v>
      </c>
      <c r="C255" s="3" t="s">
        <v>12</v>
      </c>
      <c r="D255" s="3" t="s">
        <v>785</v>
      </c>
      <c r="E255" s="3" t="s">
        <v>13</v>
      </c>
      <c r="F255" s="3" t="s">
        <v>14</v>
      </c>
      <c r="G255" s="6" t="s">
        <v>77</v>
      </c>
      <c r="H255" s="4"/>
      <c r="I255" s="5">
        <v>9390000</v>
      </c>
      <c r="J255" s="5">
        <v>10162000</v>
      </c>
      <c r="K255" s="5">
        <v>7434000</v>
      </c>
      <c r="L255" s="5">
        <v>7770000</v>
      </c>
    </row>
    <row r="256" spans="1:12" ht="28.5" customHeight="1">
      <c r="A256" s="2" t="s">
        <v>786</v>
      </c>
      <c r="B256" s="3" t="s">
        <v>787</v>
      </c>
      <c r="C256" s="3" t="s">
        <v>12</v>
      </c>
      <c r="D256" s="3" t="s">
        <v>788</v>
      </c>
      <c r="E256" s="3" t="s">
        <v>13</v>
      </c>
      <c r="F256" s="3" t="s">
        <v>14</v>
      </c>
      <c r="G256" s="6" t="s">
        <v>23</v>
      </c>
      <c r="H256" s="6" t="s">
        <v>302</v>
      </c>
      <c r="I256" s="5">
        <v>76693000</v>
      </c>
      <c r="J256" s="5">
        <v>91183000</v>
      </c>
      <c r="K256" s="5">
        <v>76390000</v>
      </c>
      <c r="L256" s="5">
        <v>91135000</v>
      </c>
    </row>
    <row r="257" spans="1:12" ht="67.5" customHeight="1">
      <c r="A257" s="2" t="s">
        <v>789</v>
      </c>
      <c r="B257" s="3" t="s">
        <v>790</v>
      </c>
      <c r="C257" s="3" t="s">
        <v>12</v>
      </c>
      <c r="D257" s="3" t="s">
        <v>791</v>
      </c>
      <c r="E257" s="3" t="s">
        <v>13</v>
      </c>
      <c r="F257" s="3" t="s">
        <v>14</v>
      </c>
      <c r="G257" s="6" t="s">
        <v>18</v>
      </c>
      <c r="H257" s="4"/>
      <c r="I257" s="5">
        <v>298000</v>
      </c>
      <c r="J257" s="5"/>
      <c r="K257" s="5">
        <v>558000</v>
      </c>
      <c r="L257" s="5"/>
    </row>
    <row r="258" spans="1:12" ht="28.5" customHeight="1">
      <c r="A258" s="2" t="s">
        <v>792</v>
      </c>
      <c r="B258" s="3" t="s">
        <v>793</v>
      </c>
      <c r="C258" s="3" t="s">
        <v>12</v>
      </c>
      <c r="D258" s="3" t="s">
        <v>794</v>
      </c>
      <c r="E258" s="3" t="s">
        <v>13</v>
      </c>
      <c r="F258" s="3" t="s">
        <v>14</v>
      </c>
      <c r="G258" s="6" t="s">
        <v>23</v>
      </c>
      <c r="H258" s="4"/>
      <c r="I258" s="5"/>
      <c r="J258" s="5">
        <v>75325000</v>
      </c>
      <c r="K258" s="5"/>
      <c r="L258" s="5">
        <v>69122000</v>
      </c>
    </row>
    <row r="259" spans="1:12" ht="15.75" customHeight="1">
      <c r="A259" s="2" t="s">
        <v>795</v>
      </c>
      <c r="B259" s="3" t="s">
        <v>796</v>
      </c>
      <c r="C259" s="3" t="s">
        <v>12</v>
      </c>
      <c r="D259" s="3" t="s">
        <v>797</v>
      </c>
      <c r="E259" s="3" t="s">
        <v>13</v>
      </c>
      <c r="F259" s="3" t="s">
        <v>14</v>
      </c>
      <c r="G259" s="6" t="s">
        <v>18</v>
      </c>
      <c r="H259" s="4"/>
      <c r="I259" s="5">
        <v>351000</v>
      </c>
      <c r="J259" s="5">
        <v>110000</v>
      </c>
      <c r="K259" s="5">
        <v>465000</v>
      </c>
      <c r="L259" s="5">
        <v>170000</v>
      </c>
    </row>
    <row r="260" spans="1:12" ht="15.75" customHeight="1">
      <c r="A260" s="2" t="s">
        <v>798</v>
      </c>
      <c r="B260" s="3" t="s">
        <v>799</v>
      </c>
      <c r="C260" s="3" t="s">
        <v>12</v>
      </c>
      <c r="D260" s="3" t="s">
        <v>800</v>
      </c>
      <c r="E260" s="3" t="s">
        <v>13</v>
      </c>
      <c r="F260" s="3" t="s">
        <v>25</v>
      </c>
      <c r="G260" s="6" t="s">
        <v>18</v>
      </c>
      <c r="H260" s="4"/>
      <c r="I260" s="5"/>
      <c r="J260" s="5"/>
      <c r="K260" s="5"/>
      <c r="L260" s="5"/>
    </row>
    <row r="261" spans="1:12" ht="28.5" customHeight="1">
      <c r="A261" s="2" t="s">
        <v>801</v>
      </c>
      <c r="B261" s="3" t="s">
        <v>802</v>
      </c>
      <c r="C261" s="3" t="s">
        <v>12</v>
      </c>
      <c r="D261" s="3" t="s">
        <v>803</v>
      </c>
      <c r="E261" s="3" t="s">
        <v>13</v>
      </c>
      <c r="F261" s="3" t="s">
        <v>14</v>
      </c>
      <c r="G261" s="6" t="s">
        <v>18</v>
      </c>
      <c r="H261" s="4"/>
      <c r="I261" s="5">
        <v>10000</v>
      </c>
      <c r="J261" s="5"/>
      <c r="K261" s="5">
        <v>84000</v>
      </c>
      <c r="L261" s="5">
        <v>72000</v>
      </c>
    </row>
    <row r="262" spans="1:12" ht="15.75" customHeight="1">
      <c r="A262" s="2" t="s">
        <v>804</v>
      </c>
      <c r="B262" s="3" t="s">
        <v>805</v>
      </c>
      <c r="C262" s="3" t="s">
        <v>12</v>
      </c>
      <c r="D262" s="3" t="s">
        <v>806</v>
      </c>
      <c r="E262" s="3" t="s">
        <v>13</v>
      </c>
      <c r="F262" s="3" t="s">
        <v>14</v>
      </c>
      <c r="G262" s="6" t="s">
        <v>18</v>
      </c>
      <c r="H262" s="6" t="s">
        <v>807</v>
      </c>
      <c r="I262" s="5"/>
      <c r="J262" s="5">
        <v>19983000</v>
      </c>
      <c r="K262" s="5"/>
      <c r="L262" s="5">
        <v>17902000</v>
      </c>
    </row>
    <row r="263" spans="1:12" ht="28.5" customHeight="1">
      <c r="A263" s="2" t="s">
        <v>808</v>
      </c>
      <c r="B263" s="3" t="s">
        <v>809</v>
      </c>
      <c r="C263" s="3" t="s">
        <v>12</v>
      </c>
      <c r="D263" s="3" t="s">
        <v>810</v>
      </c>
      <c r="E263" s="3" t="s">
        <v>13</v>
      </c>
      <c r="F263" s="3" t="s">
        <v>14</v>
      </c>
      <c r="G263" s="6" t="s">
        <v>18</v>
      </c>
      <c r="H263" s="4"/>
      <c r="I263" s="5">
        <v>52585000</v>
      </c>
      <c r="J263" s="5">
        <v>64567000</v>
      </c>
      <c r="K263" s="5">
        <v>50658000</v>
      </c>
      <c r="L263" s="5">
        <v>64262000</v>
      </c>
    </row>
    <row r="264" spans="1:12" ht="28.5" customHeight="1">
      <c r="A264" s="2" t="s">
        <v>811</v>
      </c>
      <c r="B264" s="3" t="s">
        <v>812</v>
      </c>
      <c r="C264" s="3" t="s">
        <v>12</v>
      </c>
      <c r="D264" s="3" t="s">
        <v>813</v>
      </c>
      <c r="E264" s="3" t="s">
        <v>13</v>
      </c>
      <c r="F264" s="3" t="s">
        <v>14</v>
      </c>
      <c r="G264" s="6" t="s">
        <v>22</v>
      </c>
      <c r="H264" s="4"/>
      <c r="I264" s="5">
        <v>134427000</v>
      </c>
      <c r="J264" s="5">
        <v>89742000</v>
      </c>
      <c r="K264" s="5">
        <v>516511000</v>
      </c>
      <c r="L264" s="5">
        <v>176291000</v>
      </c>
    </row>
    <row r="265" spans="1:12" ht="28.5" customHeight="1">
      <c r="A265" s="2" t="s">
        <v>814</v>
      </c>
      <c r="B265" s="3" t="s">
        <v>815</v>
      </c>
      <c r="C265" s="3" t="s">
        <v>12</v>
      </c>
      <c r="D265" s="3" t="s">
        <v>816</v>
      </c>
      <c r="E265" s="3" t="s">
        <v>13</v>
      </c>
      <c r="F265" s="3" t="s">
        <v>14</v>
      </c>
      <c r="G265" s="6" t="s">
        <v>18</v>
      </c>
      <c r="H265" s="4"/>
      <c r="I265" s="5">
        <v>30345000</v>
      </c>
      <c r="J265" s="5">
        <v>34327000</v>
      </c>
      <c r="K265" s="5">
        <v>29381000</v>
      </c>
      <c r="L265" s="5">
        <v>34153000</v>
      </c>
    </row>
    <row r="266" spans="1:12" ht="28.5" customHeight="1">
      <c r="A266" s="2" t="s">
        <v>817</v>
      </c>
      <c r="B266" s="3" t="s">
        <v>818</v>
      </c>
      <c r="C266" s="3" t="s">
        <v>12</v>
      </c>
      <c r="D266" s="3" t="s">
        <v>819</v>
      </c>
      <c r="E266" s="3" t="s">
        <v>13</v>
      </c>
      <c r="F266" s="3" t="s">
        <v>14</v>
      </c>
      <c r="G266" s="6" t="s">
        <v>23</v>
      </c>
      <c r="H266" s="6" t="s">
        <v>23</v>
      </c>
      <c r="I266" s="5">
        <v>8649000</v>
      </c>
      <c r="J266" s="5">
        <v>4525000</v>
      </c>
      <c r="K266" s="5">
        <v>8831000</v>
      </c>
      <c r="L266" s="5">
        <v>4514000</v>
      </c>
    </row>
    <row r="267" spans="1:12" ht="28.5" customHeight="1">
      <c r="A267" s="2" t="s">
        <v>820</v>
      </c>
      <c r="B267" s="3" t="s">
        <v>821</v>
      </c>
      <c r="C267" s="3" t="s">
        <v>12</v>
      </c>
      <c r="D267" s="3" t="s">
        <v>822</v>
      </c>
      <c r="E267" s="3" t="s">
        <v>13</v>
      </c>
      <c r="F267" s="3" t="s">
        <v>14</v>
      </c>
      <c r="G267" s="6" t="s">
        <v>18</v>
      </c>
      <c r="H267" s="4"/>
      <c r="I267" s="5">
        <v>999000</v>
      </c>
      <c r="J267" s="5">
        <v>362000</v>
      </c>
      <c r="K267" s="5">
        <v>982000</v>
      </c>
      <c r="L267" s="5">
        <v>362000</v>
      </c>
    </row>
    <row r="268" spans="1:12" ht="28.5" customHeight="1">
      <c r="A268" s="2" t="s">
        <v>823</v>
      </c>
      <c r="B268" s="3" t="s">
        <v>824</v>
      </c>
      <c r="C268" s="3" t="s">
        <v>12</v>
      </c>
      <c r="D268" s="3" t="s">
        <v>825</v>
      </c>
      <c r="E268" s="3" t="s">
        <v>13</v>
      </c>
      <c r="F268" s="3" t="s">
        <v>14</v>
      </c>
      <c r="G268" s="6" t="s">
        <v>18</v>
      </c>
      <c r="H268" s="4"/>
      <c r="I268" s="5">
        <v>16772000</v>
      </c>
      <c r="J268" s="5">
        <v>13694000</v>
      </c>
      <c r="K268" s="5">
        <v>16489000</v>
      </c>
      <c r="L268" s="5">
        <v>13235000</v>
      </c>
    </row>
    <row r="269" spans="1:12" ht="28.5" customHeight="1">
      <c r="A269" s="2" t="s">
        <v>826</v>
      </c>
      <c r="B269" s="3" t="s">
        <v>827</v>
      </c>
      <c r="C269" s="3" t="s">
        <v>12</v>
      </c>
      <c r="D269" s="3" t="s">
        <v>828</v>
      </c>
      <c r="E269" s="3" t="s">
        <v>13</v>
      </c>
      <c r="F269" s="3" t="s">
        <v>14</v>
      </c>
      <c r="G269" s="6" t="s">
        <v>77</v>
      </c>
      <c r="H269" s="4"/>
      <c r="I269" s="5">
        <v>114314000</v>
      </c>
      <c r="J269" s="5">
        <v>29873000</v>
      </c>
      <c r="K269" s="5">
        <v>70701000</v>
      </c>
      <c r="L269" s="5">
        <v>103948000</v>
      </c>
    </row>
    <row r="270" spans="1:12" ht="28.5" customHeight="1">
      <c r="A270" s="2" t="s">
        <v>829</v>
      </c>
      <c r="B270" s="3" t="s">
        <v>830</v>
      </c>
      <c r="C270" s="3" t="s">
        <v>12</v>
      </c>
      <c r="D270" s="3" t="s">
        <v>831</v>
      </c>
      <c r="E270" s="3" t="s">
        <v>13</v>
      </c>
      <c r="F270" s="3" t="s">
        <v>14</v>
      </c>
      <c r="G270" s="6" t="s">
        <v>18</v>
      </c>
      <c r="H270" s="4"/>
      <c r="I270" s="5">
        <v>257884000</v>
      </c>
      <c r="J270" s="5">
        <v>1857889000</v>
      </c>
      <c r="K270" s="5">
        <v>300932000</v>
      </c>
      <c r="L270" s="5">
        <v>1177275000</v>
      </c>
    </row>
    <row r="271" spans="1:12" ht="28.5" customHeight="1">
      <c r="A271" s="2" t="s">
        <v>832</v>
      </c>
      <c r="B271" s="3" t="s">
        <v>833</v>
      </c>
      <c r="C271" s="3" t="s">
        <v>12</v>
      </c>
      <c r="D271" s="3" t="s">
        <v>834</v>
      </c>
      <c r="E271" s="3" t="s">
        <v>13</v>
      </c>
      <c r="F271" s="3" t="s">
        <v>25</v>
      </c>
      <c r="G271" s="6" t="s">
        <v>18</v>
      </c>
      <c r="H271" s="4"/>
      <c r="I271" s="5"/>
      <c r="J271" s="5">
        <v>138000</v>
      </c>
      <c r="K271" s="5"/>
      <c r="L271" s="5">
        <v>138000</v>
      </c>
    </row>
    <row r="272" spans="1:12" ht="28.5" customHeight="1">
      <c r="A272" s="2" t="s">
        <v>835</v>
      </c>
      <c r="B272" s="3" t="s">
        <v>836</v>
      </c>
      <c r="C272" s="3" t="s">
        <v>12</v>
      </c>
      <c r="D272" s="3" t="s">
        <v>837</v>
      </c>
      <c r="E272" s="3" t="s">
        <v>13</v>
      </c>
      <c r="F272" s="3" t="s">
        <v>14</v>
      </c>
      <c r="G272" s="6" t="s">
        <v>22</v>
      </c>
      <c r="H272" s="6" t="s">
        <v>23</v>
      </c>
      <c r="I272" s="5">
        <v>139399000</v>
      </c>
      <c r="J272" s="5">
        <v>159153000</v>
      </c>
      <c r="K272" s="5">
        <v>114925000</v>
      </c>
      <c r="L272" s="5">
        <v>153781000</v>
      </c>
    </row>
    <row r="273" spans="1:12" ht="15.75" customHeight="1">
      <c r="A273" s="2" t="s">
        <v>838</v>
      </c>
      <c r="B273" s="3" t="s">
        <v>839</v>
      </c>
      <c r="C273" s="3" t="s">
        <v>12</v>
      </c>
      <c r="D273" s="3" t="s">
        <v>840</v>
      </c>
      <c r="E273" s="3" t="s">
        <v>13</v>
      </c>
      <c r="F273" s="3" t="s">
        <v>14</v>
      </c>
      <c r="G273" s="6" t="s">
        <v>18</v>
      </c>
      <c r="H273" s="4"/>
      <c r="I273" s="5">
        <v>2325000</v>
      </c>
      <c r="J273" s="5">
        <v>16303000</v>
      </c>
      <c r="K273" s="5">
        <v>2334000</v>
      </c>
      <c r="L273" s="5">
        <v>16308000</v>
      </c>
    </row>
    <row r="274" spans="1:12" ht="28.5" customHeight="1">
      <c r="A274" s="2" t="s">
        <v>841</v>
      </c>
      <c r="B274" s="3" t="s">
        <v>842</v>
      </c>
      <c r="C274" s="3" t="s">
        <v>12</v>
      </c>
      <c r="D274" s="3" t="s">
        <v>843</v>
      </c>
      <c r="E274" s="3" t="s">
        <v>13</v>
      </c>
      <c r="F274" s="3" t="s">
        <v>14</v>
      </c>
      <c r="G274" s="6" t="s">
        <v>77</v>
      </c>
      <c r="H274" s="6" t="s">
        <v>23</v>
      </c>
      <c r="I274" s="5">
        <v>163483000</v>
      </c>
      <c r="J274" s="5">
        <v>203789000</v>
      </c>
      <c r="K274" s="5">
        <v>173535000</v>
      </c>
      <c r="L274" s="5">
        <v>204316000</v>
      </c>
    </row>
    <row r="275" spans="1:12" ht="81" customHeight="1">
      <c r="A275" s="2" t="s">
        <v>844</v>
      </c>
      <c r="B275" s="3" t="s">
        <v>845</v>
      </c>
      <c r="C275" s="3" t="s">
        <v>12</v>
      </c>
      <c r="D275" s="3" t="s">
        <v>846</v>
      </c>
      <c r="E275" s="3" t="s">
        <v>13</v>
      </c>
      <c r="F275" s="3" t="s">
        <v>25</v>
      </c>
      <c r="G275" s="6" t="s">
        <v>18</v>
      </c>
      <c r="H275" s="4"/>
      <c r="I275" s="5">
        <v>874000</v>
      </c>
      <c r="J275" s="5">
        <v>998000</v>
      </c>
      <c r="K275" s="5">
        <v>874000</v>
      </c>
      <c r="L275" s="5">
        <v>962000</v>
      </c>
    </row>
    <row r="276" spans="1:12" ht="28.5" customHeight="1">
      <c r="A276" s="2" t="s">
        <v>847</v>
      </c>
      <c r="B276" s="3" t="s">
        <v>848</v>
      </c>
      <c r="C276" s="3" t="s">
        <v>12</v>
      </c>
      <c r="D276" s="3" t="s">
        <v>849</v>
      </c>
      <c r="E276" s="3" t="s">
        <v>13</v>
      </c>
      <c r="F276" s="3" t="s">
        <v>14</v>
      </c>
      <c r="G276" s="4"/>
      <c r="H276" s="6" t="s">
        <v>23</v>
      </c>
      <c r="I276" s="5">
        <v>5000000</v>
      </c>
      <c r="J276" s="5">
        <v>90314000</v>
      </c>
      <c r="K276" s="5">
        <v>4842000</v>
      </c>
      <c r="L276" s="5">
        <v>87220000</v>
      </c>
    </row>
    <row r="277" spans="1:12" ht="28.5" customHeight="1">
      <c r="A277" s="2" t="s">
        <v>850</v>
      </c>
      <c r="B277" s="3" t="s">
        <v>851</v>
      </c>
      <c r="C277" s="3" t="s">
        <v>12</v>
      </c>
      <c r="D277" s="3" t="s">
        <v>852</v>
      </c>
      <c r="E277" s="3" t="s">
        <v>13</v>
      </c>
      <c r="F277" s="3" t="s">
        <v>25</v>
      </c>
      <c r="G277" s="6" t="s">
        <v>18</v>
      </c>
      <c r="H277" s="4"/>
      <c r="I277" s="5"/>
      <c r="J277" s="5"/>
      <c r="K277" s="5"/>
      <c r="L277" s="5"/>
    </row>
    <row r="278" spans="1:12" ht="28.5" customHeight="1">
      <c r="A278" s="2" t="s">
        <v>853</v>
      </c>
      <c r="B278" s="3" t="s">
        <v>854</v>
      </c>
      <c r="C278" s="3" t="s">
        <v>12</v>
      </c>
      <c r="D278" s="3" t="s">
        <v>855</v>
      </c>
      <c r="E278" s="3" t="s">
        <v>13</v>
      </c>
      <c r="F278" s="3" t="s">
        <v>14</v>
      </c>
      <c r="G278" s="6" t="s">
        <v>18</v>
      </c>
      <c r="H278" s="4"/>
      <c r="I278" s="5">
        <v>5644000</v>
      </c>
      <c r="J278" s="5">
        <v>5085000</v>
      </c>
      <c r="K278" s="5">
        <v>5611000</v>
      </c>
      <c r="L278" s="5">
        <v>5341000</v>
      </c>
    </row>
    <row r="279" spans="1:12" ht="28.5" customHeight="1">
      <c r="A279" s="2" t="s">
        <v>856</v>
      </c>
      <c r="B279" s="3" t="s">
        <v>857</v>
      </c>
      <c r="C279" s="3" t="s">
        <v>12</v>
      </c>
      <c r="D279" s="3" t="s">
        <v>858</v>
      </c>
      <c r="E279" s="3" t="s">
        <v>13</v>
      </c>
      <c r="F279" s="3" t="s">
        <v>25</v>
      </c>
      <c r="G279" s="6" t="s">
        <v>18</v>
      </c>
      <c r="H279" s="4"/>
      <c r="I279" s="5">
        <v>2850000</v>
      </c>
      <c r="J279" s="5"/>
      <c r="K279" s="5">
        <v>3350000</v>
      </c>
      <c r="L279" s="5"/>
    </row>
    <row r="280" spans="1:12" ht="15.75" customHeight="1">
      <c r="A280" s="2" t="s">
        <v>859</v>
      </c>
      <c r="B280" s="3" t="s">
        <v>860</v>
      </c>
      <c r="C280" s="3" t="s">
        <v>12</v>
      </c>
      <c r="D280" s="3" t="s">
        <v>861</v>
      </c>
      <c r="E280" s="3" t="s">
        <v>13</v>
      </c>
      <c r="F280" s="3" t="s">
        <v>25</v>
      </c>
      <c r="G280" s="6" t="s">
        <v>77</v>
      </c>
      <c r="H280" s="4"/>
      <c r="I280" s="5">
        <v>460623000</v>
      </c>
      <c r="J280" s="5">
        <v>361287000</v>
      </c>
      <c r="K280" s="5">
        <v>628128000</v>
      </c>
      <c r="L280" s="5">
        <v>528886000</v>
      </c>
    </row>
    <row r="281" spans="1:12" ht="28.5" customHeight="1">
      <c r="A281" s="2" t="s">
        <v>862</v>
      </c>
      <c r="B281" s="3" t="s">
        <v>863</v>
      </c>
      <c r="C281" s="3" t="s">
        <v>12</v>
      </c>
      <c r="D281" s="3" t="s">
        <v>864</v>
      </c>
      <c r="E281" s="3" t="s">
        <v>13</v>
      </c>
      <c r="F281" s="3" t="s">
        <v>14</v>
      </c>
      <c r="G281" s="6" t="s">
        <v>18</v>
      </c>
      <c r="H281" s="4"/>
      <c r="I281" s="5">
        <v>1564000</v>
      </c>
      <c r="J281" s="5">
        <v>1150000</v>
      </c>
      <c r="K281" s="5">
        <v>1653000</v>
      </c>
      <c r="L281" s="5">
        <v>1028000</v>
      </c>
    </row>
    <row r="282" spans="1:12" ht="28.5" customHeight="1">
      <c r="A282" s="2" t="s">
        <v>865</v>
      </c>
      <c r="B282" s="3" t="s">
        <v>866</v>
      </c>
      <c r="C282" s="3" t="s">
        <v>12</v>
      </c>
      <c r="D282" s="3" t="s">
        <v>867</v>
      </c>
      <c r="E282" s="3" t="s">
        <v>13</v>
      </c>
      <c r="F282" s="3" t="s">
        <v>14</v>
      </c>
      <c r="G282" s="6" t="s">
        <v>18</v>
      </c>
      <c r="H282" s="4"/>
      <c r="I282" s="5"/>
      <c r="J282" s="5"/>
      <c r="K282" s="5">
        <v>4000</v>
      </c>
      <c r="L282" s="5">
        <v>2000</v>
      </c>
    </row>
    <row r="283" spans="1:12" ht="15.75" customHeight="1">
      <c r="A283" s="2" t="s">
        <v>868</v>
      </c>
      <c r="B283" s="3" t="s">
        <v>869</v>
      </c>
      <c r="C283" s="3" t="s">
        <v>12</v>
      </c>
      <c r="D283" s="3" t="s">
        <v>870</v>
      </c>
      <c r="E283" s="3" t="s">
        <v>13</v>
      </c>
      <c r="F283" s="3" t="s">
        <v>14</v>
      </c>
      <c r="G283" s="6" t="s">
        <v>18</v>
      </c>
      <c r="H283" s="4"/>
      <c r="I283" s="5">
        <v>11105000</v>
      </c>
      <c r="J283" s="5">
        <v>13209000</v>
      </c>
      <c r="K283" s="5">
        <v>11154000</v>
      </c>
      <c r="L283" s="5">
        <v>10511000</v>
      </c>
    </row>
    <row r="284" spans="1:12" ht="15.75" customHeight="1">
      <c r="A284" s="2" t="s">
        <v>871</v>
      </c>
      <c r="B284" s="3" t="s">
        <v>872</v>
      </c>
      <c r="C284" s="3" t="s">
        <v>12</v>
      </c>
      <c r="D284" s="3" t="s">
        <v>873</v>
      </c>
      <c r="E284" s="3" t="s">
        <v>13</v>
      </c>
      <c r="F284" s="3" t="s">
        <v>14</v>
      </c>
      <c r="G284" s="6" t="s">
        <v>18</v>
      </c>
      <c r="H284" s="4"/>
      <c r="I284" s="5">
        <v>3000000</v>
      </c>
      <c r="J284" s="5">
        <v>180000000</v>
      </c>
      <c r="K284" s="5">
        <v>1456000</v>
      </c>
      <c r="L284" s="5">
        <v>1394000</v>
      </c>
    </row>
    <row r="285" spans="1:12" ht="28.5" customHeight="1">
      <c r="A285" s="2" t="s">
        <v>874</v>
      </c>
      <c r="B285" s="3" t="s">
        <v>875</v>
      </c>
      <c r="C285" s="3" t="s">
        <v>12</v>
      </c>
      <c r="D285" s="3" t="s">
        <v>876</v>
      </c>
      <c r="E285" s="3" t="s">
        <v>13</v>
      </c>
      <c r="F285" s="3" t="s">
        <v>14</v>
      </c>
      <c r="G285" s="6" t="s">
        <v>18</v>
      </c>
      <c r="H285" s="4"/>
      <c r="I285" s="5">
        <v>73556000</v>
      </c>
      <c r="J285" s="5">
        <v>94640000</v>
      </c>
      <c r="K285" s="5">
        <v>74957000</v>
      </c>
      <c r="L285" s="5">
        <v>82818000</v>
      </c>
    </row>
    <row r="286" spans="1:12" ht="28.5" customHeight="1">
      <c r="A286" s="2" t="s">
        <v>877</v>
      </c>
      <c r="B286" s="3" t="s">
        <v>878</v>
      </c>
      <c r="C286" s="3" t="s">
        <v>12</v>
      </c>
      <c r="D286" s="3" t="s">
        <v>879</v>
      </c>
      <c r="E286" s="3" t="s">
        <v>13</v>
      </c>
      <c r="F286" s="3" t="s">
        <v>25</v>
      </c>
      <c r="G286" s="6" t="s">
        <v>18</v>
      </c>
      <c r="H286" s="4"/>
      <c r="I286" s="5">
        <v>9896000</v>
      </c>
      <c r="J286" s="5"/>
      <c r="K286" s="5">
        <v>13811000</v>
      </c>
      <c r="L286" s="5"/>
    </row>
    <row r="287" spans="1:12" ht="15.75" customHeight="1">
      <c r="A287" s="2" t="s">
        <v>880</v>
      </c>
      <c r="B287" s="3" t="s">
        <v>881</v>
      </c>
      <c r="C287" s="3" t="s">
        <v>12</v>
      </c>
      <c r="D287" s="3" t="s">
        <v>882</v>
      </c>
      <c r="E287" s="3" t="s">
        <v>13</v>
      </c>
      <c r="F287" s="3" t="s">
        <v>25</v>
      </c>
      <c r="G287" s="6" t="s">
        <v>18</v>
      </c>
      <c r="H287" s="4"/>
      <c r="I287" s="5">
        <v>357000</v>
      </c>
      <c r="J287" s="5"/>
      <c r="K287" s="5">
        <v>393000</v>
      </c>
      <c r="L287" s="5"/>
    </row>
    <row r="288" spans="1:12" ht="28.5" customHeight="1">
      <c r="A288" s="2" t="s">
        <v>883</v>
      </c>
      <c r="B288" s="3" t="s">
        <v>884</v>
      </c>
      <c r="C288" s="3" t="s">
        <v>12</v>
      </c>
      <c r="D288" s="3" t="s">
        <v>885</v>
      </c>
      <c r="E288" s="3" t="s">
        <v>13</v>
      </c>
      <c r="F288" s="3" t="s">
        <v>14</v>
      </c>
      <c r="G288" s="6" t="s">
        <v>18</v>
      </c>
      <c r="H288" s="4"/>
      <c r="I288" s="5"/>
      <c r="J288" s="5"/>
      <c r="K288" s="5"/>
      <c r="L288" s="5"/>
    </row>
    <row r="289" spans="1:12" ht="28.5" customHeight="1">
      <c r="A289" s="2" t="s">
        <v>886</v>
      </c>
      <c r="B289" s="3" t="s">
        <v>887</v>
      </c>
      <c r="C289" s="3" t="s">
        <v>12</v>
      </c>
      <c r="D289" s="3" t="s">
        <v>888</v>
      </c>
      <c r="E289" s="3" t="s">
        <v>13</v>
      </c>
      <c r="F289" s="3" t="s">
        <v>14</v>
      </c>
      <c r="G289" s="6" t="s">
        <v>18</v>
      </c>
      <c r="H289" s="4"/>
      <c r="I289" s="5">
        <v>457387000</v>
      </c>
      <c r="J289" s="5">
        <v>335940000</v>
      </c>
      <c r="K289" s="5">
        <v>456679000</v>
      </c>
      <c r="L289" s="5">
        <v>306147000</v>
      </c>
    </row>
    <row r="290" spans="1:12" ht="15.75" customHeight="1">
      <c r="A290" s="2" t="s">
        <v>889</v>
      </c>
      <c r="B290" s="3" t="s">
        <v>890</v>
      </c>
      <c r="C290" s="3" t="s">
        <v>12</v>
      </c>
      <c r="D290" s="3" t="s">
        <v>891</v>
      </c>
      <c r="E290" s="3" t="s">
        <v>13</v>
      </c>
      <c r="F290" s="3" t="s">
        <v>14</v>
      </c>
      <c r="G290" s="6" t="s">
        <v>18</v>
      </c>
      <c r="H290" s="4"/>
      <c r="I290" s="5">
        <v>42245000</v>
      </c>
      <c r="J290" s="5">
        <v>42772000</v>
      </c>
      <c r="K290" s="5">
        <v>28444000</v>
      </c>
      <c r="L290" s="5">
        <v>44070000</v>
      </c>
    </row>
    <row r="291" spans="1:12" ht="42" customHeight="1">
      <c r="A291" s="2" t="s">
        <v>892</v>
      </c>
      <c r="B291" s="3" t="s">
        <v>893</v>
      </c>
      <c r="C291" s="3" t="s">
        <v>12</v>
      </c>
      <c r="D291" s="3" t="s">
        <v>894</v>
      </c>
      <c r="E291" s="3" t="s">
        <v>13</v>
      </c>
      <c r="F291" s="3" t="s">
        <v>14</v>
      </c>
      <c r="G291" s="6" t="s">
        <v>18</v>
      </c>
      <c r="H291" s="4"/>
      <c r="I291" s="5">
        <v>21733000</v>
      </c>
      <c r="J291" s="5">
        <v>32309000</v>
      </c>
      <c r="K291" s="5">
        <v>31568000</v>
      </c>
      <c r="L291" s="5">
        <v>29851000</v>
      </c>
    </row>
    <row r="292" spans="1:12" ht="15.75" customHeight="1">
      <c r="A292" s="2" t="s">
        <v>895</v>
      </c>
      <c r="B292" s="3" t="s">
        <v>896</v>
      </c>
      <c r="C292" s="3" t="s">
        <v>12</v>
      </c>
      <c r="D292" s="3" t="s">
        <v>897</v>
      </c>
      <c r="E292" s="3" t="s">
        <v>13</v>
      </c>
      <c r="F292" s="3" t="s">
        <v>14</v>
      </c>
      <c r="G292" s="6" t="s">
        <v>18</v>
      </c>
      <c r="H292" s="4"/>
      <c r="I292" s="5"/>
      <c r="J292" s="5">
        <v>54004000</v>
      </c>
      <c r="K292" s="5"/>
      <c r="L292" s="5">
        <v>38326000</v>
      </c>
    </row>
    <row r="293" spans="1:12" ht="67.5" customHeight="1">
      <c r="A293" s="2" t="s">
        <v>898</v>
      </c>
      <c r="B293" s="3" t="s">
        <v>899</v>
      </c>
      <c r="C293" s="3" t="s">
        <v>12</v>
      </c>
      <c r="D293" s="3" t="s">
        <v>900</v>
      </c>
      <c r="E293" s="3" t="s">
        <v>13</v>
      </c>
      <c r="F293" s="3" t="s">
        <v>25</v>
      </c>
      <c r="G293" s="6" t="s">
        <v>18</v>
      </c>
      <c r="H293" s="4"/>
      <c r="I293" s="5"/>
      <c r="J293" s="5">
        <v>2794000</v>
      </c>
      <c r="K293" s="5"/>
      <c r="L293" s="5">
        <v>1697000</v>
      </c>
    </row>
    <row r="294" spans="1:12" ht="15.75" customHeight="1">
      <c r="A294" s="2" t="s">
        <v>901</v>
      </c>
      <c r="B294" s="3" t="s">
        <v>902</v>
      </c>
      <c r="C294" s="3" t="s">
        <v>12</v>
      </c>
      <c r="D294" s="3" t="s">
        <v>903</v>
      </c>
      <c r="E294" s="3" t="s">
        <v>13</v>
      </c>
      <c r="F294" s="3" t="s">
        <v>14</v>
      </c>
      <c r="G294" s="6" t="s">
        <v>22</v>
      </c>
      <c r="H294" s="4"/>
      <c r="I294" s="5">
        <v>1052143000</v>
      </c>
      <c r="J294" s="5">
        <v>269082000</v>
      </c>
      <c r="K294" s="5">
        <v>178009000</v>
      </c>
      <c r="L294" s="5">
        <v>371742000</v>
      </c>
    </row>
    <row r="295" spans="1:12" ht="28.5" customHeight="1">
      <c r="A295" s="2" t="s">
        <v>904</v>
      </c>
      <c r="B295" s="3" t="s">
        <v>905</v>
      </c>
      <c r="C295" s="3" t="s">
        <v>12</v>
      </c>
      <c r="D295" s="3" t="s">
        <v>906</v>
      </c>
      <c r="E295" s="3" t="s">
        <v>13</v>
      </c>
      <c r="F295" s="3" t="s">
        <v>14</v>
      </c>
      <c r="G295" s="6" t="s">
        <v>18</v>
      </c>
      <c r="H295" s="4"/>
      <c r="I295" s="5">
        <v>125000000</v>
      </c>
      <c r="J295" s="5">
        <v>35000000</v>
      </c>
      <c r="K295" s="5">
        <v>123580000</v>
      </c>
      <c r="L295" s="5">
        <v>36217000</v>
      </c>
    </row>
    <row r="296" spans="1:12" ht="28.5" customHeight="1">
      <c r="A296" s="2" t="s">
        <v>907</v>
      </c>
      <c r="B296" s="3" t="s">
        <v>908</v>
      </c>
      <c r="C296" s="3" t="s">
        <v>12</v>
      </c>
      <c r="D296" s="3" t="s">
        <v>909</v>
      </c>
      <c r="E296" s="3" t="s">
        <v>13</v>
      </c>
      <c r="F296" s="3" t="s">
        <v>14</v>
      </c>
      <c r="G296" s="6" t="s">
        <v>18</v>
      </c>
      <c r="H296" s="4"/>
      <c r="I296" s="5">
        <v>15015000</v>
      </c>
      <c r="J296" s="5">
        <v>11575000</v>
      </c>
      <c r="K296" s="5">
        <v>17079000</v>
      </c>
      <c r="L296" s="5">
        <v>11940000</v>
      </c>
    </row>
    <row r="297" spans="1:12" ht="28.5" customHeight="1">
      <c r="A297" s="2" t="s">
        <v>910</v>
      </c>
      <c r="B297" s="3" t="s">
        <v>911</v>
      </c>
      <c r="C297" s="3" t="s">
        <v>12</v>
      </c>
      <c r="D297" s="3" t="s">
        <v>912</v>
      </c>
      <c r="E297" s="3" t="s">
        <v>13</v>
      </c>
      <c r="F297" s="3" t="s">
        <v>14</v>
      </c>
      <c r="G297" s="6" t="s">
        <v>18</v>
      </c>
      <c r="H297" s="4"/>
      <c r="I297" s="5">
        <v>2554000</v>
      </c>
      <c r="J297" s="5">
        <v>2960000</v>
      </c>
      <c r="K297" s="5">
        <v>2538000</v>
      </c>
      <c r="L297" s="5">
        <v>3711000</v>
      </c>
    </row>
    <row r="298" spans="1:12" ht="28.5" customHeight="1">
      <c r="A298" s="2" t="s">
        <v>913</v>
      </c>
      <c r="B298" s="3" t="s">
        <v>914</v>
      </c>
      <c r="C298" s="3" t="s">
        <v>12</v>
      </c>
      <c r="D298" s="3" t="s">
        <v>915</v>
      </c>
      <c r="E298" s="3" t="s">
        <v>13</v>
      </c>
      <c r="F298" s="3" t="s">
        <v>14</v>
      </c>
      <c r="G298" s="6" t="s">
        <v>18</v>
      </c>
      <c r="H298" s="4"/>
      <c r="I298" s="5">
        <v>661000</v>
      </c>
      <c r="J298" s="5"/>
      <c r="K298" s="5">
        <v>1058000</v>
      </c>
      <c r="L298" s="5"/>
    </row>
    <row r="299" spans="1:12" ht="28.5" customHeight="1">
      <c r="A299" s="2" t="s">
        <v>916</v>
      </c>
      <c r="B299" s="3" t="s">
        <v>917</v>
      </c>
      <c r="C299" s="3" t="s">
        <v>12</v>
      </c>
      <c r="D299" s="3" t="s">
        <v>918</v>
      </c>
      <c r="E299" s="3" t="s">
        <v>13</v>
      </c>
      <c r="F299" s="3" t="s">
        <v>14</v>
      </c>
      <c r="G299" s="6" t="s">
        <v>18</v>
      </c>
      <c r="H299" s="4"/>
      <c r="I299" s="5"/>
      <c r="J299" s="5"/>
      <c r="K299" s="5"/>
      <c r="L299" s="5"/>
    </row>
    <row r="300" spans="1:12" ht="42" customHeight="1">
      <c r="A300" s="2" t="s">
        <v>919</v>
      </c>
      <c r="B300" s="3" t="s">
        <v>920</v>
      </c>
      <c r="C300" s="3" t="s">
        <v>12</v>
      </c>
      <c r="D300" s="3" t="s">
        <v>921</v>
      </c>
      <c r="E300" s="3" t="s">
        <v>13</v>
      </c>
      <c r="F300" s="3" t="s">
        <v>14</v>
      </c>
      <c r="G300" s="6" t="s">
        <v>18</v>
      </c>
      <c r="H300" s="4"/>
      <c r="I300" s="5">
        <v>4687000</v>
      </c>
      <c r="J300" s="5">
        <v>7152000</v>
      </c>
      <c r="K300" s="5">
        <v>6695000</v>
      </c>
      <c r="L300" s="5">
        <v>7029000</v>
      </c>
    </row>
    <row r="301" spans="1:12" ht="15.75" customHeight="1">
      <c r="A301" s="2" t="s">
        <v>922</v>
      </c>
      <c r="B301" s="3" t="s">
        <v>923</v>
      </c>
      <c r="C301" s="3" t="s">
        <v>12</v>
      </c>
      <c r="D301" s="3" t="s">
        <v>924</v>
      </c>
      <c r="E301" s="3" t="s">
        <v>13</v>
      </c>
      <c r="F301" s="3" t="s">
        <v>14</v>
      </c>
      <c r="G301" s="6" t="s">
        <v>18</v>
      </c>
      <c r="H301" s="4"/>
      <c r="I301" s="5">
        <v>21438000</v>
      </c>
      <c r="J301" s="5">
        <v>21746000</v>
      </c>
      <c r="K301" s="5">
        <v>21387000</v>
      </c>
      <c r="L301" s="5">
        <v>21590000</v>
      </c>
    </row>
    <row r="302" spans="1:12" ht="15.75" customHeight="1">
      <c r="A302" s="2" t="s">
        <v>925</v>
      </c>
      <c r="B302" s="3" t="s">
        <v>926</v>
      </c>
      <c r="C302" s="3" t="s">
        <v>12</v>
      </c>
      <c r="D302" s="3" t="s">
        <v>927</v>
      </c>
      <c r="E302" s="3" t="s">
        <v>13</v>
      </c>
      <c r="F302" s="3" t="s">
        <v>14</v>
      </c>
      <c r="G302" s="6" t="s">
        <v>18</v>
      </c>
      <c r="H302" s="4"/>
      <c r="I302" s="5">
        <v>376000</v>
      </c>
      <c r="J302" s="5">
        <v>697000</v>
      </c>
      <c r="K302" s="5">
        <v>446000</v>
      </c>
      <c r="L302" s="5">
        <v>436000</v>
      </c>
    </row>
    <row r="303" spans="1:12" ht="15.75" customHeight="1">
      <c r="A303" s="2" t="s">
        <v>928</v>
      </c>
      <c r="B303" s="3" t="s">
        <v>929</v>
      </c>
      <c r="C303" s="3" t="s">
        <v>12</v>
      </c>
      <c r="D303" s="3" t="s">
        <v>930</v>
      </c>
      <c r="E303" s="3" t="s">
        <v>13</v>
      </c>
      <c r="F303" s="3" t="s">
        <v>14</v>
      </c>
      <c r="G303" s="6" t="s">
        <v>18</v>
      </c>
      <c r="H303" s="4"/>
      <c r="I303" s="5">
        <v>70174000</v>
      </c>
      <c r="J303" s="5">
        <v>57191000</v>
      </c>
      <c r="K303" s="5">
        <v>111611000</v>
      </c>
      <c r="L303" s="5">
        <v>127297000</v>
      </c>
    </row>
    <row r="304" spans="1:12" ht="15.75" customHeight="1">
      <c r="A304" s="2" t="s">
        <v>931</v>
      </c>
      <c r="B304" s="3" t="s">
        <v>932</v>
      </c>
      <c r="C304" s="3" t="s">
        <v>12</v>
      </c>
      <c r="D304" s="3" t="s">
        <v>933</v>
      </c>
      <c r="E304" s="3" t="s">
        <v>13</v>
      </c>
      <c r="F304" s="3" t="s">
        <v>14</v>
      </c>
      <c r="G304" s="6" t="s">
        <v>22</v>
      </c>
      <c r="H304" s="6" t="s">
        <v>23</v>
      </c>
      <c r="I304" s="5">
        <v>2084490000</v>
      </c>
      <c r="J304" s="5">
        <v>2076845000</v>
      </c>
      <c r="K304" s="5">
        <v>2305712000</v>
      </c>
      <c r="L304" s="5">
        <v>2023573000</v>
      </c>
    </row>
    <row r="305" spans="1:12" ht="15.75" customHeight="1">
      <c r="A305" s="2" t="s">
        <v>934</v>
      </c>
      <c r="B305" s="3" t="s">
        <v>935</v>
      </c>
      <c r="C305" s="3" t="s">
        <v>12</v>
      </c>
      <c r="D305" s="3" t="s">
        <v>936</v>
      </c>
      <c r="E305" s="3" t="s">
        <v>13</v>
      </c>
      <c r="F305" s="3" t="s">
        <v>14</v>
      </c>
      <c r="G305" s="6" t="s">
        <v>18</v>
      </c>
      <c r="H305" s="4"/>
      <c r="I305" s="5">
        <v>10571000</v>
      </c>
      <c r="J305" s="5">
        <v>11250000</v>
      </c>
      <c r="K305" s="5">
        <v>12777000</v>
      </c>
      <c r="L305" s="5">
        <v>9320000</v>
      </c>
    </row>
    <row r="306" spans="1:12" ht="28.5" customHeight="1">
      <c r="A306" s="2" t="s">
        <v>937</v>
      </c>
      <c r="B306" s="3" t="s">
        <v>938</v>
      </c>
      <c r="C306" s="3" t="s">
        <v>12</v>
      </c>
      <c r="D306" s="3" t="s">
        <v>939</v>
      </c>
      <c r="E306" s="3" t="s">
        <v>13</v>
      </c>
      <c r="F306" s="3" t="s">
        <v>14</v>
      </c>
      <c r="G306" s="6" t="s">
        <v>18</v>
      </c>
      <c r="H306" s="4"/>
      <c r="I306" s="5"/>
      <c r="J306" s="5">
        <v>23248000</v>
      </c>
      <c r="K306" s="5"/>
      <c r="L306" s="5">
        <v>15355000</v>
      </c>
    </row>
    <row r="307" spans="1:12" ht="28.5" customHeight="1">
      <c r="A307" s="2" t="s">
        <v>940</v>
      </c>
      <c r="B307" s="3" t="s">
        <v>941</v>
      </c>
      <c r="C307" s="3" t="s">
        <v>12</v>
      </c>
      <c r="D307" s="3" t="s">
        <v>942</v>
      </c>
      <c r="E307" s="3" t="s">
        <v>13</v>
      </c>
      <c r="F307" s="3" t="s">
        <v>14</v>
      </c>
      <c r="G307" s="6" t="s">
        <v>22</v>
      </c>
      <c r="H307" s="4"/>
      <c r="I307" s="5">
        <v>52199000</v>
      </c>
      <c r="J307" s="5">
        <v>72485000</v>
      </c>
      <c r="K307" s="5">
        <v>52356000</v>
      </c>
      <c r="L307" s="5">
        <v>66299000</v>
      </c>
    </row>
    <row r="308" spans="1:12" ht="28.5" customHeight="1">
      <c r="A308" s="2" t="s">
        <v>943</v>
      </c>
      <c r="B308" s="3" t="s">
        <v>944</v>
      </c>
      <c r="C308" s="3" t="s">
        <v>12</v>
      </c>
      <c r="D308" s="3" t="s">
        <v>945</v>
      </c>
      <c r="E308" s="3" t="s">
        <v>13</v>
      </c>
      <c r="F308" s="3" t="s">
        <v>14</v>
      </c>
      <c r="G308" s="6" t="s">
        <v>18</v>
      </c>
      <c r="H308" s="4"/>
      <c r="I308" s="5">
        <v>99997000</v>
      </c>
      <c r="J308" s="5">
        <v>106466000</v>
      </c>
      <c r="K308" s="5">
        <v>95431000</v>
      </c>
      <c r="L308" s="5">
        <v>113200000</v>
      </c>
    </row>
    <row r="309" spans="1:12" ht="67.5" customHeight="1">
      <c r="A309" s="2" t="s">
        <v>946</v>
      </c>
      <c r="B309" s="3" t="s">
        <v>947</v>
      </c>
      <c r="C309" s="3" t="s">
        <v>12</v>
      </c>
      <c r="D309" s="3" t="s">
        <v>948</v>
      </c>
      <c r="E309" s="3" t="s">
        <v>13</v>
      </c>
      <c r="F309" s="3" t="s">
        <v>25</v>
      </c>
      <c r="G309" s="6" t="s">
        <v>18</v>
      </c>
      <c r="H309" s="4"/>
      <c r="I309" s="5"/>
      <c r="J309" s="5"/>
      <c r="K309" s="5"/>
      <c r="L309" s="5"/>
    </row>
    <row r="310" spans="1:12" ht="15.75" customHeight="1">
      <c r="A310" s="2" t="s">
        <v>949</v>
      </c>
      <c r="B310" s="3" t="s">
        <v>950</v>
      </c>
      <c r="C310" s="3" t="s">
        <v>12</v>
      </c>
      <c r="D310" s="3" t="s">
        <v>951</v>
      </c>
      <c r="E310" s="3" t="s">
        <v>13</v>
      </c>
      <c r="F310" s="3" t="s">
        <v>14</v>
      </c>
      <c r="G310" s="6" t="s">
        <v>23</v>
      </c>
      <c r="H310" s="4"/>
      <c r="I310" s="5"/>
      <c r="J310" s="5"/>
      <c r="K310" s="5"/>
      <c r="L310" s="5"/>
    </row>
    <row r="311" spans="1:12" ht="15.75" customHeight="1">
      <c r="A311" s="2" t="s">
        <v>952</v>
      </c>
      <c r="B311" s="3" t="s">
        <v>953</v>
      </c>
      <c r="C311" s="3" t="s">
        <v>12</v>
      </c>
      <c r="D311" s="3" t="s">
        <v>954</v>
      </c>
      <c r="E311" s="3" t="s">
        <v>13</v>
      </c>
      <c r="F311" s="3" t="s">
        <v>14</v>
      </c>
      <c r="G311" s="6" t="s">
        <v>18</v>
      </c>
      <c r="H311" s="4"/>
      <c r="I311" s="5">
        <v>22655000</v>
      </c>
      <c r="J311" s="5">
        <v>13957000</v>
      </c>
      <c r="K311" s="5">
        <v>19518000</v>
      </c>
      <c r="L311" s="5">
        <v>16560000</v>
      </c>
    </row>
    <row r="312" spans="1:12" ht="28.5" customHeight="1">
      <c r="A312" s="2" t="s">
        <v>955</v>
      </c>
      <c r="B312" s="3" t="s">
        <v>956</v>
      </c>
      <c r="C312" s="3" t="s">
        <v>12</v>
      </c>
      <c r="D312" s="3" t="s">
        <v>957</v>
      </c>
      <c r="E312" s="3" t="s">
        <v>13</v>
      </c>
      <c r="F312" s="3" t="s">
        <v>14</v>
      </c>
      <c r="G312" s="6" t="s">
        <v>18</v>
      </c>
      <c r="H312" s="4"/>
      <c r="I312" s="5">
        <v>306000</v>
      </c>
      <c r="J312" s="5">
        <v>372000</v>
      </c>
      <c r="K312" s="5">
        <v>580000</v>
      </c>
      <c r="L312" s="5">
        <v>134000</v>
      </c>
    </row>
    <row r="313" spans="1:12" ht="15.75" customHeight="1">
      <c r="A313" s="2" t="s">
        <v>958</v>
      </c>
      <c r="B313" s="3" t="s">
        <v>959</v>
      </c>
      <c r="C313" s="3" t="s">
        <v>12</v>
      </c>
      <c r="D313" s="3" t="s">
        <v>960</v>
      </c>
      <c r="E313" s="3" t="s">
        <v>13</v>
      </c>
      <c r="F313" s="3" t="s">
        <v>14</v>
      </c>
      <c r="G313" s="6" t="s">
        <v>302</v>
      </c>
      <c r="H313" s="6" t="s">
        <v>23</v>
      </c>
      <c r="I313" s="5">
        <v>220541000</v>
      </c>
      <c r="J313" s="5">
        <v>439278000</v>
      </c>
      <c r="K313" s="5">
        <v>175444000</v>
      </c>
      <c r="L313" s="5">
        <v>475360000</v>
      </c>
    </row>
    <row r="314" spans="1:12" ht="15.75" customHeight="1">
      <c r="A314" s="2" t="s">
        <v>961</v>
      </c>
      <c r="B314" s="3" t="s">
        <v>962</v>
      </c>
      <c r="C314" s="3" t="s">
        <v>12</v>
      </c>
      <c r="D314" s="3" t="s">
        <v>963</v>
      </c>
      <c r="E314" s="3" t="s">
        <v>13</v>
      </c>
      <c r="F314" s="3" t="s">
        <v>14</v>
      </c>
      <c r="G314" s="6" t="s">
        <v>22</v>
      </c>
      <c r="H314" s="6" t="s">
        <v>23</v>
      </c>
      <c r="I314" s="5"/>
      <c r="J314" s="5">
        <v>1459022000</v>
      </c>
      <c r="K314" s="5"/>
      <c r="L314" s="5">
        <v>724737000</v>
      </c>
    </row>
    <row r="315" spans="1:12" ht="15.75" customHeight="1">
      <c r="A315" s="2" t="s">
        <v>964</v>
      </c>
      <c r="B315" s="3" t="s">
        <v>965</v>
      </c>
      <c r="C315" s="3" t="s">
        <v>12</v>
      </c>
      <c r="D315" s="3" t="s">
        <v>966</v>
      </c>
      <c r="E315" s="3" t="s">
        <v>13</v>
      </c>
      <c r="F315" s="3" t="s">
        <v>14</v>
      </c>
      <c r="G315" s="6" t="s">
        <v>23</v>
      </c>
      <c r="H315" s="6" t="s">
        <v>23</v>
      </c>
      <c r="I315" s="5">
        <v>4304994000</v>
      </c>
      <c r="J315" s="5">
        <v>4187359000</v>
      </c>
      <c r="K315" s="5">
        <v>4337361000</v>
      </c>
      <c r="L315" s="5">
        <v>4161157000</v>
      </c>
    </row>
    <row r="316" spans="1:12" ht="42" customHeight="1">
      <c r="A316" s="2" t="s">
        <v>967</v>
      </c>
      <c r="B316" s="3" t="s">
        <v>968</v>
      </c>
      <c r="C316" s="3" t="s">
        <v>12</v>
      </c>
      <c r="D316" s="3" t="s">
        <v>969</v>
      </c>
      <c r="E316" s="3" t="s">
        <v>13</v>
      </c>
      <c r="F316" s="3" t="s">
        <v>14</v>
      </c>
      <c r="G316" s="6" t="s">
        <v>18</v>
      </c>
      <c r="H316" s="4"/>
      <c r="I316" s="5"/>
      <c r="J316" s="5">
        <v>161000</v>
      </c>
      <c r="K316" s="5"/>
      <c r="L316" s="5">
        <v>166000</v>
      </c>
    </row>
    <row r="317" spans="1:12" ht="28.5" customHeight="1">
      <c r="A317" s="2" t="s">
        <v>970</v>
      </c>
      <c r="B317" s="3" t="s">
        <v>971</v>
      </c>
      <c r="C317" s="3" t="s">
        <v>12</v>
      </c>
      <c r="D317" s="3" t="s">
        <v>972</v>
      </c>
      <c r="E317" s="3" t="s">
        <v>13</v>
      </c>
      <c r="F317" s="3" t="s">
        <v>14</v>
      </c>
      <c r="G317" s="6" t="s">
        <v>18</v>
      </c>
      <c r="H317" s="4"/>
      <c r="I317" s="5">
        <v>86516000</v>
      </c>
      <c r="J317" s="5">
        <v>105925000</v>
      </c>
      <c r="K317" s="5">
        <v>73220000</v>
      </c>
      <c r="L317" s="5">
        <v>115113000</v>
      </c>
    </row>
    <row r="318" spans="1:12" ht="15.75" customHeight="1">
      <c r="A318" s="2" t="s">
        <v>973</v>
      </c>
      <c r="B318" s="3" t="s">
        <v>974</v>
      </c>
      <c r="C318" s="3" t="s">
        <v>12</v>
      </c>
      <c r="D318" s="3" t="s">
        <v>975</v>
      </c>
      <c r="E318" s="3" t="s">
        <v>13</v>
      </c>
      <c r="F318" s="3" t="s">
        <v>14</v>
      </c>
      <c r="G318" s="6" t="s">
        <v>18</v>
      </c>
      <c r="H318" s="4"/>
      <c r="I318" s="5">
        <v>9295000</v>
      </c>
      <c r="J318" s="5">
        <v>6357000</v>
      </c>
      <c r="K318" s="5">
        <v>7935000</v>
      </c>
      <c r="L318" s="5">
        <v>9893000</v>
      </c>
    </row>
    <row r="319" spans="1:12" ht="28.5" customHeight="1">
      <c r="A319" s="2" t="s">
        <v>976</v>
      </c>
      <c r="B319" s="3" t="s">
        <v>977</v>
      </c>
      <c r="C319" s="3" t="s">
        <v>12</v>
      </c>
      <c r="D319" s="3" t="s">
        <v>978</v>
      </c>
      <c r="E319" s="3" t="s">
        <v>13</v>
      </c>
      <c r="F319" s="3" t="s">
        <v>14</v>
      </c>
      <c r="G319" s="6" t="s">
        <v>77</v>
      </c>
      <c r="H319" s="4"/>
      <c r="I319" s="5">
        <v>14878000</v>
      </c>
      <c r="J319" s="5">
        <v>11525000</v>
      </c>
      <c r="K319" s="5">
        <v>14613000</v>
      </c>
      <c r="L319" s="5">
        <v>13019000</v>
      </c>
    </row>
    <row r="320" spans="1:12" ht="28.5" customHeight="1">
      <c r="A320" s="2" t="s">
        <v>979</v>
      </c>
      <c r="B320" s="3" t="s">
        <v>980</v>
      </c>
      <c r="C320" s="3" t="s">
        <v>12</v>
      </c>
      <c r="D320" s="3" t="s">
        <v>981</v>
      </c>
      <c r="E320" s="3" t="s">
        <v>13</v>
      </c>
      <c r="F320" s="3" t="s">
        <v>14</v>
      </c>
      <c r="G320" s="6" t="s">
        <v>18</v>
      </c>
      <c r="H320" s="4"/>
      <c r="I320" s="5">
        <v>135000</v>
      </c>
      <c r="J320" s="5">
        <v>40000</v>
      </c>
      <c r="K320" s="5">
        <v>128000</v>
      </c>
      <c r="L320" s="5">
        <v>100000</v>
      </c>
    </row>
    <row r="321" spans="1:12" ht="28.5" customHeight="1">
      <c r="A321" s="2" t="s">
        <v>982</v>
      </c>
      <c r="B321" s="3" t="s">
        <v>983</v>
      </c>
      <c r="C321" s="3" t="s">
        <v>12</v>
      </c>
      <c r="D321" s="3" t="s">
        <v>984</v>
      </c>
      <c r="E321" s="3" t="s">
        <v>13</v>
      </c>
      <c r="F321" s="3" t="s">
        <v>25</v>
      </c>
      <c r="G321" s="6" t="s">
        <v>18</v>
      </c>
      <c r="H321" s="4"/>
      <c r="I321" s="5">
        <v>2947000</v>
      </c>
      <c r="J321" s="5">
        <v>4880000</v>
      </c>
      <c r="K321" s="5">
        <v>4856000</v>
      </c>
      <c r="L321" s="5">
        <v>4643000</v>
      </c>
    </row>
    <row r="322" spans="1:12" ht="15.75" customHeight="1">
      <c r="A322" s="2" t="s">
        <v>985</v>
      </c>
      <c r="B322" s="3" t="s">
        <v>986</v>
      </c>
      <c r="C322" s="3" t="s">
        <v>12</v>
      </c>
      <c r="D322" s="3" t="s">
        <v>987</v>
      </c>
      <c r="E322" s="3" t="s">
        <v>13</v>
      </c>
      <c r="F322" s="3" t="s">
        <v>25</v>
      </c>
      <c r="G322" s="6" t="s">
        <v>18</v>
      </c>
      <c r="H322" s="4"/>
      <c r="I322" s="5">
        <v>2077000</v>
      </c>
      <c r="J322" s="5">
        <v>4628000</v>
      </c>
      <c r="K322" s="5">
        <v>2723000</v>
      </c>
      <c r="L322" s="5">
        <v>3378000</v>
      </c>
    </row>
    <row r="323" spans="1:12" ht="28.5" customHeight="1">
      <c r="A323" s="2" t="s">
        <v>988</v>
      </c>
      <c r="B323" s="3" t="s">
        <v>989</v>
      </c>
      <c r="C323" s="3" t="s">
        <v>12</v>
      </c>
      <c r="D323" s="3" t="s">
        <v>990</v>
      </c>
      <c r="E323" s="3" t="s">
        <v>13</v>
      </c>
      <c r="F323" s="3" t="s">
        <v>14</v>
      </c>
      <c r="G323" s="6" t="s">
        <v>22</v>
      </c>
      <c r="H323" s="4"/>
      <c r="I323" s="5">
        <v>76363000</v>
      </c>
      <c r="J323" s="5">
        <v>73320000</v>
      </c>
      <c r="K323" s="5">
        <v>67744000</v>
      </c>
      <c r="L323" s="5">
        <v>71786000</v>
      </c>
    </row>
    <row r="324" spans="1:12" ht="15.75" customHeight="1">
      <c r="A324" s="2" t="s">
        <v>991</v>
      </c>
      <c r="B324" s="3" t="s">
        <v>992</v>
      </c>
      <c r="C324" s="3" t="s">
        <v>12</v>
      </c>
      <c r="D324" s="3" t="s">
        <v>993</v>
      </c>
      <c r="E324" s="3" t="s">
        <v>13</v>
      </c>
      <c r="F324" s="3" t="s">
        <v>14</v>
      </c>
      <c r="G324" s="6" t="s">
        <v>18</v>
      </c>
      <c r="H324" s="4"/>
      <c r="I324" s="5">
        <v>764000</v>
      </c>
      <c r="J324" s="5">
        <v>4364000</v>
      </c>
      <c r="K324" s="5">
        <v>794000</v>
      </c>
      <c r="L324" s="5">
        <v>1986000</v>
      </c>
    </row>
    <row r="325" spans="1:12" ht="54.75" customHeight="1">
      <c r="A325" s="2" t="s">
        <v>994</v>
      </c>
      <c r="B325" s="3" t="s">
        <v>995</v>
      </c>
      <c r="C325" s="3" t="s">
        <v>12</v>
      </c>
      <c r="D325" s="3" t="s">
        <v>996</v>
      </c>
      <c r="E325" s="3" t="s">
        <v>13</v>
      </c>
      <c r="F325" s="3" t="s">
        <v>25</v>
      </c>
      <c r="G325" s="6" t="s">
        <v>18</v>
      </c>
      <c r="H325" s="4"/>
      <c r="I325" s="5">
        <v>3120000</v>
      </c>
      <c r="J325" s="5">
        <v>2730000</v>
      </c>
      <c r="K325" s="5">
        <v>3216000</v>
      </c>
      <c r="L325" s="5">
        <v>2805000</v>
      </c>
    </row>
    <row r="326" spans="1:12" ht="67.5" customHeight="1">
      <c r="A326" s="2" t="s">
        <v>997</v>
      </c>
      <c r="B326" s="3" t="s">
        <v>998</v>
      </c>
      <c r="C326" s="3" t="s">
        <v>12</v>
      </c>
      <c r="D326" s="3" t="s">
        <v>999</v>
      </c>
      <c r="E326" s="3" t="s">
        <v>13</v>
      </c>
      <c r="F326" s="3" t="s">
        <v>14</v>
      </c>
      <c r="G326" s="6" t="s">
        <v>18</v>
      </c>
      <c r="H326" s="4"/>
      <c r="I326" s="5"/>
      <c r="J326" s="5"/>
      <c r="K326" s="5"/>
      <c r="L326" s="5"/>
    </row>
    <row r="327" spans="1:12" ht="28.5" customHeight="1">
      <c r="A327" s="2" t="s">
        <v>1000</v>
      </c>
      <c r="B327" s="3" t="s">
        <v>1001</v>
      </c>
      <c r="C327" s="3" t="s">
        <v>12</v>
      </c>
      <c r="D327" s="3" t="s">
        <v>1002</v>
      </c>
      <c r="E327" s="3" t="s">
        <v>13</v>
      </c>
      <c r="F327" s="3" t="s">
        <v>14</v>
      </c>
      <c r="G327" s="6" t="s">
        <v>18</v>
      </c>
      <c r="H327" s="4"/>
      <c r="I327" s="5"/>
      <c r="J327" s="5"/>
      <c r="K327" s="5"/>
      <c r="L327" s="5"/>
    </row>
    <row r="328" spans="1:12" ht="28.5" customHeight="1">
      <c r="A328" s="2" t="s">
        <v>1003</v>
      </c>
      <c r="B328" s="3" t="s">
        <v>1004</v>
      </c>
      <c r="C328" s="3" t="s">
        <v>12</v>
      </c>
      <c r="D328" s="3" t="s">
        <v>1005</v>
      </c>
      <c r="E328" s="3" t="s">
        <v>13</v>
      </c>
      <c r="F328" s="3" t="s">
        <v>14</v>
      </c>
      <c r="G328" s="6" t="s">
        <v>22</v>
      </c>
      <c r="H328" s="4"/>
      <c r="I328" s="5">
        <v>11417000</v>
      </c>
      <c r="J328" s="5">
        <v>13197000</v>
      </c>
      <c r="K328" s="5">
        <v>18444000</v>
      </c>
      <c r="L328" s="5">
        <v>14304000</v>
      </c>
    </row>
    <row r="329" spans="1:12" ht="15.75" customHeight="1">
      <c r="A329" s="2" t="s">
        <v>1006</v>
      </c>
      <c r="B329" s="3" t="s">
        <v>1007</v>
      </c>
      <c r="C329" s="3" t="s">
        <v>12</v>
      </c>
      <c r="D329" s="3" t="s">
        <v>1008</v>
      </c>
      <c r="E329" s="3" t="s">
        <v>13</v>
      </c>
      <c r="F329" s="3" t="s">
        <v>14</v>
      </c>
      <c r="G329" s="6" t="s">
        <v>77</v>
      </c>
      <c r="H329" s="4"/>
      <c r="I329" s="5">
        <v>22650000</v>
      </c>
      <c r="J329" s="5">
        <v>15257000</v>
      </c>
      <c r="K329" s="5">
        <v>28246000</v>
      </c>
      <c r="L329" s="5">
        <v>17794000</v>
      </c>
    </row>
    <row r="330" spans="1:12" ht="28.5" customHeight="1">
      <c r="A330" s="2" t="s">
        <v>1009</v>
      </c>
      <c r="B330" s="3" t="s">
        <v>1010</v>
      </c>
      <c r="C330" s="3" t="s">
        <v>12</v>
      </c>
      <c r="D330" s="3" t="s">
        <v>1011</v>
      </c>
      <c r="E330" s="3" t="s">
        <v>13</v>
      </c>
      <c r="F330" s="3" t="s">
        <v>14</v>
      </c>
      <c r="G330" s="6" t="s">
        <v>18</v>
      </c>
      <c r="H330" s="4"/>
      <c r="I330" s="5">
        <v>23000</v>
      </c>
      <c r="J330" s="5">
        <v>3360000</v>
      </c>
      <c r="K330" s="5">
        <v>479000</v>
      </c>
      <c r="L330" s="5">
        <v>10545000</v>
      </c>
    </row>
    <row r="331" spans="1:12" ht="28.5" customHeight="1">
      <c r="A331" s="2" t="s">
        <v>1012</v>
      </c>
      <c r="B331" s="3" t="s">
        <v>1013</v>
      </c>
      <c r="C331" s="3" t="s">
        <v>12</v>
      </c>
      <c r="D331" s="3" t="s">
        <v>1014</v>
      </c>
      <c r="E331" s="3" t="s">
        <v>13</v>
      </c>
      <c r="F331" s="3" t="s">
        <v>14</v>
      </c>
      <c r="G331" s="6" t="s">
        <v>18</v>
      </c>
      <c r="H331" s="4"/>
      <c r="I331" s="5">
        <v>38772000</v>
      </c>
      <c r="J331" s="5">
        <v>34515000</v>
      </c>
      <c r="K331" s="5">
        <v>42617000</v>
      </c>
      <c r="L331" s="5">
        <v>34813000</v>
      </c>
    </row>
    <row r="332" spans="1:12" ht="28.5" customHeight="1">
      <c r="A332" s="2" t="s">
        <v>1015</v>
      </c>
      <c r="B332" s="3" t="s">
        <v>1016</v>
      </c>
      <c r="C332" s="3" t="s">
        <v>12</v>
      </c>
      <c r="D332" s="3" t="s">
        <v>1017</v>
      </c>
      <c r="E332" s="3" t="s">
        <v>13</v>
      </c>
      <c r="F332" s="3" t="s">
        <v>14</v>
      </c>
      <c r="G332" s="6" t="s">
        <v>18</v>
      </c>
      <c r="H332" s="4"/>
      <c r="I332" s="5"/>
      <c r="J332" s="5"/>
      <c r="K332" s="5"/>
      <c r="L332" s="5"/>
    </row>
    <row r="333" spans="1:12" ht="42" customHeight="1">
      <c r="A333" s="2" t="s">
        <v>1018</v>
      </c>
      <c r="B333" s="3" t="s">
        <v>1019</v>
      </c>
      <c r="C333" s="3" t="s">
        <v>12</v>
      </c>
      <c r="D333" s="3" t="s">
        <v>1020</v>
      </c>
      <c r="E333" s="3" t="s">
        <v>13</v>
      </c>
      <c r="F333" s="3" t="s">
        <v>25</v>
      </c>
      <c r="G333" s="6" t="s">
        <v>18</v>
      </c>
      <c r="H333" s="4"/>
      <c r="I333" s="5">
        <v>291000</v>
      </c>
      <c r="J333" s="5">
        <v>263000</v>
      </c>
      <c r="K333" s="5">
        <v>233000</v>
      </c>
      <c r="L333" s="5">
        <v>28000</v>
      </c>
    </row>
    <row r="334" spans="1:12" ht="28.5" customHeight="1">
      <c r="A334" s="2" t="s">
        <v>1021</v>
      </c>
      <c r="B334" s="3" t="s">
        <v>1022</v>
      </c>
      <c r="C334" s="3" t="s">
        <v>12</v>
      </c>
      <c r="D334" s="3" t="s">
        <v>1023</v>
      </c>
      <c r="E334" s="3" t="s">
        <v>13</v>
      </c>
      <c r="F334" s="3" t="s">
        <v>14</v>
      </c>
      <c r="G334" s="6" t="s">
        <v>18</v>
      </c>
      <c r="H334" s="4"/>
      <c r="I334" s="5">
        <v>11819000</v>
      </c>
      <c r="J334" s="5">
        <v>22778000</v>
      </c>
      <c r="K334" s="5">
        <v>14110000</v>
      </c>
      <c r="L334" s="5">
        <v>11865000</v>
      </c>
    </row>
    <row r="335" spans="1:12" ht="28.5" customHeight="1">
      <c r="A335" s="2" t="s">
        <v>1024</v>
      </c>
      <c r="B335" s="3" t="s">
        <v>1025</v>
      </c>
      <c r="C335" s="3" t="s">
        <v>12</v>
      </c>
      <c r="D335" s="3" t="s">
        <v>1026</v>
      </c>
      <c r="E335" s="3" t="s">
        <v>13</v>
      </c>
      <c r="F335" s="3" t="s">
        <v>14</v>
      </c>
      <c r="G335" s="6" t="s">
        <v>18</v>
      </c>
      <c r="H335" s="4"/>
      <c r="I335" s="5">
        <v>7932000</v>
      </c>
      <c r="J335" s="5">
        <v>4686000</v>
      </c>
      <c r="K335" s="5">
        <v>3806000</v>
      </c>
      <c r="L335" s="5">
        <v>5011000</v>
      </c>
    </row>
    <row r="336" spans="1:12" ht="28.5" customHeight="1">
      <c r="A336" s="2" t="s">
        <v>1027</v>
      </c>
      <c r="B336" s="3" t="s">
        <v>1028</v>
      </c>
      <c r="C336" s="3" t="s">
        <v>12</v>
      </c>
      <c r="D336" s="3" t="s">
        <v>1029</v>
      </c>
      <c r="E336" s="3" t="s">
        <v>13</v>
      </c>
      <c r="F336" s="3" t="s">
        <v>25</v>
      </c>
      <c r="G336" s="6" t="s">
        <v>18</v>
      </c>
      <c r="H336" s="4"/>
      <c r="I336" s="5"/>
      <c r="J336" s="5"/>
      <c r="K336" s="5"/>
      <c r="L336" s="5"/>
    </row>
    <row r="337" spans="1:12" ht="15.75" customHeight="1">
      <c r="A337" s="2" t="s">
        <v>1030</v>
      </c>
      <c r="B337" s="3" t="s">
        <v>1031</v>
      </c>
      <c r="C337" s="3" t="s">
        <v>12</v>
      </c>
      <c r="D337" s="3" t="s">
        <v>1032</v>
      </c>
      <c r="E337" s="3" t="s">
        <v>13</v>
      </c>
      <c r="F337" s="3" t="s">
        <v>14</v>
      </c>
      <c r="G337" s="6" t="s">
        <v>18</v>
      </c>
      <c r="H337" s="4"/>
      <c r="I337" s="5">
        <v>6008000</v>
      </c>
      <c r="J337" s="5">
        <v>528000</v>
      </c>
      <c r="K337" s="5">
        <v>633000</v>
      </c>
      <c r="L337" s="5">
        <v>5886000</v>
      </c>
    </row>
    <row r="338" spans="1:12" ht="28.5" customHeight="1">
      <c r="A338" s="2" t="s">
        <v>1033</v>
      </c>
      <c r="B338" s="3" t="s">
        <v>1034</v>
      </c>
      <c r="C338" s="3" t="s">
        <v>12</v>
      </c>
      <c r="D338" s="3" t="s">
        <v>1035</v>
      </c>
      <c r="E338" s="3" t="s">
        <v>13</v>
      </c>
      <c r="F338" s="3" t="s">
        <v>14</v>
      </c>
      <c r="G338" s="6" t="s">
        <v>22</v>
      </c>
      <c r="H338" s="4"/>
      <c r="I338" s="5"/>
      <c r="J338" s="5"/>
      <c r="K338" s="5"/>
      <c r="L338" s="5"/>
    </row>
    <row r="339" spans="1:12" ht="28.5" customHeight="1">
      <c r="A339" s="2" t="s">
        <v>1036</v>
      </c>
      <c r="B339" s="3" t="s">
        <v>1037</v>
      </c>
      <c r="C339" s="3" t="s">
        <v>12</v>
      </c>
      <c r="D339" s="3" t="s">
        <v>1038</v>
      </c>
      <c r="E339" s="3" t="s">
        <v>13</v>
      </c>
      <c r="F339" s="3" t="s">
        <v>25</v>
      </c>
      <c r="G339" s="6" t="s">
        <v>18</v>
      </c>
      <c r="H339" s="4"/>
      <c r="I339" s="5">
        <v>117000</v>
      </c>
      <c r="J339" s="5">
        <v>113000</v>
      </c>
      <c r="K339" s="5">
        <v>118000</v>
      </c>
      <c r="L339" s="5">
        <v>113000</v>
      </c>
    </row>
    <row r="340" spans="1:12" ht="42" customHeight="1">
      <c r="A340" s="2" t="s">
        <v>1039</v>
      </c>
      <c r="B340" s="3" t="s">
        <v>1040</v>
      </c>
      <c r="C340" s="3" t="s">
        <v>12</v>
      </c>
      <c r="D340" s="3" t="s">
        <v>1041</v>
      </c>
      <c r="E340" s="3" t="s">
        <v>13</v>
      </c>
      <c r="F340" s="3" t="s">
        <v>25</v>
      </c>
      <c r="G340" s="6" t="s">
        <v>77</v>
      </c>
      <c r="H340" s="4"/>
      <c r="I340" s="5">
        <v>320527000</v>
      </c>
      <c r="J340" s="5">
        <v>56150000</v>
      </c>
      <c r="K340" s="5">
        <v>198011000</v>
      </c>
      <c r="L340" s="5">
        <v>40535000</v>
      </c>
    </row>
    <row r="341" spans="1:12" ht="15.75" customHeight="1">
      <c r="A341" s="2" t="s">
        <v>1042</v>
      </c>
      <c r="B341" s="3" t="s">
        <v>1043</v>
      </c>
      <c r="C341" s="3" t="s">
        <v>12</v>
      </c>
      <c r="D341" s="3" t="s">
        <v>1044</v>
      </c>
      <c r="E341" s="3" t="s">
        <v>13</v>
      </c>
      <c r="F341" s="3" t="s">
        <v>14</v>
      </c>
      <c r="G341" s="6" t="s">
        <v>18</v>
      </c>
      <c r="H341" s="4"/>
      <c r="I341" s="5">
        <v>968000</v>
      </c>
      <c r="J341" s="5"/>
      <c r="K341" s="5">
        <v>826000</v>
      </c>
      <c r="L341" s="5"/>
    </row>
    <row r="342" spans="1:12" ht="28.5" customHeight="1">
      <c r="A342" s="2" t="s">
        <v>1045</v>
      </c>
      <c r="B342" s="3" t="s">
        <v>1046</v>
      </c>
      <c r="C342" s="3" t="s">
        <v>12</v>
      </c>
      <c r="D342" s="3" t="s">
        <v>1047</v>
      </c>
      <c r="E342" s="3" t="s">
        <v>13</v>
      </c>
      <c r="F342" s="3" t="s">
        <v>14</v>
      </c>
      <c r="G342" s="6" t="s">
        <v>18</v>
      </c>
      <c r="H342" s="4"/>
      <c r="I342" s="5">
        <v>191686000</v>
      </c>
      <c r="J342" s="5">
        <v>125944000</v>
      </c>
      <c r="K342" s="5">
        <v>144937000</v>
      </c>
      <c r="L342" s="5">
        <v>118273000</v>
      </c>
    </row>
    <row r="343" spans="1:12" ht="15.75" customHeight="1">
      <c r="A343" s="2" t="s">
        <v>1048</v>
      </c>
      <c r="B343" s="3" t="s">
        <v>1049</v>
      </c>
      <c r="C343" s="3" t="s">
        <v>12</v>
      </c>
      <c r="D343" s="3" t="s">
        <v>1050</v>
      </c>
      <c r="E343" s="3" t="s">
        <v>13</v>
      </c>
      <c r="F343" s="3" t="s">
        <v>14</v>
      </c>
      <c r="G343" s="6" t="s">
        <v>18</v>
      </c>
      <c r="H343" s="4"/>
      <c r="I343" s="5">
        <v>38990000</v>
      </c>
      <c r="J343" s="5">
        <v>7162000</v>
      </c>
      <c r="K343" s="5">
        <v>55460000</v>
      </c>
      <c r="L343" s="5">
        <v>23252000</v>
      </c>
    </row>
    <row r="344" spans="1:12" ht="28.5" customHeight="1">
      <c r="A344" s="2" t="s">
        <v>1051</v>
      </c>
      <c r="B344" s="3" t="s">
        <v>1052</v>
      </c>
      <c r="C344" s="3" t="s">
        <v>12</v>
      </c>
      <c r="D344" s="3" t="s">
        <v>1053</v>
      </c>
      <c r="E344" s="3" t="s">
        <v>13</v>
      </c>
      <c r="F344" s="3" t="s">
        <v>14</v>
      </c>
      <c r="G344" s="6" t="s">
        <v>18</v>
      </c>
      <c r="H344" s="4"/>
      <c r="I344" s="5"/>
      <c r="J344" s="5">
        <v>1400000</v>
      </c>
      <c r="K344" s="5"/>
      <c r="L344" s="5">
        <v>373000</v>
      </c>
    </row>
    <row r="345" spans="1:12" ht="28.5" customHeight="1">
      <c r="A345" s="2" t="s">
        <v>1054</v>
      </c>
      <c r="B345" s="3" t="s">
        <v>1055</v>
      </c>
      <c r="C345" s="3" t="s">
        <v>12</v>
      </c>
      <c r="D345" s="3" t="s">
        <v>1056</v>
      </c>
      <c r="E345" s="3" t="s">
        <v>13</v>
      </c>
      <c r="F345" s="3" t="s">
        <v>25</v>
      </c>
      <c r="G345" s="6" t="s">
        <v>18</v>
      </c>
      <c r="H345" s="4"/>
      <c r="I345" s="5"/>
      <c r="J345" s="5">
        <v>8534000</v>
      </c>
      <c r="K345" s="5"/>
      <c r="L345" s="5">
        <v>9521000</v>
      </c>
    </row>
    <row r="346" spans="1:12" ht="28.5" customHeight="1">
      <c r="A346" s="2" t="s">
        <v>1057</v>
      </c>
      <c r="B346" s="3" t="s">
        <v>1058</v>
      </c>
      <c r="C346" s="3" t="s">
        <v>12</v>
      </c>
      <c r="D346" s="3" t="s">
        <v>1059</v>
      </c>
      <c r="E346" s="3" t="s">
        <v>13</v>
      </c>
      <c r="F346" s="3" t="s">
        <v>14</v>
      </c>
      <c r="G346" s="6" t="s">
        <v>18</v>
      </c>
      <c r="H346" s="4"/>
      <c r="I346" s="5">
        <v>147000</v>
      </c>
      <c r="J346" s="5"/>
      <c r="K346" s="5">
        <v>147000</v>
      </c>
      <c r="L346" s="5"/>
    </row>
    <row r="347" spans="1:12" ht="15.75" customHeight="1">
      <c r="A347" s="2" t="s">
        <v>1060</v>
      </c>
      <c r="B347" s="3" t="s">
        <v>1061</v>
      </c>
      <c r="C347" s="3" t="s">
        <v>12</v>
      </c>
      <c r="D347" s="3" t="s">
        <v>1062</v>
      </c>
      <c r="E347" s="3" t="s">
        <v>13</v>
      </c>
      <c r="F347" s="3" t="s">
        <v>14</v>
      </c>
      <c r="G347" s="6" t="s">
        <v>77</v>
      </c>
      <c r="H347" s="4"/>
      <c r="I347" s="5">
        <v>138185000</v>
      </c>
      <c r="J347" s="5">
        <v>42858000</v>
      </c>
      <c r="K347" s="5">
        <v>28901000</v>
      </c>
      <c r="L347" s="5">
        <v>30540000</v>
      </c>
    </row>
    <row r="348" spans="1:12" ht="28.5" customHeight="1">
      <c r="A348" s="2" t="s">
        <v>1063</v>
      </c>
      <c r="B348" s="3" t="s">
        <v>1064</v>
      </c>
      <c r="C348" s="3" t="s">
        <v>12</v>
      </c>
      <c r="D348" s="3" t="s">
        <v>1065</v>
      </c>
      <c r="E348" s="3" t="s">
        <v>13</v>
      </c>
      <c r="F348" s="3" t="s">
        <v>14</v>
      </c>
      <c r="G348" s="6" t="s">
        <v>18</v>
      </c>
      <c r="H348" s="4"/>
      <c r="I348" s="5">
        <v>176000</v>
      </c>
      <c r="J348" s="5"/>
      <c r="K348" s="5">
        <v>187000</v>
      </c>
      <c r="L348" s="5"/>
    </row>
    <row r="349" spans="1:12" ht="15.75" customHeight="1">
      <c r="A349" s="2" t="s">
        <v>1066</v>
      </c>
      <c r="B349" s="3" t="s">
        <v>1067</v>
      </c>
      <c r="C349" s="3" t="s">
        <v>12</v>
      </c>
      <c r="D349" s="3" t="s">
        <v>1068</v>
      </c>
      <c r="E349" s="3" t="s">
        <v>13</v>
      </c>
      <c r="F349" s="3" t="s">
        <v>24</v>
      </c>
      <c r="G349" s="6" t="s">
        <v>18</v>
      </c>
      <c r="H349" s="4"/>
      <c r="I349" s="5">
        <v>262000</v>
      </c>
      <c r="J349" s="5"/>
      <c r="K349" s="5">
        <v>745000</v>
      </c>
      <c r="L349" s="5">
        <v>443000</v>
      </c>
    </row>
    <row r="350" spans="1:12" ht="28.5" customHeight="1">
      <c r="A350" s="2" t="s">
        <v>1069</v>
      </c>
      <c r="B350" s="3" t="s">
        <v>1070</v>
      </c>
      <c r="C350" s="3" t="s">
        <v>12</v>
      </c>
      <c r="D350" s="3" t="s">
        <v>1071</v>
      </c>
      <c r="E350" s="3" t="s">
        <v>13</v>
      </c>
      <c r="F350" s="3" t="s">
        <v>25</v>
      </c>
      <c r="G350" s="6" t="s">
        <v>18</v>
      </c>
      <c r="H350" s="4"/>
      <c r="I350" s="5">
        <v>1030734000</v>
      </c>
      <c r="J350" s="5">
        <v>1208668000</v>
      </c>
      <c r="K350" s="5">
        <v>713230000</v>
      </c>
      <c r="L350" s="5">
        <v>860634000</v>
      </c>
    </row>
    <row r="351" spans="1:12" ht="67.5" customHeight="1">
      <c r="A351" s="2" t="s">
        <v>1072</v>
      </c>
      <c r="B351" s="3" t="s">
        <v>1073</v>
      </c>
      <c r="C351" s="3" t="s">
        <v>12</v>
      </c>
      <c r="D351" s="3" t="s">
        <v>1074</v>
      </c>
      <c r="E351" s="3" t="s">
        <v>13</v>
      </c>
      <c r="F351" s="3" t="s">
        <v>14</v>
      </c>
      <c r="G351" s="6" t="s">
        <v>18</v>
      </c>
      <c r="H351" s="4"/>
      <c r="I351" s="5">
        <v>600000</v>
      </c>
      <c r="J351" s="5">
        <v>3000000</v>
      </c>
      <c r="K351" s="5">
        <v>702000</v>
      </c>
      <c r="L351" s="5">
        <v>6665000</v>
      </c>
    </row>
    <row r="352" spans="1:12" ht="67.5" customHeight="1">
      <c r="A352" s="2" t="s">
        <v>1075</v>
      </c>
      <c r="B352" s="3" t="s">
        <v>1076</v>
      </c>
      <c r="C352" s="3" t="s">
        <v>12</v>
      </c>
      <c r="D352" s="3" t="s">
        <v>1077</v>
      </c>
      <c r="E352" s="3" t="s">
        <v>13</v>
      </c>
      <c r="F352" s="3" t="s">
        <v>25</v>
      </c>
      <c r="G352" s="6" t="s">
        <v>18</v>
      </c>
      <c r="H352" s="4"/>
      <c r="I352" s="5"/>
      <c r="J352" s="5">
        <v>446000</v>
      </c>
      <c r="K352" s="5"/>
      <c r="L352" s="5">
        <v>447000</v>
      </c>
    </row>
    <row r="353" spans="1:12" ht="15.75" customHeight="1">
      <c r="A353" s="2" t="s">
        <v>1078</v>
      </c>
      <c r="B353" s="3" t="s">
        <v>1079</v>
      </c>
      <c r="C353" s="3" t="s">
        <v>12</v>
      </c>
      <c r="D353" s="3" t="s">
        <v>1080</v>
      </c>
      <c r="E353" s="3" t="s">
        <v>13</v>
      </c>
      <c r="F353" s="3" t="s">
        <v>14</v>
      </c>
      <c r="G353" s="6" t="s">
        <v>18</v>
      </c>
      <c r="H353" s="4"/>
      <c r="I353" s="5">
        <v>1086000</v>
      </c>
      <c r="J353" s="5">
        <v>1019000</v>
      </c>
      <c r="K353" s="5">
        <v>1086000</v>
      </c>
      <c r="L353" s="5">
        <v>917000</v>
      </c>
    </row>
    <row r="354" spans="1:12" ht="28.5" customHeight="1">
      <c r="A354" s="2" t="s">
        <v>1081</v>
      </c>
      <c r="B354" s="3" t="s">
        <v>1082</v>
      </c>
      <c r="C354" s="3" t="s">
        <v>12</v>
      </c>
      <c r="D354" s="3" t="s">
        <v>1083</v>
      </c>
      <c r="E354" s="3" t="s">
        <v>13</v>
      </c>
      <c r="F354" s="3" t="s">
        <v>14</v>
      </c>
      <c r="G354" s="6" t="s">
        <v>18</v>
      </c>
      <c r="H354" s="4"/>
      <c r="I354" s="5">
        <v>699587000</v>
      </c>
      <c r="J354" s="5">
        <v>564736000</v>
      </c>
      <c r="K354" s="5">
        <v>1144761000</v>
      </c>
      <c r="L354" s="5">
        <v>901133000</v>
      </c>
    </row>
    <row r="355" spans="1:12" ht="15.75" customHeight="1">
      <c r="A355" s="2" t="s">
        <v>1084</v>
      </c>
      <c r="B355" s="3" t="s">
        <v>1085</v>
      </c>
      <c r="C355" s="3" t="s">
        <v>12</v>
      </c>
      <c r="D355" s="3" t="s">
        <v>1086</v>
      </c>
      <c r="E355" s="3" t="s">
        <v>13</v>
      </c>
      <c r="F355" s="3" t="s">
        <v>14</v>
      </c>
      <c r="G355" s="6" t="s">
        <v>22</v>
      </c>
      <c r="H355" s="4"/>
      <c r="I355" s="5"/>
      <c r="J355" s="5">
        <v>25048000</v>
      </c>
      <c r="K355" s="5"/>
      <c r="L355" s="5">
        <v>35439000</v>
      </c>
    </row>
    <row r="356" spans="1:12" ht="15.75" customHeight="1">
      <c r="A356" s="2" t="s">
        <v>1087</v>
      </c>
      <c r="B356" s="3" t="s">
        <v>1088</v>
      </c>
      <c r="C356" s="3" t="s">
        <v>12</v>
      </c>
      <c r="D356" s="3" t="s">
        <v>1089</v>
      </c>
      <c r="E356" s="3" t="s">
        <v>13</v>
      </c>
      <c r="F356" s="3" t="s">
        <v>14</v>
      </c>
      <c r="G356" s="6" t="s">
        <v>18</v>
      </c>
      <c r="H356" s="4"/>
      <c r="I356" s="5">
        <v>304000</v>
      </c>
      <c r="J356" s="5">
        <v>466000</v>
      </c>
      <c r="K356" s="5">
        <v>680000</v>
      </c>
      <c r="L356" s="5">
        <v>338000</v>
      </c>
    </row>
    <row r="357" spans="1:12" ht="28.5" customHeight="1">
      <c r="A357" s="2" t="s">
        <v>1090</v>
      </c>
      <c r="B357" s="3" t="s">
        <v>1091</v>
      </c>
      <c r="C357" s="3" t="s">
        <v>12</v>
      </c>
      <c r="D357" s="3" t="s">
        <v>1092</v>
      </c>
      <c r="E357" s="3" t="s">
        <v>13</v>
      </c>
      <c r="F357" s="3" t="s">
        <v>25</v>
      </c>
      <c r="G357" s="6" t="s">
        <v>18</v>
      </c>
      <c r="H357" s="4"/>
      <c r="I357" s="5">
        <v>6107000</v>
      </c>
      <c r="J357" s="5">
        <v>3809000</v>
      </c>
      <c r="K357" s="5">
        <v>1983000</v>
      </c>
      <c r="L357" s="5">
        <v>8521000</v>
      </c>
    </row>
    <row r="358" spans="1:12" ht="42" customHeight="1">
      <c r="A358" s="2" t="s">
        <v>1093</v>
      </c>
      <c r="B358" s="3" t="s">
        <v>1094</v>
      </c>
      <c r="C358" s="3" t="s">
        <v>12</v>
      </c>
      <c r="D358" s="3" t="s">
        <v>1095</v>
      </c>
      <c r="E358" s="3" t="s">
        <v>13</v>
      </c>
      <c r="F358" s="3" t="s">
        <v>25</v>
      </c>
      <c r="G358" s="6" t="s">
        <v>18</v>
      </c>
      <c r="H358" s="4"/>
      <c r="I358" s="5">
        <v>1167000</v>
      </c>
      <c r="J358" s="5">
        <v>2511000</v>
      </c>
      <c r="K358" s="5">
        <v>1406000</v>
      </c>
      <c r="L358" s="5">
        <v>2940000</v>
      </c>
    </row>
    <row r="359" spans="1:12" ht="15.75" customHeight="1">
      <c r="A359" s="2" t="s">
        <v>1096</v>
      </c>
      <c r="B359" s="3" t="s">
        <v>1097</v>
      </c>
      <c r="C359" s="3" t="s">
        <v>12</v>
      </c>
      <c r="D359" s="3" t="s">
        <v>1098</v>
      </c>
      <c r="E359" s="3" t="s">
        <v>13</v>
      </c>
      <c r="F359" s="3" t="s">
        <v>14</v>
      </c>
      <c r="G359" s="6" t="s">
        <v>18</v>
      </c>
      <c r="H359" s="4"/>
      <c r="I359" s="5">
        <v>4374000</v>
      </c>
      <c r="J359" s="5">
        <v>6301000</v>
      </c>
      <c r="K359" s="5">
        <v>4392000</v>
      </c>
      <c r="L359" s="5">
        <v>4235000</v>
      </c>
    </row>
    <row r="360" spans="1:12" ht="42" customHeight="1">
      <c r="A360" s="2" t="s">
        <v>1099</v>
      </c>
      <c r="B360" s="3" t="s">
        <v>1100</v>
      </c>
      <c r="C360" s="3" t="s">
        <v>12</v>
      </c>
      <c r="D360" s="3" t="s">
        <v>1101</v>
      </c>
      <c r="E360" s="3" t="s">
        <v>13</v>
      </c>
      <c r="F360" s="3" t="s">
        <v>14</v>
      </c>
      <c r="G360" s="6" t="s">
        <v>18</v>
      </c>
      <c r="H360" s="4"/>
      <c r="I360" s="5">
        <v>173000</v>
      </c>
      <c r="J360" s="5">
        <v>1710000</v>
      </c>
      <c r="K360" s="5">
        <v>717000</v>
      </c>
      <c r="L360" s="5">
        <v>1620000</v>
      </c>
    </row>
    <row r="361" spans="1:12" ht="81" customHeight="1">
      <c r="A361" s="2" t="s">
        <v>1102</v>
      </c>
      <c r="B361" s="3" t="s">
        <v>1103</v>
      </c>
      <c r="C361" s="3" t="s">
        <v>12</v>
      </c>
      <c r="D361" s="3" t="s">
        <v>1104</v>
      </c>
      <c r="E361" s="3" t="s">
        <v>13</v>
      </c>
      <c r="F361" s="3" t="s">
        <v>25</v>
      </c>
      <c r="G361" s="6" t="s">
        <v>18</v>
      </c>
      <c r="H361" s="4"/>
      <c r="I361" s="5">
        <v>1163000</v>
      </c>
      <c r="J361" s="5">
        <v>1220000</v>
      </c>
      <c r="K361" s="5">
        <v>1165000</v>
      </c>
      <c r="L361" s="5">
        <v>1220000</v>
      </c>
    </row>
    <row r="362" spans="1:12" ht="15.75" customHeight="1">
      <c r="A362" s="2" t="s">
        <v>1105</v>
      </c>
      <c r="B362" s="3" t="s">
        <v>1106</v>
      </c>
      <c r="C362" s="3" t="s">
        <v>12</v>
      </c>
      <c r="D362" s="3" t="s">
        <v>1107</v>
      </c>
      <c r="E362" s="3" t="s">
        <v>13</v>
      </c>
      <c r="F362" s="3" t="s">
        <v>25</v>
      </c>
      <c r="G362" s="6" t="s">
        <v>77</v>
      </c>
      <c r="H362" s="4"/>
      <c r="I362" s="5"/>
      <c r="J362" s="5">
        <v>233587000</v>
      </c>
      <c r="K362" s="5"/>
      <c r="L362" s="5">
        <v>234965000</v>
      </c>
    </row>
    <row r="363" spans="1:12" ht="28.5" customHeight="1">
      <c r="A363" s="2" t="s">
        <v>1108</v>
      </c>
      <c r="B363" s="3" t="s">
        <v>1109</v>
      </c>
      <c r="C363" s="3" t="s">
        <v>12</v>
      </c>
      <c r="D363" s="3" t="s">
        <v>1110</v>
      </c>
      <c r="E363" s="3" t="s">
        <v>13</v>
      </c>
      <c r="F363" s="3" t="s">
        <v>14</v>
      </c>
      <c r="G363" s="6" t="s">
        <v>22</v>
      </c>
      <c r="H363" s="4"/>
      <c r="I363" s="5">
        <v>199364000</v>
      </c>
      <c r="J363" s="5">
        <v>252961000</v>
      </c>
      <c r="K363" s="5">
        <v>204388000</v>
      </c>
      <c r="L363" s="5">
        <v>241544000</v>
      </c>
    </row>
    <row r="364" spans="1:12" ht="28.5" customHeight="1">
      <c r="A364" s="2" t="s">
        <v>1111</v>
      </c>
      <c r="B364" s="3" t="s">
        <v>1112</v>
      </c>
      <c r="C364" s="3" t="s">
        <v>12</v>
      </c>
      <c r="D364" s="3" t="s">
        <v>1113</v>
      </c>
      <c r="E364" s="3" t="s">
        <v>13</v>
      </c>
      <c r="F364" s="3" t="s">
        <v>14</v>
      </c>
      <c r="G364" s="6" t="s">
        <v>22</v>
      </c>
      <c r="H364" s="4"/>
      <c r="I364" s="5">
        <v>3342000</v>
      </c>
      <c r="J364" s="5">
        <v>5401000</v>
      </c>
      <c r="K364" s="5">
        <v>3342000</v>
      </c>
      <c r="L364" s="5">
        <v>5081000</v>
      </c>
    </row>
    <row r="365" spans="1:12" ht="28.5" customHeight="1">
      <c r="A365" s="2" t="s">
        <v>1114</v>
      </c>
      <c r="B365" s="3" t="s">
        <v>1115</v>
      </c>
      <c r="C365" s="3" t="s">
        <v>12</v>
      </c>
      <c r="D365" s="3" t="s">
        <v>1116</v>
      </c>
      <c r="E365" s="3" t="s">
        <v>13</v>
      </c>
      <c r="F365" s="3" t="s">
        <v>14</v>
      </c>
      <c r="G365" s="6" t="s">
        <v>18</v>
      </c>
      <c r="H365" s="4"/>
      <c r="I365" s="5">
        <v>18201000</v>
      </c>
      <c r="J365" s="5">
        <v>16182000</v>
      </c>
      <c r="K365" s="5">
        <v>18423000</v>
      </c>
      <c r="L365" s="5">
        <v>17971000</v>
      </c>
    </row>
    <row r="366" spans="1:12" ht="15.75" customHeight="1">
      <c r="A366" s="2" t="s">
        <v>1117</v>
      </c>
      <c r="B366" s="3" t="s">
        <v>1118</v>
      </c>
      <c r="C366" s="3" t="s">
        <v>12</v>
      </c>
      <c r="D366" s="3" t="s">
        <v>1119</v>
      </c>
      <c r="E366" s="3" t="s">
        <v>13</v>
      </c>
      <c r="F366" s="3" t="s">
        <v>25</v>
      </c>
      <c r="G366" s="6" t="s">
        <v>18</v>
      </c>
      <c r="H366" s="4"/>
      <c r="I366" s="5">
        <v>1732000</v>
      </c>
      <c r="J366" s="5">
        <v>193000</v>
      </c>
      <c r="K366" s="5">
        <v>1732000</v>
      </c>
      <c r="L366" s="5">
        <v>193000</v>
      </c>
    </row>
    <row r="367" spans="1:12" ht="28.5" customHeight="1">
      <c r="A367" s="2" t="s">
        <v>1120</v>
      </c>
      <c r="B367" s="3" t="s">
        <v>1121</v>
      </c>
      <c r="C367" s="3" t="s">
        <v>12</v>
      </c>
      <c r="D367" s="3" t="s">
        <v>1122</v>
      </c>
      <c r="E367" s="3" t="s">
        <v>13</v>
      </c>
      <c r="F367" s="3" t="s">
        <v>25</v>
      </c>
      <c r="G367" s="6" t="s">
        <v>18</v>
      </c>
      <c r="H367" s="4"/>
      <c r="I367" s="5">
        <v>8761000</v>
      </c>
      <c r="J367" s="5">
        <v>18616000</v>
      </c>
      <c r="K367" s="5">
        <v>2652000</v>
      </c>
      <c r="L367" s="5">
        <v>23073000</v>
      </c>
    </row>
    <row r="368" spans="1:12" ht="28.5" customHeight="1">
      <c r="A368" s="2" t="s">
        <v>1123</v>
      </c>
      <c r="B368" s="3" t="s">
        <v>1124</v>
      </c>
      <c r="C368" s="3" t="s">
        <v>12</v>
      </c>
      <c r="D368" s="3" t="s">
        <v>1125</v>
      </c>
      <c r="E368" s="3" t="s">
        <v>13</v>
      </c>
      <c r="F368" s="3" t="s">
        <v>25</v>
      </c>
      <c r="G368" s="6" t="s">
        <v>77</v>
      </c>
      <c r="H368" s="4"/>
      <c r="I368" s="5">
        <v>1270000</v>
      </c>
      <c r="J368" s="5">
        <v>3116000</v>
      </c>
      <c r="K368" s="5">
        <v>1270000</v>
      </c>
      <c r="L368" s="5">
        <v>2630000</v>
      </c>
    </row>
    <row r="369" spans="1:12" ht="15.75" customHeight="1">
      <c r="A369" s="2" t="s">
        <v>1126</v>
      </c>
      <c r="B369" s="3" t="s">
        <v>1127</v>
      </c>
      <c r="C369" s="3" t="s">
        <v>12</v>
      </c>
      <c r="D369" s="3" t="s">
        <v>1128</v>
      </c>
      <c r="E369" s="3" t="s">
        <v>13</v>
      </c>
      <c r="F369" s="3" t="s">
        <v>25</v>
      </c>
      <c r="G369" s="6" t="s">
        <v>18</v>
      </c>
      <c r="H369" s="4"/>
      <c r="I369" s="5">
        <v>19700000</v>
      </c>
      <c r="J369" s="5">
        <v>16587000</v>
      </c>
      <c r="K369" s="5">
        <v>94331000</v>
      </c>
      <c r="L369" s="5">
        <v>28558000</v>
      </c>
    </row>
    <row r="370" spans="1:12" ht="42" customHeight="1">
      <c r="A370" s="2" t="s">
        <v>1129</v>
      </c>
      <c r="B370" s="3" t="s">
        <v>1130</v>
      </c>
      <c r="C370" s="3" t="s">
        <v>12</v>
      </c>
      <c r="D370" s="3" t="s">
        <v>1131</v>
      </c>
      <c r="E370" s="3" t="s">
        <v>13</v>
      </c>
      <c r="F370" s="3" t="s">
        <v>25</v>
      </c>
      <c r="G370" s="6" t="s">
        <v>18</v>
      </c>
      <c r="H370" s="4"/>
      <c r="I370" s="5"/>
      <c r="J370" s="5">
        <v>498000</v>
      </c>
      <c r="K370" s="5"/>
      <c r="L370" s="5">
        <v>500000</v>
      </c>
    </row>
    <row r="371" spans="1:12" ht="15.75" customHeight="1">
      <c r="A371" s="2" t="s">
        <v>1132</v>
      </c>
      <c r="B371" s="3" t="s">
        <v>1133</v>
      </c>
      <c r="C371" s="3" t="s">
        <v>12</v>
      </c>
      <c r="D371" s="3" t="s">
        <v>1134</v>
      </c>
      <c r="E371" s="3" t="s">
        <v>13</v>
      </c>
      <c r="F371" s="3" t="s">
        <v>14</v>
      </c>
      <c r="G371" s="6" t="s">
        <v>1135</v>
      </c>
      <c r="H371" s="6" t="s">
        <v>1136</v>
      </c>
      <c r="I371" s="5">
        <v>250407000</v>
      </c>
      <c r="J371" s="5">
        <v>326065000</v>
      </c>
      <c r="K371" s="5">
        <v>247062000</v>
      </c>
      <c r="L371" s="5">
        <v>325313000</v>
      </c>
    </row>
    <row r="372" spans="1:12" ht="15.75" customHeight="1">
      <c r="A372" s="2" t="s">
        <v>1137</v>
      </c>
      <c r="B372" s="3" t="s">
        <v>1138</v>
      </c>
      <c r="C372" s="3" t="s">
        <v>12</v>
      </c>
      <c r="D372" s="3" t="s">
        <v>1139</v>
      </c>
      <c r="E372" s="3" t="s">
        <v>13</v>
      </c>
      <c r="F372" s="3" t="s">
        <v>14</v>
      </c>
      <c r="G372" s="6" t="s">
        <v>22</v>
      </c>
      <c r="H372" s="4"/>
      <c r="I372" s="5">
        <v>15162000</v>
      </c>
      <c r="J372" s="5">
        <v>91000</v>
      </c>
      <c r="K372" s="5">
        <v>13671000</v>
      </c>
      <c r="L372" s="5">
        <v>4413000</v>
      </c>
    </row>
    <row r="373" spans="1:12" ht="28.5" customHeight="1">
      <c r="A373" s="2" t="s">
        <v>1140</v>
      </c>
      <c r="B373" s="3" t="s">
        <v>1141</v>
      </c>
      <c r="C373" s="3" t="s">
        <v>12</v>
      </c>
      <c r="D373" s="3" t="s">
        <v>1142</v>
      </c>
      <c r="E373" s="3" t="s">
        <v>13</v>
      </c>
      <c r="F373" s="3" t="s">
        <v>14</v>
      </c>
      <c r="G373" s="6" t="s">
        <v>18</v>
      </c>
      <c r="H373" s="4"/>
      <c r="I373" s="5">
        <v>13209000</v>
      </c>
      <c r="J373" s="5">
        <v>11838000</v>
      </c>
      <c r="K373" s="5">
        <v>174000</v>
      </c>
      <c r="L373" s="5">
        <v>1621000</v>
      </c>
    </row>
    <row r="374" spans="1:12" ht="28.5" customHeight="1">
      <c r="A374" s="2" t="s">
        <v>1143</v>
      </c>
      <c r="B374" s="3" t="s">
        <v>1144</v>
      </c>
      <c r="C374" s="3" t="s">
        <v>12</v>
      </c>
      <c r="D374" s="3" t="s">
        <v>1145</v>
      </c>
      <c r="E374" s="3" t="s">
        <v>13</v>
      </c>
      <c r="F374" s="3" t="s">
        <v>14</v>
      </c>
      <c r="G374" s="6" t="s">
        <v>18</v>
      </c>
      <c r="H374" s="4"/>
      <c r="I374" s="5">
        <v>64000</v>
      </c>
      <c r="J374" s="5">
        <v>60000</v>
      </c>
      <c r="K374" s="5">
        <v>35000</v>
      </c>
      <c r="L374" s="5">
        <v>47000</v>
      </c>
    </row>
    <row r="375" spans="1:12" ht="28.5" customHeight="1">
      <c r="A375" s="2" t="s">
        <v>1146</v>
      </c>
      <c r="B375" s="3" t="s">
        <v>1147</v>
      </c>
      <c r="C375" s="3" t="s">
        <v>12</v>
      </c>
      <c r="D375" s="3" t="s">
        <v>1148</v>
      </c>
      <c r="E375" s="3" t="s">
        <v>13</v>
      </c>
      <c r="F375" s="3" t="s">
        <v>14</v>
      </c>
      <c r="G375" s="6" t="s">
        <v>18</v>
      </c>
      <c r="H375" s="4"/>
      <c r="I375" s="5">
        <v>1675000</v>
      </c>
      <c r="J375" s="5">
        <v>122000</v>
      </c>
      <c r="K375" s="5">
        <v>1689000</v>
      </c>
      <c r="L375" s="5">
        <v>123000</v>
      </c>
    </row>
    <row r="376" spans="1:12" ht="28.5" customHeight="1">
      <c r="A376" s="2" t="s">
        <v>1149</v>
      </c>
      <c r="B376" s="3" t="s">
        <v>1150</v>
      </c>
      <c r="C376" s="3" t="s">
        <v>12</v>
      </c>
      <c r="D376" s="3" t="s">
        <v>1151</v>
      </c>
      <c r="E376" s="3" t="s">
        <v>13</v>
      </c>
      <c r="F376" s="3" t="s">
        <v>14</v>
      </c>
      <c r="G376" s="6" t="s">
        <v>302</v>
      </c>
      <c r="H376" s="6" t="s">
        <v>23</v>
      </c>
      <c r="I376" s="5">
        <v>1585261000</v>
      </c>
      <c r="J376" s="5">
        <v>1581036000</v>
      </c>
      <c r="K376" s="5">
        <v>1561316000</v>
      </c>
      <c r="L376" s="5">
        <v>1451184000</v>
      </c>
    </row>
    <row r="377" spans="1:12" ht="15.75" customHeight="1">
      <c r="A377" s="2" t="s">
        <v>1152</v>
      </c>
      <c r="B377" s="3" t="s">
        <v>1153</v>
      </c>
      <c r="C377" s="3" t="s">
        <v>12</v>
      </c>
      <c r="D377" s="3" t="s">
        <v>1154</v>
      </c>
      <c r="E377" s="3" t="s">
        <v>13</v>
      </c>
      <c r="F377" s="3" t="s">
        <v>14</v>
      </c>
      <c r="G377" s="6" t="s">
        <v>18</v>
      </c>
      <c r="H377" s="4"/>
      <c r="I377" s="5">
        <v>6945000</v>
      </c>
      <c r="J377" s="5">
        <v>5615000</v>
      </c>
      <c r="K377" s="5">
        <v>7091000</v>
      </c>
      <c r="L377" s="5">
        <v>9088000</v>
      </c>
    </row>
    <row r="378" spans="1:12" ht="15.75" customHeight="1">
      <c r="A378" s="2" t="s">
        <v>1155</v>
      </c>
      <c r="B378" s="3" t="s">
        <v>1156</v>
      </c>
      <c r="C378" s="3" t="s">
        <v>12</v>
      </c>
      <c r="D378" s="3" t="s">
        <v>1157</v>
      </c>
      <c r="E378" s="3" t="s">
        <v>13</v>
      </c>
      <c r="F378" s="3" t="s">
        <v>14</v>
      </c>
      <c r="G378" s="6" t="s">
        <v>18</v>
      </c>
      <c r="H378" s="4"/>
      <c r="I378" s="5">
        <v>11399000</v>
      </c>
      <c r="J378" s="5">
        <v>43257000</v>
      </c>
      <c r="K378" s="5">
        <v>10199000</v>
      </c>
      <c r="L378" s="5">
        <v>38337000</v>
      </c>
    </row>
    <row r="379" spans="1:12" ht="28.5" customHeight="1">
      <c r="A379" s="2" t="s">
        <v>1158</v>
      </c>
      <c r="B379" s="3" t="s">
        <v>1159</v>
      </c>
      <c r="C379" s="3" t="s">
        <v>12</v>
      </c>
      <c r="D379" s="3" t="s">
        <v>1160</v>
      </c>
      <c r="E379" s="3" t="s">
        <v>13</v>
      </c>
      <c r="F379" s="3" t="s">
        <v>25</v>
      </c>
      <c r="G379" s="6" t="s">
        <v>22</v>
      </c>
      <c r="H379" s="4"/>
      <c r="I379" s="5">
        <v>360000</v>
      </c>
      <c r="J379" s="5">
        <v>887000</v>
      </c>
      <c r="K379" s="5">
        <v>360000</v>
      </c>
      <c r="L379" s="5">
        <v>886000</v>
      </c>
    </row>
    <row r="380" spans="1:12" ht="81" customHeight="1">
      <c r="A380" s="2" t="s">
        <v>1161</v>
      </c>
      <c r="B380" s="3" t="s">
        <v>1162</v>
      </c>
      <c r="C380" s="3" t="s">
        <v>12</v>
      </c>
      <c r="D380" s="3" t="s">
        <v>1163</v>
      </c>
      <c r="E380" s="3" t="s">
        <v>13</v>
      </c>
      <c r="F380" s="3" t="s">
        <v>25</v>
      </c>
      <c r="G380" s="6" t="s">
        <v>18</v>
      </c>
      <c r="H380" s="4"/>
      <c r="I380" s="5"/>
      <c r="J380" s="5"/>
      <c r="K380" s="5"/>
      <c r="L380" s="5"/>
    </row>
    <row r="381" spans="1:12" ht="28.5" customHeight="1">
      <c r="A381" s="2" t="s">
        <v>1164</v>
      </c>
      <c r="B381" s="3" t="s">
        <v>1165</v>
      </c>
      <c r="C381" s="3" t="s">
        <v>12</v>
      </c>
      <c r="D381" s="3" t="s">
        <v>1166</v>
      </c>
      <c r="E381" s="3" t="s">
        <v>13</v>
      </c>
      <c r="F381" s="3" t="s">
        <v>14</v>
      </c>
      <c r="G381" s="6" t="s">
        <v>18</v>
      </c>
      <c r="H381" s="4"/>
      <c r="I381" s="5">
        <v>1923231000</v>
      </c>
      <c r="J381" s="5">
        <v>1845054000</v>
      </c>
      <c r="K381" s="5">
        <v>1926765000</v>
      </c>
      <c r="L381" s="5">
        <v>1885803000</v>
      </c>
    </row>
    <row r="382" spans="1:12" ht="28.5" customHeight="1">
      <c r="A382" s="2" t="s">
        <v>1167</v>
      </c>
      <c r="B382" s="3" t="s">
        <v>1168</v>
      </c>
      <c r="C382" s="3" t="s">
        <v>12</v>
      </c>
      <c r="D382" s="3" t="s">
        <v>1169</v>
      </c>
      <c r="E382" s="3" t="s">
        <v>13</v>
      </c>
      <c r="F382" s="3" t="s">
        <v>14</v>
      </c>
      <c r="G382" s="6" t="s">
        <v>77</v>
      </c>
      <c r="H382" s="4"/>
      <c r="I382" s="5">
        <v>14193000</v>
      </c>
      <c r="J382" s="5">
        <v>10712000</v>
      </c>
      <c r="K382" s="5">
        <v>15366000</v>
      </c>
      <c r="L382" s="5">
        <v>11008000</v>
      </c>
    </row>
    <row r="383" spans="1:12" ht="28.5" customHeight="1">
      <c r="A383" s="2" t="s">
        <v>1170</v>
      </c>
      <c r="B383" s="3" t="s">
        <v>1171</v>
      </c>
      <c r="C383" s="3" t="s">
        <v>12</v>
      </c>
      <c r="D383" s="3" t="s">
        <v>1172</v>
      </c>
      <c r="E383" s="3" t="s">
        <v>13</v>
      </c>
      <c r="F383" s="3" t="s">
        <v>14</v>
      </c>
      <c r="G383" s="6" t="s">
        <v>18</v>
      </c>
      <c r="H383" s="4"/>
      <c r="I383" s="5">
        <v>793000</v>
      </c>
      <c r="J383" s="5">
        <v>629000</v>
      </c>
      <c r="K383" s="5">
        <v>1348000</v>
      </c>
      <c r="L383" s="5">
        <v>922000</v>
      </c>
    </row>
    <row r="384" spans="1:12" ht="15.75" customHeight="1">
      <c r="A384" s="2" t="s">
        <v>1173</v>
      </c>
      <c r="B384" s="3" t="s">
        <v>1174</v>
      </c>
      <c r="C384" s="3" t="s">
        <v>12</v>
      </c>
      <c r="D384" s="3" t="s">
        <v>1175</v>
      </c>
      <c r="E384" s="3" t="s">
        <v>13</v>
      </c>
      <c r="F384" s="3" t="s">
        <v>14</v>
      </c>
      <c r="G384" s="6" t="s">
        <v>18</v>
      </c>
      <c r="H384" s="4"/>
      <c r="I384" s="5">
        <v>45000</v>
      </c>
      <c r="J384" s="5">
        <v>50000</v>
      </c>
      <c r="K384" s="5">
        <v>55000</v>
      </c>
      <c r="L384" s="5">
        <v>53000</v>
      </c>
    </row>
    <row r="385" spans="1:12" ht="15.75" customHeight="1">
      <c r="A385" s="2" t="s">
        <v>1176</v>
      </c>
      <c r="B385" s="3" t="s">
        <v>1177</v>
      </c>
      <c r="C385" s="3" t="s">
        <v>12</v>
      </c>
      <c r="D385" s="3" t="s">
        <v>1178</v>
      </c>
      <c r="E385" s="3" t="s">
        <v>13</v>
      </c>
      <c r="F385" s="3" t="s">
        <v>14</v>
      </c>
      <c r="G385" s="6" t="s">
        <v>18</v>
      </c>
      <c r="H385" s="4"/>
      <c r="I385" s="5">
        <v>9144000</v>
      </c>
      <c r="J385" s="5">
        <v>34069000</v>
      </c>
      <c r="K385" s="5">
        <v>38536000</v>
      </c>
      <c r="L385" s="5">
        <v>35283000</v>
      </c>
    </row>
    <row r="386" spans="1:12" ht="28.5" customHeight="1">
      <c r="A386" s="2" t="s">
        <v>1179</v>
      </c>
      <c r="B386" s="3" t="s">
        <v>1180</v>
      </c>
      <c r="C386" s="3" t="s">
        <v>12</v>
      </c>
      <c r="D386" s="3" t="s">
        <v>1181</v>
      </c>
      <c r="E386" s="3" t="s">
        <v>13</v>
      </c>
      <c r="F386" s="3" t="s">
        <v>14</v>
      </c>
      <c r="G386" s="6" t="s">
        <v>18</v>
      </c>
      <c r="H386" s="4"/>
      <c r="I386" s="5">
        <v>5509000</v>
      </c>
      <c r="J386" s="5">
        <v>64575000</v>
      </c>
      <c r="K386" s="5">
        <v>5525000</v>
      </c>
      <c r="L386" s="5">
        <v>66576000</v>
      </c>
    </row>
    <row r="387" spans="1:12" ht="28.5" customHeight="1">
      <c r="A387" s="2" t="s">
        <v>1182</v>
      </c>
      <c r="B387" s="3" t="s">
        <v>1183</v>
      </c>
      <c r="C387" s="3" t="s">
        <v>12</v>
      </c>
      <c r="D387" s="3" t="s">
        <v>1184</v>
      </c>
      <c r="E387" s="3" t="s">
        <v>13</v>
      </c>
      <c r="F387" s="3" t="s">
        <v>14</v>
      </c>
      <c r="G387" s="6" t="s">
        <v>18</v>
      </c>
      <c r="H387" s="4"/>
      <c r="I387" s="5">
        <v>130000</v>
      </c>
      <c r="J387" s="5"/>
      <c r="K387" s="5">
        <v>739000</v>
      </c>
      <c r="L387" s="5"/>
    </row>
    <row r="388" spans="1:12" ht="15.75" customHeight="1">
      <c r="A388" s="2" t="s">
        <v>1185</v>
      </c>
      <c r="B388" s="3" t="s">
        <v>1186</v>
      </c>
      <c r="C388" s="3" t="s">
        <v>12</v>
      </c>
      <c r="D388" s="3" t="s">
        <v>1187</v>
      </c>
      <c r="E388" s="3" t="s">
        <v>13</v>
      </c>
      <c r="F388" s="3" t="s">
        <v>14</v>
      </c>
      <c r="G388" s="6" t="s">
        <v>18</v>
      </c>
      <c r="H388" s="4"/>
      <c r="I388" s="5">
        <v>74438000</v>
      </c>
      <c r="J388" s="5">
        <v>11500000</v>
      </c>
      <c r="K388" s="5">
        <v>44744000</v>
      </c>
      <c r="L388" s="5">
        <v>22116000</v>
      </c>
    </row>
    <row r="389" spans="1:12" ht="28.5" customHeight="1">
      <c r="A389" s="2" t="s">
        <v>1188</v>
      </c>
      <c r="B389" s="3" t="s">
        <v>1189</v>
      </c>
      <c r="C389" s="3" t="s">
        <v>12</v>
      </c>
      <c r="D389" s="3" t="s">
        <v>1190</v>
      </c>
      <c r="E389" s="3" t="s">
        <v>13</v>
      </c>
      <c r="F389" s="3" t="s">
        <v>14</v>
      </c>
      <c r="G389" s="6" t="s">
        <v>18</v>
      </c>
      <c r="H389" s="4"/>
      <c r="I389" s="5">
        <v>710000</v>
      </c>
      <c r="J389" s="5"/>
      <c r="K389" s="5">
        <v>1792000</v>
      </c>
      <c r="L389" s="5">
        <v>173000</v>
      </c>
    </row>
    <row r="390" spans="1:12" ht="28.5" customHeight="1">
      <c r="A390" s="2" t="s">
        <v>1191</v>
      </c>
      <c r="B390" s="3" t="s">
        <v>1192</v>
      </c>
      <c r="C390" s="3" t="s">
        <v>12</v>
      </c>
      <c r="D390" s="3" t="s">
        <v>1193</v>
      </c>
      <c r="E390" s="3" t="s">
        <v>13</v>
      </c>
      <c r="F390" s="3" t="s">
        <v>14</v>
      </c>
      <c r="G390" s="6" t="s">
        <v>18</v>
      </c>
      <c r="H390" s="4"/>
      <c r="I390" s="5">
        <v>13416000</v>
      </c>
      <c r="J390" s="5">
        <v>10000000</v>
      </c>
      <c r="K390" s="5">
        <v>11852000</v>
      </c>
      <c r="L390" s="5">
        <v>11170000</v>
      </c>
    </row>
    <row r="391" spans="1:12" ht="28.5" customHeight="1">
      <c r="A391" s="2" t="s">
        <v>1194</v>
      </c>
      <c r="B391" s="3" t="s">
        <v>1195</v>
      </c>
      <c r="C391" s="3" t="s">
        <v>12</v>
      </c>
      <c r="D391" s="3" t="s">
        <v>1196</v>
      </c>
      <c r="E391" s="3" t="s">
        <v>13</v>
      </c>
      <c r="F391" s="3" t="s">
        <v>14</v>
      </c>
      <c r="G391" s="6" t="s">
        <v>18</v>
      </c>
      <c r="H391" s="4"/>
      <c r="I391" s="5">
        <v>2849000</v>
      </c>
      <c r="J391" s="5">
        <v>1328000</v>
      </c>
      <c r="K391" s="5">
        <v>2903000</v>
      </c>
      <c r="L391" s="5">
        <v>1370000</v>
      </c>
    </row>
    <row r="392" spans="1:12" ht="15.75" customHeight="1">
      <c r="A392" s="2" t="s">
        <v>1197</v>
      </c>
      <c r="B392" s="3" t="s">
        <v>1198</v>
      </c>
      <c r="C392" s="3" t="s">
        <v>12</v>
      </c>
      <c r="D392" s="3" t="s">
        <v>1199</v>
      </c>
      <c r="E392" s="3" t="s">
        <v>13</v>
      </c>
      <c r="F392" s="3" t="s">
        <v>14</v>
      </c>
      <c r="G392" s="6" t="s">
        <v>18</v>
      </c>
      <c r="H392" s="4"/>
      <c r="I392" s="5">
        <v>35401000</v>
      </c>
      <c r="J392" s="5">
        <v>46933000</v>
      </c>
      <c r="K392" s="5">
        <v>17519000</v>
      </c>
      <c r="L392" s="5">
        <v>47350000</v>
      </c>
    </row>
    <row r="393" spans="1:12" ht="15.75" customHeight="1">
      <c r="A393" s="2" t="s">
        <v>1200</v>
      </c>
      <c r="B393" s="3" t="s">
        <v>1201</v>
      </c>
      <c r="C393" s="3" t="s">
        <v>12</v>
      </c>
      <c r="D393" s="3" t="s">
        <v>1202</v>
      </c>
      <c r="E393" s="3" t="s">
        <v>13</v>
      </c>
      <c r="F393" s="3" t="s">
        <v>14</v>
      </c>
      <c r="G393" s="6" t="s">
        <v>77</v>
      </c>
      <c r="H393" s="4"/>
      <c r="I393" s="5">
        <v>281912000</v>
      </c>
      <c r="J393" s="5">
        <v>277929000</v>
      </c>
      <c r="K393" s="5">
        <v>415979000</v>
      </c>
      <c r="L393" s="5">
        <v>283967000</v>
      </c>
    </row>
    <row r="394" spans="1:12" ht="15.75" customHeight="1">
      <c r="A394" s="2" t="s">
        <v>1203</v>
      </c>
      <c r="B394" s="3" t="s">
        <v>1204</v>
      </c>
      <c r="C394" s="3" t="s">
        <v>12</v>
      </c>
      <c r="D394" s="3" t="s">
        <v>1205</v>
      </c>
      <c r="E394" s="3" t="s">
        <v>13</v>
      </c>
      <c r="F394" s="3" t="s">
        <v>14</v>
      </c>
      <c r="G394" s="6" t="s">
        <v>18</v>
      </c>
      <c r="H394" s="4"/>
      <c r="I394" s="5"/>
      <c r="J394" s="5">
        <v>653000</v>
      </c>
      <c r="K394" s="5"/>
      <c r="L394" s="5">
        <v>644000</v>
      </c>
    </row>
    <row r="395" spans="1:12" ht="28.5" customHeight="1">
      <c r="A395" s="2" t="s">
        <v>1206</v>
      </c>
      <c r="B395" s="3" t="s">
        <v>1207</v>
      </c>
      <c r="C395" s="3" t="s">
        <v>12</v>
      </c>
      <c r="D395" s="3" t="s">
        <v>1208</v>
      </c>
      <c r="E395" s="3" t="s">
        <v>13</v>
      </c>
      <c r="F395" s="3" t="s">
        <v>25</v>
      </c>
      <c r="G395" s="6" t="s">
        <v>18</v>
      </c>
      <c r="H395" s="4"/>
      <c r="I395" s="5">
        <v>20000</v>
      </c>
      <c r="J395" s="5"/>
      <c r="K395" s="5">
        <v>33000</v>
      </c>
      <c r="L395" s="5"/>
    </row>
    <row r="396" spans="1:12" ht="42" customHeight="1">
      <c r="A396" s="2" t="s">
        <v>1209</v>
      </c>
      <c r="B396" s="3" t="s">
        <v>1210</v>
      </c>
      <c r="C396" s="3" t="s">
        <v>12</v>
      </c>
      <c r="D396" s="3" t="s">
        <v>1211</v>
      </c>
      <c r="E396" s="3" t="s">
        <v>13</v>
      </c>
      <c r="F396" s="3" t="s">
        <v>14</v>
      </c>
      <c r="G396" s="6" t="s">
        <v>18</v>
      </c>
      <c r="H396" s="4"/>
      <c r="I396" s="5"/>
      <c r="J396" s="5">
        <v>835000</v>
      </c>
      <c r="K396" s="5"/>
      <c r="L396" s="5">
        <v>852000</v>
      </c>
    </row>
    <row r="397" spans="1:12" ht="28.5" customHeight="1">
      <c r="A397" s="2" t="s">
        <v>1212</v>
      </c>
      <c r="B397" s="3" t="s">
        <v>1213</v>
      </c>
      <c r="C397" s="3" t="s">
        <v>12</v>
      </c>
      <c r="D397" s="3" t="s">
        <v>1214</v>
      </c>
      <c r="E397" s="3" t="s">
        <v>13</v>
      </c>
      <c r="F397" s="3" t="s">
        <v>25</v>
      </c>
      <c r="G397" s="6" t="s">
        <v>77</v>
      </c>
      <c r="H397" s="4"/>
      <c r="I397" s="5"/>
      <c r="J397" s="5"/>
      <c r="K397" s="5"/>
      <c r="L397" s="5"/>
    </row>
    <row r="398" spans="1:12" ht="28.5" customHeight="1">
      <c r="A398" s="2" t="s">
        <v>1216</v>
      </c>
      <c r="B398" s="3" t="s">
        <v>1217</v>
      </c>
      <c r="C398" s="3" t="s">
        <v>12</v>
      </c>
      <c r="D398" s="3" t="s">
        <v>1218</v>
      </c>
      <c r="E398" s="3" t="s">
        <v>13</v>
      </c>
      <c r="F398" s="3" t="s">
        <v>25</v>
      </c>
      <c r="G398" s="6" t="s">
        <v>18</v>
      </c>
      <c r="H398" s="4"/>
      <c r="I398" s="5"/>
      <c r="J398" s="5">
        <v>4282000</v>
      </c>
      <c r="K398" s="5"/>
      <c r="L398" s="5">
        <v>19612000</v>
      </c>
    </row>
    <row r="399" spans="1:12" ht="28.5" customHeight="1">
      <c r="A399" s="2" t="s">
        <v>1219</v>
      </c>
      <c r="B399" s="3" t="s">
        <v>1220</v>
      </c>
      <c r="C399" s="3" t="s">
        <v>12</v>
      </c>
      <c r="D399" s="3" t="s">
        <v>1221</v>
      </c>
      <c r="E399" s="3" t="s">
        <v>13</v>
      </c>
      <c r="F399" s="3" t="s">
        <v>25</v>
      </c>
      <c r="G399" s="6" t="s">
        <v>18</v>
      </c>
      <c r="H399" s="4"/>
      <c r="I399" s="5"/>
      <c r="J399" s="5">
        <v>292000</v>
      </c>
      <c r="K399" s="5"/>
      <c r="L399" s="5">
        <v>287000</v>
      </c>
    </row>
    <row r="400" spans="1:12" ht="15.75" customHeight="1">
      <c r="A400" s="2" t="s">
        <v>1222</v>
      </c>
      <c r="B400" s="3" t="s">
        <v>1223</v>
      </c>
      <c r="C400" s="3" t="s">
        <v>12</v>
      </c>
      <c r="D400" s="3" t="s">
        <v>1224</v>
      </c>
      <c r="E400" s="3" t="s">
        <v>13</v>
      </c>
      <c r="F400" s="3" t="s">
        <v>25</v>
      </c>
      <c r="G400" s="6" t="s">
        <v>18</v>
      </c>
      <c r="H400" s="4"/>
      <c r="I400" s="5">
        <v>750000</v>
      </c>
      <c r="J400" s="5">
        <v>700000</v>
      </c>
      <c r="K400" s="5">
        <v>724000</v>
      </c>
      <c r="L400" s="5">
        <v>715000</v>
      </c>
    </row>
    <row r="401" spans="1:12" ht="15.75" customHeight="1">
      <c r="A401" s="2" t="s">
        <v>1225</v>
      </c>
      <c r="B401" s="3" t="s">
        <v>1226</v>
      </c>
      <c r="C401" s="3" t="s">
        <v>12</v>
      </c>
      <c r="D401" s="3" t="s">
        <v>1227</v>
      </c>
      <c r="E401" s="3" t="s">
        <v>13</v>
      </c>
      <c r="F401" s="3" t="s">
        <v>25</v>
      </c>
      <c r="G401" s="6" t="s">
        <v>18</v>
      </c>
      <c r="H401" s="4"/>
      <c r="I401" s="5">
        <v>21000000</v>
      </c>
      <c r="J401" s="5">
        <v>66590000</v>
      </c>
      <c r="K401" s="5">
        <v>16452000</v>
      </c>
      <c r="L401" s="5">
        <v>55627000</v>
      </c>
    </row>
    <row r="402" spans="1:12" ht="54.75" customHeight="1">
      <c r="A402" s="2" t="s">
        <v>1228</v>
      </c>
      <c r="B402" s="3" t="s">
        <v>1229</v>
      </c>
      <c r="C402" s="3" t="s">
        <v>12</v>
      </c>
      <c r="D402" s="3" t="s">
        <v>1230</v>
      </c>
      <c r="E402" s="3" t="s">
        <v>13</v>
      </c>
      <c r="F402" s="3" t="s">
        <v>25</v>
      </c>
      <c r="G402" s="6" t="s">
        <v>18</v>
      </c>
      <c r="H402" s="4"/>
      <c r="I402" s="5">
        <v>14116000</v>
      </c>
      <c r="J402" s="5">
        <v>6876000</v>
      </c>
      <c r="K402" s="5">
        <v>20822000</v>
      </c>
      <c r="L402" s="5">
        <v>9262000</v>
      </c>
    </row>
    <row r="403" spans="1:12" ht="28.5" customHeight="1">
      <c r="A403" s="2" t="s">
        <v>1231</v>
      </c>
      <c r="B403" s="3" t="s">
        <v>1232</v>
      </c>
      <c r="C403" s="3" t="s">
        <v>12</v>
      </c>
      <c r="D403" s="3" t="s">
        <v>1233</v>
      </c>
      <c r="E403" s="3" t="s">
        <v>13</v>
      </c>
      <c r="F403" s="3" t="s">
        <v>25</v>
      </c>
      <c r="G403" s="6" t="s">
        <v>18</v>
      </c>
      <c r="H403" s="4"/>
      <c r="I403" s="5"/>
      <c r="J403" s="5"/>
      <c r="K403" s="5">
        <v>412000</v>
      </c>
      <c r="L403" s="5"/>
    </row>
    <row r="404" spans="1:12" ht="28.5" customHeight="1">
      <c r="A404" s="2" t="s">
        <v>1234</v>
      </c>
      <c r="B404" s="3" t="s">
        <v>1235</v>
      </c>
      <c r="C404" s="3" t="s">
        <v>12</v>
      </c>
      <c r="D404" s="3" t="s">
        <v>1236</v>
      </c>
      <c r="E404" s="3" t="s">
        <v>13</v>
      </c>
      <c r="F404" s="3" t="s">
        <v>25</v>
      </c>
      <c r="G404" s="6" t="s">
        <v>18</v>
      </c>
      <c r="H404" s="4"/>
      <c r="I404" s="5">
        <v>86000</v>
      </c>
      <c r="J404" s="5">
        <v>20000</v>
      </c>
      <c r="K404" s="5">
        <v>86000</v>
      </c>
      <c r="L404" s="5">
        <v>20000</v>
      </c>
    </row>
    <row r="405" spans="1:12" ht="54.75" customHeight="1">
      <c r="A405" s="2" t="s">
        <v>1237</v>
      </c>
      <c r="B405" s="3" t="s">
        <v>1238</v>
      </c>
      <c r="C405" s="3" t="s">
        <v>12</v>
      </c>
      <c r="D405" s="3" t="s">
        <v>1239</v>
      </c>
      <c r="E405" s="3" t="s">
        <v>13</v>
      </c>
      <c r="F405" s="3" t="s">
        <v>25</v>
      </c>
      <c r="G405" s="6" t="s">
        <v>18</v>
      </c>
      <c r="H405" s="4"/>
      <c r="I405" s="5">
        <v>113853000</v>
      </c>
      <c r="J405" s="5">
        <v>135504000</v>
      </c>
      <c r="K405" s="5">
        <v>114136000</v>
      </c>
      <c r="L405" s="5">
        <v>140967000</v>
      </c>
    </row>
    <row r="406" spans="1:12" ht="28.5" customHeight="1">
      <c r="A406" s="2" t="s">
        <v>1240</v>
      </c>
      <c r="B406" s="3" t="s">
        <v>1241</v>
      </c>
      <c r="C406" s="3" t="s">
        <v>12</v>
      </c>
      <c r="D406" s="3" t="s">
        <v>1242</v>
      </c>
      <c r="E406" s="3" t="s">
        <v>13</v>
      </c>
      <c r="F406" s="3" t="s">
        <v>14</v>
      </c>
      <c r="G406" s="6" t="s">
        <v>18</v>
      </c>
      <c r="H406" s="4"/>
      <c r="I406" s="5">
        <v>15469000</v>
      </c>
      <c r="J406" s="5">
        <v>18665000</v>
      </c>
      <c r="K406" s="5">
        <v>26648000</v>
      </c>
      <c r="L406" s="5">
        <v>22577000</v>
      </c>
    </row>
    <row r="407" spans="1:12" ht="28.5" customHeight="1">
      <c r="A407" s="2" t="s">
        <v>1243</v>
      </c>
      <c r="B407" s="3" t="s">
        <v>1244</v>
      </c>
      <c r="C407" s="3" t="s">
        <v>12</v>
      </c>
      <c r="D407" s="3" t="s">
        <v>1245</v>
      </c>
      <c r="E407" s="3" t="s">
        <v>13</v>
      </c>
      <c r="F407" s="3" t="s">
        <v>14</v>
      </c>
      <c r="G407" s="6" t="s">
        <v>18</v>
      </c>
      <c r="H407" s="4"/>
      <c r="I407" s="5">
        <v>79715000</v>
      </c>
      <c r="J407" s="5">
        <v>96671000</v>
      </c>
      <c r="K407" s="5">
        <v>79806000</v>
      </c>
      <c r="L407" s="5">
        <v>93466000</v>
      </c>
    </row>
    <row r="408" spans="1:12" ht="15.75" customHeight="1">
      <c r="A408" s="2" t="s">
        <v>1246</v>
      </c>
      <c r="B408" s="3" t="s">
        <v>1247</v>
      </c>
      <c r="C408" s="3" t="s">
        <v>12</v>
      </c>
      <c r="D408" s="3" t="s">
        <v>1248</v>
      </c>
      <c r="E408" s="3" t="s">
        <v>13</v>
      </c>
      <c r="F408" s="3" t="s">
        <v>14</v>
      </c>
      <c r="G408" s="6" t="s">
        <v>18</v>
      </c>
      <c r="H408" s="4"/>
      <c r="I408" s="5"/>
      <c r="J408" s="5">
        <v>203000</v>
      </c>
      <c r="K408" s="5"/>
      <c r="L408" s="5">
        <v>890000</v>
      </c>
    </row>
    <row r="409" spans="1:12" ht="28.5" customHeight="1">
      <c r="A409" s="2" t="s">
        <v>1249</v>
      </c>
      <c r="B409" s="3" t="s">
        <v>1250</v>
      </c>
      <c r="C409" s="3" t="s">
        <v>12</v>
      </c>
      <c r="D409" s="3" t="s">
        <v>1251</v>
      </c>
      <c r="E409" s="3" t="s">
        <v>13</v>
      </c>
      <c r="F409" s="3" t="s">
        <v>14</v>
      </c>
      <c r="G409" s="6" t="s">
        <v>18</v>
      </c>
      <c r="H409" s="4"/>
      <c r="I409" s="5">
        <v>35483000</v>
      </c>
      <c r="J409" s="5">
        <v>48146000</v>
      </c>
      <c r="K409" s="5">
        <v>37450000</v>
      </c>
      <c r="L409" s="5">
        <v>39613000</v>
      </c>
    </row>
    <row r="410" spans="1:12" ht="28.5" customHeight="1">
      <c r="A410" s="2" t="s">
        <v>1252</v>
      </c>
      <c r="B410" s="3" t="s">
        <v>1253</v>
      </c>
      <c r="C410" s="3" t="s">
        <v>12</v>
      </c>
      <c r="D410" s="3" t="s">
        <v>1254</v>
      </c>
      <c r="E410" s="3" t="s">
        <v>13</v>
      </c>
      <c r="F410" s="3" t="s">
        <v>14</v>
      </c>
      <c r="G410" s="6" t="s">
        <v>18</v>
      </c>
      <c r="H410" s="4"/>
      <c r="I410" s="5">
        <v>2735000</v>
      </c>
      <c r="J410" s="5">
        <v>2211000</v>
      </c>
      <c r="K410" s="5">
        <v>2714000</v>
      </c>
      <c r="L410" s="5">
        <v>2343000</v>
      </c>
    </row>
    <row r="411" spans="1:12" ht="28.5" customHeight="1">
      <c r="A411" s="2" t="s">
        <v>1255</v>
      </c>
      <c r="B411" s="3" t="s">
        <v>1256</v>
      </c>
      <c r="C411" s="3" t="s">
        <v>12</v>
      </c>
      <c r="D411" s="3" t="s">
        <v>1257</v>
      </c>
      <c r="E411" s="3" t="s">
        <v>13</v>
      </c>
      <c r="F411" s="3" t="s">
        <v>14</v>
      </c>
      <c r="G411" s="6" t="s">
        <v>18</v>
      </c>
      <c r="H411" s="4"/>
      <c r="I411" s="5"/>
      <c r="J411" s="5"/>
      <c r="K411" s="5"/>
      <c r="L411" s="5"/>
    </row>
    <row r="412" spans="1:12" ht="28.5" customHeight="1">
      <c r="A412" s="2" t="s">
        <v>1258</v>
      </c>
      <c r="B412" s="3" t="s">
        <v>1259</v>
      </c>
      <c r="C412" s="3" t="s">
        <v>12</v>
      </c>
      <c r="D412" s="3" t="s">
        <v>1260</v>
      </c>
      <c r="E412" s="3" t="s">
        <v>13</v>
      </c>
      <c r="F412" s="3" t="s">
        <v>14</v>
      </c>
      <c r="G412" s="6" t="s">
        <v>18</v>
      </c>
      <c r="H412" s="4"/>
      <c r="I412" s="5">
        <v>106050000</v>
      </c>
      <c r="J412" s="5">
        <v>67544000</v>
      </c>
      <c r="K412" s="5">
        <v>105576000</v>
      </c>
      <c r="L412" s="5">
        <v>63492000</v>
      </c>
    </row>
    <row r="413" spans="1:12" ht="15.75" customHeight="1">
      <c r="A413" s="2" t="s">
        <v>1261</v>
      </c>
      <c r="B413" s="3" t="s">
        <v>1262</v>
      </c>
      <c r="C413" s="3" t="s">
        <v>12</v>
      </c>
      <c r="D413" s="3" t="s">
        <v>1263</v>
      </c>
      <c r="E413" s="3" t="s">
        <v>13</v>
      </c>
      <c r="F413" s="3" t="s">
        <v>25</v>
      </c>
      <c r="G413" s="6" t="s">
        <v>18</v>
      </c>
      <c r="H413" s="4"/>
      <c r="I413" s="5">
        <v>381796000</v>
      </c>
      <c r="J413" s="5">
        <v>585658000</v>
      </c>
      <c r="K413" s="5">
        <v>459402000</v>
      </c>
      <c r="L413" s="5">
        <v>316091000</v>
      </c>
    </row>
    <row r="414" spans="1:12" ht="28.5" customHeight="1">
      <c r="A414" s="2" t="s">
        <v>1264</v>
      </c>
      <c r="B414" s="3" t="s">
        <v>1265</v>
      </c>
      <c r="C414" s="3" t="s">
        <v>12</v>
      </c>
      <c r="D414" s="3" t="s">
        <v>1266</v>
      </c>
      <c r="E414" s="3" t="s">
        <v>13</v>
      </c>
      <c r="F414" s="3" t="s">
        <v>14</v>
      </c>
      <c r="G414" s="6" t="s">
        <v>77</v>
      </c>
      <c r="H414" s="4"/>
      <c r="I414" s="5">
        <v>636111000</v>
      </c>
      <c r="J414" s="5">
        <v>34402000</v>
      </c>
      <c r="K414" s="5">
        <v>818631000</v>
      </c>
      <c r="L414" s="5">
        <v>266578000</v>
      </c>
    </row>
    <row r="415" spans="1:12" ht="54.75" customHeight="1">
      <c r="A415" s="2" t="s">
        <v>1267</v>
      </c>
      <c r="B415" s="3" t="s">
        <v>1268</v>
      </c>
      <c r="C415" s="3" t="s">
        <v>12</v>
      </c>
      <c r="D415" s="3" t="s">
        <v>1269</v>
      </c>
      <c r="E415" s="3" t="s">
        <v>13</v>
      </c>
      <c r="F415" s="3" t="s">
        <v>14</v>
      </c>
      <c r="G415" s="6" t="s">
        <v>18</v>
      </c>
      <c r="H415" s="4"/>
      <c r="I415" s="5">
        <v>7061000</v>
      </c>
      <c r="J415" s="5">
        <v>5256000</v>
      </c>
      <c r="K415" s="5">
        <v>7085000</v>
      </c>
      <c r="L415" s="5">
        <v>6201000</v>
      </c>
    </row>
    <row r="416" spans="1:12" ht="42" customHeight="1">
      <c r="A416" s="2" t="s">
        <v>1270</v>
      </c>
      <c r="B416" s="3" t="s">
        <v>1271</v>
      </c>
      <c r="C416" s="3" t="s">
        <v>12</v>
      </c>
      <c r="D416" s="3" t="s">
        <v>1272</v>
      </c>
      <c r="E416" s="3" t="s">
        <v>13</v>
      </c>
      <c r="F416" s="3" t="s">
        <v>25</v>
      </c>
      <c r="G416" s="6" t="s">
        <v>18</v>
      </c>
      <c r="H416" s="4"/>
      <c r="I416" s="5"/>
      <c r="J416" s="5">
        <v>610000</v>
      </c>
      <c r="K416" s="5"/>
      <c r="L416" s="5">
        <v>610000</v>
      </c>
    </row>
    <row r="417" spans="1:12" ht="28.5" customHeight="1">
      <c r="A417" s="2" t="s">
        <v>1273</v>
      </c>
      <c r="B417" s="3" t="s">
        <v>1274</v>
      </c>
      <c r="C417" s="3" t="s">
        <v>12</v>
      </c>
      <c r="D417" s="3" t="s">
        <v>1275</v>
      </c>
      <c r="E417" s="3" t="s">
        <v>13</v>
      </c>
      <c r="F417" s="3" t="s">
        <v>14</v>
      </c>
      <c r="G417" s="6" t="s">
        <v>18</v>
      </c>
      <c r="H417" s="4"/>
      <c r="I417" s="5"/>
      <c r="J417" s="5">
        <v>9732000</v>
      </c>
      <c r="K417" s="5"/>
      <c r="L417" s="5">
        <v>9406000</v>
      </c>
    </row>
    <row r="418" spans="1:12" ht="15.75" customHeight="1">
      <c r="A418" s="2" t="s">
        <v>1276</v>
      </c>
      <c r="B418" s="3" t="s">
        <v>1277</v>
      </c>
      <c r="C418" s="3" t="s">
        <v>12</v>
      </c>
      <c r="D418" s="3" t="s">
        <v>1278</v>
      </c>
      <c r="E418" s="3" t="s">
        <v>13</v>
      </c>
      <c r="F418" s="3" t="s">
        <v>14</v>
      </c>
      <c r="G418" s="6" t="s">
        <v>22</v>
      </c>
      <c r="H418" s="4"/>
      <c r="I418" s="5">
        <v>210000</v>
      </c>
      <c r="J418" s="5">
        <v>35150000</v>
      </c>
      <c r="K418" s="5">
        <v>35000000</v>
      </c>
      <c r="L418" s="5">
        <v>35360000</v>
      </c>
    </row>
    <row r="419" spans="1:12" ht="28.5" customHeight="1">
      <c r="A419" s="2" t="s">
        <v>1279</v>
      </c>
      <c r="B419" s="3" t="s">
        <v>1280</v>
      </c>
      <c r="C419" s="3" t="s">
        <v>12</v>
      </c>
      <c r="D419" s="3" t="s">
        <v>1281</v>
      </c>
      <c r="E419" s="3" t="s">
        <v>13</v>
      </c>
      <c r="F419" s="3" t="s">
        <v>14</v>
      </c>
      <c r="G419" s="6" t="s">
        <v>77</v>
      </c>
      <c r="H419" s="4"/>
      <c r="I419" s="5">
        <v>22148000</v>
      </c>
      <c r="J419" s="5">
        <v>15561000</v>
      </c>
      <c r="K419" s="5">
        <v>11297000</v>
      </c>
      <c r="L419" s="5">
        <v>20467000</v>
      </c>
    </row>
    <row r="420" spans="1:12" ht="28.5" customHeight="1">
      <c r="A420" s="2" t="s">
        <v>1282</v>
      </c>
      <c r="B420" s="3" t="s">
        <v>1283</v>
      </c>
      <c r="C420" s="3" t="s">
        <v>12</v>
      </c>
      <c r="D420" s="3" t="s">
        <v>1284</v>
      </c>
      <c r="E420" s="3" t="s">
        <v>13</v>
      </c>
      <c r="F420" s="3" t="s">
        <v>14</v>
      </c>
      <c r="G420" s="6" t="s">
        <v>18</v>
      </c>
      <c r="H420" s="4"/>
      <c r="I420" s="5">
        <v>2257000</v>
      </c>
      <c r="J420" s="5">
        <v>2624000</v>
      </c>
      <c r="K420" s="5">
        <v>2348000</v>
      </c>
      <c r="L420" s="5">
        <v>2212000</v>
      </c>
    </row>
    <row r="421" spans="1:12" ht="15.75" customHeight="1">
      <c r="A421" s="2" t="s">
        <v>1285</v>
      </c>
      <c r="B421" s="3" t="s">
        <v>1286</v>
      </c>
      <c r="C421" s="3" t="s">
        <v>12</v>
      </c>
      <c r="D421" s="3" t="s">
        <v>1287</v>
      </c>
      <c r="E421" s="3" t="s">
        <v>13</v>
      </c>
      <c r="F421" s="3" t="s">
        <v>14</v>
      </c>
      <c r="G421" s="6" t="s">
        <v>18</v>
      </c>
      <c r="H421" s="4"/>
      <c r="I421" s="5"/>
      <c r="J421" s="5"/>
      <c r="K421" s="5"/>
      <c r="L421" s="5"/>
    </row>
    <row r="422" spans="1:12" ht="28.5" customHeight="1">
      <c r="A422" s="2" t="s">
        <v>1288</v>
      </c>
      <c r="B422" s="3" t="s">
        <v>1289</v>
      </c>
      <c r="C422" s="3" t="s">
        <v>12</v>
      </c>
      <c r="D422" s="3" t="s">
        <v>1290</v>
      </c>
      <c r="E422" s="3" t="s">
        <v>13</v>
      </c>
      <c r="F422" s="3" t="s">
        <v>25</v>
      </c>
      <c r="G422" s="6" t="s">
        <v>18</v>
      </c>
      <c r="H422" s="4"/>
      <c r="I422" s="5">
        <v>30985000</v>
      </c>
      <c r="J422" s="5">
        <v>22264000</v>
      </c>
      <c r="K422" s="5">
        <v>29941000</v>
      </c>
      <c r="L422" s="5">
        <v>16155000</v>
      </c>
    </row>
    <row r="423" spans="1:12" ht="28.5" customHeight="1">
      <c r="A423" s="2" t="s">
        <v>1291</v>
      </c>
      <c r="B423" s="3" t="s">
        <v>1292</v>
      </c>
      <c r="C423" s="3" t="s">
        <v>12</v>
      </c>
      <c r="D423" s="3" t="s">
        <v>1293</v>
      </c>
      <c r="E423" s="3" t="s">
        <v>13</v>
      </c>
      <c r="F423" s="3" t="s">
        <v>25</v>
      </c>
      <c r="G423" s="6" t="s">
        <v>18</v>
      </c>
      <c r="H423" s="4"/>
      <c r="I423" s="5">
        <v>50000</v>
      </c>
      <c r="J423" s="5"/>
      <c r="K423" s="5">
        <v>10000</v>
      </c>
      <c r="L423" s="5"/>
    </row>
    <row r="424" spans="1:12" ht="15.75" customHeight="1">
      <c r="A424" s="2" t="s">
        <v>1294</v>
      </c>
      <c r="B424" s="3" t="s">
        <v>1295</v>
      </c>
      <c r="C424" s="3" t="s">
        <v>12</v>
      </c>
      <c r="D424" s="3" t="s">
        <v>1296</v>
      </c>
      <c r="E424" s="3" t="s">
        <v>13</v>
      </c>
      <c r="F424" s="3" t="s">
        <v>14</v>
      </c>
      <c r="G424" s="6" t="s">
        <v>23</v>
      </c>
      <c r="H424" s="6" t="s">
        <v>23</v>
      </c>
      <c r="I424" s="5">
        <v>149824000</v>
      </c>
      <c r="J424" s="5">
        <v>272017000</v>
      </c>
      <c r="K424" s="5">
        <v>122410000</v>
      </c>
      <c r="L424" s="5">
        <v>181180000</v>
      </c>
    </row>
    <row r="425" spans="1:12" ht="28.5" customHeight="1">
      <c r="A425" s="2" t="s">
        <v>1297</v>
      </c>
      <c r="B425" s="3" t="s">
        <v>1298</v>
      </c>
      <c r="C425" s="3" t="s">
        <v>12</v>
      </c>
      <c r="D425" s="3" t="s">
        <v>1299</v>
      </c>
      <c r="E425" s="3" t="s">
        <v>13</v>
      </c>
      <c r="F425" s="3" t="s">
        <v>14</v>
      </c>
      <c r="G425" s="6" t="s">
        <v>18</v>
      </c>
      <c r="H425" s="4"/>
      <c r="I425" s="5">
        <v>5863000</v>
      </c>
      <c r="J425" s="5">
        <v>9737000</v>
      </c>
      <c r="K425" s="5">
        <v>5959000</v>
      </c>
      <c r="L425" s="5">
        <v>8849000</v>
      </c>
    </row>
    <row r="426" spans="1:12" ht="28.5" customHeight="1">
      <c r="A426" s="2" t="s">
        <v>1300</v>
      </c>
      <c r="B426" s="3" t="s">
        <v>1301</v>
      </c>
      <c r="C426" s="3" t="s">
        <v>12</v>
      </c>
      <c r="D426" s="3" t="s">
        <v>1302</v>
      </c>
      <c r="E426" s="3" t="s">
        <v>13</v>
      </c>
      <c r="F426" s="3" t="s">
        <v>25</v>
      </c>
      <c r="G426" s="6" t="s">
        <v>18</v>
      </c>
      <c r="H426" s="4"/>
      <c r="I426" s="5">
        <v>645000</v>
      </c>
      <c r="J426" s="5"/>
      <c r="K426" s="5">
        <v>1042000</v>
      </c>
      <c r="L426" s="5"/>
    </row>
    <row r="427" spans="1:12" ht="28.5" customHeight="1">
      <c r="A427" s="2" t="s">
        <v>1303</v>
      </c>
      <c r="B427" s="3" t="s">
        <v>1304</v>
      </c>
      <c r="C427" s="3" t="s">
        <v>12</v>
      </c>
      <c r="D427" s="3" t="s">
        <v>1305</v>
      </c>
      <c r="E427" s="3" t="s">
        <v>13</v>
      </c>
      <c r="F427" s="3" t="s">
        <v>14</v>
      </c>
      <c r="G427" s="6" t="s">
        <v>18</v>
      </c>
      <c r="H427" s="4"/>
      <c r="I427" s="5">
        <v>7503000</v>
      </c>
      <c r="J427" s="5">
        <v>3000000</v>
      </c>
      <c r="K427" s="5">
        <v>10274000</v>
      </c>
      <c r="L427" s="5">
        <v>2937000</v>
      </c>
    </row>
    <row r="428" spans="1:12" ht="28.5" customHeight="1">
      <c r="A428" s="2" t="s">
        <v>1306</v>
      </c>
      <c r="B428" s="3" t="s">
        <v>1307</v>
      </c>
      <c r="C428" s="3" t="s">
        <v>12</v>
      </c>
      <c r="D428" s="3" t="s">
        <v>1308</v>
      </c>
      <c r="E428" s="3" t="s">
        <v>13</v>
      </c>
      <c r="F428" s="3" t="s">
        <v>14</v>
      </c>
      <c r="G428" s="6" t="s">
        <v>22</v>
      </c>
      <c r="H428" s="4"/>
      <c r="I428" s="5">
        <v>921553000</v>
      </c>
      <c r="J428" s="5">
        <v>1043548000</v>
      </c>
      <c r="K428" s="5">
        <v>941968000</v>
      </c>
      <c r="L428" s="5">
        <v>1014073000</v>
      </c>
    </row>
    <row r="429" spans="1:12" ht="28.5" customHeight="1">
      <c r="A429" s="2" t="s">
        <v>1309</v>
      </c>
      <c r="B429" s="3" t="s">
        <v>1310</v>
      </c>
      <c r="C429" s="3" t="s">
        <v>12</v>
      </c>
      <c r="D429" s="3" t="s">
        <v>1311</v>
      </c>
      <c r="E429" s="3" t="s">
        <v>13</v>
      </c>
      <c r="F429" s="3" t="s">
        <v>25</v>
      </c>
      <c r="G429" s="6" t="s">
        <v>18</v>
      </c>
      <c r="H429" s="4"/>
      <c r="I429" s="5">
        <v>2754000</v>
      </c>
      <c r="J429" s="5">
        <v>1500000</v>
      </c>
      <c r="K429" s="5">
        <v>2765000</v>
      </c>
      <c r="L429" s="5">
        <v>1486000</v>
      </c>
    </row>
    <row r="430" spans="1:12" ht="28.5" customHeight="1">
      <c r="A430" s="2" t="s">
        <v>1312</v>
      </c>
      <c r="B430" s="3" t="s">
        <v>1313</v>
      </c>
      <c r="C430" s="3" t="s">
        <v>12</v>
      </c>
      <c r="D430" s="3" t="s">
        <v>1314</v>
      </c>
      <c r="E430" s="3" t="s">
        <v>13</v>
      </c>
      <c r="F430" s="3" t="s">
        <v>14</v>
      </c>
      <c r="G430" s="6" t="s">
        <v>22</v>
      </c>
      <c r="H430" s="4"/>
      <c r="I430" s="5"/>
      <c r="J430" s="5">
        <v>14693000</v>
      </c>
      <c r="K430" s="5"/>
      <c r="L430" s="5">
        <v>10489000</v>
      </c>
    </row>
    <row r="431" spans="1:12" ht="28.5" customHeight="1">
      <c r="A431" s="2" t="s">
        <v>1315</v>
      </c>
      <c r="B431" s="3" t="s">
        <v>1316</v>
      </c>
      <c r="C431" s="3" t="s">
        <v>12</v>
      </c>
      <c r="D431" s="3" t="s">
        <v>1317</v>
      </c>
      <c r="E431" s="3" t="s">
        <v>13</v>
      </c>
      <c r="F431" s="3" t="s">
        <v>14</v>
      </c>
      <c r="G431" s="6" t="s">
        <v>18</v>
      </c>
      <c r="H431" s="4"/>
      <c r="I431" s="5">
        <v>1351000</v>
      </c>
      <c r="J431" s="5">
        <v>3736000</v>
      </c>
      <c r="K431" s="5">
        <v>1494000</v>
      </c>
      <c r="L431" s="5">
        <v>2730000</v>
      </c>
    </row>
    <row r="432" spans="1:12" ht="15.75" customHeight="1">
      <c r="A432" s="2" t="s">
        <v>1318</v>
      </c>
      <c r="B432" s="3" t="s">
        <v>1319</v>
      </c>
      <c r="C432" s="3" t="s">
        <v>12</v>
      </c>
      <c r="D432" s="3" t="s">
        <v>1320</v>
      </c>
      <c r="E432" s="3" t="s">
        <v>13</v>
      </c>
      <c r="F432" s="3" t="s">
        <v>14</v>
      </c>
      <c r="G432" s="6" t="s">
        <v>77</v>
      </c>
      <c r="H432" s="4"/>
      <c r="I432" s="5"/>
      <c r="J432" s="5"/>
      <c r="K432" s="5"/>
      <c r="L432" s="5">
        <v>156000</v>
      </c>
    </row>
    <row r="433" spans="1:12" ht="28.5" customHeight="1">
      <c r="A433" s="2" t="s">
        <v>1321</v>
      </c>
      <c r="B433" s="3" t="s">
        <v>1322</v>
      </c>
      <c r="C433" s="3" t="s">
        <v>12</v>
      </c>
      <c r="D433" s="3" t="s">
        <v>1323</v>
      </c>
      <c r="E433" s="3" t="s">
        <v>13</v>
      </c>
      <c r="F433" s="3" t="s">
        <v>14</v>
      </c>
      <c r="G433" s="6" t="s">
        <v>22</v>
      </c>
      <c r="H433" s="4"/>
      <c r="I433" s="5">
        <v>44657000</v>
      </c>
      <c r="J433" s="5">
        <v>41371000</v>
      </c>
      <c r="K433" s="5">
        <v>44875000</v>
      </c>
      <c r="L433" s="5">
        <v>45549000</v>
      </c>
    </row>
    <row r="434" spans="1:12" ht="28.5" customHeight="1">
      <c r="A434" s="2" t="s">
        <v>1324</v>
      </c>
      <c r="B434" s="3" t="s">
        <v>1325</v>
      </c>
      <c r="C434" s="3" t="s">
        <v>12</v>
      </c>
      <c r="D434" s="3" t="s">
        <v>1326</v>
      </c>
      <c r="E434" s="3" t="s">
        <v>13</v>
      </c>
      <c r="F434" s="3" t="s">
        <v>14</v>
      </c>
      <c r="G434" s="6" t="s">
        <v>22</v>
      </c>
      <c r="H434" s="4"/>
      <c r="I434" s="5">
        <v>16194000</v>
      </c>
      <c r="J434" s="5">
        <v>13684000</v>
      </c>
      <c r="K434" s="5">
        <v>15966000</v>
      </c>
      <c r="L434" s="5">
        <v>15768000</v>
      </c>
    </row>
    <row r="435" spans="1:12" ht="28.5" customHeight="1">
      <c r="A435" s="2" t="s">
        <v>1327</v>
      </c>
      <c r="B435" s="3" t="s">
        <v>1328</v>
      </c>
      <c r="C435" s="3" t="s">
        <v>12</v>
      </c>
      <c r="D435" s="3" t="s">
        <v>1329</v>
      </c>
      <c r="E435" s="3" t="s">
        <v>13</v>
      </c>
      <c r="F435" s="3" t="s">
        <v>14</v>
      </c>
      <c r="G435" s="6" t="s">
        <v>18</v>
      </c>
      <c r="H435" s="4"/>
      <c r="I435" s="5"/>
      <c r="J435" s="5">
        <v>30000</v>
      </c>
      <c r="K435" s="5"/>
      <c r="L435" s="5">
        <v>26000</v>
      </c>
    </row>
    <row r="436" spans="1:12" ht="15.75" customHeight="1">
      <c r="A436" s="2" t="s">
        <v>1330</v>
      </c>
      <c r="B436" s="3" t="s">
        <v>1331</v>
      </c>
      <c r="C436" s="3" t="s">
        <v>12</v>
      </c>
      <c r="D436" s="3" t="s">
        <v>1332</v>
      </c>
      <c r="E436" s="3" t="s">
        <v>13</v>
      </c>
      <c r="F436" s="3" t="s">
        <v>14</v>
      </c>
      <c r="G436" s="6" t="s">
        <v>23</v>
      </c>
      <c r="H436" s="6" t="s">
        <v>302</v>
      </c>
      <c r="I436" s="5">
        <v>36995000</v>
      </c>
      <c r="J436" s="5">
        <v>57364000</v>
      </c>
      <c r="K436" s="5">
        <v>36880000</v>
      </c>
      <c r="L436" s="5">
        <v>57481000</v>
      </c>
    </row>
    <row r="437" spans="1:12" ht="28.5" customHeight="1">
      <c r="A437" s="2" t="s">
        <v>1333</v>
      </c>
      <c r="B437" s="3" t="s">
        <v>1334</v>
      </c>
      <c r="C437" s="3" t="s">
        <v>12</v>
      </c>
      <c r="D437" s="3" t="s">
        <v>1335</v>
      </c>
      <c r="E437" s="3" t="s">
        <v>13</v>
      </c>
      <c r="F437" s="3" t="s">
        <v>14</v>
      </c>
      <c r="G437" s="6" t="s">
        <v>77</v>
      </c>
      <c r="H437" s="4"/>
      <c r="I437" s="5"/>
      <c r="J437" s="5"/>
      <c r="K437" s="5"/>
      <c r="L437" s="5"/>
    </row>
    <row r="438" spans="1:12" ht="15.75" customHeight="1">
      <c r="A438" s="2" t="s">
        <v>1336</v>
      </c>
      <c r="B438" s="3" t="s">
        <v>1337</v>
      </c>
      <c r="C438" s="3" t="s">
        <v>12</v>
      </c>
      <c r="D438" s="3" t="s">
        <v>1338</v>
      </c>
      <c r="E438" s="3" t="s">
        <v>13</v>
      </c>
      <c r="F438" s="3" t="s">
        <v>14</v>
      </c>
      <c r="G438" s="6" t="s">
        <v>22</v>
      </c>
      <c r="H438" s="4"/>
      <c r="I438" s="5"/>
      <c r="J438" s="5">
        <v>877482000</v>
      </c>
      <c r="K438" s="5"/>
      <c r="L438" s="5">
        <v>874535000</v>
      </c>
    </row>
    <row r="439" spans="1:12" ht="28.5" customHeight="1">
      <c r="A439" s="2" t="s">
        <v>1339</v>
      </c>
      <c r="B439" s="3" t="s">
        <v>1340</v>
      </c>
      <c r="C439" s="3" t="s">
        <v>12</v>
      </c>
      <c r="D439" s="3" t="s">
        <v>1341</v>
      </c>
      <c r="E439" s="3" t="s">
        <v>13</v>
      </c>
      <c r="F439" s="3" t="s">
        <v>14</v>
      </c>
      <c r="G439" s="6" t="s">
        <v>18</v>
      </c>
      <c r="H439" s="4"/>
      <c r="I439" s="5">
        <v>204203000</v>
      </c>
      <c r="J439" s="5">
        <v>160899000</v>
      </c>
      <c r="K439" s="5">
        <v>139426000</v>
      </c>
      <c r="L439" s="5">
        <v>189015000</v>
      </c>
    </row>
    <row r="440" spans="1:12" ht="15.75" customHeight="1">
      <c r="A440" s="2" t="s">
        <v>1342</v>
      </c>
      <c r="B440" s="3" t="s">
        <v>1343</v>
      </c>
      <c r="C440" s="3" t="s">
        <v>12</v>
      </c>
      <c r="D440" s="3" t="s">
        <v>1344</v>
      </c>
      <c r="E440" s="3" t="s">
        <v>13</v>
      </c>
      <c r="F440" s="3" t="s">
        <v>14</v>
      </c>
      <c r="G440" s="6" t="s">
        <v>18</v>
      </c>
      <c r="H440" s="4"/>
      <c r="I440" s="5"/>
      <c r="J440" s="5"/>
      <c r="K440" s="5"/>
      <c r="L440" s="5"/>
    </row>
    <row r="441" spans="1:12" ht="28.5" customHeight="1">
      <c r="A441" s="2" t="s">
        <v>1345</v>
      </c>
      <c r="B441" s="3" t="s">
        <v>1346</v>
      </c>
      <c r="C441" s="3" t="s">
        <v>12</v>
      </c>
      <c r="D441" s="3" t="s">
        <v>1347</v>
      </c>
      <c r="E441" s="3" t="s">
        <v>13</v>
      </c>
      <c r="F441" s="3" t="s">
        <v>14</v>
      </c>
      <c r="G441" s="6" t="s">
        <v>18</v>
      </c>
      <c r="H441" s="4"/>
      <c r="I441" s="5">
        <v>2313000</v>
      </c>
      <c r="J441" s="5">
        <v>2456000</v>
      </c>
      <c r="K441" s="5">
        <v>2291000</v>
      </c>
      <c r="L441" s="5">
        <v>2498000</v>
      </c>
    </row>
    <row r="442" spans="1:12" ht="28.5" customHeight="1">
      <c r="A442" s="2" t="s">
        <v>1348</v>
      </c>
      <c r="B442" s="3" t="s">
        <v>1349</v>
      </c>
      <c r="C442" s="3" t="s">
        <v>12</v>
      </c>
      <c r="D442" s="3" t="s">
        <v>1350</v>
      </c>
      <c r="E442" s="3" t="s">
        <v>13</v>
      </c>
      <c r="F442" s="3" t="s">
        <v>14</v>
      </c>
      <c r="G442" s="6" t="s">
        <v>18</v>
      </c>
      <c r="H442" s="4"/>
      <c r="I442" s="5"/>
      <c r="J442" s="5"/>
      <c r="K442" s="5"/>
      <c r="L442" s="5"/>
    </row>
    <row r="443" spans="1:12" ht="15.75" customHeight="1">
      <c r="A443" s="2" t="s">
        <v>1351</v>
      </c>
      <c r="B443" s="3" t="s">
        <v>1352</v>
      </c>
      <c r="C443" s="3" t="s">
        <v>12</v>
      </c>
      <c r="D443" s="3" t="s">
        <v>1353</v>
      </c>
      <c r="E443" s="3" t="s">
        <v>13</v>
      </c>
      <c r="F443" s="3" t="s">
        <v>14</v>
      </c>
      <c r="G443" s="6" t="s">
        <v>23</v>
      </c>
      <c r="H443" s="6" t="s">
        <v>23</v>
      </c>
      <c r="I443" s="5">
        <v>10186000</v>
      </c>
      <c r="J443" s="5">
        <v>9496000</v>
      </c>
      <c r="K443" s="5">
        <v>10727000</v>
      </c>
      <c r="L443" s="5">
        <v>9201000</v>
      </c>
    </row>
    <row r="444" spans="1:12" ht="42" customHeight="1">
      <c r="A444" s="2" t="s">
        <v>1354</v>
      </c>
      <c r="B444" s="3" t="s">
        <v>1355</v>
      </c>
      <c r="C444" s="3" t="s">
        <v>12</v>
      </c>
      <c r="D444" s="3" t="s">
        <v>1356</v>
      </c>
      <c r="E444" s="3" t="s">
        <v>13</v>
      </c>
      <c r="F444" s="3" t="s">
        <v>25</v>
      </c>
      <c r="G444" s="6" t="s">
        <v>22</v>
      </c>
      <c r="H444" s="4"/>
      <c r="I444" s="5">
        <v>114225000</v>
      </c>
      <c r="J444" s="5">
        <v>56765000</v>
      </c>
      <c r="K444" s="5">
        <v>138495000</v>
      </c>
      <c r="L444" s="5">
        <v>112771000</v>
      </c>
    </row>
    <row r="445" spans="1:12" ht="15.75" customHeight="1">
      <c r="A445" s="2" t="s">
        <v>1357</v>
      </c>
      <c r="B445" s="3" t="s">
        <v>1358</v>
      </c>
      <c r="C445" s="3" t="s">
        <v>12</v>
      </c>
      <c r="D445" s="3" t="s">
        <v>1359</v>
      </c>
      <c r="E445" s="3" t="s">
        <v>13</v>
      </c>
      <c r="F445" s="3" t="s">
        <v>25</v>
      </c>
      <c r="G445" s="6" t="s">
        <v>18</v>
      </c>
      <c r="H445" s="4"/>
      <c r="I445" s="5">
        <v>16147000</v>
      </c>
      <c r="J445" s="5">
        <v>17568000</v>
      </c>
      <c r="K445" s="5">
        <v>16514000</v>
      </c>
      <c r="L445" s="5">
        <v>21281000</v>
      </c>
    </row>
    <row r="446" spans="1:12" ht="15.75" customHeight="1">
      <c r="A446" s="2" t="s">
        <v>1360</v>
      </c>
      <c r="B446" s="3" t="s">
        <v>1361</v>
      </c>
      <c r="C446" s="3" t="s">
        <v>12</v>
      </c>
      <c r="D446" s="3" t="s">
        <v>1362</v>
      </c>
      <c r="E446" s="3" t="s">
        <v>13</v>
      </c>
      <c r="F446" s="3" t="s">
        <v>14</v>
      </c>
      <c r="G446" s="6" t="s">
        <v>18</v>
      </c>
      <c r="H446" s="4"/>
      <c r="I446" s="5">
        <v>25000</v>
      </c>
      <c r="J446" s="5">
        <v>29000</v>
      </c>
      <c r="K446" s="5">
        <v>37000</v>
      </c>
      <c r="L446" s="5">
        <v>34000</v>
      </c>
    </row>
    <row r="447" spans="1:12" ht="28.5" customHeight="1">
      <c r="A447" s="2" t="s">
        <v>1363</v>
      </c>
      <c r="B447" s="3" t="s">
        <v>1364</v>
      </c>
      <c r="C447" s="3" t="s">
        <v>12</v>
      </c>
      <c r="D447" s="3" t="s">
        <v>1365</v>
      </c>
      <c r="E447" s="3" t="s">
        <v>13</v>
      </c>
      <c r="F447" s="3" t="s">
        <v>14</v>
      </c>
      <c r="G447" s="6" t="s">
        <v>18</v>
      </c>
      <c r="H447" s="4"/>
      <c r="I447" s="5">
        <v>41050000</v>
      </c>
      <c r="J447" s="5">
        <v>40703000</v>
      </c>
      <c r="K447" s="5">
        <v>41578000</v>
      </c>
      <c r="L447" s="5">
        <v>39568000</v>
      </c>
    </row>
    <row r="448" spans="1:12" ht="15.75" customHeight="1">
      <c r="A448" s="2" t="s">
        <v>1366</v>
      </c>
      <c r="B448" s="3" t="s">
        <v>1367</v>
      </c>
      <c r="C448" s="3" t="s">
        <v>12</v>
      </c>
      <c r="D448" s="3" t="s">
        <v>1368</v>
      </c>
      <c r="E448" s="3" t="s">
        <v>13</v>
      </c>
      <c r="F448" s="3" t="s">
        <v>25</v>
      </c>
      <c r="G448" s="6" t="s">
        <v>18</v>
      </c>
      <c r="H448" s="4"/>
      <c r="I448" s="5">
        <v>7920000</v>
      </c>
      <c r="J448" s="5">
        <v>4237000</v>
      </c>
      <c r="K448" s="5">
        <v>3542000</v>
      </c>
      <c r="L448" s="5">
        <v>4730000</v>
      </c>
    </row>
    <row r="449" spans="1:12" ht="28.5" customHeight="1">
      <c r="A449" s="2" t="s">
        <v>1369</v>
      </c>
      <c r="B449" s="3" t="s">
        <v>1370</v>
      </c>
      <c r="C449" s="3" t="s">
        <v>12</v>
      </c>
      <c r="D449" s="3" t="s">
        <v>1371</v>
      </c>
      <c r="E449" s="3" t="s">
        <v>13</v>
      </c>
      <c r="F449" s="3" t="s">
        <v>14</v>
      </c>
      <c r="G449" s="6" t="s">
        <v>18</v>
      </c>
      <c r="H449" s="4"/>
      <c r="I449" s="5">
        <v>11899000</v>
      </c>
      <c r="J449" s="5">
        <v>13075000</v>
      </c>
      <c r="K449" s="5">
        <v>12127000</v>
      </c>
      <c r="L449" s="5">
        <v>11029000</v>
      </c>
    </row>
    <row r="450" spans="1:12" ht="42" customHeight="1">
      <c r="A450" s="2" t="s">
        <v>1372</v>
      </c>
      <c r="B450" s="3" t="s">
        <v>1373</v>
      </c>
      <c r="C450" s="3" t="s">
        <v>12</v>
      </c>
      <c r="D450" s="3" t="s">
        <v>1374</v>
      </c>
      <c r="E450" s="3" t="s">
        <v>13</v>
      </c>
      <c r="F450" s="3" t="s">
        <v>14</v>
      </c>
      <c r="G450" s="6" t="s">
        <v>22</v>
      </c>
      <c r="H450" s="4"/>
      <c r="I450" s="5">
        <v>10544000</v>
      </c>
      <c r="J450" s="5">
        <v>12496000</v>
      </c>
      <c r="K450" s="5">
        <v>9089000</v>
      </c>
      <c r="L450" s="5">
        <v>11301000</v>
      </c>
    </row>
    <row r="451" spans="1:12" ht="28.5" customHeight="1">
      <c r="A451" s="2" t="s">
        <v>1375</v>
      </c>
      <c r="B451" s="3" t="s">
        <v>1376</v>
      </c>
      <c r="C451" s="3" t="s">
        <v>12</v>
      </c>
      <c r="D451" s="3" t="s">
        <v>1377</v>
      </c>
      <c r="E451" s="3" t="s">
        <v>13</v>
      </c>
      <c r="F451" s="3" t="s">
        <v>14</v>
      </c>
      <c r="G451" s="6" t="s">
        <v>22</v>
      </c>
      <c r="H451" s="4"/>
      <c r="I451" s="5">
        <v>61298000</v>
      </c>
      <c r="J451" s="5">
        <v>59605000</v>
      </c>
      <c r="K451" s="5">
        <v>58996000</v>
      </c>
      <c r="L451" s="5">
        <v>61737000</v>
      </c>
    </row>
    <row r="452" spans="1:12" ht="15.75" customHeight="1">
      <c r="A452" s="2" t="s">
        <v>1378</v>
      </c>
      <c r="B452" s="3" t="s">
        <v>1379</v>
      </c>
      <c r="C452" s="3" t="s">
        <v>12</v>
      </c>
      <c r="D452" s="3" t="s">
        <v>1380</v>
      </c>
      <c r="E452" s="3" t="s">
        <v>13</v>
      </c>
      <c r="F452" s="3" t="s">
        <v>14</v>
      </c>
      <c r="G452" s="6" t="s">
        <v>18</v>
      </c>
      <c r="H452" s="4"/>
      <c r="I452" s="5">
        <v>19498000</v>
      </c>
      <c r="J452" s="5">
        <v>30337000</v>
      </c>
      <c r="K452" s="5">
        <v>22071000</v>
      </c>
      <c r="L452" s="5">
        <v>29304000</v>
      </c>
    </row>
    <row r="453" spans="1:12" ht="54.75" customHeight="1">
      <c r="A453" s="2" t="s">
        <v>1381</v>
      </c>
      <c r="B453" s="3" t="s">
        <v>1382</v>
      </c>
      <c r="C453" s="3" t="s">
        <v>12</v>
      </c>
      <c r="D453" s="3" t="s">
        <v>1383</v>
      </c>
      <c r="E453" s="3" t="s">
        <v>13</v>
      </c>
      <c r="F453" s="3" t="s">
        <v>25</v>
      </c>
      <c r="G453" s="6" t="s">
        <v>18</v>
      </c>
      <c r="H453" s="4"/>
      <c r="I453" s="5"/>
      <c r="J453" s="5"/>
      <c r="K453" s="5"/>
      <c r="L453" s="5"/>
    </row>
    <row r="454" spans="1:12" ht="28.5" customHeight="1">
      <c r="A454" s="2" t="s">
        <v>1384</v>
      </c>
      <c r="B454" s="3" t="s">
        <v>1385</v>
      </c>
      <c r="C454" s="3" t="s">
        <v>12</v>
      </c>
      <c r="D454" s="3" t="s">
        <v>1386</v>
      </c>
      <c r="E454" s="3" t="s">
        <v>13</v>
      </c>
      <c r="F454" s="3" t="s">
        <v>14</v>
      </c>
      <c r="G454" s="6" t="s">
        <v>18</v>
      </c>
      <c r="H454" s="4"/>
      <c r="I454" s="5">
        <v>5780000</v>
      </c>
      <c r="J454" s="5">
        <v>950000</v>
      </c>
      <c r="K454" s="5">
        <v>6473000</v>
      </c>
      <c r="L454" s="5">
        <v>1097000</v>
      </c>
    </row>
    <row r="455" spans="1:12" ht="54.75" customHeight="1">
      <c r="A455" s="2" t="s">
        <v>1387</v>
      </c>
      <c r="B455" s="3" t="s">
        <v>1388</v>
      </c>
      <c r="C455" s="3" t="s">
        <v>12</v>
      </c>
      <c r="D455" s="3" t="s">
        <v>1389</v>
      </c>
      <c r="E455" s="3" t="s">
        <v>13</v>
      </c>
      <c r="F455" s="3" t="s">
        <v>14</v>
      </c>
      <c r="G455" s="6" t="s">
        <v>18</v>
      </c>
      <c r="H455" s="4"/>
      <c r="I455" s="5"/>
      <c r="J455" s="5">
        <v>385000</v>
      </c>
      <c r="K455" s="5"/>
      <c r="L455" s="5">
        <v>384000</v>
      </c>
    </row>
    <row r="456" spans="1:12" ht="67.5" customHeight="1">
      <c r="A456" s="2" t="s">
        <v>1390</v>
      </c>
      <c r="B456" s="3" t="s">
        <v>1391</v>
      </c>
      <c r="C456" s="3" t="s">
        <v>12</v>
      </c>
      <c r="D456" s="3" t="s">
        <v>1392</v>
      </c>
      <c r="E456" s="3" t="s">
        <v>13</v>
      </c>
      <c r="F456" s="3" t="s">
        <v>14</v>
      </c>
      <c r="G456" s="6" t="s">
        <v>18</v>
      </c>
      <c r="H456" s="4"/>
      <c r="I456" s="5">
        <v>664000</v>
      </c>
      <c r="J456" s="5">
        <v>144000</v>
      </c>
      <c r="K456" s="5">
        <v>673000</v>
      </c>
      <c r="L456" s="5">
        <v>144000</v>
      </c>
    </row>
    <row r="457" spans="1:12" ht="28.5" customHeight="1">
      <c r="A457" s="2" t="s">
        <v>1393</v>
      </c>
      <c r="B457" s="3" t="s">
        <v>1394</v>
      </c>
      <c r="C457" s="3" t="s">
        <v>12</v>
      </c>
      <c r="D457" s="3" t="s">
        <v>1395</v>
      </c>
      <c r="E457" s="3" t="s">
        <v>13</v>
      </c>
      <c r="F457" s="3" t="s">
        <v>14</v>
      </c>
      <c r="G457" s="6" t="s">
        <v>77</v>
      </c>
      <c r="H457" s="4"/>
      <c r="I457" s="5">
        <v>703793000</v>
      </c>
      <c r="J457" s="5">
        <v>623838000</v>
      </c>
      <c r="K457" s="5">
        <v>468026000</v>
      </c>
      <c r="L457" s="5">
        <v>1039053000</v>
      </c>
    </row>
    <row r="458" spans="1:12" ht="42" customHeight="1">
      <c r="A458" s="2" t="s">
        <v>1396</v>
      </c>
      <c r="B458" s="3" t="s">
        <v>1397</v>
      </c>
      <c r="C458" s="3" t="s">
        <v>12</v>
      </c>
      <c r="D458" s="3" t="s">
        <v>1398</v>
      </c>
      <c r="E458" s="3" t="s">
        <v>13</v>
      </c>
      <c r="F458" s="3" t="s">
        <v>14</v>
      </c>
      <c r="G458" s="6" t="s">
        <v>22</v>
      </c>
      <c r="H458" s="4"/>
      <c r="I458" s="5">
        <v>292451000</v>
      </c>
      <c r="J458" s="5">
        <v>378548000</v>
      </c>
      <c r="K458" s="5">
        <v>354412000</v>
      </c>
      <c r="L458" s="5">
        <v>322327000</v>
      </c>
    </row>
    <row r="459" spans="1:12" ht="15.75" customHeight="1">
      <c r="A459" s="2" t="s">
        <v>1399</v>
      </c>
      <c r="B459" s="3" t="s">
        <v>1400</v>
      </c>
      <c r="C459" s="3" t="s">
        <v>12</v>
      </c>
      <c r="D459" s="3" t="s">
        <v>1401</v>
      </c>
      <c r="E459" s="3" t="s">
        <v>13</v>
      </c>
      <c r="F459" s="3" t="s">
        <v>14</v>
      </c>
      <c r="G459" s="6" t="s">
        <v>22</v>
      </c>
      <c r="H459" s="4"/>
      <c r="I459" s="5">
        <v>6566000</v>
      </c>
      <c r="J459" s="5"/>
      <c r="K459" s="5">
        <v>6668000</v>
      </c>
      <c r="L459" s="5"/>
    </row>
    <row r="460" spans="1:12" ht="28.5" customHeight="1">
      <c r="A460" s="2" t="s">
        <v>1402</v>
      </c>
      <c r="B460" s="3" t="s">
        <v>1403</v>
      </c>
      <c r="C460" s="3" t="s">
        <v>12</v>
      </c>
      <c r="D460" s="3" t="s">
        <v>1404</v>
      </c>
      <c r="E460" s="3" t="s">
        <v>13</v>
      </c>
      <c r="F460" s="3" t="s">
        <v>14</v>
      </c>
      <c r="G460" s="6" t="s">
        <v>18</v>
      </c>
      <c r="H460" s="4"/>
      <c r="I460" s="5"/>
      <c r="J460" s="5">
        <v>6619000</v>
      </c>
      <c r="K460" s="5"/>
      <c r="L460" s="5">
        <v>9474000</v>
      </c>
    </row>
    <row r="461" spans="1:12" ht="28.5" customHeight="1">
      <c r="A461" s="2" t="s">
        <v>1405</v>
      </c>
      <c r="B461" s="3" t="s">
        <v>1406</v>
      </c>
      <c r="C461" s="3" t="s">
        <v>12</v>
      </c>
      <c r="D461" s="3" t="s">
        <v>1407</v>
      </c>
      <c r="E461" s="3" t="s">
        <v>13</v>
      </c>
      <c r="F461" s="3" t="s">
        <v>25</v>
      </c>
      <c r="G461" s="6" t="s">
        <v>22</v>
      </c>
      <c r="H461" s="4"/>
      <c r="I461" s="5">
        <v>14550000</v>
      </c>
      <c r="J461" s="5"/>
      <c r="K461" s="5">
        <v>15837000</v>
      </c>
      <c r="L461" s="5"/>
    </row>
    <row r="462" spans="1:12" ht="28.5" customHeight="1">
      <c r="A462" s="2" t="s">
        <v>1408</v>
      </c>
      <c r="B462" s="3" t="s">
        <v>1409</v>
      </c>
      <c r="C462" s="3" t="s">
        <v>12</v>
      </c>
      <c r="D462" s="3" t="s">
        <v>1410</v>
      </c>
      <c r="E462" s="3" t="s">
        <v>13</v>
      </c>
      <c r="F462" s="3" t="s">
        <v>249</v>
      </c>
      <c r="G462" s="6" t="s">
        <v>77</v>
      </c>
      <c r="H462" s="4"/>
      <c r="I462" s="5">
        <v>637000</v>
      </c>
      <c r="J462" s="5">
        <v>3049000</v>
      </c>
      <c r="K462" s="5"/>
      <c r="L462" s="5">
        <v>593000</v>
      </c>
    </row>
    <row r="463" spans="1:12" ht="15.75" customHeight="1">
      <c r="A463" s="2" t="s">
        <v>1411</v>
      </c>
      <c r="B463" s="3" t="s">
        <v>1412</v>
      </c>
      <c r="C463" s="3" t="s">
        <v>12</v>
      </c>
      <c r="D463" s="3" t="s">
        <v>1413</v>
      </c>
      <c r="E463" s="3" t="s">
        <v>13</v>
      </c>
      <c r="F463" s="3" t="s">
        <v>25</v>
      </c>
      <c r="G463" s="6" t="s">
        <v>18</v>
      </c>
      <c r="H463" s="4"/>
      <c r="I463" s="5"/>
      <c r="J463" s="5"/>
      <c r="K463" s="5"/>
      <c r="L463" s="5"/>
    </row>
    <row r="464" spans="1:12" ht="28.5" customHeight="1">
      <c r="A464" s="2" t="s">
        <v>1414</v>
      </c>
      <c r="B464" s="3" t="s">
        <v>1415</v>
      </c>
      <c r="C464" s="3" t="s">
        <v>12</v>
      </c>
      <c r="D464" s="3" t="s">
        <v>1416</v>
      </c>
      <c r="E464" s="3" t="s">
        <v>13</v>
      </c>
      <c r="F464" s="3" t="s">
        <v>24</v>
      </c>
      <c r="G464" s="6" t="s">
        <v>807</v>
      </c>
      <c r="H464" s="6" t="s">
        <v>302</v>
      </c>
      <c r="I464" s="5"/>
      <c r="J464" s="5"/>
      <c r="K464" s="5"/>
      <c r="L464" s="5"/>
    </row>
    <row r="465" spans="1:12" ht="28.5" customHeight="1">
      <c r="A465" s="2" t="s">
        <v>1417</v>
      </c>
      <c r="B465" s="3" t="s">
        <v>1418</v>
      </c>
      <c r="C465" s="3" t="s">
        <v>12</v>
      </c>
      <c r="D465" s="3" t="s">
        <v>1419</v>
      </c>
      <c r="E465" s="3" t="s">
        <v>13</v>
      </c>
      <c r="F465" s="3" t="s">
        <v>14</v>
      </c>
      <c r="G465" s="6" t="s">
        <v>77</v>
      </c>
      <c r="H465" s="4"/>
      <c r="I465" s="5">
        <v>64637000</v>
      </c>
      <c r="J465" s="5"/>
      <c r="K465" s="5">
        <v>85342000</v>
      </c>
      <c r="L465" s="5"/>
    </row>
    <row r="466" spans="1:12" ht="15.75" customHeight="1">
      <c r="A466" s="2" t="s">
        <v>1420</v>
      </c>
      <c r="B466" s="3" t="s">
        <v>1421</v>
      </c>
      <c r="C466" s="3" t="s">
        <v>12</v>
      </c>
      <c r="D466" s="3" t="s">
        <v>1422</v>
      </c>
      <c r="E466" s="3" t="s">
        <v>13</v>
      </c>
      <c r="F466" s="3" t="s">
        <v>14</v>
      </c>
      <c r="G466" s="6" t="s">
        <v>22</v>
      </c>
      <c r="H466" s="4"/>
      <c r="I466" s="5">
        <v>38436000</v>
      </c>
      <c r="J466" s="5">
        <v>43315000</v>
      </c>
      <c r="K466" s="5">
        <v>37666000</v>
      </c>
      <c r="L466" s="5">
        <v>45493000</v>
      </c>
    </row>
    <row r="467" spans="1:12" ht="28.5" customHeight="1">
      <c r="A467" s="2" t="s">
        <v>1423</v>
      </c>
      <c r="B467" s="3" t="s">
        <v>1424</v>
      </c>
      <c r="C467" s="3" t="s">
        <v>12</v>
      </c>
      <c r="D467" s="3" t="s">
        <v>1425</v>
      </c>
      <c r="E467" s="3" t="s">
        <v>13</v>
      </c>
      <c r="F467" s="3" t="s">
        <v>25</v>
      </c>
      <c r="G467" s="6" t="s">
        <v>18</v>
      </c>
      <c r="H467" s="4"/>
      <c r="I467" s="5">
        <v>8110000</v>
      </c>
      <c r="J467" s="5"/>
      <c r="K467" s="5">
        <v>8803000</v>
      </c>
      <c r="L467" s="5"/>
    </row>
    <row r="468" spans="1:12" ht="15.75" customHeight="1">
      <c r="A468" s="2" t="s">
        <v>1426</v>
      </c>
      <c r="B468" s="3" t="s">
        <v>1427</v>
      </c>
      <c r="C468" s="3" t="s">
        <v>12</v>
      </c>
      <c r="D468" s="3" t="s">
        <v>1428</v>
      </c>
      <c r="E468" s="3" t="s">
        <v>13</v>
      </c>
      <c r="F468" s="3" t="s">
        <v>14</v>
      </c>
      <c r="G468" s="6" t="s">
        <v>18</v>
      </c>
      <c r="H468" s="4"/>
      <c r="I468" s="5">
        <v>540000</v>
      </c>
      <c r="J468" s="5"/>
      <c r="K468" s="5">
        <v>540000</v>
      </c>
      <c r="L468" s="5"/>
    </row>
    <row r="469" spans="1:12" ht="28.5" customHeight="1">
      <c r="A469" s="2" t="s">
        <v>1429</v>
      </c>
      <c r="B469" s="3" t="s">
        <v>1430</v>
      </c>
      <c r="C469" s="3" t="s">
        <v>12</v>
      </c>
      <c r="D469" s="3" t="s">
        <v>1431</v>
      </c>
      <c r="E469" s="3" t="s">
        <v>13</v>
      </c>
      <c r="F469" s="3" t="s">
        <v>14</v>
      </c>
      <c r="G469" s="6" t="s">
        <v>18</v>
      </c>
      <c r="H469" s="4"/>
      <c r="I469" s="5">
        <v>1351000</v>
      </c>
      <c r="J469" s="5">
        <v>353000</v>
      </c>
      <c r="K469" s="5">
        <v>1337000</v>
      </c>
      <c r="L469" s="5">
        <v>357000</v>
      </c>
    </row>
    <row r="470" spans="1:12" ht="28.5" customHeight="1">
      <c r="A470" s="2" t="s">
        <v>1432</v>
      </c>
      <c r="B470" s="3" t="s">
        <v>1433</v>
      </c>
      <c r="C470" s="3" t="s">
        <v>12</v>
      </c>
      <c r="D470" s="3" t="s">
        <v>1434</v>
      </c>
      <c r="E470" s="3" t="s">
        <v>13</v>
      </c>
      <c r="F470" s="3" t="s">
        <v>14</v>
      </c>
      <c r="G470" s="6" t="s">
        <v>18</v>
      </c>
      <c r="H470" s="4"/>
      <c r="I470" s="5">
        <v>26941000</v>
      </c>
      <c r="J470" s="5">
        <v>32767000</v>
      </c>
      <c r="K470" s="5">
        <v>11738000</v>
      </c>
      <c r="L470" s="5">
        <v>43230000</v>
      </c>
    </row>
    <row r="471" spans="1:12" ht="42" customHeight="1">
      <c r="A471" s="2" t="s">
        <v>1435</v>
      </c>
      <c r="B471" s="3" t="s">
        <v>1436</v>
      </c>
      <c r="C471" s="3" t="s">
        <v>12</v>
      </c>
      <c r="D471" s="3" t="s">
        <v>1437</v>
      </c>
      <c r="E471" s="3" t="s">
        <v>13</v>
      </c>
      <c r="F471" s="3" t="s">
        <v>14</v>
      </c>
      <c r="G471" s="6" t="s">
        <v>18</v>
      </c>
      <c r="H471" s="4"/>
      <c r="I471" s="5">
        <v>1699000</v>
      </c>
      <c r="J471" s="5">
        <v>2950000</v>
      </c>
      <c r="K471" s="5">
        <v>1914000</v>
      </c>
      <c r="L471" s="5">
        <v>2913000</v>
      </c>
    </row>
    <row r="472" spans="1:12" ht="15.75" customHeight="1">
      <c r="A472" s="2" t="s">
        <v>1438</v>
      </c>
      <c r="B472" s="3" t="s">
        <v>1439</v>
      </c>
      <c r="C472" s="3" t="s">
        <v>12</v>
      </c>
      <c r="D472" s="3" t="s">
        <v>1440</v>
      </c>
      <c r="E472" s="3" t="s">
        <v>13</v>
      </c>
      <c r="F472" s="3" t="s">
        <v>14</v>
      </c>
      <c r="G472" s="6" t="s">
        <v>22</v>
      </c>
      <c r="H472" s="4"/>
      <c r="I472" s="5">
        <v>69987000</v>
      </c>
      <c r="J472" s="5">
        <v>71092000</v>
      </c>
      <c r="K472" s="5">
        <v>71678000</v>
      </c>
      <c r="L472" s="5">
        <v>78509000</v>
      </c>
    </row>
    <row r="473" spans="1:12" ht="42" customHeight="1">
      <c r="A473" s="2" t="s">
        <v>1441</v>
      </c>
      <c r="B473" s="3" t="s">
        <v>1442</v>
      </c>
      <c r="C473" s="3" t="s">
        <v>12</v>
      </c>
      <c r="D473" s="3" t="s">
        <v>1443</v>
      </c>
      <c r="E473" s="3" t="s">
        <v>13</v>
      </c>
      <c r="F473" s="3" t="s">
        <v>25</v>
      </c>
      <c r="G473" s="6" t="s">
        <v>22</v>
      </c>
      <c r="H473" s="4"/>
      <c r="I473" s="5">
        <v>216523000</v>
      </c>
      <c r="J473" s="5">
        <v>285356000</v>
      </c>
      <c r="K473" s="5">
        <v>165237000</v>
      </c>
      <c r="L473" s="5">
        <v>97431000</v>
      </c>
    </row>
    <row r="474" spans="1:12" ht="28.5" customHeight="1">
      <c r="A474" s="2" t="s">
        <v>1444</v>
      </c>
      <c r="B474" s="3" t="s">
        <v>1445</v>
      </c>
      <c r="C474" s="3" t="s">
        <v>12</v>
      </c>
      <c r="D474" s="3" t="s">
        <v>1446</v>
      </c>
      <c r="E474" s="3" t="s">
        <v>13</v>
      </c>
      <c r="F474" s="3" t="s">
        <v>14</v>
      </c>
      <c r="G474" s="6" t="s">
        <v>18</v>
      </c>
      <c r="H474" s="4"/>
      <c r="I474" s="5">
        <v>171000</v>
      </c>
      <c r="J474" s="5"/>
      <c r="K474" s="5">
        <v>152000</v>
      </c>
      <c r="L474" s="5"/>
    </row>
    <row r="475" spans="1:12" ht="42" customHeight="1">
      <c r="A475" s="2" t="s">
        <v>1447</v>
      </c>
      <c r="B475" s="3" t="s">
        <v>1448</v>
      </c>
      <c r="C475" s="3" t="s">
        <v>12</v>
      </c>
      <c r="D475" s="3" t="s">
        <v>1449</v>
      </c>
      <c r="E475" s="3" t="s">
        <v>13</v>
      </c>
      <c r="F475" s="3" t="s">
        <v>25</v>
      </c>
      <c r="G475" s="6" t="s">
        <v>18</v>
      </c>
      <c r="H475" s="4"/>
      <c r="I475" s="5"/>
      <c r="J475" s="5"/>
      <c r="K475" s="5"/>
      <c r="L475" s="5"/>
    </row>
    <row r="476" spans="1:12" ht="67.5" customHeight="1">
      <c r="A476" s="2" t="s">
        <v>1450</v>
      </c>
      <c r="B476" s="3" t="s">
        <v>1451</v>
      </c>
      <c r="C476" s="3" t="s">
        <v>12</v>
      </c>
      <c r="D476" s="3" t="s">
        <v>1452</v>
      </c>
      <c r="E476" s="3" t="s">
        <v>13</v>
      </c>
      <c r="F476" s="3" t="s">
        <v>14</v>
      </c>
      <c r="G476" s="6" t="s">
        <v>18</v>
      </c>
      <c r="H476" s="4"/>
      <c r="I476" s="5"/>
      <c r="J476" s="5">
        <v>6405000</v>
      </c>
      <c r="K476" s="5">
        <v>4193000</v>
      </c>
      <c r="L476" s="5">
        <v>6462000</v>
      </c>
    </row>
    <row r="477" spans="1:12" ht="28.5" customHeight="1">
      <c r="A477" s="2" t="s">
        <v>1453</v>
      </c>
      <c r="B477" s="3" t="s">
        <v>1454</v>
      </c>
      <c r="C477" s="3" t="s">
        <v>12</v>
      </c>
      <c r="D477" s="3" t="s">
        <v>1455</v>
      </c>
      <c r="E477" s="3" t="s">
        <v>13</v>
      </c>
      <c r="F477" s="3" t="s">
        <v>25</v>
      </c>
      <c r="G477" s="6" t="s">
        <v>18</v>
      </c>
      <c r="H477" s="4"/>
      <c r="I477" s="5">
        <v>15035000</v>
      </c>
      <c r="J477" s="5">
        <v>39300000</v>
      </c>
      <c r="K477" s="5">
        <v>23060000</v>
      </c>
      <c r="L477" s="5">
        <v>36529000</v>
      </c>
    </row>
    <row r="478" spans="1:12" ht="28.5" customHeight="1">
      <c r="A478" s="2" t="s">
        <v>1456</v>
      </c>
      <c r="B478" s="3" t="s">
        <v>1457</v>
      </c>
      <c r="C478" s="3" t="s">
        <v>12</v>
      </c>
      <c r="D478" s="3" t="s">
        <v>1458</v>
      </c>
      <c r="E478" s="3" t="s">
        <v>13</v>
      </c>
      <c r="F478" s="3" t="s">
        <v>25</v>
      </c>
      <c r="G478" s="6" t="s">
        <v>18</v>
      </c>
      <c r="H478" s="4"/>
      <c r="I478" s="5">
        <v>200000000</v>
      </c>
      <c r="J478" s="5">
        <v>919979000</v>
      </c>
      <c r="K478" s="5">
        <v>42240000</v>
      </c>
      <c r="L478" s="5">
        <v>32696000</v>
      </c>
    </row>
    <row r="479" spans="1:12" ht="28.5" customHeight="1">
      <c r="A479" s="2" t="s">
        <v>1459</v>
      </c>
      <c r="B479" s="3" t="s">
        <v>1460</v>
      </c>
      <c r="C479" s="3" t="s">
        <v>12</v>
      </c>
      <c r="D479" s="3" t="s">
        <v>1461</v>
      </c>
      <c r="E479" s="3" t="s">
        <v>13</v>
      </c>
      <c r="F479" s="3" t="s">
        <v>14</v>
      </c>
      <c r="G479" s="6" t="s">
        <v>18</v>
      </c>
      <c r="H479" s="4"/>
      <c r="I479" s="5">
        <v>87000</v>
      </c>
      <c r="J479" s="5">
        <v>61000</v>
      </c>
      <c r="K479" s="5">
        <v>39000</v>
      </c>
      <c r="L479" s="5">
        <v>149000</v>
      </c>
    </row>
    <row r="480" spans="1:12" ht="15.75" customHeight="1">
      <c r="A480" s="2" t="s">
        <v>1462</v>
      </c>
      <c r="B480" s="3" t="s">
        <v>1463</v>
      </c>
      <c r="C480" s="3" t="s">
        <v>12</v>
      </c>
      <c r="D480" s="3" t="s">
        <v>1464</v>
      </c>
      <c r="E480" s="3" t="s">
        <v>13</v>
      </c>
      <c r="F480" s="3" t="s">
        <v>14</v>
      </c>
      <c r="G480" s="6" t="s">
        <v>18</v>
      </c>
      <c r="H480" s="4"/>
      <c r="I480" s="5">
        <v>7122000</v>
      </c>
      <c r="J480" s="5">
        <v>10408000</v>
      </c>
      <c r="K480" s="5">
        <v>7214000</v>
      </c>
      <c r="L480" s="5">
        <v>9096000</v>
      </c>
    </row>
    <row r="481" spans="1:12" ht="28.5" customHeight="1">
      <c r="A481" s="2" t="s">
        <v>1465</v>
      </c>
      <c r="B481" s="3" t="s">
        <v>1466</v>
      </c>
      <c r="C481" s="3" t="s">
        <v>12</v>
      </c>
      <c r="D481" s="3" t="s">
        <v>1467</v>
      </c>
      <c r="E481" s="3" t="s">
        <v>13</v>
      </c>
      <c r="F481" s="3" t="s">
        <v>14</v>
      </c>
      <c r="G481" s="6" t="s">
        <v>18</v>
      </c>
      <c r="H481" s="4"/>
      <c r="I481" s="5">
        <v>2069000</v>
      </c>
      <c r="J481" s="5">
        <v>2551000</v>
      </c>
      <c r="K481" s="5">
        <v>1662000</v>
      </c>
      <c r="L481" s="5">
        <v>2104000</v>
      </c>
    </row>
    <row r="482" spans="1:12" ht="28.5" customHeight="1">
      <c r="A482" s="2" t="s">
        <v>1468</v>
      </c>
      <c r="B482" s="3" t="s">
        <v>1469</v>
      </c>
      <c r="C482" s="3" t="s">
        <v>12</v>
      </c>
      <c r="D482" s="3" t="s">
        <v>1470</v>
      </c>
      <c r="E482" s="3" t="s">
        <v>13</v>
      </c>
      <c r="F482" s="3" t="s">
        <v>14</v>
      </c>
      <c r="G482" s="6" t="s">
        <v>807</v>
      </c>
      <c r="H482" s="6" t="s">
        <v>1135</v>
      </c>
      <c r="I482" s="5">
        <v>210174000</v>
      </c>
      <c r="J482" s="5">
        <v>335990000</v>
      </c>
      <c r="K482" s="5">
        <v>209771000</v>
      </c>
      <c r="L482" s="5">
        <v>329313000</v>
      </c>
    </row>
    <row r="483" spans="1:12" ht="28.5" customHeight="1">
      <c r="A483" s="2" t="s">
        <v>1471</v>
      </c>
      <c r="B483" s="3" t="s">
        <v>1472</v>
      </c>
      <c r="C483" s="3" t="s">
        <v>12</v>
      </c>
      <c r="D483" s="3" t="s">
        <v>1473</v>
      </c>
      <c r="E483" s="3" t="s">
        <v>13</v>
      </c>
      <c r="F483" s="3" t="s">
        <v>14</v>
      </c>
      <c r="G483" s="6" t="s">
        <v>18</v>
      </c>
      <c r="H483" s="4"/>
      <c r="I483" s="5">
        <v>34254000</v>
      </c>
      <c r="J483" s="5">
        <v>14079000</v>
      </c>
      <c r="K483" s="5">
        <v>30749000</v>
      </c>
      <c r="L483" s="5">
        <v>38300000</v>
      </c>
    </row>
    <row r="484" spans="1:12" ht="15.75" customHeight="1">
      <c r="A484" s="2" t="s">
        <v>1474</v>
      </c>
      <c r="B484" s="3" t="s">
        <v>1475</v>
      </c>
      <c r="C484" s="3" t="s">
        <v>12</v>
      </c>
      <c r="D484" s="3" t="s">
        <v>1476</v>
      </c>
      <c r="E484" s="3" t="s">
        <v>13</v>
      </c>
      <c r="F484" s="3" t="s">
        <v>14</v>
      </c>
      <c r="G484" s="6" t="s">
        <v>18</v>
      </c>
      <c r="H484" s="4"/>
      <c r="I484" s="5">
        <v>1928000</v>
      </c>
      <c r="J484" s="5">
        <v>10200000</v>
      </c>
      <c r="K484" s="5">
        <v>1983000</v>
      </c>
      <c r="L484" s="5">
        <v>4954000</v>
      </c>
    </row>
    <row r="485" spans="1:12" ht="28.5" customHeight="1">
      <c r="A485" s="2" t="s">
        <v>1477</v>
      </c>
      <c r="B485" s="3" t="s">
        <v>1478</v>
      </c>
      <c r="C485" s="3" t="s">
        <v>12</v>
      </c>
      <c r="D485" s="3" t="s">
        <v>1479</v>
      </c>
      <c r="E485" s="3" t="s">
        <v>13</v>
      </c>
      <c r="F485" s="3" t="s">
        <v>14</v>
      </c>
      <c r="G485" s="6" t="s">
        <v>18</v>
      </c>
      <c r="H485" s="4"/>
      <c r="I485" s="5">
        <v>7758000</v>
      </c>
      <c r="J485" s="5"/>
      <c r="K485" s="5">
        <v>6147000</v>
      </c>
      <c r="L485" s="5"/>
    </row>
    <row r="486" spans="1:12" ht="15.75" customHeight="1">
      <c r="A486" s="2" t="s">
        <v>1480</v>
      </c>
      <c r="B486" s="3" t="s">
        <v>1481</v>
      </c>
      <c r="C486" s="3" t="s">
        <v>12</v>
      </c>
      <c r="D486" s="3" t="s">
        <v>1482</v>
      </c>
      <c r="E486" s="3" t="s">
        <v>13</v>
      </c>
      <c r="F486" s="3" t="s">
        <v>14</v>
      </c>
      <c r="G486" s="6" t="s">
        <v>77</v>
      </c>
      <c r="H486" s="4"/>
      <c r="I486" s="5">
        <v>-8799000</v>
      </c>
      <c r="J486" s="5">
        <v>39063000</v>
      </c>
      <c r="K486" s="5">
        <v>1959000</v>
      </c>
      <c r="L486" s="5">
        <v>2554000</v>
      </c>
    </row>
    <row r="487" spans="1:12" ht="15.75" customHeight="1">
      <c r="A487" s="2" t="s">
        <v>1483</v>
      </c>
      <c r="B487" s="3" t="s">
        <v>1484</v>
      </c>
      <c r="C487" s="3" t="s">
        <v>12</v>
      </c>
      <c r="D487" s="3" t="s">
        <v>1485</v>
      </c>
      <c r="E487" s="3" t="s">
        <v>13</v>
      </c>
      <c r="F487" s="3" t="s">
        <v>14</v>
      </c>
      <c r="G487" s="6" t="s">
        <v>77</v>
      </c>
      <c r="H487" s="4"/>
      <c r="I487" s="5">
        <v>411626000</v>
      </c>
      <c r="J487" s="5">
        <v>172898000</v>
      </c>
      <c r="K487" s="5">
        <v>296732000</v>
      </c>
      <c r="L487" s="5">
        <v>151114000</v>
      </c>
    </row>
    <row r="488" spans="1:12" ht="28.5" customHeight="1">
      <c r="A488" s="2" t="s">
        <v>1486</v>
      </c>
      <c r="B488" s="3" t="s">
        <v>1487</v>
      </c>
      <c r="C488" s="3" t="s">
        <v>12</v>
      </c>
      <c r="D488" s="3" t="s">
        <v>1488</v>
      </c>
      <c r="E488" s="3" t="s">
        <v>13</v>
      </c>
      <c r="F488" s="3" t="s">
        <v>25</v>
      </c>
      <c r="G488" s="6" t="s">
        <v>18</v>
      </c>
      <c r="H488" s="4"/>
      <c r="I488" s="5">
        <v>5230000</v>
      </c>
      <c r="J488" s="5">
        <v>2850000</v>
      </c>
      <c r="K488" s="5">
        <v>2311000</v>
      </c>
      <c r="L488" s="5">
        <v>2417000</v>
      </c>
    </row>
    <row r="489" spans="1:12" ht="106.5" customHeight="1">
      <c r="A489" s="2" t="s">
        <v>1489</v>
      </c>
      <c r="B489" s="3" t="s">
        <v>1490</v>
      </c>
      <c r="C489" s="3" t="s">
        <v>12</v>
      </c>
      <c r="D489" s="3" t="s">
        <v>1491</v>
      </c>
      <c r="E489" s="3" t="s">
        <v>13</v>
      </c>
      <c r="F489" s="3" t="s">
        <v>25</v>
      </c>
      <c r="G489" s="6" t="s">
        <v>77</v>
      </c>
      <c r="H489" s="4"/>
      <c r="I489" s="5"/>
      <c r="J489" s="5"/>
      <c r="K489" s="5"/>
      <c r="L489" s="5"/>
    </row>
    <row r="490" spans="1:12" ht="54.75" customHeight="1">
      <c r="A490" s="2" t="s">
        <v>1492</v>
      </c>
      <c r="B490" s="3" t="s">
        <v>1493</v>
      </c>
      <c r="C490" s="3" t="s">
        <v>12</v>
      </c>
      <c r="D490" s="3" t="s">
        <v>1494</v>
      </c>
      <c r="E490" s="3" t="s">
        <v>13</v>
      </c>
      <c r="F490" s="3" t="s">
        <v>25</v>
      </c>
      <c r="G490" s="6" t="s">
        <v>18</v>
      </c>
      <c r="H490" s="4"/>
      <c r="I490" s="5">
        <v>543633000</v>
      </c>
      <c r="J490" s="5">
        <v>390582000</v>
      </c>
      <c r="K490" s="5">
        <v>606984000</v>
      </c>
      <c r="L490" s="5">
        <v>481057000</v>
      </c>
    </row>
    <row r="491" spans="1:12" ht="28.5" customHeight="1">
      <c r="A491" s="2" t="s">
        <v>1495</v>
      </c>
      <c r="B491" s="3" t="s">
        <v>1496</v>
      </c>
      <c r="C491" s="3" t="s">
        <v>12</v>
      </c>
      <c r="D491" s="3" t="s">
        <v>1497</v>
      </c>
      <c r="E491" s="3" t="s">
        <v>13</v>
      </c>
      <c r="F491" s="3" t="s">
        <v>25</v>
      </c>
      <c r="G491" s="6" t="s">
        <v>18</v>
      </c>
      <c r="H491" s="4"/>
      <c r="I491" s="5">
        <v>1143000</v>
      </c>
      <c r="J491" s="5"/>
      <c r="K491" s="5">
        <v>1757000</v>
      </c>
      <c r="L491" s="5"/>
    </row>
    <row r="492" spans="1:12" ht="15.75" customHeight="1">
      <c r="A492" s="2" t="s">
        <v>1498</v>
      </c>
      <c r="B492" s="3" t="s">
        <v>1499</v>
      </c>
      <c r="C492" s="3" t="s">
        <v>12</v>
      </c>
      <c r="D492" s="3" t="s">
        <v>1500</v>
      </c>
      <c r="E492" s="3" t="s">
        <v>13</v>
      </c>
      <c r="F492" s="3" t="s">
        <v>25</v>
      </c>
      <c r="G492" s="6" t="s">
        <v>22</v>
      </c>
      <c r="H492" s="4"/>
      <c r="I492" s="5"/>
      <c r="J492" s="5"/>
      <c r="K492" s="5"/>
      <c r="L492" s="5"/>
    </row>
    <row r="493" spans="1:12" ht="28.5" customHeight="1">
      <c r="A493" s="2" t="s">
        <v>1501</v>
      </c>
      <c r="B493" s="3" t="s">
        <v>1502</v>
      </c>
      <c r="C493" s="3" t="s">
        <v>12</v>
      </c>
      <c r="D493" s="3" t="s">
        <v>1503</v>
      </c>
      <c r="E493" s="3" t="s">
        <v>13</v>
      </c>
      <c r="F493" s="3" t="s">
        <v>14</v>
      </c>
      <c r="G493" s="6" t="s">
        <v>18</v>
      </c>
      <c r="H493" s="4"/>
      <c r="I493" s="5">
        <v>12642000</v>
      </c>
      <c r="J493" s="5">
        <v>86931000</v>
      </c>
      <c r="K493" s="5">
        <v>5474000</v>
      </c>
      <c r="L493" s="5">
        <v>12897000</v>
      </c>
    </row>
    <row r="494" spans="1:12" ht="15" customHeight="1">
      <c r="A494" t="s">
        <v>5835</v>
      </c>
      <c r="B494" t="s">
        <v>1506</v>
      </c>
      <c r="C494" t="s">
        <v>12</v>
      </c>
      <c r="D494" t="s">
        <v>1507</v>
      </c>
      <c r="E494" t="s">
        <v>1508</v>
      </c>
      <c r="F494" t="s">
        <v>14</v>
      </c>
      <c r="G494" t="s">
        <v>18</v>
      </c>
      <c r="I494">
        <v>1030000</v>
      </c>
      <c r="J494">
        <v>455000</v>
      </c>
      <c r="K494">
        <v>1311000</v>
      </c>
      <c r="L494">
        <v>689000</v>
      </c>
    </row>
    <row r="495" spans="1:12" ht="15" customHeight="1">
      <c r="A495" t="s">
        <v>5836</v>
      </c>
      <c r="B495" t="s">
        <v>1514</v>
      </c>
      <c r="C495" t="s">
        <v>12</v>
      </c>
      <c r="D495" t="s">
        <v>1515</v>
      </c>
      <c r="E495" t="s">
        <v>1516</v>
      </c>
      <c r="F495" t="s">
        <v>14</v>
      </c>
      <c r="G495" t="s">
        <v>18</v>
      </c>
      <c r="I495">
        <v>10390000</v>
      </c>
      <c r="J495">
        <v>15846000</v>
      </c>
      <c r="K495">
        <v>8681000</v>
      </c>
      <c r="L495">
        <v>15442000</v>
      </c>
    </row>
    <row r="496" spans="1:12" ht="15" customHeight="1">
      <c r="A496" t="s">
        <v>5837</v>
      </c>
      <c r="B496" t="s">
        <v>1522</v>
      </c>
      <c r="C496" t="s">
        <v>12</v>
      </c>
      <c r="D496" t="s">
        <v>1523</v>
      </c>
      <c r="E496" t="s">
        <v>1518</v>
      </c>
      <c r="F496" t="s">
        <v>14</v>
      </c>
      <c r="G496" t="s">
        <v>18</v>
      </c>
    </row>
    <row r="497" spans="1:12" ht="15" customHeight="1">
      <c r="A497" t="s">
        <v>5838</v>
      </c>
      <c r="B497" t="s">
        <v>1528</v>
      </c>
      <c r="C497" t="s">
        <v>12</v>
      </c>
      <c r="D497" t="s">
        <v>1529</v>
      </c>
      <c r="E497" t="s">
        <v>1527</v>
      </c>
      <c r="F497" t="s">
        <v>14</v>
      </c>
      <c r="G497" t="s">
        <v>18</v>
      </c>
      <c r="I497">
        <v>436000</v>
      </c>
      <c r="K497">
        <v>428000</v>
      </c>
      <c r="L497">
        <v>8000</v>
      </c>
    </row>
    <row r="498" spans="1:12" ht="15" customHeight="1">
      <c r="A498" t="s">
        <v>5839</v>
      </c>
      <c r="B498" t="s">
        <v>1530</v>
      </c>
      <c r="C498" t="s">
        <v>12</v>
      </c>
      <c r="D498" t="s">
        <v>1531</v>
      </c>
      <c r="E498" t="s">
        <v>1532</v>
      </c>
      <c r="F498" t="s">
        <v>14</v>
      </c>
      <c r="G498" t="s">
        <v>18</v>
      </c>
      <c r="J498">
        <v>11000</v>
      </c>
      <c r="L498">
        <v>520000</v>
      </c>
    </row>
    <row r="499" spans="1:12" ht="15" customHeight="1">
      <c r="A499" t="s">
        <v>5840</v>
      </c>
      <c r="B499" t="s">
        <v>1536</v>
      </c>
      <c r="C499" t="s">
        <v>12</v>
      </c>
      <c r="D499" t="s">
        <v>1537</v>
      </c>
      <c r="E499" t="s">
        <v>1526</v>
      </c>
      <c r="F499" t="s">
        <v>14</v>
      </c>
      <c r="G499" t="s">
        <v>22</v>
      </c>
      <c r="I499">
        <v>7245000</v>
      </c>
      <c r="J499">
        <v>7521000</v>
      </c>
      <c r="K499">
        <v>6065000</v>
      </c>
      <c r="L499">
        <v>7013000</v>
      </c>
    </row>
    <row r="500" spans="1:12" ht="15" customHeight="1">
      <c r="A500" t="s">
        <v>5841</v>
      </c>
      <c r="B500" t="s">
        <v>1538</v>
      </c>
      <c r="C500" t="s">
        <v>12</v>
      </c>
      <c r="D500" t="s">
        <v>1539</v>
      </c>
      <c r="E500" t="s">
        <v>1533</v>
      </c>
      <c r="F500" t="s">
        <v>14</v>
      </c>
      <c r="G500" t="s">
        <v>18</v>
      </c>
      <c r="I500">
        <v>1779000</v>
      </c>
      <c r="J500">
        <v>1439000</v>
      </c>
      <c r="K500">
        <v>2017000</v>
      </c>
      <c r="L500">
        <v>1475000</v>
      </c>
    </row>
    <row r="501" spans="1:12" ht="15" customHeight="1">
      <c r="A501" t="s">
        <v>5842</v>
      </c>
      <c r="B501" t="s">
        <v>1540</v>
      </c>
      <c r="C501" t="s">
        <v>12</v>
      </c>
      <c r="D501" t="s">
        <v>1541</v>
      </c>
      <c r="E501" t="s">
        <v>1532</v>
      </c>
      <c r="F501" t="s">
        <v>14</v>
      </c>
      <c r="G501" t="s">
        <v>18</v>
      </c>
      <c r="J501">
        <v>1790000</v>
      </c>
      <c r="L501">
        <v>2268000</v>
      </c>
    </row>
    <row r="502" spans="1:12" ht="15" customHeight="1">
      <c r="A502" t="s">
        <v>5843</v>
      </c>
      <c r="B502" t="s">
        <v>1542</v>
      </c>
      <c r="C502" t="s">
        <v>12</v>
      </c>
      <c r="D502" t="s">
        <v>1543</v>
      </c>
      <c r="E502" t="s">
        <v>1520</v>
      </c>
      <c r="F502" t="s">
        <v>14</v>
      </c>
      <c r="G502" t="s">
        <v>18</v>
      </c>
      <c r="J502">
        <v>3000000</v>
      </c>
      <c r="K502">
        <v>1644000</v>
      </c>
      <c r="L502">
        <v>1654000</v>
      </c>
    </row>
    <row r="503" spans="1:12" ht="15" customHeight="1">
      <c r="A503" t="s">
        <v>5844</v>
      </c>
      <c r="B503" t="s">
        <v>1545</v>
      </c>
      <c r="C503" t="s">
        <v>12</v>
      </c>
      <c r="D503" t="s">
        <v>1546</v>
      </c>
      <c r="E503" t="s">
        <v>1532</v>
      </c>
      <c r="F503" t="s">
        <v>14</v>
      </c>
      <c r="G503" t="s">
        <v>22</v>
      </c>
      <c r="I503">
        <v>349895000</v>
      </c>
      <c r="J503">
        <v>195486000</v>
      </c>
      <c r="K503">
        <v>352614000</v>
      </c>
      <c r="L503">
        <v>205140000</v>
      </c>
    </row>
    <row r="504" spans="1:12" ht="15" customHeight="1">
      <c r="A504" t="s">
        <v>5845</v>
      </c>
      <c r="B504" t="s">
        <v>1548</v>
      </c>
      <c r="C504" t="s">
        <v>12</v>
      </c>
      <c r="D504" t="s">
        <v>1549</v>
      </c>
      <c r="E504" t="s">
        <v>1508</v>
      </c>
      <c r="F504" t="s">
        <v>14</v>
      </c>
      <c r="G504" t="s">
        <v>18</v>
      </c>
    </row>
    <row r="505" spans="1:12" ht="15" customHeight="1">
      <c r="A505" t="s">
        <v>5846</v>
      </c>
      <c r="B505" t="s">
        <v>1550</v>
      </c>
      <c r="C505" t="s">
        <v>12</v>
      </c>
      <c r="D505" t="s">
        <v>1551</v>
      </c>
      <c r="E505" t="s">
        <v>1508</v>
      </c>
      <c r="F505" t="s">
        <v>25</v>
      </c>
      <c r="G505" t="s">
        <v>18</v>
      </c>
    </row>
    <row r="506" spans="1:12" ht="15" customHeight="1">
      <c r="A506" t="s">
        <v>5847</v>
      </c>
      <c r="B506" t="s">
        <v>1552</v>
      </c>
      <c r="C506" t="s">
        <v>12</v>
      </c>
      <c r="D506" t="s">
        <v>1553</v>
      </c>
      <c r="E506" t="s">
        <v>1532</v>
      </c>
      <c r="F506" t="s">
        <v>14</v>
      </c>
      <c r="G506" t="s">
        <v>18</v>
      </c>
      <c r="I506">
        <v>4000000</v>
      </c>
      <c r="J506">
        <v>8610000</v>
      </c>
      <c r="K506">
        <v>4328000</v>
      </c>
      <c r="L506">
        <v>4515000</v>
      </c>
    </row>
    <row r="507" spans="1:12" ht="15" customHeight="1">
      <c r="A507" t="s">
        <v>5848</v>
      </c>
      <c r="B507" t="s">
        <v>1554</v>
      </c>
      <c r="C507" t="s">
        <v>12</v>
      </c>
      <c r="D507" t="s">
        <v>1555</v>
      </c>
      <c r="E507" t="s">
        <v>1532</v>
      </c>
      <c r="F507" t="s">
        <v>14</v>
      </c>
      <c r="G507" t="s">
        <v>18</v>
      </c>
      <c r="I507">
        <v>1100000</v>
      </c>
      <c r="J507">
        <v>1866000</v>
      </c>
      <c r="K507">
        <v>1100000</v>
      </c>
      <c r="L507">
        <v>1865000</v>
      </c>
    </row>
    <row r="508" spans="1:12" ht="15" customHeight="1">
      <c r="A508" t="s">
        <v>5849</v>
      </c>
      <c r="B508" t="s">
        <v>1556</v>
      </c>
      <c r="C508" t="s">
        <v>12</v>
      </c>
      <c r="D508" t="s">
        <v>1557</v>
      </c>
      <c r="E508" t="s">
        <v>1558</v>
      </c>
      <c r="F508" t="s">
        <v>25</v>
      </c>
      <c r="G508" t="s">
        <v>77</v>
      </c>
    </row>
    <row r="509" spans="1:12" ht="15" customHeight="1">
      <c r="A509" t="s">
        <v>5850</v>
      </c>
      <c r="B509" t="s">
        <v>1561</v>
      </c>
      <c r="C509" t="s">
        <v>12</v>
      </c>
      <c r="D509" t="s">
        <v>1562</v>
      </c>
      <c r="E509" t="s">
        <v>1532</v>
      </c>
      <c r="F509" t="s">
        <v>14</v>
      </c>
      <c r="G509" t="s">
        <v>18</v>
      </c>
      <c r="J509">
        <v>10152000</v>
      </c>
      <c r="L509">
        <v>10385000</v>
      </c>
    </row>
    <row r="510" spans="1:12" ht="15" customHeight="1">
      <c r="A510" t="s">
        <v>5851</v>
      </c>
      <c r="B510" t="s">
        <v>1563</v>
      </c>
      <c r="C510" t="s">
        <v>12</v>
      </c>
      <c r="D510" t="s">
        <v>1564</v>
      </c>
      <c r="E510" t="s">
        <v>1565</v>
      </c>
      <c r="F510" t="s">
        <v>14</v>
      </c>
      <c r="G510" t="s">
        <v>18</v>
      </c>
      <c r="I510">
        <v>18501000</v>
      </c>
      <c r="J510">
        <v>12820000</v>
      </c>
      <c r="K510">
        <v>18453000</v>
      </c>
      <c r="L510">
        <v>12754000</v>
      </c>
    </row>
    <row r="511" spans="1:12" ht="15" customHeight="1">
      <c r="A511" t="s">
        <v>5852</v>
      </c>
      <c r="B511" t="s">
        <v>1567</v>
      </c>
      <c r="C511" t="s">
        <v>12</v>
      </c>
      <c r="D511" t="s">
        <v>1568</v>
      </c>
      <c r="E511" t="s">
        <v>1508</v>
      </c>
      <c r="F511" t="s">
        <v>14</v>
      </c>
      <c r="G511" t="s">
        <v>18</v>
      </c>
      <c r="I511">
        <v>143662000</v>
      </c>
      <c r="J511">
        <v>98305000</v>
      </c>
      <c r="K511">
        <v>145571000</v>
      </c>
      <c r="L511">
        <v>87082000</v>
      </c>
    </row>
    <row r="512" spans="1:12" ht="15" customHeight="1">
      <c r="A512" t="s">
        <v>5853</v>
      </c>
      <c r="B512" t="s">
        <v>1569</v>
      </c>
      <c r="C512" t="s">
        <v>12</v>
      </c>
      <c r="D512" t="s">
        <v>1570</v>
      </c>
      <c r="E512" t="s">
        <v>1520</v>
      </c>
      <c r="F512" t="s">
        <v>14</v>
      </c>
      <c r="G512" t="s">
        <v>18</v>
      </c>
      <c r="I512">
        <v>894000</v>
      </c>
      <c r="K512">
        <v>670000</v>
      </c>
    </row>
    <row r="513" spans="1:12" ht="15" customHeight="1">
      <c r="A513" t="s">
        <v>5854</v>
      </c>
      <c r="B513" t="s">
        <v>1571</v>
      </c>
      <c r="C513" t="s">
        <v>12</v>
      </c>
      <c r="D513" t="s">
        <v>1572</v>
      </c>
      <c r="E513" t="s">
        <v>1524</v>
      </c>
      <c r="F513" t="s">
        <v>25</v>
      </c>
      <c r="G513" t="s">
        <v>18</v>
      </c>
    </row>
    <row r="514" spans="1:12" ht="15" customHeight="1">
      <c r="A514" t="s">
        <v>5855</v>
      </c>
      <c r="B514" t="s">
        <v>1573</v>
      </c>
      <c r="C514" t="s">
        <v>12</v>
      </c>
      <c r="D514" t="s">
        <v>1574</v>
      </c>
      <c r="E514" t="s">
        <v>1575</v>
      </c>
      <c r="F514" t="s">
        <v>14</v>
      </c>
      <c r="G514" t="s">
        <v>18</v>
      </c>
      <c r="I514">
        <v>1502000</v>
      </c>
      <c r="J514">
        <v>5165000</v>
      </c>
      <c r="K514">
        <v>1441000</v>
      </c>
      <c r="L514">
        <v>5162000</v>
      </c>
    </row>
    <row r="515" spans="1:12" ht="15" customHeight="1">
      <c r="A515" t="s">
        <v>5856</v>
      </c>
      <c r="B515" t="s">
        <v>1577</v>
      </c>
      <c r="C515" t="s">
        <v>12</v>
      </c>
      <c r="D515" t="s">
        <v>1578</v>
      </c>
      <c r="E515" t="s">
        <v>1535</v>
      </c>
      <c r="F515" t="s">
        <v>14</v>
      </c>
      <c r="G515" t="s">
        <v>18</v>
      </c>
      <c r="I515">
        <v>17936000</v>
      </c>
      <c r="J515">
        <v>28257000</v>
      </c>
      <c r="K515">
        <v>17591000</v>
      </c>
      <c r="L515">
        <v>32217000</v>
      </c>
    </row>
    <row r="516" spans="1:12" ht="15" customHeight="1">
      <c r="A516" t="s">
        <v>5857</v>
      </c>
      <c r="B516" t="s">
        <v>1581</v>
      </c>
      <c r="C516" t="s">
        <v>12</v>
      </c>
      <c r="D516" t="s">
        <v>1582</v>
      </c>
      <c r="E516" t="s">
        <v>1532</v>
      </c>
      <c r="F516" t="s">
        <v>14</v>
      </c>
      <c r="G516" t="s">
        <v>18</v>
      </c>
      <c r="I516">
        <v>130383000</v>
      </c>
      <c r="J516">
        <v>907576000</v>
      </c>
      <c r="K516">
        <v>82391000</v>
      </c>
      <c r="L516">
        <v>675798000</v>
      </c>
    </row>
    <row r="517" spans="1:12" ht="15" customHeight="1">
      <c r="A517" t="s">
        <v>5858</v>
      </c>
      <c r="B517" t="s">
        <v>1586</v>
      </c>
      <c r="C517" t="s">
        <v>12</v>
      </c>
      <c r="D517" t="s">
        <v>1587</v>
      </c>
      <c r="E517" t="s">
        <v>1588</v>
      </c>
      <c r="F517" t="s">
        <v>14</v>
      </c>
      <c r="G517" t="s">
        <v>18</v>
      </c>
      <c r="I517">
        <v>1645000</v>
      </c>
      <c r="J517">
        <v>2140000</v>
      </c>
      <c r="K517">
        <v>1737000</v>
      </c>
      <c r="L517">
        <v>1831000</v>
      </c>
    </row>
    <row r="518" spans="1:12" ht="15" customHeight="1">
      <c r="A518" t="s">
        <v>5859</v>
      </c>
      <c r="B518" t="s">
        <v>1590</v>
      </c>
      <c r="C518" t="s">
        <v>12</v>
      </c>
      <c r="D518" t="s">
        <v>1591</v>
      </c>
      <c r="E518" t="s">
        <v>1509</v>
      </c>
      <c r="F518" t="s">
        <v>14</v>
      </c>
      <c r="G518" t="s">
        <v>18</v>
      </c>
      <c r="I518">
        <v>1300000</v>
      </c>
      <c r="J518">
        <v>1200000</v>
      </c>
      <c r="K518">
        <v>1204000</v>
      </c>
      <c r="L518">
        <v>1221000</v>
      </c>
    </row>
    <row r="519" spans="1:12" ht="15" customHeight="1">
      <c r="A519" t="s">
        <v>5860</v>
      </c>
      <c r="B519" t="s">
        <v>1593</v>
      </c>
      <c r="C519" t="s">
        <v>12</v>
      </c>
      <c r="D519" t="s">
        <v>1594</v>
      </c>
      <c r="E519" t="s">
        <v>1532</v>
      </c>
      <c r="F519" t="s">
        <v>14</v>
      </c>
      <c r="G519" t="s">
        <v>18</v>
      </c>
      <c r="I519">
        <v>1603000</v>
      </c>
      <c r="J519">
        <v>22560000</v>
      </c>
      <c r="K519">
        <v>1235000</v>
      </c>
      <c r="L519">
        <v>5866000</v>
      </c>
    </row>
    <row r="520" spans="1:12" ht="15" customHeight="1">
      <c r="A520" t="s">
        <v>5861</v>
      </c>
      <c r="B520" t="s">
        <v>1596</v>
      </c>
      <c r="C520" t="s">
        <v>12</v>
      </c>
      <c r="D520" t="s">
        <v>1597</v>
      </c>
      <c r="E520" t="s">
        <v>1532</v>
      </c>
      <c r="F520" t="s">
        <v>14</v>
      </c>
      <c r="G520" t="s">
        <v>18</v>
      </c>
      <c r="J520">
        <v>93293000</v>
      </c>
      <c r="L520">
        <v>-81878000</v>
      </c>
    </row>
    <row r="521" spans="1:12" ht="15" customHeight="1">
      <c r="A521" t="s">
        <v>5862</v>
      </c>
      <c r="B521" t="s">
        <v>1598</v>
      </c>
      <c r="C521" t="s">
        <v>12</v>
      </c>
      <c r="D521" t="s">
        <v>1599</v>
      </c>
      <c r="E521" t="s">
        <v>1519</v>
      </c>
      <c r="F521" t="s">
        <v>14</v>
      </c>
      <c r="G521" t="s">
        <v>18</v>
      </c>
    </row>
    <row r="522" spans="1:12" ht="15" customHeight="1">
      <c r="A522" t="s">
        <v>5863</v>
      </c>
      <c r="B522" t="s">
        <v>1600</v>
      </c>
      <c r="C522" t="s">
        <v>12</v>
      </c>
      <c r="D522" t="s">
        <v>1601</v>
      </c>
      <c r="E522" t="s">
        <v>1585</v>
      </c>
      <c r="F522" t="s">
        <v>14</v>
      </c>
      <c r="G522" t="s">
        <v>18</v>
      </c>
      <c r="I522">
        <v>90000</v>
      </c>
      <c r="J522">
        <v>52000</v>
      </c>
      <c r="K522">
        <v>391000</v>
      </c>
      <c r="L522">
        <v>79000</v>
      </c>
    </row>
    <row r="523" spans="1:12" ht="15" customHeight="1">
      <c r="A523" t="s">
        <v>5864</v>
      </c>
      <c r="B523" t="s">
        <v>1602</v>
      </c>
      <c r="C523" t="s">
        <v>12</v>
      </c>
      <c r="D523" t="s">
        <v>1603</v>
      </c>
      <c r="E523" t="s">
        <v>1532</v>
      </c>
      <c r="F523" t="s">
        <v>14</v>
      </c>
      <c r="G523" t="s">
        <v>18</v>
      </c>
      <c r="I523">
        <v>3806000</v>
      </c>
      <c r="J523">
        <v>1840000</v>
      </c>
      <c r="K523">
        <v>1963000</v>
      </c>
      <c r="L523">
        <v>2962000</v>
      </c>
    </row>
    <row r="524" spans="1:12" ht="15" customHeight="1">
      <c r="A524" t="s">
        <v>5865</v>
      </c>
      <c r="B524" t="s">
        <v>1606</v>
      </c>
      <c r="C524" t="s">
        <v>12</v>
      </c>
      <c r="D524" t="s">
        <v>1607</v>
      </c>
      <c r="E524" t="s">
        <v>1604</v>
      </c>
      <c r="F524" t="s">
        <v>25</v>
      </c>
      <c r="G524" t="s">
        <v>18</v>
      </c>
      <c r="I524">
        <v>50576000</v>
      </c>
      <c r="J524">
        <v>253945000</v>
      </c>
      <c r="K524">
        <v>50353000</v>
      </c>
      <c r="L524">
        <v>231260000</v>
      </c>
    </row>
    <row r="525" spans="1:12" ht="15" customHeight="1">
      <c r="A525" t="s">
        <v>5866</v>
      </c>
      <c r="B525" t="s">
        <v>1608</v>
      </c>
      <c r="C525" t="s">
        <v>12</v>
      </c>
      <c r="D525" t="s">
        <v>1609</v>
      </c>
      <c r="E525" t="s">
        <v>1604</v>
      </c>
      <c r="F525" t="s">
        <v>14</v>
      </c>
      <c r="G525" t="s">
        <v>77</v>
      </c>
      <c r="I525">
        <v>24123000</v>
      </c>
      <c r="J525">
        <v>24628000</v>
      </c>
      <c r="K525">
        <v>24927000</v>
      </c>
      <c r="L525">
        <v>25159000</v>
      </c>
    </row>
    <row r="526" spans="1:12" ht="15" customHeight="1">
      <c r="A526" t="s">
        <v>5867</v>
      </c>
      <c r="B526" t="s">
        <v>1610</v>
      </c>
      <c r="C526" t="s">
        <v>12</v>
      </c>
      <c r="D526" t="s">
        <v>1611</v>
      </c>
      <c r="E526" t="s">
        <v>1524</v>
      </c>
      <c r="F526" t="s">
        <v>14</v>
      </c>
      <c r="G526" t="s">
        <v>18</v>
      </c>
      <c r="I526">
        <v>1625000</v>
      </c>
      <c r="J526">
        <v>1657000</v>
      </c>
      <c r="K526">
        <v>1266000</v>
      </c>
      <c r="L526">
        <v>1821000</v>
      </c>
    </row>
    <row r="527" spans="1:12" ht="15" customHeight="1">
      <c r="A527" t="s">
        <v>5868</v>
      </c>
      <c r="B527" t="s">
        <v>1612</v>
      </c>
      <c r="C527" t="s">
        <v>12</v>
      </c>
      <c r="D527" t="s">
        <v>1613</v>
      </c>
      <c r="E527" t="s">
        <v>1526</v>
      </c>
      <c r="F527" t="s">
        <v>14</v>
      </c>
      <c r="G527" t="s">
        <v>22</v>
      </c>
      <c r="H527" t="s">
        <v>23</v>
      </c>
      <c r="I527">
        <v>14543000</v>
      </c>
      <c r="J527">
        <v>11517000</v>
      </c>
      <c r="K527">
        <v>14541000</v>
      </c>
      <c r="L527">
        <v>13188000</v>
      </c>
    </row>
    <row r="528" spans="1:12" ht="15" customHeight="1">
      <c r="A528" t="s">
        <v>5869</v>
      </c>
      <c r="B528" t="s">
        <v>1614</v>
      </c>
      <c r="C528" t="s">
        <v>12</v>
      </c>
      <c r="D528" t="s">
        <v>1615</v>
      </c>
      <c r="E528" t="s">
        <v>1532</v>
      </c>
      <c r="F528" t="s">
        <v>14</v>
      </c>
      <c r="G528" t="s">
        <v>18</v>
      </c>
    </row>
    <row r="529" spans="1:12" ht="15" customHeight="1">
      <c r="A529" t="s">
        <v>5870</v>
      </c>
      <c r="B529" t="s">
        <v>1616</v>
      </c>
      <c r="C529" t="s">
        <v>12</v>
      </c>
      <c r="D529" t="s">
        <v>1617</v>
      </c>
      <c r="E529" t="s">
        <v>1618</v>
      </c>
      <c r="F529" t="s">
        <v>14</v>
      </c>
      <c r="G529" t="s">
        <v>18</v>
      </c>
      <c r="J529">
        <v>779000</v>
      </c>
      <c r="L529">
        <v>454000</v>
      </c>
    </row>
    <row r="530" spans="1:12" ht="15" customHeight="1">
      <c r="A530" t="s">
        <v>5871</v>
      </c>
      <c r="B530" t="s">
        <v>1621</v>
      </c>
      <c r="C530" t="s">
        <v>12</v>
      </c>
      <c r="D530" t="s">
        <v>1622</v>
      </c>
      <c r="E530" t="s">
        <v>1579</v>
      </c>
      <c r="F530" t="s">
        <v>25</v>
      </c>
      <c r="G530" t="s">
        <v>18</v>
      </c>
      <c r="I530">
        <v>1322000</v>
      </c>
      <c r="J530">
        <v>2579000</v>
      </c>
      <c r="K530">
        <v>1291000</v>
      </c>
      <c r="L530">
        <v>2612000</v>
      </c>
    </row>
    <row r="531" spans="1:12" ht="15" customHeight="1">
      <c r="A531" t="s">
        <v>5872</v>
      </c>
      <c r="B531" t="s">
        <v>1623</v>
      </c>
      <c r="C531" t="s">
        <v>12</v>
      </c>
      <c r="D531" t="s">
        <v>1624</v>
      </c>
      <c r="E531" t="s">
        <v>1512</v>
      </c>
      <c r="F531" t="s">
        <v>14</v>
      </c>
      <c r="G531" t="s">
        <v>18</v>
      </c>
      <c r="I531">
        <v>4231000</v>
      </c>
      <c r="J531">
        <v>3406000</v>
      </c>
      <c r="K531">
        <v>3668000</v>
      </c>
      <c r="L531">
        <v>3808000</v>
      </c>
    </row>
    <row r="532" spans="1:12" ht="15" customHeight="1">
      <c r="A532" t="s">
        <v>5873</v>
      </c>
      <c r="B532" t="s">
        <v>1626</v>
      </c>
      <c r="C532" t="s">
        <v>12</v>
      </c>
      <c r="D532" t="s">
        <v>1627</v>
      </c>
      <c r="E532" t="s">
        <v>1628</v>
      </c>
      <c r="F532" t="s">
        <v>25</v>
      </c>
      <c r="G532" t="s">
        <v>18</v>
      </c>
      <c r="I532">
        <v>315000</v>
      </c>
      <c r="K532">
        <v>325000</v>
      </c>
    </row>
    <row r="533" spans="1:12" ht="15" customHeight="1">
      <c r="A533" t="s">
        <v>5874</v>
      </c>
      <c r="B533" t="s">
        <v>1630</v>
      </c>
      <c r="C533" t="s">
        <v>12</v>
      </c>
      <c r="D533" t="s">
        <v>1631</v>
      </c>
      <c r="E533" t="s">
        <v>1526</v>
      </c>
      <c r="F533" t="s">
        <v>14</v>
      </c>
      <c r="G533" t="s">
        <v>18</v>
      </c>
      <c r="J533">
        <v>32000</v>
      </c>
      <c r="K533">
        <v>44000</v>
      </c>
      <c r="L533">
        <v>28000</v>
      </c>
    </row>
    <row r="534" spans="1:12" ht="15" customHeight="1">
      <c r="A534" t="s">
        <v>5875</v>
      </c>
      <c r="B534" t="s">
        <v>1632</v>
      </c>
      <c r="C534" t="s">
        <v>12</v>
      </c>
      <c r="D534" t="s">
        <v>1633</v>
      </c>
      <c r="E534" t="s">
        <v>1517</v>
      </c>
      <c r="F534" t="s">
        <v>14</v>
      </c>
      <c r="G534" t="s">
        <v>18</v>
      </c>
      <c r="I534">
        <v>95000</v>
      </c>
      <c r="J534">
        <v>178000</v>
      </c>
      <c r="K534">
        <v>95000</v>
      </c>
    </row>
    <row r="535" spans="1:12" ht="15" customHeight="1">
      <c r="A535" t="s">
        <v>5876</v>
      </c>
      <c r="B535" t="s">
        <v>1634</v>
      </c>
      <c r="C535" t="s">
        <v>12</v>
      </c>
      <c r="D535" t="s">
        <v>1635</v>
      </c>
      <c r="E535" t="s">
        <v>1544</v>
      </c>
      <c r="F535" t="s">
        <v>14</v>
      </c>
      <c r="G535" t="s">
        <v>18</v>
      </c>
      <c r="K535">
        <v>172000</v>
      </c>
      <c r="L535">
        <v>38000</v>
      </c>
    </row>
    <row r="536" spans="1:12" ht="15" customHeight="1">
      <c r="A536" t="s">
        <v>5877</v>
      </c>
      <c r="B536" t="s">
        <v>1636</v>
      </c>
      <c r="C536" t="s">
        <v>12</v>
      </c>
      <c r="D536" t="s">
        <v>1637</v>
      </c>
      <c r="E536" t="s">
        <v>1532</v>
      </c>
      <c r="F536" t="s">
        <v>14</v>
      </c>
      <c r="G536" t="s">
        <v>18</v>
      </c>
      <c r="I536">
        <v>144000</v>
      </c>
      <c r="J536">
        <v>124000</v>
      </c>
      <c r="K536">
        <v>144000</v>
      </c>
      <c r="L536">
        <v>108000</v>
      </c>
    </row>
    <row r="537" spans="1:12" ht="15" customHeight="1">
      <c r="A537" t="s">
        <v>5878</v>
      </c>
      <c r="B537" t="s">
        <v>1638</v>
      </c>
      <c r="C537" t="s">
        <v>12</v>
      </c>
      <c r="D537" t="s">
        <v>1639</v>
      </c>
      <c r="E537" t="s">
        <v>1619</v>
      </c>
      <c r="F537" t="s">
        <v>14</v>
      </c>
      <c r="G537" t="s">
        <v>18</v>
      </c>
      <c r="I537">
        <v>426000</v>
      </c>
      <c r="K537">
        <v>25000</v>
      </c>
      <c r="L537">
        <v>401000</v>
      </c>
    </row>
    <row r="538" spans="1:12" ht="15" customHeight="1">
      <c r="A538" t="s">
        <v>5879</v>
      </c>
      <c r="B538" t="s">
        <v>1640</v>
      </c>
      <c r="C538" t="s">
        <v>12</v>
      </c>
      <c r="D538" t="s">
        <v>1641</v>
      </c>
      <c r="E538" t="s">
        <v>1642</v>
      </c>
      <c r="F538" t="s">
        <v>14</v>
      </c>
      <c r="G538" t="s">
        <v>18</v>
      </c>
      <c r="I538">
        <v>3713000</v>
      </c>
      <c r="J538">
        <v>1456000</v>
      </c>
      <c r="K538">
        <v>3509000</v>
      </c>
      <c r="L538">
        <v>2156000</v>
      </c>
    </row>
    <row r="539" spans="1:12" ht="15" customHeight="1">
      <c r="A539" t="s">
        <v>5880</v>
      </c>
      <c r="B539" t="s">
        <v>1644</v>
      </c>
      <c r="C539" t="s">
        <v>12</v>
      </c>
      <c r="D539" t="s">
        <v>1645</v>
      </c>
      <c r="E539" t="s">
        <v>1579</v>
      </c>
      <c r="F539" t="s">
        <v>14</v>
      </c>
      <c r="G539" t="s">
        <v>18</v>
      </c>
      <c r="I539">
        <v>7378000</v>
      </c>
      <c r="J539">
        <v>10194000</v>
      </c>
      <c r="K539">
        <v>8729000</v>
      </c>
      <c r="L539">
        <v>10988000</v>
      </c>
    </row>
    <row r="540" spans="1:12" ht="15" customHeight="1">
      <c r="A540" t="s">
        <v>5881</v>
      </c>
      <c r="B540" t="s">
        <v>1647</v>
      </c>
      <c r="C540" t="s">
        <v>12</v>
      </c>
      <c r="D540" t="s">
        <v>1648</v>
      </c>
      <c r="E540" t="s">
        <v>1649</v>
      </c>
      <c r="F540" t="s">
        <v>14</v>
      </c>
      <c r="G540" t="s">
        <v>18</v>
      </c>
      <c r="I540">
        <v>5007000</v>
      </c>
      <c r="J540">
        <v>4271000</v>
      </c>
      <c r="K540">
        <v>4433000</v>
      </c>
      <c r="L540">
        <v>5471000</v>
      </c>
    </row>
    <row r="541" spans="1:12" ht="15" customHeight="1">
      <c r="A541" t="s">
        <v>5882</v>
      </c>
      <c r="B541" t="s">
        <v>1650</v>
      </c>
      <c r="C541" t="s">
        <v>12</v>
      </c>
      <c r="D541" t="s">
        <v>1651</v>
      </c>
      <c r="E541" t="s">
        <v>1532</v>
      </c>
      <c r="F541" t="s">
        <v>14</v>
      </c>
      <c r="G541" t="s">
        <v>18</v>
      </c>
      <c r="I541">
        <v>3980000</v>
      </c>
      <c r="J541">
        <v>14399000</v>
      </c>
      <c r="K541">
        <v>3638000</v>
      </c>
      <c r="L541">
        <v>24376000</v>
      </c>
    </row>
    <row r="542" spans="1:12" ht="15" customHeight="1">
      <c r="A542" t="s">
        <v>5883</v>
      </c>
      <c r="B542" t="s">
        <v>1652</v>
      </c>
      <c r="C542" t="s">
        <v>12</v>
      </c>
      <c r="D542" t="s">
        <v>1653</v>
      </c>
      <c r="E542" t="s">
        <v>1532</v>
      </c>
      <c r="F542" t="s">
        <v>14</v>
      </c>
      <c r="G542" t="s">
        <v>18</v>
      </c>
      <c r="H542" t="s">
        <v>23</v>
      </c>
      <c r="I542">
        <v>5141000</v>
      </c>
      <c r="J542">
        <v>5550000</v>
      </c>
      <c r="K542">
        <v>5437000</v>
      </c>
      <c r="L542">
        <v>7175000</v>
      </c>
    </row>
    <row r="543" spans="1:12" ht="15" customHeight="1">
      <c r="A543" t="s">
        <v>5884</v>
      </c>
      <c r="B543" t="s">
        <v>1654</v>
      </c>
      <c r="C543" t="s">
        <v>12</v>
      </c>
      <c r="D543" t="s">
        <v>1655</v>
      </c>
      <c r="E543" t="s">
        <v>1519</v>
      </c>
      <c r="F543" t="s">
        <v>25</v>
      </c>
      <c r="G543" t="s">
        <v>18</v>
      </c>
    </row>
    <row r="544" spans="1:12" ht="15" customHeight="1">
      <c r="A544" t="s">
        <v>5885</v>
      </c>
      <c r="B544" t="s">
        <v>1656</v>
      </c>
      <c r="C544" t="s">
        <v>12</v>
      </c>
      <c r="D544" t="s">
        <v>1657</v>
      </c>
      <c r="E544" t="s">
        <v>1658</v>
      </c>
      <c r="F544" t="s">
        <v>14</v>
      </c>
      <c r="G544" t="s">
        <v>18</v>
      </c>
      <c r="I544">
        <v>681000</v>
      </c>
      <c r="J544">
        <v>668000</v>
      </c>
      <c r="K544">
        <v>1884000</v>
      </c>
      <c r="L544">
        <v>710000</v>
      </c>
    </row>
    <row r="545" spans="1:12" ht="15" customHeight="1">
      <c r="A545" t="s">
        <v>5886</v>
      </c>
      <c r="B545" t="s">
        <v>1659</v>
      </c>
      <c r="C545" t="s">
        <v>12</v>
      </c>
      <c r="D545" t="s">
        <v>1660</v>
      </c>
      <c r="E545" t="s">
        <v>1661</v>
      </c>
      <c r="F545" t="s">
        <v>14</v>
      </c>
      <c r="G545" t="s">
        <v>18</v>
      </c>
      <c r="I545">
        <v>4412000</v>
      </c>
      <c r="J545">
        <v>7137000</v>
      </c>
      <c r="K545">
        <v>5838000</v>
      </c>
      <c r="L545">
        <v>5874000</v>
      </c>
    </row>
    <row r="546" spans="1:12" ht="15" customHeight="1">
      <c r="A546" t="s">
        <v>5887</v>
      </c>
      <c r="B546" t="s">
        <v>1663</v>
      </c>
      <c r="C546" t="s">
        <v>12</v>
      </c>
      <c r="D546" t="s">
        <v>1664</v>
      </c>
      <c r="E546" t="s">
        <v>1532</v>
      </c>
      <c r="F546" t="s">
        <v>14</v>
      </c>
      <c r="G546" t="s">
        <v>18</v>
      </c>
    </row>
    <row r="547" spans="1:12" ht="15" customHeight="1">
      <c r="A547" t="s">
        <v>5888</v>
      </c>
      <c r="B547" t="s">
        <v>1665</v>
      </c>
      <c r="C547" t="s">
        <v>12</v>
      </c>
      <c r="D547" t="s">
        <v>1666</v>
      </c>
      <c r="E547" t="s">
        <v>1618</v>
      </c>
      <c r="F547" t="s">
        <v>25</v>
      </c>
      <c r="G547" t="s">
        <v>18</v>
      </c>
      <c r="I547">
        <v>509000</v>
      </c>
      <c r="K547">
        <v>511000</v>
      </c>
    </row>
    <row r="548" spans="1:12" ht="15" customHeight="1">
      <c r="A548" t="s">
        <v>5889</v>
      </c>
      <c r="B548" t="s">
        <v>1668</v>
      </c>
      <c r="C548" t="s">
        <v>12</v>
      </c>
      <c r="D548" t="s">
        <v>1669</v>
      </c>
      <c r="E548" t="s">
        <v>1532</v>
      </c>
      <c r="F548" t="s">
        <v>14</v>
      </c>
      <c r="G548" t="s">
        <v>18</v>
      </c>
      <c r="I548">
        <v>87175000</v>
      </c>
      <c r="J548">
        <v>35619000</v>
      </c>
      <c r="K548">
        <v>83982000</v>
      </c>
      <c r="L548">
        <v>41239000</v>
      </c>
    </row>
    <row r="549" spans="1:12" ht="15" customHeight="1">
      <c r="A549" t="s">
        <v>5890</v>
      </c>
      <c r="B549" t="s">
        <v>1670</v>
      </c>
      <c r="C549" t="s">
        <v>12</v>
      </c>
      <c r="D549" t="s">
        <v>1671</v>
      </c>
      <c r="E549" t="s">
        <v>1532</v>
      </c>
      <c r="F549" t="s">
        <v>14</v>
      </c>
      <c r="G549" t="s">
        <v>18</v>
      </c>
    </row>
    <row r="550" spans="1:12" ht="15" customHeight="1">
      <c r="A550" t="s">
        <v>5891</v>
      </c>
      <c r="B550" t="s">
        <v>1672</v>
      </c>
      <c r="C550" t="s">
        <v>12</v>
      </c>
      <c r="D550" t="s">
        <v>1673</v>
      </c>
      <c r="E550" t="s">
        <v>1544</v>
      </c>
      <c r="F550" t="s">
        <v>14</v>
      </c>
      <c r="G550" t="s">
        <v>18</v>
      </c>
      <c r="J550">
        <v>8000</v>
      </c>
      <c r="L550">
        <v>14000</v>
      </c>
    </row>
    <row r="551" spans="1:12" ht="15" customHeight="1">
      <c r="A551" t="s">
        <v>5892</v>
      </c>
      <c r="B551" t="s">
        <v>1674</v>
      </c>
      <c r="C551" t="s">
        <v>12</v>
      </c>
      <c r="D551" t="s">
        <v>1675</v>
      </c>
      <c r="E551" t="s">
        <v>1532</v>
      </c>
      <c r="F551" t="s">
        <v>14</v>
      </c>
      <c r="G551" t="s">
        <v>23</v>
      </c>
      <c r="H551" t="s">
        <v>23</v>
      </c>
      <c r="I551">
        <v>32744000</v>
      </c>
      <c r="J551">
        <v>61154000</v>
      </c>
      <c r="K551">
        <v>48533000</v>
      </c>
      <c r="L551">
        <v>45500000</v>
      </c>
    </row>
    <row r="552" spans="1:12" ht="15" customHeight="1">
      <c r="A552" t="s">
        <v>5893</v>
      </c>
      <c r="B552" t="s">
        <v>1676</v>
      </c>
      <c r="C552" t="s">
        <v>12</v>
      </c>
      <c r="D552" t="s">
        <v>1677</v>
      </c>
      <c r="E552" t="s">
        <v>1524</v>
      </c>
      <c r="F552" t="s">
        <v>14</v>
      </c>
      <c r="G552" t="s">
        <v>22</v>
      </c>
      <c r="I552">
        <v>33149000</v>
      </c>
      <c r="J552">
        <v>54397000</v>
      </c>
      <c r="K552">
        <v>33033000</v>
      </c>
      <c r="L552">
        <v>52772000</v>
      </c>
    </row>
    <row r="553" spans="1:12" ht="15" customHeight="1">
      <c r="A553" t="s">
        <v>5894</v>
      </c>
      <c r="B553" t="s">
        <v>1678</v>
      </c>
      <c r="C553" t="s">
        <v>12</v>
      </c>
      <c r="D553" t="s">
        <v>1679</v>
      </c>
      <c r="E553" t="s">
        <v>1604</v>
      </c>
      <c r="F553" t="s">
        <v>14</v>
      </c>
      <c r="G553" t="s">
        <v>18</v>
      </c>
      <c r="I553">
        <v>1000000</v>
      </c>
      <c r="J553">
        <v>1045000</v>
      </c>
      <c r="K553">
        <v>1000000</v>
      </c>
      <c r="L553">
        <v>1045000</v>
      </c>
    </row>
    <row r="554" spans="1:12" ht="15" customHeight="1">
      <c r="A554" t="s">
        <v>5895</v>
      </c>
      <c r="B554" t="s">
        <v>1681</v>
      </c>
      <c r="C554" t="s">
        <v>12</v>
      </c>
      <c r="D554" t="s">
        <v>1682</v>
      </c>
      <c r="E554" t="s">
        <v>1527</v>
      </c>
      <c r="F554" t="s">
        <v>14</v>
      </c>
      <c r="G554" t="s">
        <v>18</v>
      </c>
    </row>
    <row r="555" spans="1:12" ht="15" customHeight="1">
      <c r="A555" t="s">
        <v>5896</v>
      </c>
      <c r="B555" t="s">
        <v>1683</v>
      </c>
      <c r="C555" t="s">
        <v>12</v>
      </c>
      <c r="D555" t="s">
        <v>1684</v>
      </c>
      <c r="E555" t="s">
        <v>1527</v>
      </c>
      <c r="F555" t="s">
        <v>14</v>
      </c>
      <c r="G555" t="s">
        <v>18</v>
      </c>
      <c r="I555">
        <v>1724000</v>
      </c>
      <c r="J555">
        <v>2470000</v>
      </c>
      <c r="K555">
        <v>1989000</v>
      </c>
      <c r="L555">
        <v>1596000</v>
      </c>
    </row>
    <row r="556" spans="1:12" ht="15" customHeight="1">
      <c r="A556" t="s">
        <v>5897</v>
      </c>
      <c r="B556" t="s">
        <v>1685</v>
      </c>
      <c r="C556" t="s">
        <v>12</v>
      </c>
      <c r="D556" t="s">
        <v>1686</v>
      </c>
      <c r="E556" t="s">
        <v>1580</v>
      </c>
      <c r="F556" t="s">
        <v>25</v>
      </c>
      <c r="G556" t="s">
        <v>18</v>
      </c>
    </row>
    <row r="557" spans="1:12" ht="15" customHeight="1">
      <c r="A557" t="s">
        <v>5898</v>
      </c>
      <c r="B557" t="s">
        <v>1687</v>
      </c>
      <c r="C557" t="s">
        <v>12</v>
      </c>
      <c r="D557" t="s">
        <v>1688</v>
      </c>
      <c r="E557" t="s">
        <v>1534</v>
      </c>
      <c r="F557" t="s">
        <v>14</v>
      </c>
      <c r="G557" t="s">
        <v>18</v>
      </c>
      <c r="I557">
        <v>2250000</v>
      </c>
      <c r="J557">
        <v>2050000</v>
      </c>
      <c r="K557">
        <v>2174000</v>
      </c>
      <c r="L557">
        <v>2200000</v>
      </c>
    </row>
    <row r="558" spans="1:12" ht="15" customHeight="1">
      <c r="A558" t="s">
        <v>5899</v>
      </c>
      <c r="B558" t="s">
        <v>1689</v>
      </c>
      <c r="C558" t="s">
        <v>12</v>
      </c>
      <c r="D558" t="s">
        <v>1690</v>
      </c>
      <c r="E558" t="s">
        <v>1532</v>
      </c>
      <c r="F558" t="s">
        <v>25</v>
      </c>
      <c r="G558" t="s">
        <v>18</v>
      </c>
    </row>
    <row r="559" spans="1:12" ht="15" customHeight="1">
      <c r="A559" t="s">
        <v>5900</v>
      </c>
      <c r="B559" t="s">
        <v>1691</v>
      </c>
      <c r="C559" t="s">
        <v>12</v>
      </c>
      <c r="D559" t="s">
        <v>1692</v>
      </c>
      <c r="E559" t="s">
        <v>1532</v>
      </c>
      <c r="F559" t="s">
        <v>14</v>
      </c>
      <c r="G559" t="s">
        <v>18</v>
      </c>
      <c r="I559">
        <v>300000</v>
      </c>
      <c r="J559">
        <v>140000</v>
      </c>
      <c r="K559">
        <v>225000</v>
      </c>
      <c r="L559">
        <v>115000</v>
      </c>
    </row>
    <row r="560" spans="1:12" ht="15" customHeight="1">
      <c r="A560" t="s">
        <v>5901</v>
      </c>
      <c r="B560" t="s">
        <v>1693</v>
      </c>
      <c r="C560" t="s">
        <v>12</v>
      </c>
      <c r="D560" t="s">
        <v>1694</v>
      </c>
      <c r="E560" t="s">
        <v>1532</v>
      </c>
      <c r="F560" t="s">
        <v>25</v>
      </c>
      <c r="G560" t="s">
        <v>18</v>
      </c>
      <c r="I560">
        <v>2990000</v>
      </c>
      <c r="J560">
        <v>2660000</v>
      </c>
      <c r="K560">
        <v>6231000</v>
      </c>
    </row>
    <row r="561" spans="1:12" ht="15" customHeight="1">
      <c r="A561" t="s">
        <v>5902</v>
      </c>
      <c r="B561" t="s">
        <v>1695</v>
      </c>
      <c r="C561" t="s">
        <v>12</v>
      </c>
      <c r="D561" t="s">
        <v>1696</v>
      </c>
      <c r="E561" t="s">
        <v>1576</v>
      </c>
      <c r="F561" t="s">
        <v>25</v>
      </c>
      <c r="G561" t="s">
        <v>18</v>
      </c>
    </row>
    <row r="562" spans="1:12" ht="15" customHeight="1">
      <c r="A562" t="s">
        <v>5903</v>
      </c>
      <c r="B562" t="s">
        <v>1697</v>
      </c>
      <c r="C562" t="s">
        <v>12</v>
      </c>
      <c r="D562" t="s">
        <v>1698</v>
      </c>
      <c r="E562" t="s">
        <v>1518</v>
      </c>
      <c r="F562" t="s">
        <v>25</v>
      </c>
      <c r="G562" t="s">
        <v>22</v>
      </c>
      <c r="I562">
        <v>28256000</v>
      </c>
      <c r="J562">
        <v>107668000</v>
      </c>
      <c r="K562">
        <v>28319000</v>
      </c>
      <c r="L562">
        <v>107498000</v>
      </c>
    </row>
    <row r="563" spans="1:12" ht="15" customHeight="1">
      <c r="A563" t="s">
        <v>5904</v>
      </c>
      <c r="B563" t="s">
        <v>1699</v>
      </c>
      <c r="C563" t="s">
        <v>12</v>
      </c>
      <c r="D563" t="s">
        <v>1700</v>
      </c>
      <c r="E563" t="s">
        <v>1532</v>
      </c>
      <c r="F563" t="s">
        <v>14</v>
      </c>
      <c r="G563" t="s">
        <v>18</v>
      </c>
      <c r="J563">
        <v>268000</v>
      </c>
      <c r="L563">
        <v>435000</v>
      </c>
    </row>
    <row r="564" spans="1:12" ht="15" customHeight="1">
      <c r="A564" t="s">
        <v>5905</v>
      </c>
      <c r="B564" t="s">
        <v>1701</v>
      </c>
      <c r="C564" t="s">
        <v>12</v>
      </c>
      <c r="D564" t="s">
        <v>1702</v>
      </c>
      <c r="E564" t="s">
        <v>1629</v>
      </c>
      <c r="F564" t="s">
        <v>25</v>
      </c>
      <c r="G564" t="s">
        <v>18</v>
      </c>
    </row>
    <row r="565" spans="1:12" ht="15" customHeight="1">
      <c r="A565" t="s">
        <v>5906</v>
      </c>
      <c r="B565" t="s">
        <v>1703</v>
      </c>
      <c r="C565" t="s">
        <v>12</v>
      </c>
      <c r="D565" t="s">
        <v>1704</v>
      </c>
      <c r="E565" t="s">
        <v>1508</v>
      </c>
      <c r="F565" t="s">
        <v>25</v>
      </c>
      <c r="G565" t="s">
        <v>18</v>
      </c>
    </row>
    <row r="566" spans="1:12" ht="15" customHeight="1">
      <c r="A566" t="s">
        <v>5907</v>
      </c>
      <c r="B566" t="s">
        <v>1705</v>
      </c>
      <c r="C566" t="s">
        <v>12</v>
      </c>
      <c r="D566" t="s">
        <v>1706</v>
      </c>
      <c r="E566" t="s">
        <v>1565</v>
      </c>
      <c r="F566" t="s">
        <v>25</v>
      </c>
      <c r="G566" t="s">
        <v>18</v>
      </c>
    </row>
    <row r="567" spans="1:12" ht="15" customHeight="1">
      <c r="A567" t="s">
        <v>5908</v>
      </c>
      <c r="B567" t="s">
        <v>1707</v>
      </c>
      <c r="C567" t="s">
        <v>12</v>
      </c>
      <c r="D567" t="s">
        <v>1708</v>
      </c>
      <c r="E567" t="s">
        <v>1532</v>
      </c>
      <c r="F567" t="s">
        <v>14</v>
      </c>
      <c r="G567" t="s">
        <v>18</v>
      </c>
    </row>
    <row r="568" spans="1:12" ht="15" customHeight="1">
      <c r="A568" t="s">
        <v>5909</v>
      </c>
      <c r="B568" t="s">
        <v>1709</v>
      </c>
      <c r="C568" t="s">
        <v>12</v>
      </c>
      <c r="D568" t="s">
        <v>1710</v>
      </c>
      <c r="E568" t="s">
        <v>1508</v>
      </c>
      <c r="F568" t="s">
        <v>14</v>
      </c>
      <c r="G568" t="s">
        <v>18</v>
      </c>
      <c r="I568">
        <v>1660000</v>
      </c>
      <c r="J568">
        <v>9460000</v>
      </c>
      <c r="K568">
        <v>1836000</v>
      </c>
      <c r="L568">
        <v>9372000</v>
      </c>
    </row>
    <row r="569" spans="1:12" ht="15" customHeight="1">
      <c r="A569" t="s">
        <v>5910</v>
      </c>
      <c r="B569" t="s">
        <v>1711</v>
      </c>
      <c r="C569" t="s">
        <v>12</v>
      </c>
      <c r="D569" t="s">
        <v>1712</v>
      </c>
      <c r="E569" t="s">
        <v>1579</v>
      </c>
      <c r="F569" t="s">
        <v>14</v>
      </c>
      <c r="G569" t="s">
        <v>18</v>
      </c>
      <c r="I569">
        <v>28000</v>
      </c>
      <c r="J569">
        <v>1000</v>
      </c>
      <c r="K569">
        <v>22000</v>
      </c>
      <c r="L569">
        <v>16000</v>
      </c>
    </row>
    <row r="570" spans="1:12" ht="15" customHeight="1">
      <c r="A570" t="s">
        <v>5911</v>
      </c>
      <c r="B570" t="s">
        <v>1713</v>
      </c>
      <c r="C570" t="s">
        <v>12</v>
      </c>
      <c r="D570" t="s">
        <v>1714</v>
      </c>
      <c r="E570" t="s">
        <v>1505</v>
      </c>
      <c r="F570" t="s">
        <v>14</v>
      </c>
      <c r="G570" t="s">
        <v>18</v>
      </c>
      <c r="I570">
        <v>9771000</v>
      </c>
      <c r="J570">
        <v>5230000</v>
      </c>
      <c r="K570">
        <v>5975000</v>
      </c>
      <c r="L570">
        <v>8510000</v>
      </c>
    </row>
    <row r="571" spans="1:12" ht="15" customHeight="1">
      <c r="A571" t="s">
        <v>5912</v>
      </c>
      <c r="B571" t="s">
        <v>1715</v>
      </c>
      <c r="C571" t="s">
        <v>12</v>
      </c>
      <c r="D571" t="s">
        <v>1716</v>
      </c>
      <c r="E571" t="s">
        <v>1524</v>
      </c>
      <c r="F571" t="s">
        <v>14</v>
      </c>
      <c r="G571" t="s">
        <v>18</v>
      </c>
      <c r="I571">
        <v>179000</v>
      </c>
      <c r="J571">
        <v>416000</v>
      </c>
      <c r="K571">
        <v>179000</v>
      </c>
      <c r="L571">
        <v>415000</v>
      </c>
    </row>
    <row r="572" spans="1:12" ht="15" customHeight="1">
      <c r="A572" t="s">
        <v>5913</v>
      </c>
      <c r="B572" t="s">
        <v>1717</v>
      </c>
      <c r="C572" t="s">
        <v>12</v>
      </c>
      <c r="D572" t="s">
        <v>1718</v>
      </c>
      <c r="E572" t="s">
        <v>1532</v>
      </c>
      <c r="F572" t="s">
        <v>14</v>
      </c>
      <c r="G572" t="s">
        <v>18</v>
      </c>
    </row>
    <row r="573" spans="1:12" ht="15" customHeight="1">
      <c r="A573" t="s">
        <v>5914</v>
      </c>
      <c r="B573" t="s">
        <v>1719</v>
      </c>
      <c r="C573" t="s">
        <v>12</v>
      </c>
      <c r="D573" t="s">
        <v>1720</v>
      </c>
      <c r="E573" t="s">
        <v>1643</v>
      </c>
      <c r="F573" t="s">
        <v>14</v>
      </c>
      <c r="G573" t="s">
        <v>18</v>
      </c>
      <c r="I573">
        <v>5890000</v>
      </c>
      <c r="J573">
        <v>4698000</v>
      </c>
      <c r="K573">
        <v>6549000</v>
      </c>
      <c r="L573">
        <v>4121000</v>
      </c>
    </row>
    <row r="574" spans="1:12" ht="15" customHeight="1">
      <c r="A574" t="s">
        <v>5915</v>
      </c>
      <c r="B574" t="s">
        <v>1721</v>
      </c>
      <c r="C574" t="s">
        <v>12</v>
      </c>
      <c r="D574" t="s">
        <v>1722</v>
      </c>
      <c r="E574" t="s">
        <v>1532</v>
      </c>
      <c r="F574" t="s">
        <v>25</v>
      </c>
      <c r="G574" t="s">
        <v>18</v>
      </c>
      <c r="I574">
        <v>53000</v>
      </c>
      <c r="J574">
        <v>973000</v>
      </c>
      <c r="K574">
        <v>53000</v>
      </c>
      <c r="L574">
        <v>972000</v>
      </c>
    </row>
    <row r="575" spans="1:12" ht="15" customHeight="1">
      <c r="A575" t="s">
        <v>5916</v>
      </c>
      <c r="B575" t="s">
        <v>1723</v>
      </c>
      <c r="C575" t="s">
        <v>12</v>
      </c>
      <c r="D575" t="s">
        <v>1724</v>
      </c>
      <c r="E575" t="s">
        <v>1629</v>
      </c>
      <c r="F575" t="s">
        <v>14</v>
      </c>
      <c r="G575" t="s">
        <v>77</v>
      </c>
      <c r="J575">
        <v>14422000</v>
      </c>
      <c r="L575">
        <v>12504000</v>
      </c>
    </row>
    <row r="576" spans="1:12" ht="15" customHeight="1">
      <c r="A576" t="s">
        <v>5917</v>
      </c>
      <c r="B576" t="s">
        <v>1725</v>
      </c>
      <c r="C576" t="s">
        <v>12</v>
      </c>
      <c r="D576" t="s">
        <v>1726</v>
      </c>
      <c r="E576" t="s">
        <v>1544</v>
      </c>
      <c r="F576" t="s">
        <v>14</v>
      </c>
      <c r="G576" t="s">
        <v>18</v>
      </c>
      <c r="I576">
        <v>1553000</v>
      </c>
      <c r="J576">
        <v>3544000</v>
      </c>
      <c r="K576">
        <v>1557000</v>
      </c>
      <c r="L576">
        <v>3485000</v>
      </c>
    </row>
    <row r="577" spans="1:12" ht="15" customHeight="1">
      <c r="A577" t="s">
        <v>5918</v>
      </c>
      <c r="B577" t="s">
        <v>1727</v>
      </c>
      <c r="C577" t="s">
        <v>12</v>
      </c>
      <c r="D577" t="s">
        <v>1728</v>
      </c>
      <c r="E577" t="s">
        <v>1508</v>
      </c>
      <c r="F577" t="s">
        <v>14</v>
      </c>
      <c r="G577" t="s">
        <v>18</v>
      </c>
      <c r="I577">
        <v>13250000</v>
      </c>
      <c r="K577">
        <v>12881000</v>
      </c>
    </row>
    <row r="578" spans="1:12" ht="15" customHeight="1">
      <c r="A578" t="s">
        <v>5919</v>
      </c>
      <c r="B578" t="s">
        <v>1729</v>
      </c>
      <c r="C578" t="s">
        <v>12</v>
      </c>
      <c r="D578" t="s">
        <v>1730</v>
      </c>
      <c r="E578" t="s">
        <v>1512</v>
      </c>
      <c r="F578" t="s">
        <v>14</v>
      </c>
      <c r="G578" t="s">
        <v>18</v>
      </c>
      <c r="I578">
        <v>274000</v>
      </c>
      <c r="J578">
        <v>484000</v>
      </c>
      <c r="K578">
        <v>274000</v>
      </c>
      <c r="L578">
        <v>484000</v>
      </c>
    </row>
    <row r="579" spans="1:12" ht="15" customHeight="1">
      <c r="A579" t="s">
        <v>5920</v>
      </c>
      <c r="B579" t="s">
        <v>1731</v>
      </c>
      <c r="C579" t="s">
        <v>12</v>
      </c>
      <c r="D579" t="s">
        <v>1732</v>
      </c>
      <c r="E579" t="s">
        <v>1532</v>
      </c>
      <c r="F579" t="s">
        <v>14</v>
      </c>
      <c r="G579" t="s">
        <v>18</v>
      </c>
    </row>
    <row r="580" spans="1:12" ht="15" customHeight="1">
      <c r="A580" t="s">
        <v>5921</v>
      </c>
      <c r="B580" t="s">
        <v>1733</v>
      </c>
      <c r="C580" t="s">
        <v>12</v>
      </c>
      <c r="D580" t="s">
        <v>1734</v>
      </c>
      <c r="E580" t="s">
        <v>1534</v>
      </c>
      <c r="F580" t="s">
        <v>14</v>
      </c>
      <c r="G580" t="s">
        <v>18</v>
      </c>
      <c r="J580">
        <v>185000</v>
      </c>
      <c r="L580">
        <v>190000</v>
      </c>
    </row>
    <row r="581" spans="1:12" ht="15" customHeight="1">
      <c r="A581" t="s">
        <v>5922</v>
      </c>
      <c r="B581" t="s">
        <v>1735</v>
      </c>
      <c r="C581" t="s">
        <v>12</v>
      </c>
      <c r="D581" t="s">
        <v>1736</v>
      </c>
      <c r="E581" t="s">
        <v>1544</v>
      </c>
      <c r="F581" t="s">
        <v>14</v>
      </c>
      <c r="G581" t="s">
        <v>18</v>
      </c>
      <c r="I581">
        <v>214000</v>
      </c>
      <c r="J581">
        <v>357000</v>
      </c>
      <c r="K581">
        <v>170000</v>
      </c>
      <c r="L581">
        <v>341000</v>
      </c>
    </row>
    <row r="582" spans="1:12" ht="15" customHeight="1">
      <c r="A582" t="s">
        <v>5923</v>
      </c>
      <c r="B582" t="s">
        <v>1739</v>
      </c>
      <c r="C582" t="s">
        <v>12</v>
      </c>
      <c r="D582" t="s">
        <v>1740</v>
      </c>
      <c r="E582" t="s">
        <v>1508</v>
      </c>
      <c r="F582" t="s">
        <v>14</v>
      </c>
      <c r="G582" t="s">
        <v>18</v>
      </c>
      <c r="I582">
        <v>389000</v>
      </c>
      <c r="J582">
        <v>389000</v>
      </c>
      <c r="K582">
        <v>389000</v>
      </c>
      <c r="L582">
        <v>389000</v>
      </c>
    </row>
    <row r="583" spans="1:12" ht="15" customHeight="1">
      <c r="A583" t="s">
        <v>5924</v>
      </c>
      <c r="B583" t="s">
        <v>1741</v>
      </c>
      <c r="C583" t="s">
        <v>12</v>
      </c>
      <c r="D583" t="s">
        <v>1742</v>
      </c>
      <c r="E583" t="s">
        <v>1519</v>
      </c>
      <c r="F583" t="s">
        <v>14</v>
      </c>
      <c r="G583" t="s">
        <v>18</v>
      </c>
    </row>
    <row r="584" spans="1:12" ht="15" customHeight="1">
      <c r="A584" t="s">
        <v>5925</v>
      </c>
      <c r="B584" t="s">
        <v>1743</v>
      </c>
      <c r="C584" t="s">
        <v>12</v>
      </c>
      <c r="D584" t="s">
        <v>1744</v>
      </c>
      <c r="E584" t="s">
        <v>1520</v>
      </c>
      <c r="F584" t="s">
        <v>14</v>
      </c>
      <c r="G584" t="s">
        <v>18</v>
      </c>
      <c r="I584">
        <v>711000</v>
      </c>
      <c r="J584">
        <v>1383000</v>
      </c>
      <c r="K584">
        <v>781000</v>
      </c>
      <c r="L584">
        <v>851000</v>
      </c>
    </row>
    <row r="585" spans="1:12" ht="15" customHeight="1">
      <c r="A585" t="s">
        <v>5926</v>
      </c>
      <c r="B585" t="s">
        <v>1745</v>
      </c>
      <c r="C585" t="s">
        <v>12</v>
      </c>
      <c r="D585" t="s">
        <v>1746</v>
      </c>
      <c r="E585" t="s">
        <v>1662</v>
      </c>
      <c r="F585" t="s">
        <v>14</v>
      </c>
      <c r="G585" t="s">
        <v>22</v>
      </c>
      <c r="I585">
        <v>467017000</v>
      </c>
      <c r="J585">
        <v>479760000</v>
      </c>
      <c r="K585">
        <v>465426000</v>
      </c>
      <c r="L585">
        <v>474181000</v>
      </c>
    </row>
    <row r="586" spans="1:12" ht="15" customHeight="1">
      <c r="A586" t="s">
        <v>5927</v>
      </c>
      <c r="B586" t="s">
        <v>1747</v>
      </c>
      <c r="C586" t="s">
        <v>12</v>
      </c>
      <c r="D586" t="s">
        <v>1748</v>
      </c>
      <c r="E586" t="s">
        <v>1509</v>
      </c>
      <c r="F586" t="s">
        <v>14</v>
      </c>
      <c r="G586" t="s">
        <v>18</v>
      </c>
      <c r="I586">
        <v>2938000</v>
      </c>
      <c r="J586">
        <v>2399000</v>
      </c>
      <c r="K586">
        <v>2106000</v>
      </c>
      <c r="L586">
        <v>3526000</v>
      </c>
    </row>
    <row r="587" spans="1:12" ht="15" customHeight="1">
      <c r="A587" t="s">
        <v>5928</v>
      </c>
      <c r="B587" t="s">
        <v>1750</v>
      </c>
      <c r="C587" t="s">
        <v>12</v>
      </c>
      <c r="D587" t="s">
        <v>1751</v>
      </c>
      <c r="E587" t="s">
        <v>1620</v>
      </c>
      <c r="F587" t="s">
        <v>14</v>
      </c>
      <c r="G587" t="s">
        <v>18</v>
      </c>
      <c r="J587">
        <v>2050000</v>
      </c>
      <c r="L587">
        <v>2093000</v>
      </c>
    </row>
    <row r="588" spans="1:12" ht="15" customHeight="1">
      <c r="A588" t="s">
        <v>5929</v>
      </c>
      <c r="B588" t="s">
        <v>1752</v>
      </c>
      <c r="C588" t="s">
        <v>12</v>
      </c>
      <c r="D588" t="s">
        <v>1753</v>
      </c>
      <c r="E588" t="s">
        <v>1532</v>
      </c>
      <c r="F588" t="s">
        <v>14</v>
      </c>
      <c r="G588" t="s">
        <v>18</v>
      </c>
      <c r="I588">
        <v>778000</v>
      </c>
      <c r="J588">
        <v>455000</v>
      </c>
      <c r="K588">
        <v>393000</v>
      </c>
      <c r="L588">
        <v>711000</v>
      </c>
    </row>
    <row r="589" spans="1:12" ht="15" customHeight="1">
      <c r="A589" t="s">
        <v>5929</v>
      </c>
      <c r="B589" t="s">
        <v>1755</v>
      </c>
      <c r="C589" t="s">
        <v>12</v>
      </c>
      <c r="D589" t="s">
        <v>1756</v>
      </c>
      <c r="E589" t="s">
        <v>1520</v>
      </c>
      <c r="F589" t="s">
        <v>14</v>
      </c>
      <c r="G589" t="s">
        <v>18</v>
      </c>
      <c r="I589">
        <v>15779000</v>
      </c>
      <c r="J589">
        <v>28434000</v>
      </c>
      <c r="K589">
        <v>13908000</v>
      </c>
      <c r="L589">
        <v>19308000</v>
      </c>
    </row>
    <row r="590" spans="1:12" ht="15" customHeight="1">
      <c r="A590" t="s">
        <v>5930</v>
      </c>
      <c r="B590" t="s">
        <v>1757</v>
      </c>
      <c r="C590" t="s">
        <v>12</v>
      </c>
      <c r="D590" t="s">
        <v>1758</v>
      </c>
      <c r="E590" t="s">
        <v>1533</v>
      </c>
      <c r="F590" t="s">
        <v>14</v>
      </c>
      <c r="G590" t="s">
        <v>18</v>
      </c>
      <c r="I590">
        <v>2050000</v>
      </c>
      <c r="J590">
        <v>5257000</v>
      </c>
      <c r="K590">
        <v>1849000</v>
      </c>
      <c r="L590">
        <v>5466000</v>
      </c>
    </row>
    <row r="591" spans="1:12" ht="15" customHeight="1">
      <c r="A591" t="s">
        <v>5931</v>
      </c>
      <c r="B591" t="s">
        <v>1759</v>
      </c>
      <c r="C591" t="s">
        <v>12</v>
      </c>
      <c r="D591" t="s">
        <v>1760</v>
      </c>
      <c r="E591" t="s">
        <v>1580</v>
      </c>
      <c r="F591" t="s">
        <v>25</v>
      </c>
      <c r="G591" t="s">
        <v>18</v>
      </c>
    </row>
    <row r="592" spans="1:12" ht="15" customHeight="1">
      <c r="A592" t="s">
        <v>5932</v>
      </c>
      <c r="B592" t="s">
        <v>1761</v>
      </c>
      <c r="C592" t="s">
        <v>12</v>
      </c>
      <c r="D592" t="s">
        <v>1762</v>
      </c>
      <c r="E592" t="s">
        <v>1520</v>
      </c>
      <c r="F592" t="s">
        <v>14</v>
      </c>
      <c r="G592" t="s">
        <v>18</v>
      </c>
      <c r="I592">
        <v>25500000</v>
      </c>
      <c r="J592">
        <v>8990000</v>
      </c>
      <c r="K592">
        <v>26629000</v>
      </c>
      <c r="L592">
        <v>7773000</v>
      </c>
    </row>
    <row r="593" spans="1:12" ht="15" customHeight="1">
      <c r="A593" t="s">
        <v>5933</v>
      </c>
      <c r="B593" t="s">
        <v>1763</v>
      </c>
      <c r="C593" t="s">
        <v>12</v>
      </c>
      <c r="D593" t="s">
        <v>1764</v>
      </c>
      <c r="E593" t="s">
        <v>1579</v>
      </c>
      <c r="F593" t="s">
        <v>14</v>
      </c>
      <c r="G593" t="s">
        <v>18</v>
      </c>
      <c r="I593">
        <v>300000</v>
      </c>
      <c r="J593">
        <v>171000</v>
      </c>
      <c r="K593">
        <v>344000</v>
      </c>
      <c r="L593">
        <v>167000</v>
      </c>
    </row>
    <row r="594" spans="1:12" ht="15" customHeight="1">
      <c r="A594" t="s">
        <v>5934</v>
      </c>
      <c r="B594" t="s">
        <v>1765</v>
      </c>
      <c r="C594" t="s">
        <v>12</v>
      </c>
      <c r="D594" t="s">
        <v>1766</v>
      </c>
      <c r="E594" t="s">
        <v>1767</v>
      </c>
      <c r="F594" t="s">
        <v>14</v>
      </c>
      <c r="G594" t="s">
        <v>22</v>
      </c>
      <c r="I594">
        <v>1518000</v>
      </c>
      <c r="J594">
        <v>1359000</v>
      </c>
      <c r="K594">
        <v>1549000</v>
      </c>
      <c r="L594">
        <v>1411000</v>
      </c>
    </row>
    <row r="595" spans="1:12" ht="15" customHeight="1">
      <c r="A595" t="s">
        <v>5935</v>
      </c>
      <c r="B595" t="s">
        <v>1768</v>
      </c>
      <c r="C595" t="s">
        <v>12</v>
      </c>
      <c r="D595" t="s">
        <v>1769</v>
      </c>
      <c r="E595" t="s">
        <v>1544</v>
      </c>
      <c r="F595" t="s">
        <v>14</v>
      </c>
      <c r="G595" t="s">
        <v>18</v>
      </c>
      <c r="I595">
        <v>16941000</v>
      </c>
      <c r="J595">
        <v>16218000</v>
      </c>
      <c r="K595">
        <v>21812000</v>
      </c>
      <c r="L595">
        <v>12585000</v>
      </c>
    </row>
    <row r="596" spans="1:12" ht="15" customHeight="1">
      <c r="A596" t="s">
        <v>5936</v>
      </c>
      <c r="B596" t="s">
        <v>1770</v>
      </c>
      <c r="C596" t="s">
        <v>12</v>
      </c>
      <c r="D596" t="s">
        <v>1771</v>
      </c>
      <c r="E596" t="s">
        <v>1560</v>
      </c>
      <c r="F596" t="s">
        <v>14</v>
      </c>
      <c r="G596" t="s">
        <v>18</v>
      </c>
      <c r="J596">
        <v>1094000</v>
      </c>
      <c r="L596">
        <v>1132000</v>
      </c>
    </row>
    <row r="597" spans="1:12" ht="15" customHeight="1">
      <c r="A597" t="s">
        <v>5937</v>
      </c>
      <c r="B597" t="s">
        <v>1772</v>
      </c>
      <c r="C597" t="s">
        <v>12</v>
      </c>
      <c r="D597" t="s">
        <v>1773</v>
      </c>
      <c r="E597" t="s">
        <v>1535</v>
      </c>
      <c r="F597" t="s">
        <v>14</v>
      </c>
      <c r="G597" t="s">
        <v>18</v>
      </c>
      <c r="I597">
        <v>2747000</v>
      </c>
      <c r="J597">
        <v>2789000</v>
      </c>
      <c r="K597">
        <v>2608000</v>
      </c>
      <c r="L597">
        <v>2939000</v>
      </c>
    </row>
    <row r="598" spans="1:12" ht="15" customHeight="1">
      <c r="A598" t="s">
        <v>5938</v>
      </c>
      <c r="B598" t="s">
        <v>1774</v>
      </c>
      <c r="C598" t="s">
        <v>12</v>
      </c>
      <c r="D598" t="s">
        <v>1775</v>
      </c>
      <c r="E598" t="s">
        <v>1776</v>
      </c>
      <c r="F598" t="s">
        <v>25</v>
      </c>
      <c r="G598" t="s">
        <v>18</v>
      </c>
      <c r="I598">
        <v>1831000</v>
      </c>
      <c r="J598">
        <v>5487000</v>
      </c>
      <c r="K598">
        <v>2785000</v>
      </c>
      <c r="L598">
        <v>4650000</v>
      </c>
    </row>
    <row r="599" spans="1:12" ht="15" customHeight="1">
      <c r="A599" t="s">
        <v>5939</v>
      </c>
      <c r="B599" t="s">
        <v>1777</v>
      </c>
      <c r="C599" t="s">
        <v>12</v>
      </c>
      <c r="D599" t="s">
        <v>1778</v>
      </c>
      <c r="E599" t="s">
        <v>1517</v>
      </c>
      <c r="F599" t="s">
        <v>14</v>
      </c>
      <c r="G599" t="s">
        <v>18</v>
      </c>
      <c r="I599">
        <v>8042000</v>
      </c>
      <c r="J599">
        <v>8411000</v>
      </c>
      <c r="K599">
        <v>7647000</v>
      </c>
      <c r="L599">
        <v>8466000</v>
      </c>
    </row>
    <row r="600" spans="1:12" ht="15" customHeight="1">
      <c r="A600" t="s">
        <v>5940</v>
      </c>
      <c r="B600" t="s">
        <v>1779</v>
      </c>
      <c r="C600" t="s">
        <v>12</v>
      </c>
      <c r="D600" t="s">
        <v>1780</v>
      </c>
      <c r="E600" t="s">
        <v>1508</v>
      </c>
      <c r="F600" t="s">
        <v>25</v>
      </c>
      <c r="G600" t="s">
        <v>18</v>
      </c>
      <c r="I600">
        <v>5666000</v>
      </c>
      <c r="J600">
        <v>5288000</v>
      </c>
      <c r="K600">
        <v>5876000</v>
      </c>
      <c r="L600">
        <v>5226000</v>
      </c>
    </row>
    <row r="601" spans="1:12" ht="15" customHeight="1">
      <c r="A601" t="s">
        <v>5941</v>
      </c>
      <c r="B601" t="s">
        <v>1782</v>
      </c>
      <c r="C601" t="s">
        <v>12</v>
      </c>
      <c r="D601" t="s">
        <v>1783</v>
      </c>
      <c r="E601" t="s">
        <v>1642</v>
      </c>
      <c r="F601" t="s">
        <v>14</v>
      </c>
      <c r="G601" t="s">
        <v>18</v>
      </c>
    </row>
    <row r="602" spans="1:12" ht="15" customHeight="1">
      <c r="A602" t="s">
        <v>5941</v>
      </c>
      <c r="B602" t="s">
        <v>1784</v>
      </c>
      <c r="C602" t="s">
        <v>12</v>
      </c>
      <c r="D602" t="s">
        <v>1785</v>
      </c>
      <c r="E602" t="s">
        <v>1533</v>
      </c>
      <c r="F602" t="s">
        <v>14</v>
      </c>
      <c r="G602" t="s">
        <v>18</v>
      </c>
    </row>
    <row r="603" spans="1:12" ht="15" customHeight="1">
      <c r="A603" t="s">
        <v>5942</v>
      </c>
      <c r="B603" t="s">
        <v>1786</v>
      </c>
      <c r="C603" t="s">
        <v>12</v>
      </c>
      <c r="D603" t="s">
        <v>1787</v>
      </c>
      <c r="E603" t="s">
        <v>1560</v>
      </c>
      <c r="F603" t="s">
        <v>14</v>
      </c>
      <c r="G603" t="s">
        <v>18</v>
      </c>
      <c r="J603">
        <v>13690000</v>
      </c>
      <c r="L603">
        <v>13154000</v>
      </c>
    </row>
    <row r="604" spans="1:12" ht="15" customHeight="1">
      <c r="A604" t="s">
        <v>5943</v>
      </c>
      <c r="B604" t="s">
        <v>1788</v>
      </c>
      <c r="C604" t="s">
        <v>12</v>
      </c>
      <c r="D604" t="s">
        <v>1789</v>
      </c>
      <c r="E604" t="s">
        <v>1532</v>
      </c>
      <c r="F604" t="s">
        <v>14</v>
      </c>
      <c r="G604" t="s">
        <v>18</v>
      </c>
      <c r="I604">
        <v>1569000</v>
      </c>
      <c r="J604">
        <v>3600000</v>
      </c>
      <c r="K604">
        <v>1572000</v>
      </c>
      <c r="L604">
        <v>3096000</v>
      </c>
    </row>
    <row r="605" spans="1:12" ht="15" customHeight="1">
      <c r="A605" t="s">
        <v>5944</v>
      </c>
      <c r="B605" t="s">
        <v>1790</v>
      </c>
      <c r="C605" t="s">
        <v>12</v>
      </c>
      <c r="D605" t="s">
        <v>1791</v>
      </c>
      <c r="E605" t="s">
        <v>1642</v>
      </c>
      <c r="F605" t="s">
        <v>14</v>
      </c>
      <c r="G605" t="s">
        <v>18</v>
      </c>
      <c r="I605">
        <v>609000</v>
      </c>
      <c r="J605">
        <v>596000</v>
      </c>
      <c r="K605">
        <v>613000</v>
      </c>
      <c r="L605">
        <v>486000</v>
      </c>
    </row>
    <row r="606" spans="1:12" ht="15" customHeight="1">
      <c r="A606" t="s">
        <v>5945</v>
      </c>
      <c r="B606" t="s">
        <v>1792</v>
      </c>
      <c r="C606" t="s">
        <v>12</v>
      </c>
      <c r="D606" t="s">
        <v>1793</v>
      </c>
      <c r="E606" t="s">
        <v>1580</v>
      </c>
      <c r="F606" t="s">
        <v>14</v>
      </c>
      <c r="G606" t="s">
        <v>18</v>
      </c>
    </row>
    <row r="607" spans="1:12" ht="15" customHeight="1">
      <c r="A607" t="s">
        <v>5946</v>
      </c>
      <c r="B607" t="s">
        <v>1796</v>
      </c>
      <c r="C607" t="s">
        <v>12</v>
      </c>
      <c r="D607" t="s">
        <v>1797</v>
      </c>
      <c r="E607" t="s">
        <v>1533</v>
      </c>
      <c r="F607" t="s">
        <v>14</v>
      </c>
      <c r="G607" t="s">
        <v>18</v>
      </c>
      <c r="I607">
        <v>6212000</v>
      </c>
      <c r="J607">
        <v>14576000</v>
      </c>
      <c r="K607">
        <v>10111000</v>
      </c>
      <c r="L607">
        <v>6529000</v>
      </c>
    </row>
    <row r="608" spans="1:12" ht="15" customHeight="1">
      <c r="A608" t="s">
        <v>5947</v>
      </c>
      <c r="B608" t="s">
        <v>1799</v>
      </c>
      <c r="C608" t="s">
        <v>12</v>
      </c>
      <c r="D608" t="s">
        <v>1800</v>
      </c>
      <c r="E608" t="s">
        <v>1532</v>
      </c>
      <c r="F608" t="s">
        <v>14</v>
      </c>
      <c r="G608" t="s">
        <v>18</v>
      </c>
    </row>
    <row r="609" spans="1:12" ht="15" customHeight="1">
      <c r="A609" t="s">
        <v>5948</v>
      </c>
      <c r="B609" t="s">
        <v>1802</v>
      </c>
      <c r="C609" t="s">
        <v>12</v>
      </c>
      <c r="D609" t="s">
        <v>1803</v>
      </c>
      <c r="E609" t="s">
        <v>1642</v>
      </c>
      <c r="F609" t="s">
        <v>14</v>
      </c>
      <c r="G609" t="s">
        <v>18</v>
      </c>
      <c r="I609">
        <v>200000</v>
      </c>
      <c r="J609">
        <v>504000</v>
      </c>
      <c r="K609">
        <v>200000</v>
      </c>
      <c r="L609">
        <v>314000</v>
      </c>
    </row>
    <row r="610" spans="1:12" ht="15" customHeight="1">
      <c r="A610" t="s">
        <v>5949</v>
      </c>
      <c r="B610" t="s">
        <v>1804</v>
      </c>
      <c r="C610" t="s">
        <v>12</v>
      </c>
      <c r="D610" t="s">
        <v>1805</v>
      </c>
      <c r="E610" t="s">
        <v>1509</v>
      </c>
      <c r="F610" t="s">
        <v>14</v>
      </c>
      <c r="G610" t="s">
        <v>18</v>
      </c>
      <c r="I610">
        <v>2049000</v>
      </c>
      <c r="J610">
        <v>2082000</v>
      </c>
      <c r="K610">
        <v>2049000</v>
      </c>
      <c r="L610">
        <v>2082000</v>
      </c>
    </row>
    <row r="611" spans="1:12" ht="15" customHeight="1">
      <c r="A611" t="s">
        <v>5950</v>
      </c>
      <c r="B611" t="s">
        <v>1806</v>
      </c>
      <c r="C611" t="s">
        <v>12</v>
      </c>
      <c r="D611" t="s">
        <v>1807</v>
      </c>
      <c r="E611" t="s">
        <v>1558</v>
      </c>
      <c r="F611" t="s">
        <v>14</v>
      </c>
      <c r="G611" t="s">
        <v>18</v>
      </c>
      <c r="I611">
        <v>884000</v>
      </c>
      <c r="J611">
        <v>18000</v>
      </c>
      <c r="K611">
        <v>865000</v>
      </c>
      <c r="L611">
        <v>178000</v>
      </c>
    </row>
    <row r="612" spans="1:12" ht="15" customHeight="1">
      <c r="A612" t="s">
        <v>5951</v>
      </c>
      <c r="B612" t="s">
        <v>1808</v>
      </c>
      <c r="C612" t="s">
        <v>12</v>
      </c>
      <c r="D612" t="s">
        <v>1809</v>
      </c>
      <c r="E612" t="s">
        <v>1544</v>
      </c>
      <c r="F612" t="s">
        <v>14</v>
      </c>
      <c r="G612" t="s">
        <v>18</v>
      </c>
      <c r="J612">
        <v>105000</v>
      </c>
      <c r="L612">
        <v>105000</v>
      </c>
    </row>
    <row r="613" spans="1:12" ht="15" customHeight="1">
      <c r="A613" t="s">
        <v>5952</v>
      </c>
      <c r="B613" t="s">
        <v>1810</v>
      </c>
      <c r="C613" t="s">
        <v>12</v>
      </c>
      <c r="D613" t="s">
        <v>1811</v>
      </c>
      <c r="E613" t="s">
        <v>1509</v>
      </c>
      <c r="F613" t="s">
        <v>14</v>
      </c>
      <c r="G613" t="s">
        <v>22</v>
      </c>
      <c r="I613">
        <v>37773000</v>
      </c>
      <c r="J613">
        <v>40113000</v>
      </c>
      <c r="K613">
        <v>37871000</v>
      </c>
      <c r="L613">
        <v>39950000</v>
      </c>
    </row>
    <row r="614" spans="1:12" ht="15" customHeight="1">
      <c r="A614" t="s">
        <v>5953</v>
      </c>
      <c r="B614" t="s">
        <v>1812</v>
      </c>
      <c r="C614" t="s">
        <v>12</v>
      </c>
      <c r="D614" t="s">
        <v>1813</v>
      </c>
      <c r="E614" t="s">
        <v>1619</v>
      </c>
      <c r="F614" t="s">
        <v>14</v>
      </c>
      <c r="G614" t="s">
        <v>18</v>
      </c>
      <c r="I614">
        <v>3594000</v>
      </c>
      <c r="J614">
        <v>3784000</v>
      </c>
      <c r="K614">
        <v>4489000</v>
      </c>
      <c r="L614">
        <v>3594000</v>
      </c>
    </row>
    <row r="615" spans="1:12" ht="15" customHeight="1">
      <c r="A615" t="s">
        <v>5954</v>
      </c>
      <c r="B615" t="s">
        <v>1814</v>
      </c>
      <c r="C615" t="s">
        <v>12</v>
      </c>
      <c r="D615" t="s">
        <v>1815</v>
      </c>
      <c r="E615" t="s">
        <v>1776</v>
      </c>
      <c r="F615" t="s">
        <v>14</v>
      </c>
      <c r="G615" t="s">
        <v>18</v>
      </c>
      <c r="J615">
        <v>2748000</v>
      </c>
      <c r="L615">
        <v>2803000</v>
      </c>
    </row>
    <row r="616" spans="1:12" ht="15" customHeight="1">
      <c r="A616" t="s">
        <v>5955</v>
      </c>
      <c r="B616" t="s">
        <v>1816</v>
      </c>
      <c r="C616" t="s">
        <v>12</v>
      </c>
      <c r="D616" t="s">
        <v>1817</v>
      </c>
      <c r="E616" t="s">
        <v>1532</v>
      </c>
      <c r="F616" t="s">
        <v>14</v>
      </c>
      <c r="G616" t="s">
        <v>18</v>
      </c>
    </row>
    <row r="617" spans="1:12" ht="15" customHeight="1">
      <c r="A617" t="s">
        <v>5956</v>
      </c>
      <c r="B617" t="s">
        <v>1818</v>
      </c>
      <c r="C617" t="s">
        <v>12</v>
      </c>
      <c r="D617" t="s">
        <v>1819</v>
      </c>
      <c r="E617" t="s">
        <v>1560</v>
      </c>
      <c r="F617" t="s">
        <v>14</v>
      </c>
      <c r="G617" t="s">
        <v>18</v>
      </c>
      <c r="J617">
        <v>266000</v>
      </c>
      <c r="L617">
        <v>266000</v>
      </c>
    </row>
    <row r="618" spans="1:12" ht="15" customHeight="1">
      <c r="A618" t="s">
        <v>5957</v>
      </c>
      <c r="B618" t="s">
        <v>1821</v>
      </c>
      <c r="C618" t="s">
        <v>12</v>
      </c>
      <c r="D618" t="s">
        <v>1822</v>
      </c>
      <c r="E618" t="s">
        <v>1519</v>
      </c>
      <c r="F618" t="s">
        <v>14</v>
      </c>
      <c r="G618" t="s">
        <v>18</v>
      </c>
      <c r="J618">
        <v>227000</v>
      </c>
      <c r="L618">
        <v>260000</v>
      </c>
    </row>
    <row r="619" spans="1:12" ht="15" customHeight="1">
      <c r="A619" t="s">
        <v>5958</v>
      </c>
      <c r="B619" t="s">
        <v>1823</v>
      </c>
      <c r="C619" t="s">
        <v>12</v>
      </c>
      <c r="D619" t="s">
        <v>1824</v>
      </c>
      <c r="E619" t="s">
        <v>1649</v>
      </c>
      <c r="F619" t="s">
        <v>14</v>
      </c>
      <c r="G619" t="s">
        <v>77</v>
      </c>
      <c r="I619">
        <v>44349000</v>
      </c>
      <c r="J619">
        <v>54808000</v>
      </c>
      <c r="K619">
        <v>53518000</v>
      </c>
      <c r="L619">
        <v>51019000</v>
      </c>
    </row>
    <row r="620" spans="1:12" ht="15" customHeight="1">
      <c r="A620" t="s">
        <v>5959</v>
      </c>
      <c r="B620" t="s">
        <v>1825</v>
      </c>
      <c r="C620" t="s">
        <v>12</v>
      </c>
      <c r="D620" t="s">
        <v>1826</v>
      </c>
      <c r="E620" t="s">
        <v>1512</v>
      </c>
      <c r="F620" t="s">
        <v>14</v>
      </c>
      <c r="G620" t="s">
        <v>18</v>
      </c>
      <c r="I620">
        <v>2812000</v>
      </c>
      <c r="J620">
        <v>2642000</v>
      </c>
      <c r="K620">
        <v>2847000</v>
      </c>
      <c r="L620">
        <v>2630000</v>
      </c>
    </row>
    <row r="621" spans="1:12" ht="15" customHeight="1">
      <c r="A621" t="s">
        <v>5960</v>
      </c>
      <c r="B621" t="s">
        <v>1827</v>
      </c>
      <c r="C621" t="s">
        <v>12</v>
      </c>
      <c r="D621" t="s">
        <v>1828</v>
      </c>
      <c r="E621" t="s">
        <v>1532</v>
      </c>
      <c r="F621" t="s">
        <v>14</v>
      </c>
      <c r="G621" t="s">
        <v>18</v>
      </c>
      <c r="J621">
        <v>24000</v>
      </c>
      <c r="K621">
        <v>77000</v>
      </c>
      <c r="L621">
        <v>35000</v>
      </c>
    </row>
    <row r="622" spans="1:12" ht="15" customHeight="1">
      <c r="A622" t="s">
        <v>5961</v>
      </c>
      <c r="B622" t="s">
        <v>1830</v>
      </c>
      <c r="C622" t="s">
        <v>12</v>
      </c>
      <c r="D622" t="s">
        <v>1831</v>
      </c>
      <c r="E622" t="s">
        <v>1519</v>
      </c>
      <c r="F622" t="s">
        <v>14</v>
      </c>
      <c r="G622" t="s">
        <v>18</v>
      </c>
      <c r="I622">
        <v>2356000</v>
      </c>
      <c r="J622">
        <v>17345000</v>
      </c>
      <c r="K622">
        <v>1348000</v>
      </c>
      <c r="L622">
        <v>10672000</v>
      </c>
    </row>
    <row r="623" spans="1:12" ht="15" customHeight="1">
      <c r="A623" t="s">
        <v>5962</v>
      </c>
      <c r="B623" t="s">
        <v>1832</v>
      </c>
      <c r="C623" t="s">
        <v>12</v>
      </c>
      <c r="D623" t="s">
        <v>1833</v>
      </c>
      <c r="E623" t="s">
        <v>1519</v>
      </c>
      <c r="F623" t="s">
        <v>14</v>
      </c>
      <c r="G623" t="s">
        <v>18</v>
      </c>
    </row>
    <row r="624" spans="1:12" ht="15" customHeight="1">
      <c r="A624" t="s">
        <v>5963</v>
      </c>
      <c r="B624" t="s">
        <v>1834</v>
      </c>
      <c r="C624" t="s">
        <v>12</v>
      </c>
      <c r="D624" t="s">
        <v>1835</v>
      </c>
      <c r="E624" t="s">
        <v>1532</v>
      </c>
      <c r="F624" t="s">
        <v>14</v>
      </c>
      <c r="G624" t="s">
        <v>18</v>
      </c>
      <c r="J624">
        <v>328000</v>
      </c>
      <c r="L624">
        <v>344000</v>
      </c>
    </row>
    <row r="625" spans="1:12" ht="15" customHeight="1">
      <c r="A625" t="s">
        <v>5964</v>
      </c>
      <c r="B625" t="s">
        <v>1836</v>
      </c>
      <c r="C625" t="s">
        <v>12</v>
      </c>
      <c r="D625" t="s">
        <v>1837</v>
      </c>
      <c r="E625" t="s">
        <v>1643</v>
      </c>
      <c r="F625" t="s">
        <v>14</v>
      </c>
      <c r="G625" t="s">
        <v>18</v>
      </c>
      <c r="I625">
        <v>3953000</v>
      </c>
      <c r="J625">
        <v>3863000</v>
      </c>
      <c r="K625">
        <v>4100000</v>
      </c>
      <c r="L625">
        <v>4114000</v>
      </c>
    </row>
    <row r="626" spans="1:12" ht="15" customHeight="1">
      <c r="A626" t="s">
        <v>5965</v>
      </c>
      <c r="B626" t="s">
        <v>1838</v>
      </c>
      <c r="C626" t="s">
        <v>12</v>
      </c>
      <c r="D626" t="s">
        <v>1839</v>
      </c>
      <c r="E626" t="s">
        <v>1532</v>
      </c>
      <c r="F626" t="s">
        <v>14</v>
      </c>
      <c r="G626" t="s">
        <v>18</v>
      </c>
      <c r="I626">
        <v>339000</v>
      </c>
      <c r="J626">
        <v>200000</v>
      </c>
      <c r="K626">
        <v>678000</v>
      </c>
      <c r="L626">
        <v>510000</v>
      </c>
    </row>
    <row r="627" spans="1:12" ht="15" customHeight="1">
      <c r="A627" t="s">
        <v>5966</v>
      </c>
      <c r="B627" t="s">
        <v>1840</v>
      </c>
      <c r="C627" t="s">
        <v>12</v>
      </c>
      <c r="D627" t="s">
        <v>1841</v>
      </c>
      <c r="E627" t="s">
        <v>1524</v>
      </c>
      <c r="F627" t="s">
        <v>14</v>
      </c>
      <c r="G627" t="s">
        <v>18</v>
      </c>
    </row>
    <row r="628" spans="1:12" ht="15" customHeight="1">
      <c r="A628" t="s">
        <v>5967</v>
      </c>
      <c r="B628" t="s">
        <v>1842</v>
      </c>
      <c r="C628" t="s">
        <v>12</v>
      </c>
      <c r="D628" t="s">
        <v>1843</v>
      </c>
      <c r="E628" t="s">
        <v>1519</v>
      </c>
      <c r="F628" t="s">
        <v>14</v>
      </c>
      <c r="G628" t="s">
        <v>18</v>
      </c>
      <c r="I628">
        <v>1631000</v>
      </c>
      <c r="J628">
        <v>1811000</v>
      </c>
      <c r="K628">
        <v>900000</v>
      </c>
      <c r="L628">
        <v>1878000</v>
      </c>
    </row>
    <row r="629" spans="1:12" ht="15" customHeight="1">
      <c r="A629" t="s">
        <v>5968</v>
      </c>
      <c r="B629" t="s">
        <v>1844</v>
      </c>
      <c r="C629" t="s">
        <v>12</v>
      </c>
      <c r="D629" t="s">
        <v>1845</v>
      </c>
      <c r="E629" t="s">
        <v>1512</v>
      </c>
      <c r="F629" t="s">
        <v>14</v>
      </c>
      <c r="G629" t="s">
        <v>77</v>
      </c>
      <c r="I629">
        <v>254864000</v>
      </c>
      <c r="J629">
        <v>641593000</v>
      </c>
      <c r="K629">
        <v>255590000</v>
      </c>
      <c r="L629">
        <v>639630000</v>
      </c>
    </row>
    <row r="630" spans="1:12" ht="15" customHeight="1">
      <c r="A630" t="s">
        <v>5969</v>
      </c>
      <c r="B630" t="s">
        <v>1846</v>
      </c>
      <c r="C630" t="s">
        <v>12</v>
      </c>
      <c r="D630" t="s">
        <v>1847</v>
      </c>
      <c r="E630" t="s">
        <v>1509</v>
      </c>
      <c r="F630" t="s">
        <v>14</v>
      </c>
      <c r="G630" t="s">
        <v>18</v>
      </c>
      <c r="I630">
        <v>216914000</v>
      </c>
      <c r="J630">
        <v>193275000</v>
      </c>
      <c r="K630">
        <v>209119000</v>
      </c>
      <c r="L630">
        <v>192809000</v>
      </c>
    </row>
    <row r="631" spans="1:12" ht="15" customHeight="1">
      <c r="A631" t="s">
        <v>5970</v>
      </c>
      <c r="B631" t="s">
        <v>1848</v>
      </c>
      <c r="C631" t="s">
        <v>12</v>
      </c>
      <c r="D631" t="s">
        <v>1849</v>
      </c>
      <c r="E631" t="s">
        <v>1524</v>
      </c>
      <c r="F631" t="s">
        <v>14</v>
      </c>
      <c r="G631" t="s">
        <v>18</v>
      </c>
      <c r="I631">
        <v>90999000</v>
      </c>
      <c r="J631">
        <v>94313000</v>
      </c>
      <c r="K631">
        <v>89946000</v>
      </c>
      <c r="L631">
        <v>93615000</v>
      </c>
    </row>
    <row r="632" spans="1:12" ht="15" customHeight="1">
      <c r="A632" t="s">
        <v>5971</v>
      </c>
      <c r="B632" t="s">
        <v>1850</v>
      </c>
      <c r="C632" t="s">
        <v>12</v>
      </c>
      <c r="D632" t="s">
        <v>1851</v>
      </c>
      <c r="E632" t="s">
        <v>1532</v>
      </c>
      <c r="F632" t="s">
        <v>14</v>
      </c>
      <c r="G632" t="s">
        <v>18</v>
      </c>
      <c r="J632">
        <v>26000</v>
      </c>
      <c r="L632">
        <v>26000</v>
      </c>
    </row>
    <row r="633" spans="1:12" ht="15" customHeight="1">
      <c r="A633" t="s">
        <v>5972</v>
      </c>
      <c r="B633" t="s">
        <v>1852</v>
      </c>
      <c r="C633" t="s">
        <v>12</v>
      </c>
      <c r="D633" t="s">
        <v>1853</v>
      </c>
      <c r="E633" t="s">
        <v>1518</v>
      </c>
      <c r="F633" t="s">
        <v>14</v>
      </c>
      <c r="G633" t="s">
        <v>22</v>
      </c>
      <c r="I633">
        <v>53232000</v>
      </c>
      <c r="J633">
        <v>49797000</v>
      </c>
      <c r="K633">
        <v>54305000</v>
      </c>
      <c r="L633">
        <v>47206000</v>
      </c>
    </row>
    <row r="634" spans="1:12" ht="15" customHeight="1">
      <c r="A634" t="s">
        <v>5973</v>
      </c>
      <c r="B634" t="s">
        <v>1854</v>
      </c>
      <c r="C634" t="s">
        <v>12</v>
      </c>
      <c r="D634" t="s">
        <v>1855</v>
      </c>
      <c r="E634" t="s">
        <v>1516</v>
      </c>
      <c r="F634" t="s">
        <v>14</v>
      </c>
      <c r="G634" t="s">
        <v>22</v>
      </c>
      <c r="I634">
        <v>2371000</v>
      </c>
      <c r="K634">
        <v>3909000</v>
      </c>
      <c r="L634">
        <v>187000</v>
      </c>
    </row>
    <row r="635" spans="1:12" ht="15" customHeight="1">
      <c r="A635" t="s">
        <v>5974</v>
      </c>
      <c r="B635" t="s">
        <v>1856</v>
      </c>
      <c r="C635" t="s">
        <v>12</v>
      </c>
      <c r="D635" t="s">
        <v>1857</v>
      </c>
      <c r="E635" t="s">
        <v>1580</v>
      </c>
      <c r="F635" t="s">
        <v>14</v>
      </c>
      <c r="G635" t="s">
        <v>18</v>
      </c>
      <c r="I635">
        <v>1532000</v>
      </c>
      <c r="J635">
        <v>919000</v>
      </c>
      <c r="K635">
        <v>1532000</v>
      </c>
      <c r="L635">
        <v>919000</v>
      </c>
    </row>
    <row r="636" spans="1:12" ht="15" customHeight="1">
      <c r="A636" t="s">
        <v>5975</v>
      </c>
      <c r="B636" t="s">
        <v>1858</v>
      </c>
      <c r="C636" t="s">
        <v>12</v>
      </c>
      <c r="D636" t="s">
        <v>1859</v>
      </c>
      <c r="E636" t="s">
        <v>1767</v>
      </c>
      <c r="F636" t="s">
        <v>14</v>
      </c>
      <c r="G636" t="s">
        <v>18</v>
      </c>
      <c r="I636">
        <v>576000</v>
      </c>
      <c r="J636">
        <v>3038000</v>
      </c>
      <c r="K636">
        <v>555000</v>
      </c>
      <c r="L636">
        <v>2921000</v>
      </c>
    </row>
    <row r="637" spans="1:12" ht="15" customHeight="1">
      <c r="A637" t="s">
        <v>5976</v>
      </c>
      <c r="B637" t="s">
        <v>1860</v>
      </c>
      <c r="C637" t="s">
        <v>12</v>
      </c>
      <c r="D637" t="s">
        <v>1861</v>
      </c>
      <c r="E637" t="s">
        <v>1532</v>
      </c>
      <c r="F637" t="s">
        <v>14</v>
      </c>
      <c r="G637" t="s">
        <v>18</v>
      </c>
      <c r="K637">
        <v>27000</v>
      </c>
    </row>
    <row r="638" spans="1:12" ht="15" customHeight="1">
      <c r="A638" t="s">
        <v>5977</v>
      </c>
      <c r="B638" t="s">
        <v>1862</v>
      </c>
      <c r="C638" t="s">
        <v>12</v>
      </c>
      <c r="D638" t="s">
        <v>1863</v>
      </c>
      <c r="E638" t="s">
        <v>1576</v>
      </c>
      <c r="F638" t="s">
        <v>14</v>
      </c>
      <c r="G638" t="s">
        <v>18</v>
      </c>
    </row>
    <row r="639" spans="1:12" ht="15" customHeight="1">
      <c r="A639" t="s">
        <v>5978</v>
      </c>
      <c r="B639" t="s">
        <v>1864</v>
      </c>
      <c r="C639" t="s">
        <v>12</v>
      </c>
      <c r="D639" t="s">
        <v>1865</v>
      </c>
      <c r="E639" t="s">
        <v>1520</v>
      </c>
      <c r="F639" t="s">
        <v>14</v>
      </c>
      <c r="G639" t="s">
        <v>18</v>
      </c>
    </row>
    <row r="640" spans="1:12" ht="15" customHeight="1">
      <c r="A640" t="s">
        <v>5979</v>
      </c>
      <c r="B640" t="s">
        <v>1866</v>
      </c>
      <c r="C640" t="s">
        <v>12</v>
      </c>
      <c r="D640" t="s">
        <v>1867</v>
      </c>
      <c r="E640" t="s">
        <v>1533</v>
      </c>
      <c r="F640" t="s">
        <v>14</v>
      </c>
      <c r="G640" t="s">
        <v>18</v>
      </c>
      <c r="I640">
        <v>8815000</v>
      </c>
      <c r="J640">
        <v>26143000</v>
      </c>
      <c r="K640">
        <v>9946000</v>
      </c>
      <c r="L640">
        <v>9859000</v>
      </c>
    </row>
    <row r="641" spans="1:12" ht="15" customHeight="1">
      <c r="A641" t="s">
        <v>5980</v>
      </c>
      <c r="B641" t="s">
        <v>1869</v>
      </c>
      <c r="C641" t="s">
        <v>12</v>
      </c>
      <c r="D641" t="s">
        <v>1870</v>
      </c>
      <c r="E641" t="s">
        <v>1532</v>
      </c>
      <c r="F641" t="s">
        <v>14</v>
      </c>
      <c r="G641" t="s">
        <v>18</v>
      </c>
    </row>
    <row r="642" spans="1:12" ht="15" customHeight="1">
      <c r="A642" t="s">
        <v>5981</v>
      </c>
      <c r="B642" t="s">
        <v>1871</v>
      </c>
      <c r="C642" t="s">
        <v>12</v>
      </c>
      <c r="D642" t="s">
        <v>1872</v>
      </c>
      <c r="E642" t="s">
        <v>1605</v>
      </c>
      <c r="F642" t="s">
        <v>14</v>
      </c>
      <c r="G642" t="s">
        <v>18</v>
      </c>
      <c r="J642">
        <v>333</v>
      </c>
      <c r="L642">
        <v>12</v>
      </c>
    </row>
    <row r="643" spans="1:12" ht="15" customHeight="1">
      <c r="A643" t="s">
        <v>5982</v>
      </c>
      <c r="B643" t="s">
        <v>1873</v>
      </c>
      <c r="C643" t="s">
        <v>12</v>
      </c>
      <c r="D643" t="s">
        <v>1874</v>
      </c>
      <c r="E643" t="s">
        <v>1526</v>
      </c>
      <c r="F643" t="s">
        <v>14</v>
      </c>
      <c r="G643" t="s">
        <v>18</v>
      </c>
      <c r="I643">
        <v>200000</v>
      </c>
      <c r="K643">
        <v>200000</v>
      </c>
    </row>
    <row r="644" spans="1:12" ht="15" customHeight="1">
      <c r="A644" t="s">
        <v>5983</v>
      </c>
      <c r="B644" t="s">
        <v>1875</v>
      </c>
      <c r="C644" t="s">
        <v>12</v>
      </c>
      <c r="D644" t="s">
        <v>1876</v>
      </c>
      <c r="E644" t="s">
        <v>1532</v>
      </c>
      <c r="F644" t="s">
        <v>14</v>
      </c>
      <c r="G644" t="s">
        <v>18</v>
      </c>
      <c r="I644">
        <v>660000</v>
      </c>
      <c r="J644">
        <v>500000</v>
      </c>
      <c r="K644">
        <v>659000</v>
      </c>
      <c r="L644">
        <v>501000</v>
      </c>
    </row>
    <row r="645" spans="1:12" ht="15" customHeight="1">
      <c r="A645" t="s">
        <v>5984</v>
      </c>
      <c r="B645" t="s">
        <v>1877</v>
      </c>
      <c r="C645" t="s">
        <v>12</v>
      </c>
      <c r="D645" t="s">
        <v>1878</v>
      </c>
      <c r="E645" t="s">
        <v>1532</v>
      </c>
      <c r="F645" t="s">
        <v>14</v>
      </c>
      <c r="G645" t="s">
        <v>18</v>
      </c>
    </row>
    <row r="646" spans="1:12" ht="15" customHeight="1">
      <c r="A646" t="s">
        <v>5985</v>
      </c>
      <c r="B646" t="s">
        <v>1879</v>
      </c>
      <c r="C646" t="s">
        <v>12</v>
      </c>
      <c r="D646" t="s">
        <v>1880</v>
      </c>
      <c r="E646" t="s">
        <v>1618</v>
      </c>
      <c r="F646" t="s">
        <v>14</v>
      </c>
      <c r="G646" t="s">
        <v>18</v>
      </c>
      <c r="I646">
        <v>7000</v>
      </c>
      <c r="J646">
        <v>60000</v>
      </c>
      <c r="K646">
        <v>6000</v>
      </c>
      <c r="L646">
        <v>81000</v>
      </c>
    </row>
    <row r="647" spans="1:12" ht="15" customHeight="1">
      <c r="A647" t="s">
        <v>5986</v>
      </c>
      <c r="B647" t="s">
        <v>1882</v>
      </c>
      <c r="C647" t="s">
        <v>12</v>
      </c>
      <c r="D647" t="s">
        <v>1883</v>
      </c>
      <c r="E647" t="s">
        <v>1512</v>
      </c>
      <c r="F647" t="s">
        <v>14</v>
      </c>
      <c r="G647" t="s">
        <v>18</v>
      </c>
    </row>
    <row r="648" spans="1:12" ht="15" customHeight="1">
      <c r="A648" t="s">
        <v>5987</v>
      </c>
      <c r="B648" t="s">
        <v>1884</v>
      </c>
      <c r="C648" t="s">
        <v>12</v>
      </c>
      <c r="D648" t="s">
        <v>1885</v>
      </c>
      <c r="E648" t="s">
        <v>1532</v>
      </c>
      <c r="F648" t="s">
        <v>14</v>
      </c>
      <c r="G648" t="s">
        <v>18</v>
      </c>
      <c r="I648">
        <v>2557000</v>
      </c>
      <c r="J648">
        <v>4074000</v>
      </c>
      <c r="K648">
        <v>3099000</v>
      </c>
      <c r="L648">
        <v>3901000</v>
      </c>
    </row>
    <row r="649" spans="1:12" ht="15" customHeight="1">
      <c r="A649" t="s">
        <v>5988</v>
      </c>
      <c r="B649" t="s">
        <v>1886</v>
      </c>
      <c r="C649" t="s">
        <v>12</v>
      </c>
      <c r="D649" t="s">
        <v>1887</v>
      </c>
      <c r="E649" t="s">
        <v>1575</v>
      </c>
      <c r="F649" t="s">
        <v>14</v>
      </c>
      <c r="G649" t="s">
        <v>18</v>
      </c>
      <c r="I649">
        <v>14874000</v>
      </c>
      <c r="J649">
        <v>12333000</v>
      </c>
      <c r="K649">
        <v>12846000</v>
      </c>
      <c r="L649">
        <v>16205000</v>
      </c>
    </row>
    <row r="650" spans="1:12" ht="15" customHeight="1">
      <c r="A650" t="s">
        <v>5989</v>
      </c>
      <c r="B650" t="s">
        <v>1888</v>
      </c>
      <c r="C650" t="s">
        <v>12</v>
      </c>
      <c r="D650" t="s">
        <v>1889</v>
      </c>
      <c r="E650" t="s">
        <v>1820</v>
      </c>
      <c r="F650" t="s">
        <v>14</v>
      </c>
      <c r="G650" t="s">
        <v>18</v>
      </c>
    </row>
    <row r="651" spans="1:12" ht="15" customHeight="1">
      <c r="A651" t="s">
        <v>5990</v>
      </c>
      <c r="B651" t="s">
        <v>1890</v>
      </c>
      <c r="C651" t="s">
        <v>12</v>
      </c>
      <c r="D651" t="s">
        <v>1891</v>
      </c>
      <c r="E651" t="s">
        <v>1532</v>
      </c>
      <c r="F651" t="s">
        <v>14</v>
      </c>
      <c r="G651" t="s">
        <v>18</v>
      </c>
      <c r="I651">
        <v>2846000</v>
      </c>
      <c r="J651">
        <v>900000</v>
      </c>
      <c r="K651">
        <v>641000</v>
      </c>
      <c r="L651">
        <v>1668000</v>
      </c>
    </row>
    <row r="652" spans="1:12" ht="15" customHeight="1">
      <c r="A652" t="s">
        <v>5991</v>
      </c>
      <c r="B652" t="s">
        <v>1892</v>
      </c>
      <c r="C652" t="s">
        <v>12</v>
      </c>
      <c r="D652" t="s">
        <v>1893</v>
      </c>
      <c r="E652" t="s">
        <v>1576</v>
      </c>
      <c r="F652" t="s">
        <v>14</v>
      </c>
      <c r="G652" t="s">
        <v>18</v>
      </c>
    </row>
    <row r="653" spans="1:12" ht="15" customHeight="1">
      <c r="A653" t="s">
        <v>5992</v>
      </c>
      <c r="B653" t="s">
        <v>1894</v>
      </c>
      <c r="C653" t="s">
        <v>12</v>
      </c>
      <c r="D653" t="s">
        <v>1895</v>
      </c>
      <c r="E653" t="s">
        <v>1517</v>
      </c>
      <c r="F653" t="s">
        <v>14</v>
      </c>
      <c r="G653" t="s">
        <v>18</v>
      </c>
    </row>
    <row r="654" spans="1:12" ht="15" customHeight="1">
      <c r="A654" t="s">
        <v>5993</v>
      </c>
      <c r="B654" t="s">
        <v>1896</v>
      </c>
      <c r="C654" t="s">
        <v>12</v>
      </c>
      <c r="D654" t="s">
        <v>1897</v>
      </c>
      <c r="E654" t="s">
        <v>1532</v>
      </c>
      <c r="F654" t="s">
        <v>14</v>
      </c>
      <c r="G654" t="s">
        <v>18</v>
      </c>
    </row>
    <row r="655" spans="1:12" ht="15" customHeight="1">
      <c r="A655" t="s">
        <v>5994</v>
      </c>
      <c r="B655" t="s">
        <v>1899</v>
      </c>
      <c r="C655" t="s">
        <v>12</v>
      </c>
      <c r="D655" t="s">
        <v>1900</v>
      </c>
      <c r="E655" t="s">
        <v>1642</v>
      </c>
      <c r="F655" t="s">
        <v>14</v>
      </c>
      <c r="G655" t="s">
        <v>18</v>
      </c>
      <c r="I655">
        <v>2754000</v>
      </c>
      <c r="J655">
        <v>3277000</v>
      </c>
      <c r="K655">
        <v>2862000</v>
      </c>
      <c r="L655">
        <v>2426000</v>
      </c>
    </row>
    <row r="656" spans="1:12" ht="15" customHeight="1">
      <c r="A656" t="s">
        <v>5995</v>
      </c>
      <c r="B656" t="s">
        <v>1901</v>
      </c>
      <c r="C656" t="s">
        <v>12</v>
      </c>
      <c r="D656" t="s">
        <v>1902</v>
      </c>
      <c r="E656" t="s">
        <v>1642</v>
      </c>
      <c r="F656" t="s">
        <v>14</v>
      </c>
      <c r="G656" t="s">
        <v>18</v>
      </c>
      <c r="I656">
        <v>424000</v>
      </c>
      <c r="J656">
        <v>563000</v>
      </c>
      <c r="K656">
        <v>342000</v>
      </c>
      <c r="L656">
        <v>290000</v>
      </c>
    </row>
    <row r="657" spans="1:12" ht="15" customHeight="1">
      <c r="A657" t="s">
        <v>5996</v>
      </c>
      <c r="B657" t="s">
        <v>1903</v>
      </c>
      <c r="C657" t="s">
        <v>12</v>
      </c>
      <c r="D657" t="s">
        <v>1904</v>
      </c>
      <c r="E657" t="s">
        <v>1642</v>
      </c>
      <c r="F657" t="s">
        <v>14</v>
      </c>
      <c r="G657" t="s">
        <v>18</v>
      </c>
      <c r="I657">
        <v>68000</v>
      </c>
      <c r="J657">
        <v>37000</v>
      </c>
      <c r="K657">
        <v>41000</v>
      </c>
      <c r="L657">
        <v>60000</v>
      </c>
    </row>
    <row r="658" spans="1:12" ht="15" customHeight="1">
      <c r="A658" t="s">
        <v>5997</v>
      </c>
      <c r="B658" t="s">
        <v>1905</v>
      </c>
      <c r="C658" t="s">
        <v>12</v>
      </c>
      <c r="D658" t="s">
        <v>1906</v>
      </c>
      <c r="E658" t="s">
        <v>1504</v>
      </c>
      <c r="F658" t="s">
        <v>14</v>
      </c>
      <c r="G658" t="s">
        <v>18</v>
      </c>
    </row>
    <row r="659" spans="1:12" ht="15" customHeight="1">
      <c r="A659" t="s">
        <v>5998</v>
      </c>
      <c r="B659" t="s">
        <v>1907</v>
      </c>
      <c r="C659" t="s">
        <v>12</v>
      </c>
      <c r="D659" t="s">
        <v>1908</v>
      </c>
      <c r="E659" t="s">
        <v>1505</v>
      </c>
      <c r="F659" t="s">
        <v>14</v>
      </c>
      <c r="G659" t="s">
        <v>18</v>
      </c>
      <c r="I659">
        <v>1350000</v>
      </c>
      <c r="J659">
        <v>1000000</v>
      </c>
      <c r="K659">
        <v>1344000</v>
      </c>
      <c r="L659">
        <v>809000</v>
      </c>
    </row>
    <row r="660" spans="1:12" ht="15" customHeight="1">
      <c r="A660" t="s">
        <v>5999</v>
      </c>
      <c r="B660" t="s">
        <v>1909</v>
      </c>
      <c r="C660" t="s">
        <v>12</v>
      </c>
      <c r="D660" t="s">
        <v>1910</v>
      </c>
      <c r="E660" t="s">
        <v>1588</v>
      </c>
      <c r="F660" t="s">
        <v>14</v>
      </c>
      <c r="G660" t="s">
        <v>18</v>
      </c>
      <c r="I660">
        <v>52000</v>
      </c>
      <c r="J660">
        <v>269000</v>
      </c>
      <c r="K660">
        <v>158000</v>
      </c>
      <c r="L660">
        <v>286000</v>
      </c>
    </row>
    <row r="661" spans="1:12" ht="15" customHeight="1">
      <c r="A661" t="s">
        <v>6000</v>
      </c>
      <c r="B661" t="s">
        <v>1911</v>
      </c>
      <c r="C661" t="s">
        <v>12</v>
      </c>
      <c r="D661" t="s">
        <v>1912</v>
      </c>
      <c r="E661" t="s">
        <v>1798</v>
      </c>
      <c r="F661" t="s">
        <v>14</v>
      </c>
      <c r="G661" t="s">
        <v>18</v>
      </c>
      <c r="L661">
        <v>4000</v>
      </c>
    </row>
    <row r="662" spans="1:12" ht="15" customHeight="1">
      <c r="A662" t="s">
        <v>6001</v>
      </c>
      <c r="B662" t="s">
        <v>1913</v>
      </c>
      <c r="C662" t="s">
        <v>12</v>
      </c>
      <c r="D662" t="s">
        <v>1914</v>
      </c>
      <c r="E662" t="s">
        <v>1512</v>
      </c>
      <c r="F662" t="s">
        <v>14</v>
      </c>
      <c r="G662" t="s">
        <v>18</v>
      </c>
      <c r="I662">
        <v>11431000</v>
      </c>
      <c r="J662">
        <v>11536000</v>
      </c>
      <c r="K662">
        <v>11503000</v>
      </c>
      <c r="L662">
        <v>11437000</v>
      </c>
    </row>
    <row r="663" spans="1:12" ht="15" customHeight="1">
      <c r="A663" t="s">
        <v>6002</v>
      </c>
      <c r="B663" t="s">
        <v>1915</v>
      </c>
      <c r="C663" t="s">
        <v>12</v>
      </c>
      <c r="D663" t="s">
        <v>1916</v>
      </c>
      <c r="E663" t="s">
        <v>1508</v>
      </c>
      <c r="F663" t="s">
        <v>14</v>
      </c>
      <c r="G663" t="s">
        <v>18</v>
      </c>
      <c r="I663">
        <v>5846000</v>
      </c>
      <c r="J663">
        <v>1707000</v>
      </c>
      <c r="K663">
        <v>5939000</v>
      </c>
      <c r="L663">
        <v>1382000</v>
      </c>
    </row>
    <row r="664" spans="1:12" ht="15" customHeight="1">
      <c r="A664" t="s">
        <v>6003</v>
      </c>
      <c r="B664" t="s">
        <v>1917</v>
      </c>
      <c r="C664" t="s">
        <v>12</v>
      </c>
      <c r="D664" t="s">
        <v>1918</v>
      </c>
      <c r="E664" t="s">
        <v>1532</v>
      </c>
      <c r="F664" t="s">
        <v>14</v>
      </c>
      <c r="G664" t="s">
        <v>18</v>
      </c>
    </row>
    <row r="665" spans="1:12" ht="15" customHeight="1">
      <c r="A665" t="s">
        <v>6004</v>
      </c>
      <c r="B665" t="s">
        <v>1919</v>
      </c>
      <c r="C665" t="s">
        <v>12</v>
      </c>
      <c r="D665" t="s">
        <v>1920</v>
      </c>
      <c r="E665" t="s">
        <v>1512</v>
      </c>
      <c r="F665" t="s">
        <v>14</v>
      </c>
      <c r="G665" t="s">
        <v>18</v>
      </c>
      <c r="I665">
        <v>1384000</v>
      </c>
      <c r="J665">
        <v>1859000</v>
      </c>
      <c r="K665">
        <v>1379000</v>
      </c>
      <c r="L665">
        <v>1864000</v>
      </c>
    </row>
    <row r="666" spans="1:12" ht="15" customHeight="1">
      <c r="A666" t="s">
        <v>6005</v>
      </c>
      <c r="B666" t="s">
        <v>1921</v>
      </c>
      <c r="C666" t="s">
        <v>12</v>
      </c>
      <c r="D666" t="s">
        <v>1922</v>
      </c>
      <c r="E666" t="s">
        <v>1508</v>
      </c>
      <c r="F666" t="s">
        <v>14</v>
      </c>
      <c r="G666" t="s">
        <v>18</v>
      </c>
      <c r="I666">
        <v>1238000</v>
      </c>
      <c r="J666">
        <v>1292000</v>
      </c>
      <c r="K666">
        <v>1171000</v>
      </c>
      <c r="L666">
        <v>1307000</v>
      </c>
    </row>
    <row r="667" spans="1:12" ht="15" customHeight="1">
      <c r="A667" t="s">
        <v>6006</v>
      </c>
      <c r="B667" t="s">
        <v>1923</v>
      </c>
      <c r="C667" t="s">
        <v>12</v>
      </c>
      <c r="D667" t="s">
        <v>1924</v>
      </c>
      <c r="E667" t="s">
        <v>1544</v>
      </c>
      <c r="F667" t="s">
        <v>14</v>
      </c>
      <c r="G667" t="s">
        <v>18</v>
      </c>
    </row>
    <row r="668" spans="1:12" ht="15" customHeight="1">
      <c r="A668" t="s">
        <v>6007</v>
      </c>
      <c r="B668" t="s">
        <v>1925</v>
      </c>
      <c r="C668" t="s">
        <v>12</v>
      </c>
      <c r="D668" t="s">
        <v>1926</v>
      </c>
      <c r="E668" t="s">
        <v>1512</v>
      </c>
      <c r="F668" t="s">
        <v>14</v>
      </c>
      <c r="G668" t="s">
        <v>18</v>
      </c>
      <c r="I668">
        <v>2478000</v>
      </c>
      <c r="J668">
        <v>2275000</v>
      </c>
      <c r="K668">
        <v>2326000</v>
      </c>
      <c r="L668">
        <v>2262000</v>
      </c>
    </row>
    <row r="669" spans="1:12" ht="15" customHeight="1">
      <c r="A669" t="s">
        <v>6008</v>
      </c>
      <c r="B669" t="s">
        <v>1927</v>
      </c>
      <c r="C669" t="s">
        <v>12</v>
      </c>
      <c r="D669" t="s">
        <v>1928</v>
      </c>
      <c r="E669" t="s">
        <v>1524</v>
      </c>
      <c r="F669" t="s">
        <v>14</v>
      </c>
      <c r="G669" t="s">
        <v>18</v>
      </c>
      <c r="I669">
        <v>2926000</v>
      </c>
      <c r="J669">
        <v>2932000</v>
      </c>
      <c r="K669">
        <v>2590000</v>
      </c>
      <c r="L669">
        <v>1024000</v>
      </c>
    </row>
    <row r="670" spans="1:12" ht="15" customHeight="1">
      <c r="A670" t="s">
        <v>6009</v>
      </c>
      <c r="B670" t="s">
        <v>1929</v>
      </c>
      <c r="C670" t="s">
        <v>12</v>
      </c>
      <c r="D670" t="s">
        <v>1930</v>
      </c>
      <c r="E670" t="s">
        <v>1532</v>
      </c>
      <c r="F670" t="s">
        <v>14</v>
      </c>
      <c r="G670" t="s">
        <v>18</v>
      </c>
    </row>
    <row r="671" spans="1:12" ht="15" customHeight="1">
      <c r="A671" t="s">
        <v>6010</v>
      </c>
      <c r="B671" t="s">
        <v>1931</v>
      </c>
      <c r="C671" t="s">
        <v>12</v>
      </c>
      <c r="D671" t="s">
        <v>1932</v>
      </c>
      <c r="E671" t="s">
        <v>1532</v>
      </c>
      <c r="F671" t="s">
        <v>14</v>
      </c>
      <c r="G671" t="s">
        <v>18</v>
      </c>
      <c r="I671">
        <v>180000</v>
      </c>
      <c r="J671">
        <v>1411000</v>
      </c>
      <c r="K671">
        <v>1465000</v>
      </c>
      <c r="L671">
        <v>888000</v>
      </c>
    </row>
    <row r="672" spans="1:12" ht="15" customHeight="1">
      <c r="A672" t="s">
        <v>6011</v>
      </c>
      <c r="B672" t="s">
        <v>1933</v>
      </c>
      <c r="C672" t="s">
        <v>12</v>
      </c>
      <c r="D672" t="s">
        <v>1934</v>
      </c>
      <c r="E672" t="s">
        <v>1532</v>
      </c>
      <c r="F672" t="s">
        <v>14</v>
      </c>
      <c r="G672" t="s">
        <v>18</v>
      </c>
      <c r="I672">
        <v>4199000</v>
      </c>
      <c r="J672">
        <v>1612000</v>
      </c>
      <c r="K672">
        <v>2151000</v>
      </c>
      <c r="L672">
        <v>3276000</v>
      </c>
    </row>
    <row r="673" spans="1:12" ht="15" customHeight="1">
      <c r="A673" t="s">
        <v>6012</v>
      </c>
      <c r="B673" t="s">
        <v>1935</v>
      </c>
      <c r="C673" t="s">
        <v>12</v>
      </c>
      <c r="D673" t="s">
        <v>1936</v>
      </c>
      <c r="E673" t="s">
        <v>1642</v>
      </c>
      <c r="F673" t="s">
        <v>14</v>
      </c>
      <c r="G673" t="s">
        <v>18</v>
      </c>
      <c r="I673">
        <v>228000</v>
      </c>
      <c r="J673">
        <v>26000</v>
      </c>
      <c r="K673">
        <v>85000</v>
      </c>
      <c r="L673">
        <v>141000</v>
      </c>
    </row>
    <row r="674" spans="1:12" ht="15" customHeight="1">
      <c r="A674" t="s">
        <v>6013</v>
      </c>
      <c r="B674" t="s">
        <v>1937</v>
      </c>
      <c r="C674" t="s">
        <v>12</v>
      </c>
      <c r="D674" t="s">
        <v>1938</v>
      </c>
      <c r="E674" t="s">
        <v>1509</v>
      </c>
      <c r="F674" t="s">
        <v>14</v>
      </c>
      <c r="G674" t="s">
        <v>22</v>
      </c>
      <c r="I674">
        <v>11048000</v>
      </c>
      <c r="J674">
        <v>18725000</v>
      </c>
      <c r="K674">
        <v>13287000</v>
      </c>
      <c r="L674">
        <v>15218000</v>
      </c>
    </row>
    <row r="675" spans="1:12" ht="15" customHeight="1">
      <c r="A675" t="s">
        <v>6014</v>
      </c>
      <c r="B675" t="s">
        <v>1939</v>
      </c>
      <c r="C675" t="s">
        <v>12</v>
      </c>
      <c r="D675" t="s">
        <v>1940</v>
      </c>
      <c r="E675" t="s">
        <v>1532</v>
      </c>
      <c r="F675" t="s">
        <v>14</v>
      </c>
      <c r="G675" t="s">
        <v>18</v>
      </c>
    </row>
    <row r="676" spans="1:12" ht="15" customHeight="1">
      <c r="A676" t="s">
        <v>6015</v>
      </c>
      <c r="B676" t="s">
        <v>1941</v>
      </c>
      <c r="C676" t="s">
        <v>12</v>
      </c>
      <c r="D676" t="s">
        <v>1942</v>
      </c>
      <c r="E676" t="s">
        <v>1544</v>
      </c>
      <c r="F676" t="s">
        <v>14</v>
      </c>
      <c r="G676" t="s">
        <v>18</v>
      </c>
      <c r="J676">
        <v>635000</v>
      </c>
      <c r="L676">
        <v>635000</v>
      </c>
    </row>
    <row r="677" spans="1:12" ht="15" customHeight="1">
      <c r="A677" t="s">
        <v>6016</v>
      </c>
      <c r="B677" t="s">
        <v>1943</v>
      </c>
      <c r="C677" t="s">
        <v>12</v>
      </c>
      <c r="D677" t="s">
        <v>1944</v>
      </c>
      <c r="E677" t="s">
        <v>1508</v>
      </c>
      <c r="F677" t="s">
        <v>14</v>
      </c>
      <c r="G677" t="s">
        <v>18</v>
      </c>
      <c r="I677">
        <v>280000</v>
      </c>
      <c r="J677">
        <v>44000</v>
      </c>
      <c r="K677">
        <v>34000</v>
      </c>
    </row>
    <row r="678" spans="1:12" ht="15" customHeight="1">
      <c r="A678" t="s">
        <v>6017</v>
      </c>
      <c r="B678" t="s">
        <v>1945</v>
      </c>
      <c r="C678" t="s">
        <v>12</v>
      </c>
      <c r="D678" t="s">
        <v>1946</v>
      </c>
      <c r="E678" t="s">
        <v>1504</v>
      </c>
      <c r="F678" t="s">
        <v>14</v>
      </c>
      <c r="G678" t="s">
        <v>18</v>
      </c>
      <c r="I678">
        <v>50000</v>
      </c>
      <c r="J678">
        <v>91000</v>
      </c>
      <c r="K678">
        <v>62000</v>
      </c>
      <c r="L678">
        <v>100000</v>
      </c>
    </row>
    <row r="679" spans="1:12" ht="15" customHeight="1">
      <c r="A679" t="s">
        <v>6018</v>
      </c>
      <c r="B679" t="s">
        <v>1947</v>
      </c>
      <c r="C679" t="s">
        <v>12</v>
      </c>
      <c r="D679" t="s">
        <v>1948</v>
      </c>
      <c r="E679" t="s">
        <v>1532</v>
      </c>
      <c r="F679" t="s">
        <v>25</v>
      </c>
      <c r="G679" t="s">
        <v>18</v>
      </c>
      <c r="I679">
        <v>137321000</v>
      </c>
      <c r="J679">
        <v>67313000</v>
      </c>
      <c r="K679">
        <v>119956000</v>
      </c>
      <c r="L679">
        <v>109695000</v>
      </c>
    </row>
    <row r="680" spans="1:12" ht="15" customHeight="1">
      <c r="A680" t="s">
        <v>6019</v>
      </c>
      <c r="B680" t="s">
        <v>1949</v>
      </c>
      <c r="C680" t="s">
        <v>12</v>
      </c>
      <c r="D680" t="s">
        <v>1950</v>
      </c>
      <c r="E680" t="s">
        <v>1558</v>
      </c>
      <c r="F680" t="s">
        <v>14</v>
      </c>
      <c r="G680" t="s">
        <v>18</v>
      </c>
      <c r="I680">
        <v>1238000</v>
      </c>
      <c r="J680">
        <v>1179000</v>
      </c>
      <c r="K680">
        <v>1264000</v>
      </c>
      <c r="L680">
        <v>1128000</v>
      </c>
    </row>
    <row r="681" spans="1:12" ht="15" customHeight="1">
      <c r="A681" t="s">
        <v>6020</v>
      </c>
      <c r="B681" t="s">
        <v>1951</v>
      </c>
      <c r="C681" t="s">
        <v>12</v>
      </c>
      <c r="D681" t="s">
        <v>1952</v>
      </c>
      <c r="E681" t="s">
        <v>1588</v>
      </c>
      <c r="F681" t="s">
        <v>14</v>
      </c>
      <c r="G681" t="s">
        <v>18</v>
      </c>
      <c r="K681">
        <v>7000</v>
      </c>
    </row>
    <row r="682" spans="1:12" ht="15" customHeight="1">
      <c r="A682" t="s">
        <v>6021</v>
      </c>
      <c r="B682" t="s">
        <v>1953</v>
      </c>
      <c r="C682" t="s">
        <v>12</v>
      </c>
      <c r="D682" t="s">
        <v>1954</v>
      </c>
      <c r="E682" t="s">
        <v>1512</v>
      </c>
      <c r="F682" t="s">
        <v>14</v>
      </c>
      <c r="G682" t="s">
        <v>18</v>
      </c>
      <c r="I682">
        <v>1204000</v>
      </c>
      <c r="J682">
        <v>1143000</v>
      </c>
      <c r="K682">
        <v>1144000</v>
      </c>
      <c r="L682">
        <v>1038000</v>
      </c>
    </row>
    <row r="683" spans="1:12" ht="15" customHeight="1">
      <c r="A683" t="s">
        <v>6022</v>
      </c>
      <c r="B683" t="s">
        <v>1955</v>
      </c>
      <c r="C683" t="s">
        <v>12</v>
      </c>
      <c r="D683" t="s">
        <v>1956</v>
      </c>
      <c r="E683" t="s">
        <v>1512</v>
      </c>
      <c r="F683" t="s">
        <v>14</v>
      </c>
      <c r="G683" t="s">
        <v>18</v>
      </c>
      <c r="I683">
        <v>1596000</v>
      </c>
      <c r="J683">
        <v>1406000</v>
      </c>
      <c r="K683">
        <v>1599000</v>
      </c>
      <c r="L683">
        <v>1390000</v>
      </c>
    </row>
    <row r="684" spans="1:12" ht="15" customHeight="1">
      <c r="A684" t="s">
        <v>6023</v>
      </c>
      <c r="B684" t="s">
        <v>1957</v>
      </c>
      <c r="C684" t="s">
        <v>12</v>
      </c>
      <c r="D684" t="s">
        <v>1958</v>
      </c>
      <c r="E684" t="s">
        <v>1532</v>
      </c>
      <c r="F684" t="s">
        <v>14</v>
      </c>
      <c r="G684" t="s">
        <v>18</v>
      </c>
    </row>
    <row r="685" spans="1:12" ht="15" customHeight="1">
      <c r="A685" t="s">
        <v>6024</v>
      </c>
      <c r="B685" t="s">
        <v>1959</v>
      </c>
      <c r="C685" t="s">
        <v>12</v>
      </c>
      <c r="D685" t="s">
        <v>1960</v>
      </c>
      <c r="E685" t="s">
        <v>1509</v>
      </c>
      <c r="F685" t="s">
        <v>14</v>
      </c>
      <c r="G685" t="s">
        <v>18</v>
      </c>
      <c r="I685">
        <v>178028000</v>
      </c>
      <c r="J685">
        <v>156680000</v>
      </c>
      <c r="K685">
        <v>170429000</v>
      </c>
      <c r="L685">
        <v>162876000</v>
      </c>
    </row>
    <row r="686" spans="1:12" ht="15" customHeight="1">
      <c r="A686" t="s">
        <v>6025</v>
      </c>
      <c r="B686" t="s">
        <v>1961</v>
      </c>
      <c r="C686" t="s">
        <v>12</v>
      </c>
      <c r="D686" t="s">
        <v>1962</v>
      </c>
      <c r="E686" t="s">
        <v>1518</v>
      </c>
      <c r="F686" t="s">
        <v>14</v>
      </c>
      <c r="G686" t="s">
        <v>18</v>
      </c>
      <c r="I686">
        <v>184000</v>
      </c>
      <c r="J686">
        <v>147000</v>
      </c>
      <c r="K686">
        <v>284000</v>
      </c>
      <c r="L686">
        <v>107000</v>
      </c>
    </row>
    <row r="687" spans="1:12" ht="15" customHeight="1">
      <c r="A687" t="s">
        <v>6026</v>
      </c>
      <c r="B687" t="s">
        <v>1963</v>
      </c>
      <c r="C687" t="s">
        <v>12</v>
      </c>
      <c r="D687" t="s">
        <v>1964</v>
      </c>
      <c r="E687" t="s">
        <v>1576</v>
      </c>
      <c r="F687" t="s">
        <v>14</v>
      </c>
      <c r="G687" t="s">
        <v>18</v>
      </c>
    </row>
    <row r="688" spans="1:12" ht="15" customHeight="1">
      <c r="A688" t="s">
        <v>6027</v>
      </c>
      <c r="B688" t="s">
        <v>1965</v>
      </c>
      <c r="C688" t="s">
        <v>12</v>
      </c>
      <c r="D688" t="s">
        <v>1966</v>
      </c>
      <c r="E688" t="s">
        <v>1604</v>
      </c>
      <c r="F688" t="s">
        <v>14</v>
      </c>
      <c r="G688" t="s">
        <v>18</v>
      </c>
    </row>
    <row r="689" spans="1:12" ht="15" customHeight="1">
      <c r="A689" t="s">
        <v>6028</v>
      </c>
      <c r="B689" t="s">
        <v>1967</v>
      </c>
      <c r="C689" t="s">
        <v>12</v>
      </c>
      <c r="D689" t="s">
        <v>1968</v>
      </c>
      <c r="E689" t="s">
        <v>1519</v>
      </c>
      <c r="F689" t="s">
        <v>14</v>
      </c>
      <c r="G689" t="s">
        <v>18</v>
      </c>
      <c r="I689">
        <v>192000</v>
      </c>
      <c r="K689">
        <v>10000</v>
      </c>
      <c r="L689">
        <v>14000</v>
      </c>
    </row>
    <row r="690" spans="1:12" ht="15" customHeight="1">
      <c r="A690" t="s">
        <v>6029</v>
      </c>
      <c r="B690" t="s">
        <v>1969</v>
      </c>
      <c r="C690" t="s">
        <v>12</v>
      </c>
      <c r="D690" t="s">
        <v>1970</v>
      </c>
      <c r="E690" t="s">
        <v>1544</v>
      </c>
      <c r="F690" t="s">
        <v>14</v>
      </c>
      <c r="G690" t="s">
        <v>18</v>
      </c>
    </row>
    <row r="691" spans="1:12" ht="15" customHeight="1">
      <c r="A691" t="s">
        <v>6030</v>
      </c>
      <c r="B691" t="s">
        <v>1971</v>
      </c>
      <c r="C691" t="s">
        <v>12</v>
      </c>
      <c r="D691" t="s">
        <v>1972</v>
      </c>
      <c r="E691" t="s">
        <v>1532</v>
      </c>
      <c r="F691" t="s">
        <v>14</v>
      </c>
      <c r="G691" t="s">
        <v>18</v>
      </c>
      <c r="I691">
        <v>2054000</v>
      </c>
      <c r="J691">
        <v>2104000</v>
      </c>
      <c r="K691">
        <v>2057000</v>
      </c>
      <c r="L691">
        <v>2118000</v>
      </c>
    </row>
    <row r="692" spans="1:12" ht="15" customHeight="1">
      <c r="A692" t="s">
        <v>6031</v>
      </c>
      <c r="B692" t="s">
        <v>1973</v>
      </c>
      <c r="C692" t="s">
        <v>12</v>
      </c>
      <c r="D692" t="s">
        <v>1974</v>
      </c>
      <c r="E692" t="s">
        <v>1521</v>
      </c>
      <c r="F692" t="s">
        <v>14</v>
      </c>
      <c r="G692" t="s">
        <v>18</v>
      </c>
      <c r="J692">
        <v>577000</v>
      </c>
      <c r="L692">
        <v>577000</v>
      </c>
    </row>
    <row r="693" spans="1:12" ht="15" customHeight="1">
      <c r="A693" t="s">
        <v>6032</v>
      </c>
      <c r="B693" t="s">
        <v>1975</v>
      </c>
      <c r="C693" t="s">
        <v>12</v>
      </c>
      <c r="D693" t="s">
        <v>1976</v>
      </c>
      <c r="E693" t="s">
        <v>1532</v>
      </c>
      <c r="F693" t="s">
        <v>14</v>
      </c>
      <c r="G693" t="s">
        <v>18</v>
      </c>
      <c r="I693">
        <v>30407000</v>
      </c>
      <c r="J693">
        <v>20000000</v>
      </c>
      <c r="K693">
        <v>30407000</v>
      </c>
      <c r="L693">
        <v>20000000</v>
      </c>
    </row>
    <row r="694" spans="1:12" ht="15" customHeight="1">
      <c r="A694" t="s">
        <v>6033</v>
      </c>
      <c r="B694" t="s">
        <v>1977</v>
      </c>
      <c r="C694" t="s">
        <v>12</v>
      </c>
      <c r="D694" t="s">
        <v>1978</v>
      </c>
      <c r="E694" t="s">
        <v>1629</v>
      </c>
      <c r="F694" t="s">
        <v>14</v>
      </c>
      <c r="G694" t="s">
        <v>18</v>
      </c>
    </row>
    <row r="695" spans="1:12" ht="15" customHeight="1">
      <c r="A695" t="s">
        <v>6034</v>
      </c>
      <c r="B695" t="s">
        <v>1980</v>
      </c>
      <c r="C695" t="s">
        <v>12</v>
      </c>
      <c r="D695" t="s">
        <v>1981</v>
      </c>
      <c r="E695" t="s">
        <v>1532</v>
      </c>
      <c r="F695" t="s">
        <v>14</v>
      </c>
      <c r="G695" t="s">
        <v>18</v>
      </c>
    </row>
    <row r="696" spans="1:12" ht="15" customHeight="1">
      <c r="A696" t="s">
        <v>6035</v>
      </c>
      <c r="B696" t="s">
        <v>1982</v>
      </c>
      <c r="C696" t="s">
        <v>12</v>
      </c>
      <c r="D696" t="s">
        <v>1983</v>
      </c>
      <c r="E696" t="s">
        <v>1532</v>
      </c>
      <c r="F696" t="s">
        <v>14</v>
      </c>
      <c r="G696" t="s">
        <v>18</v>
      </c>
      <c r="I696">
        <v>500000</v>
      </c>
      <c r="J696">
        <v>685000</v>
      </c>
      <c r="K696">
        <v>493000</v>
      </c>
      <c r="L696">
        <v>692000</v>
      </c>
    </row>
    <row r="697" spans="1:12" ht="15" customHeight="1">
      <c r="A697" t="s">
        <v>6036</v>
      </c>
      <c r="B697" t="s">
        <v>1984</v>
      </c>
      <c r="C697" t="s">
        <v>12</v>
      </c>
      <c r="D697" t="s">
        <v>1985</v>
      </c>
      <c r="E697" t="s">
        <v>1646</v>
      </c>
      <c r="F697" t="s">
        <v>14</v>
      </c>
      <c r="G697" t="s">
        <v>18</v>
      </c>
      <c r="I697">
        <v>10000</v>
      </c>
      <c r="J697">
        <v>10000</v>
      </c>
      <c r="K697">
        <v>10000</v>
      </c>
      <c r="L697">
        <v>10000</v>
      </c>
    </row>
    <row r="698" spans="1:12" ht="15" customHeight="1">
      <c r="A698" t="s">
        <v>6037</v>
      </c>
      <c r="B698" t="s">
        <v>1986</v>
      </c>
      <c r="C698" t="s">
        <v>12</v>
      </c>
      <c r="D698" t="s">
        <v>1987</v>
      </c>
      <c r="E698" t="s">
        <v>1532</v>
      </c>
      <c r="F698" t="s">
        <v>14</v>
      </c>
      <c r="G698" t="s">
        <v>18</v>
      </c>
      <c r="K698">
        <v>24000</v>
      </c>
      <c r="L698">
        <v>27000</v>
      </c>
    </row>
    <row r="699" spans="1:12" ht="15" customHeight="1">
      <c r="A699" t="s">
        <v>6038</v>
      </c>
      <c r="B699" t="s">
        <v>1988</v>
      </c>
      <c r="C699" t="s">
        <v>12</v>
      </c>
      <c r="D699" t="s">
        <v>1989</v>
      </c>
      <c r="E699" t="s">
        <v>1516</v>
      </c>
      <c r="F699" t="s">
        <v>14</v>
      </c>
      <c r="G699" t="s">
        <v>18</v>
      </c>
      <c r="K699">
        <v>340000</v>
      </c>
    </row>
    <row r="700" spans="1:12" ht="15" customHeight="1">
      <c r="A700" t="s">
        <v>6039</v>
      </c>
      <c r="B700" t="s">
        <v>1990</v>
      </c>
      <c r="C700" t="s">
        <v>12</v>
      </c>
      <c r="D700" t="s">
        <v>1991</v>
      </c>
      <c r="E700" t="s">
        <v>1580</v>
      </c>
      <c r="F700" t="s">
        <v>14</v>
      </c>
      <c r="G700" t="s">
        <v>18</v>
      </c>
    </row>
    <row r="701" spans="1:12" ht="15" customHeight="1">
      <c r="A701" t="s">
        <v>6040</v>
      </c>
      <c r="B701" t="s">
        <v>1992</v>
      </c>
      <c r="C701" t="s">
        <v>12</v>
      </c>
      <c r="D701" t="s">
        <v>1993</v>
      </c>
      <c r="E701" t="s">
        <v>1579</v>
      </c>
      <c r="F701" t="s">
        <v>14</v>
      </c>
      <c r="G701" t="s">
        <v>18</v>
      </c>
      <c r="J701">
        <v>3943000</v>
      </c>
      <c r="L701">
        <v>3515000</v>
      </c>
    </row>
    <row r="702" spans="1:12" ht="15" customHeight="1">
      <c r="A702" t="s">
        <v>6041</v>
      </c>
      <c r="B702" t="s">
        <v>1994</v>
      </c>
      <c r="C702" t="s">
        <v>12</v>
      </c>
      <c r="D702" t="s">
        <v>1995</v>
      </c>
      <c r="E702" t="s">
        <v>1520</v>
      </c>
      <c r="F702" t="s">
        <v>14</v>
      </c>
      <c r="G702" t="s">
        <v>18</v>
      </c>
      <c r="I702">
        <v>3524000</v>
      </c>
      <c r="J702">
        <v>3749000</v>
      </c>
      <c r="K702">
        <v>2213000</v>
      </c>
      <c r="L702">
        <v>2871000</v>
      </c>
    </row>
    <row r="703" spans="1:12" ht="15" customHeight="1">
      <c r="A703" t="s">
        <v>6042</v>
      </c>
      <c r="B703" t="s">
        <v>1996</v>
      </c>
      <c r="C703" t="s">
        <v>12</v>
      </c>
      <c r="D703" t="s">
        <v>1997</v>
      </c>
      <c r="E703" t="s">
        <v>1519</v>
      </c>
      <c r="F703" t="s">
        <v>14</v>
      </c>
      <c r="G703" t="s">
        <v>18</v>
      </c>
      <c r="I703">
        <v>1840000</v>
      </c>
      <c r="J703">
        <v>820000</v>
      </c>
      <c r="K703">
        <v>3747000</v>
      </c>
      <c r="L703">
        <v>634000</v>
      </c>
    </row>
    <row r="704" spans="1:12" ht="15" customHeight="1">
      <c r="A704" t="s">
        <v>6043</v>
      </c>
      <c r="B704" t="s">
        <v>1998</v>
      </c>
      <c r="C704" t="s">
        <v>12</v>
      </c>
      <c r="D704" t="s">
        <v>1999</v>
      </c>
      <c r="E704" t="s">
        <v>1512</v>
      </c>
      <c r="F704" t="s">
        <v>14</v>
      </c>
      <c r="G704" t="s">
        <v>18</v>
      </c>
    </row>
    <row r="705" spans="1:12" ht="15" customHeight="1">
      <c r="A705" t="s">
        <v>6044</v>
      </c>
      <c r="B705" t="s">
        <v>2000</v>
      </c>
      <c r="C705" t="s">
        <v>12</v>
      </c>
      <c r="D705" t="s">
        <v>2001</v>
      </c>
      <c r="E705" t="s">
        <v>1519</v>
      </c>
      <c r="F705" t="s">
        <v>14</v>
      </c>
      <c r="G705" t="s">
        <v>77</v>
      </c>
      <c r="J705">
        <v>84930000</v>
      </c>
      <c r="L705">
        <v>76530000</v>
      </c>
    </row>
    <row r="706" spans="1:12" ht="15" customHeight="1">
      <c r="A706" t="s">
        <v>6045</v>
      </c>
      <c r="B706" t="s">
        <v>2002</v>
      </c>
      <c r="C706" t="s">
        <v>12</v>
      </c>
      <c r="D706" t="s">
        <v>2003</v>
      </c>
      <c r="E706" t="s">
        <v>1560</v>
      </c>
      <c r="F706" t="s">
        <v>25</v>
      </c>
      <c r="G706" t="s">
        <v>18</v>
      </c>
      <c r="I706">
        <v>2759000</v>
      </c>
      <c r="J706">
        <v>1073000</v>
      </c>
      <c r="K706">
        <v>2560000</v>
      </c>
      <c r="L706">
        <v>797000</v>
      </c>
    </row>
    <row r="707" spans="1:12" ht="15" customHeight="1">
      <c r="A707" t="s">
        <v>6046</v>
      </c>
      <c r="B707" t="s">
        <v>2004</v>
      </c>
      <c r="C707" t="s">
        <v>12</v>
      </c>
      <c r="D707" t="s">
        <v>2005</v>
      </c>
      <c r="E707" t="s">
        <v>1532</v>
      </c>
      <c r="F707" t="s">
        <v>14</v>
      </c>
      <c r="G707" t="s">
        <v>18</v>
      </c>
      <c r="I707">
        <v>2396000</v>
      </c>
      <c r="J707">
        <v>4109000</v>
      </c>
      <c r="K707">
        <v>2300000</v>
      </c>
      <c r="L707">
        <v>4319000</v>
      </c>
    </row>
    <row r="708" spans="1:12" ht="15" customHeight="1">
      <c r="A708" t="s">
        <v>6047</v>
      </c>
      <c r="B708" t="s">
        <v>2006</v>
      </c>
      <c r="C708" t="s">
        <v>12</v>
      </c>
      <c r="D708" t="s">
        <v>2007</v>
      </c>
      <c r="E708" t="s">
        <v>1801</v>
      </c>
      <c r="F708" t="s">
        <v>14</v>
      </c>
      <c r="G708" t="s">
        <v>18</v>
      </c>
      <c r="I708">
        <v>649000</v>
      </c>
      <c r="J708">
        <v>317000</v>
      </c>
      <c r="K708">
        <v>196000</v>
      </c>
      <c r="L708">
        <v>601000</v>
      </c>
    </row>
    <row r="709" spans="1:12" ht="15" customHeight="1">
      <c r="A709" t="s">
        <v>6048</v>
      </c>
      <c r="B709" t="s">
        <v>2008</v>
      </c>
      <c r="C709" t="s">
        <v>12</v>
      </c>
      <c r="D709" t="s">
        <v>2009</v>
      </c>
      <c r="E709" t="s">
        <v>1580</v>
      </c>
      <c r="F709" t="s">
        <v>14</v>
      </c>
      <c r="G709" t="s">
        <v>18</v>
      </c>
      <c r="I709">
        <v>10194000</v>
      </c>
      <c r="J709">
        <v>6945000</v>
      </c>
      <c r="K709">
        <v>3539000</v>
      </c>
      <c r="L709">
        <v>12789000</v>
      </c>
    </row>
    <row r="710" spans="1:12" ht="15" customHeight="1">
      <c r="A710" t="s">
        <v>6049</v>
      </c>
      <c r="B710" t="s">
        <v>2010</v>
      </c>
      <c r="C710" t="s">
        <v>12</v>
      </c>
      <c r="D710" t="s">
        <v>2011</v>
      </c>
      <c r="E710" t="s">
        <v>1518</v>
      </c>
      <c r="F710" t="s">
        <v>14</v>
      </c>
      <c r="G710" t="s">
        <v>18</v>
      </c>
      <c r="J710">
        <v>480000</v>
      </c>
      <c r="L710">
        <v>462000</v>
      </c>
    </row>
    <row r="711" spans="1:12" ht="15" customHeight="1">
      <c r="A711" t="s">
        <v>6050</v>
      </c>
      <c r="B711" t="s">
        <v>2012</v>
      </c>
      <c r="C711" t="s">
        <v>12</v>
      </c>
      <c r="D711" t="s">
        <v>2013</v>
      </c>
      <c r="E711" t="s">
        <v>1532</v>
      </c>
      <c r="F711" t="s">
        <v>14</v>
      </c>
      <c r="G711" t="s">
        <v>18</v>
      </c>
    </row>
    <row r="712" spans="1:12" ht="15" customHeight="1">
      <c r="A712" t="s">
        <v>6051</v>
      </c>
      <c r="B712" t="s">
        <v>2014</v>
      </c>
      <c r="C712" t="s">
        <v>12</v>
      </c>
      <c r="D712" t="s">
        <v>2015</v>
      </c>
      <c r="E712" t="s">
        <v>1509</v>
      </c>
      <c r="F712" t="s">
        <v>14</v>
      </c>
      <c r="G712" t="s">
        <v>18</v>
      </c>
      <c r="J712">
        <v>5500000</v>
      </c>
      <c r="K712">
        <v>291000</v>
      </c>
      <c r="L712">
        <v>468000</v>
      </c>
    </row>
    <row r="713" spans="1:12" ht="15" customHeight="1">
      <c r="A713" t="s">
        <v>6052</v>
      </c>
      <c r="B713" t="s">
        <v>2016</v>
      </c>
      <c r="C713" t="s">
        <v>12</v>
      </c>
      <c r="D713" t="s">
        <v>2017</v>
      </c>
      <c r="E713" t="s">
        <v>1519</v>
      </c>
      <c r="F713" t="s">
        <v>14</v>
      </c>
      <c r="G713" t="s">
        <v>18</v>
      </c>
    </row>
    <row r="714" spans="1:12" ht="15" customHeight="1">
      <c r="A714" t="s">
        <v>6053</v>
      </c>
      <c r="B714" t="s">
        <v>2018</v>
      </c>
      <c r="C714" t="s">
        <v>12</v>
      </c>
      <c r="D714" t="s">
        <v>2019</v>
      </c>
      <c r="E714" t="s">
        <v>1737</v>
      </c>
      <c r="F714" t="s">
        <v>14</v>
      </c>
      <c r="G714" t="s">
        <v>18</v>
      </c>
      <c r="I714">
        <v>60000</v>
      </c>
      <c r="J714">
        <v>100000</v>
      </c>
    </row>
    <row r="715" spans="1:12" ht="15" customHeight="1">
      <c r="A715" t="s">
        <v>6054</v>
      </c>
      <c r="B715" t="s">
        <v>2020</v>
      </c>
      <c r="C715" t="s">
        <v>12</v>
      </c>
      <c r="D715" t="s">
        <v>2021</v>
      </c>
      <c r="E715" t="s">
        <v>1517</v>
      </c>
      <c r="F715" t="s">
        <v>14</v>
      </c>
      <c r="G715" t="s">
        <v>18</v>
      </c>
      <c r="I715">
        <v>190650000</v>
      </c>
      <c r="J715">
        <v>119900000</v>
      </c>
      <c r="K715">
        <v>190666000</v>
      </c>
      <c r="L715">
        <v>119500000</v>
      </c>
    </row>
    <row r="716" spans="1:12" ht="15" customHeight="1">
      <c r="A716" t="s">
        <v>6055</v>
      </c>
      <c r="B716" t="s">
        <v>2022</v>
      </c>
      <c r="C716" t="s">
        <v>12</v>
      </c>
      <c r="D716" t="s">
        <v>2023</v>
      </c>
      <c r="E716" t="s">
        <v>1754</v>
      </c>
      <c r="F716" t="s">
        <v>14</v>
      </c>
      <c r="G716" t="s">
        <v>18</v>
      </c>
      <c r="J716">
        <v>960000</v>
      </c>
      <c r="L716">
        <v>880000</v>
      </c>
    </row>
    <row r="717" spans="1:12" ht="15" customHeight="1">
      <c r="A717" t="s">
        <v>6056</v>
      </c>
      <c r="B717" t="s">
        <v>2024</v>
      </c>
      <c r="C717" t="s">
        <v>12</v>
      </c>
      <c r="D717" t="s">
        <v>2025</v>
      </c>
      <c r="E717" t="s">
        <v>1532</v>
      </c>
      <c r="F717" t="s">
        <v>14</v>
      </c>
      <c r="G717" t="s">
        <v>18</v>
      </c>
      <c r="I717">
        <v>750000</v>
      </c>
      <c r="J717">
        <v>987000</v>
      </c>
      <c r="K717">
        <v>300000</v>
      </c>
      <c r="L717">
        <v>1088000</v>
      </c>
    </row>
    <row r="718" spans="1:12" ht="15" customHeight="1">
      <c r="A718" t="s">
        <v>6057</v>
      </c>
      <c r="B718" t="s">
        <v>2027</v>
      </c>
      <c r="C718" t="s">
        <v>12</v>
      </c>
      <c r="D718" t="s">
        <v>2028</v>
      </c>
      <c r="E718" t="s">
        <v>1532</v>
      </c>
      <c r="F718" t="s">
        <v>14</v>
      </c>
      <c r="G718" t="s">
        <v>18</v>
      </c>
      <c r="J718">
        <v>2316000</v>
      </c>
      <c r="K718">
        <v>9000</v>
      </c>
      <c r="L718">
        <v>2316000</v>
      </c>
    </row>
    <row r="719" spans="1:12" ht="15" customHeight="1">
      <c r="A719" t="s">
        <v>6058</v>
      </c>
      <c r="B719" t="s">
        <v>2029</v>
      </c>
      <c r="C719" t="s">
        <v>12</v>
      </c>
      <c r="D719" t="s">
        <v>2030</v>
      </c>
      <c r="E719" t="s">
        <v>1519</v>
      </c>
      <c r="F719" t="s">
        <v>14</v>
      </c>
      <c r="G719" t="s">
        <v>18</v>
      </c>
      <c r="I719">
        <v>276000</v>
      </c>
      <c r="J719">
        <v>354000</v>
      </c>
      <c r="K719">
        <v>172000</v>
      </c>
      <c r="L719">
        <v>72000</v>
      </c>
    </row>
    <row r="720" spans="1:12" ht="15" customHeight="1">
      <c r="A720" t="s">
        <v>6059</v>
      </c>
      <c r="B720" t="s">
        <v>2031</v>
      </c>
      <c r="C720" t="s">
        <v>12</v>
      </c>
      <c r="D720" t="s">
        <v>2032</v>
      </c>
      <c r="E720" t="s">
        <v>1532</v>
      </c>
      <c r="F720" t="s">
        <v>14</v>
      </c>
      <c r="G720" t="s">
        <v>18</v>
      </c>
      <c r="I720">
        <v>153000</v>
      </c>
      <c r="J720">
        <v>61000</v>
      </c>
      <c r="K720">
        <v>10000</v>
      </c>
      <c r="L720">
        <v>345000</v>
      </c>
    </row>
    <row r="721" spans="1:12" ht="15" customHeight="1">
      <c r="A721" t="s">
        <v>6060</v>
      </c>
      <c r="B721" t="s">
        <v>2033</v>
      </c>
      <c r="C721" t="s">
        <v>12</v>
      </c>
      <c r="D721" t="s">
        <v>2034</v>
      </c>
      <c r="E721" t="s">
        <v>1580</v>
      </c>
      <c r="F721" t="s">
        <v>14</v>
      </c>
      <c r="G721" t="s">
        <v>18</v>
      </c>
    </row>
    <row r="722" spans="1:12" ht="15" customHeight="1">
      <c r="A722" t="s">
        <v>6061</v>
      </c>
      <c r="B722" t="s">
        <v>2035</v>
      </c>
      <c r="C722" t="s">
        <v>12</v>
      </c>
      <c r="D722" t="s">
        <v>2036</v>
      </c>
      <c r="E722" t="s">
        <v>1526</v>
      </c>
      <c r="F722" t="s">
        <v>14</v>
      </c>
      <c r="G722" t="s">
        <v>18</v>
      </c>
    </row>
    <row r="723" spans="1:12" ht="15" customHeight="1">
      <c r="A723" t="s">
        <v>6062</v>
      </c>
      <c r="B723" t="s">
        <v>2037</v>
      </c>
      <c r="C723" t="s">
        <v>12</v>
      </c>
      <c r="D723" t="s">
        <v>2038</v>
      </c>
      <c r="E723" t="s">
        <v>1521</v>
      </c>
      <c r="F723" t="s">
        <v>14</v>
      </c>
      <c r="G723" t="s">
        <v>18</v>
      </c>
    </row>
    <row r="724" spans="1:12" ht="15" customHeight="1">
      <c r="A724" t="s">
        <v>6063</v>
      </c>
      <c r="B724" t="s">
        <v>2039</v>
      </c>
      <c r="C724" t="s">
        <v>12</v>
      </c>
      <c r="D724" t="s">
        <v>2040</v>
      </c>
      <c r="E724" t="s">
        <v>1504</v>
      </c>
      <c r="F724" t="s">
        <v>14</v>
      </c>
      <c r="G724" t="s">
        <v>18</v>
      </c>
    </row>
    <row r="725" spans="1:12" ht="15" customHeight="1">
      <c r="A725" t="s">
        <v>6064</v>
      </c>
      <c r="B725" t="s">
        <v>2041</v>
      </c>
      <c r="C725" t="s">
        <v>12</v>
      </c>
      <c r="D725" t="s">
        <v>2042</v>
      </c>
      <c r="E725" t="s">
        <v>1532</v>
      </c>
      <c r="F725" t="s">
        <v>14</v>
      </c>
      <c r="G725" t="s">
        <v>18</v>
      </c>
      <c r="I725">
        <v>50000</v>
      </c>
      <c r="J725">
        <v>247000</v>
      </c>
      <c r="K725">
        <v>232000</v>
      </c>
      <c r="L725">
        <v>230000</v>
      </c>
    </row>
    <row r="726" spans="1:12" ht="15" customHeight="1">
      <c r="A726" t="s">
        <v>6065</v>
      </c>
      <c r="B726" t="s">
        <v>2043</v>
      </c>
      <c r="C726" t="s">
        <v>12</v>
      </c>
      <c r="D726" t="s">
        <v>2044</v>
      </c>
      <c r="E726" t="s">
        <v>1516</v>
      </c>
      <c r="F726" t="s">
        <v>14</v>
      </c>
      <c r="G726" t="s">
        <v>18</v>
      </c>
      <c r="I726">
        <v>318000</v>
      </c>
      <c r="J726">
        <v>397000</v>
      </c>
      <c r="K726">
        <v>390000</v>
      </c>
      <c r="L726">
        <v>359000</v>
      </c>
    </row>
    <row r="727" spans="1:12" ht="15" customHeight="1">
      <c r="A727" t="s">
        <v>6066</v>
      </c>
      <c r="B727" t="s">
        <v>2045</v>
      </c>
      <c r="C727" t="s">
        <v>12</v>
      </c>
      <c r="D727" t="s">
        <v>2046</v>
      </c>
      <c r="E727" t="s">
        <v>1524</v>
      </c>
      <c r="F727" t="s">
        <v>14</v>
      </c>
      <c r="G727" t="s">
        <v>18</v>
      </c>
      <c r="I727">
        <v>600000</v>
      </c>
      <c r="J727">
        <v>337000</v>
      </c>
      <c r="K727">
        <v>513000</v>
      </c>
      <c r="L727">
        <v>676000</v>
      </c>
    </row>
    <row r="728" spans="1:12" ht="15" customHeight="1">
      <c r="A728" t="s">
        <v>6067</v>
      </c>
      <c r="B728" t="s">
        <v>2047</v>
      </c>
      <c r="C728" t="s">
        <v>12</v>
      </c>
      <c r="D728" t="s">
        <v>2048</v>
      </c>
      <c r="E728" t="s">
        <v>1512</v>
      </c>
      <c r="F728" t="s">
        <v>14</v>
      </c>
      <c r="G728" t="s">
        <v>18</v>
      </c>
      <c r="I728">
        <v>557000</v>
      </c>
      <c r="J728">
        <v>1453000</v>
      </c>
      <c r="K728">
        <v>629000</v>
      </c>
      <c r="L728">
        <v>1405000</v>
      </c>
    </row>
    <row r="729" spans="1:12" ht="15" customHeight="1">
      <c r="A729" t="s">
        <v>6068</v>
      </c>
      <c r="B729" t="s">
        <v>2049</v>
      </c>
      <c r="C729" t="s">
        <v>12</v>
      </c>
      <c r="D729" t="s">
        <v>2050</v>
      </c>
      <c r="E729" t="s">
        <v>1509</v>
      </c>
      <c r="F729" t="s">
        <v>14</v>
      </c>
      <c r="G729" t="s">
        <v>18</v>
      </c>
    </row>
    <row r="730" spans="1:12" ht="15" customHeight="1">
      <c r="A730" t="s">
        <v>6069</v>
      </c>
      <c r="B730" t="s">
        <v>2051</v>
      </c>
      <c r="C730" t="s">
        <v>12</v>
      </c>
      <c r="D730" t="s">
        <v>2052</v>
      </c>
      <c r="E730" t="s">
        <v>1518</v>
      </c>
      <c r="F730" t="s">
        <v>14</v>
      </c>
      <c r="G730" t="s">
        <v>18</v>
      </c>
      <c r="I730">
        <v>4774000</v>
      </c>
      <c r="J730">
        <v>527000</v>
      </c>
      <c r="K730">
        <v>1757000</v>
      </c>
      <c r="L730">
        <v>1936000</v>
      </c>
    </row>
    <row r="731" spans="1:12" ht="15" customHeight="1">
      <c r="A731" t="s">
        <v>6070</v>
      </c>
      <c r="B731" t="s">
        <v>2053</v>
      </c>
      <c r="C731" t="s">
        <v>12</v>
      </c>
      <c r="D731" t="s">
        <v>2054</v>
      </c>
      <c r="E731" t="s">
        <v>1526</v>
      </c>
      <c r="F731" t="s">
        <v>14</v>
      </c>
      <c r="G731" t="s">
        <v>18</v>
      </c>
    </row>
    <row r="732" spans="1:12" ht="15" customHeight="1">
      <c r="A732" t="s">
        <v>6071</v>
      </c>
      <c r="B732" t="s">
        <v>2055</v>
      </c>
      <c r="C732" t="s">
        <v>12</v>
      </c>
      <c r="D732" t="s">
        <v>2056</v>
      </c>
      <c r="E732" t="s">
        <v>1565</v>
      </c>
      <c r="F732" t="s">
        <v>14</v>
      </c>
      <c r="G732" t="s">
        <v>22</v>
      </c>
      <c r="I732">
        <v>24215000</v>
      </c>
      <c r="J732">
        <v>24008000</v>
      </c>
      <c r="K732">
        <v>24234000</v>
      </c>
      <c r="L732">
        <v>24002000</v>
      </c>
    </row>
    <row r="733" spans="1:12" ht="15" customHeight="1">
      <c r="A733" t="s">
        <v>6072</v>
      </c>
      <c r="B733" t="s">
        <v>2057</v>
      </c>
      <c r="C733" t="s">
        <v>12</v>
      </c>
      <c r="D733" t="s">
        <v>2058</v>
      </c>
      <c r="E733" t="s">
        <v>1776</v>
      </c>
      <c r="F733" t="s">
        <v>25</v>
      </c>
      <c r="G733" t="s">
        <v>77</v>
      </c>
      <c r="K733">
        <v>3494000</v>
      </c>
      <c r="L733">
        <v>3100000</v>
      </c>
    </row>
    <row r="734" spans="1:12" ht="15" customHeight="1">
      <c r="A734" t="s">
        <v>6073</v>
      </c>
      <c r="B734" t="s">
        <v>2059</v>
      </c>
      <c r="C734" t="s">
        <v>12</v>
      </c>
      <c r="D734" t="s">
        <v>2060</v>
      </c>
      <c r="E734" t="s">
        <v>1776</v>
      </c>
      <c r="F734" t="s">
        <v>25</v>
      </c>
      <c r="G734" t="s">
        <v>18</v>
      </c>
      <c r="I734">
        <v>701000</v>
      </c>
      <c r="J734">
        <v>423000</v>
      </c>
      <c r="K734">
        <v>660000</v>
      </c>
      <c r="L734">
        <v>382000</v>
      </c>
    </row>
    <row r="735" spans="1:12" ht="15" customHeight="1">
      <c r="A735" t="s">
        <v>6074</v>
      </c>
      <c r="B735" t="s">
        <v>2061</v>
      </c>
      <c r="C735" t="s">
        <v>12</v>
      </c>
      <c r="D735" t="s">
        <v>2062</v>
      </c>
      <c r="E735" t="s">
        <v>1776</v>
      </c>
      <c r="F735" t="s">
        <v>25</v>
      </c>
      <c r="G735" t="s">
        <v>18</v>
      </c>
      <c r="I735">
        <v>1575000</v>
      </c>
      <c r="J735">
        <v>640000</v>
      </c>
      <c r="K735">
        <v>1854000</v>
      </c>
      <c r="L735">
        <v>642000</v>
      </c>
    </row>
    <row r="736" spans="1:12" ht="15" customHeight="1">
      <c r="A736" t="s">
        <v>6075</v>
      </c>
      <c r="B736" t="s">
        <v>2063</v>
      </c>
      <c r="C736" t="s">
        <v>12</v>
      </c>
      <c r="D736" t="s">
        <v>2064</v>
      </c>
      <c r="E736" t="s">
        <v>1520</v>
      </c>
      <c r="F736" t="s">
        <v>14</v>
      </c>
      <c r="G736" t="s">
        <v>18</v>
      </c>
      <c r="L736">
        <v>197000</v>
      </c>
    </row>
    <row r="737" spans="1:12" ht="15" customHeight="1">
      <c r="A737" t="s">
        <v>6076</v>
      </c>
      <c r="B737" t="s">
        <v>2065</v>
      </c>
      <c r="C737" t="s">
        <v>12</v>
      </c>
      <c r="D737" t="s">
        <v>2066</v>
      </c>
      <c r="E737" t="s">
        <v>1534</v>
      </c>
      <c r="F737" t="s">
        <v>14</v>
      </c>
      <c r="G737" t="s">
        <v>18</v>
      </c>
      <c r="I737">
        <v>10072000</v>
      </c>
      <c r="J737">
        <v>13529000</v>
      </c>
      <c r="K737">
        <v>4179000</v>
      </c>
      <c r="L737">
        <v>11080000</v>
      </c>
    </row>
    <row r="738" spans="1:12" ht="15" customHeight="1">
      <c r="A738" t="s">
        <v>6077</v>
      </c>
      <c r="B738" t="s">
        <v>2067</v>
      </c>
      <c r="C738" t="s">
        <v>12</v>
      </c>
      <c r="D738" t="s">
        <v>2068</v>
      </c>
      <c r="E738" t="s">
        <v>1580</v>
      </c>
      <c r="F738" t="s">
        <v>14</v>
      </c>
      <c r="G738" t="s">
        <v>18</v>
      </c>
      <c r="I738">
        <v>326000</v>
      </c>
      <c r="K738">
        <v>326000</v>
      </c>
    </row>
    <row r="739" spans="1:12" ht="15" customHeight="1">
      <c r="A739" t="s">
        <v>6078</v>
      </c>
      <c r="B739" t="s">
        <v>2069</v>
      </c>
      <c r="C739" t="s">
        <v>12</v>
      </c>
      <c r="D739" t="s">
        <v>2070</v>
      </c>
      <c r="E739" t="s">
        <v>1517</v>
      </c>
      <c r="F739" t="s">
        <v>14</v>
      </c>
      <c r="G739" t="s">
        <v>18</v>
      </c>
      <c r="I739">
        <v>3456000</v>
      </c>
      <c r="J739">
        <v>1485000</v>
      </c>
      <c r="K739">
        <v>2969000</v>
      </c>
      <c r="L739">
        <v>1586000</v>
      </c>
    </row>
    <row r="740" spans="1:12" ht="15" customHeight="1">
      <c r="A740" t="s">
        <v>6079</v>
      </c>
      <c r="B740" t="s">
        <v>2071</v>
      </c>
      <c r="C740" t="s">
        <v>12</v>
      </c>
      <c r="D740" t="s">
        <v>2072</v>
      </c>
      <c r="E740" t="s">
        <v>1534</v>
      </c>
      <c r="F740" t="s">
        <v>14</v>
      </c>
      <c r="G740" t="s">
        <v>18</v>
      </c>
    </row>
    <row r="741" spans="1:12" ht="15" customHeight="1">
      <c r="A741" t="s">
        <v>6080</v>
      </c>
      <c r="B741" t="s">
        <v>2073</v>
      </c>
      <c r="C741" t="s">
        <v>12</v>
      </c>
      <c r="D741" t="s">
        <v>2074</v>
      </c>
      <c r="E741" t="s">
        <v>1532</v>
      </c>
      <c r="F741" t="s">
        <v>14</v>
      </c>
      <c r="G741" t="s">
        <v>18</v>
      </c>
      <c r="I741">
        <v>23694000</v>
      </c>
      <c r="J741">
        <v>35825000</v>
      </c>
      <c r="K741">
        <v>29578000</v>
      </c>
      <c r="L741">
        <v>58458000</v>
      </c>
    </row>
    <row r="742" spans="1:12" ht="15" customHeight="1">
      <c r="A742" t="s">
        <v>6081</v>
      </c>
      <c r="B742" t="s">
        <v>2075</v>
      </c>
      <c r="C742" t="s">
        <v>12</v>
      </c>
      <c r="D742" t="s">
        <v>2076</v>
      </c>
      <c r="E742" t="s">
        <v>1532</v>
      </c>
      <c r="F742" t="s">
        <v>14</v>
      </c>
      <c r="G742" t="s">
        <v>18</v>
      </c>
    </row>
    <row r="743" spans="1:12" ht="15" customHeight="1">
      <c r="A743" t="s">
        <v>6082</v>
      </c>
      <c r="B743" t="s">
        <v>2077</v>
      </c>
      <c r="C743" t="s">
        <v>12</v>
      </c>
      <c r="D743" t="s">
        <v>2078</v>
      </c>
      <c r="E743" t="s">
        <v>1526</v>
      </c>
      <c r="F743" t="s">
        <v>14</v>
      </c>
      <c r="G743" t="s">
        <v>18</v>
      </c>
      <c r="I743">
        <v>305000</v>
      </c>
      <c r="J743">
        <v>15000</v>
      </c>
      <c r="K743">
        <v>293000</v>
      </c>
      <c r="L743">
        <v>15000</v>
      </c>
    </row>
    <row r="744" spans="1:12" ht="15" customHeight="1">
      <c r="A744" t="s">
        <v>6083</v>
      </c>
      <c r="B744" t="s">
        <v>2079</v>
      </c>
      <c r="C744" t="s">
        <v>12</v>
      </c>
      <c r="D744" t="s">
        <v>2080</v>
      </c>
      <c r="E744" t="s">
        <v>1628</v>
      </c>
      <c r="F744" t="s">
        <v>14</v>
      </c>
      <c r="G744" t="s">
        <v>18</v>
      </c>
      <c r="I744">
        <v>5725000</v>
      </c>
      <c r="J744">
        <v>5773000</v>
      </c>
      <c r="K744">
        <v>5419000</v>
      </c>
      <c r="L744">
        <v>6886000</v>
      </c>
    </row>
    <row r="745" spans="1:12" ht="15" customHeight="1">
      <c r="A745" t="s">
        <v>6084</v>
      </c>
      <c r="B745" t="s">
        <v>2081</v>
      </c>
      <c r="C745" t="s">
        <v>12</v>
      </c>
      <c r="D745" t="s">
        <v>2082</v>
      </c>
      <c r="E745" t="s">
        <v>1526</v>
      </c>
      <c r="F745" t="s">
        <v>14</v>
      </c>
      <c r="G745" t="s">
        <v>18</v>
      </c>
      <c r="J745">
        <v>1400000</v>
      </c>
      <c r="K745">
        <v>8000</v>
      </c>
      <c r="L745">
        <v>1335000</v>
      </c>
    </row>
    <row r="746" spans="1:12" ht="15" customHeight="1">
      <c r="A746" t="s">
        <v>6085</v>
      </c>
      <c r="B746" t="s">
        <v>2083</v>
      </c>
      <c r="C746" t="s">
        <v>12</v>
      </c>
      <c r="D746" t="s">
        <v>2084</v>
      </c>
      <c r="E746" t="s">
        <v>1558</v>
      </c>
      <c r="F746" t="s">
        <v>14</v>
      </c>
      <c r="G746" t="s">
        <v>18</v>
      </c>
      <c r="I746">
        <v>574000</v>
      </c>
      <c r="J746">
        <v>1766000</v>
      </c>
      <c r="K746">
        <v>579000</v>
      </c>
      <c r="L746">
        <v>1714000</v>
      </c>
    </row>
    <row r="747" spans="1:12" ht="15" customHeight="1">
      <c r="A747" t="s">
        <v>6086</v>
      </c>
      <c r="B747" t="s">
        <v>2085</v>
      </c>
      <c r="C747" t="s">
        <v>12</v>
      </c>
      <c r="D747" t="s">
        <v>2086</v>
      </c>
      <c r="E747" t="s">
        <v>1518</v>
      </c>
      <c r="F747" t="s">
        <v>14</v>
      </c>
      <c r="G747" t="s">
        <v>18</v>
      </c>
      <c r="I747">
        <v>25000</v>
      </c>
      <c r="J747">
        <v>4629000</v>
      </c>
      <c r="K747">
        <v>53000</v>
      </c>
      <c r="L747">
        <v>3736000</v>
      </c>
    </row>
    <row r="748" spans="1:12" ht="15" customHeight="1">
      <c r="A748" t="s">
        <v>6087</v>
      </c>
      <c r="B748" t="s">
        <v>2087</v>
      </c>
      <c r="C748" t="s">
        <v>12</v>
      </c>
      <c r="D748" t="s">
        <v>2088</v>
      </c>
      <c r="E748" t="s">
        <v>1518</v>
      </c>
      <c r="F748" t="s">
        <v>14</v>
      </c>
      <c r="G748" t="s">
        <v>18</v>
      </c>
    </row>
    <row r="749" spans="1:12" ht="15" customHeight="1">
      <c r="A749" t="s">
        <v>6088</v>
      </c>
      <c r="B749" t="s">
        <v>2089</v>
      </c>
      <c r="C749" t="s">
        <v>12</v>
      </c>
      <c r="D749" t="s">
        <v>2090</v>
      </c>
      <c r="E749" t="s">
        <v>1519</v>
      </c>
      <c r="F749" t="s">
        <v>14</v>
      </c>
      <c r="G749" t="s">
        <v>18</v>
      </c>
      <c r="I749">
        <v>6800000</v>
      </c>
      <c r="J749">
        <v>8880000</v>
      </c>
      <c r="K749">
        <v>6839000</v>
      </c>
      <c r="L749">
        <v>8872000</v>
      </c>
    </row>
    <row r="750" spans="1:12" ht="15" customHeight="1">
      <c r="A750" t="s">
        <v>6089</v>
      </c>
      <c r="B750" t="s">
        <v>2091</v>
      </c>
      <c r="C750" t="s">
        <v>12</v>
      </c>
      <c r="D750" t="s">
        <v>2092</v>
      </c>
      <c r="E750" t="s">
        <v>1795</v>
      </c>
      <c r="F750" t="s">
        <v>14</v>
      </c>
      <c r="G750" t="s">
        <v>18</v>
      </c>
      <c r="I750">
        <v>160000</v>
      </c>
      <c r="K750">
        <v>149000</v>
      </c>
    </row>
    <row r="751" spans="1:12" ht="15" customHeight="1">
      <c r="A751" t="s">
        <v>6090</v>
      </c>
      <c r="B751" t="s">
        <v>2093</v>
      </c>
      <c r="C751" t="s">
        <v>12</v>
      </c>
      <c r="D751" t="s">
        <v>2094</v>
      </c>
      <c r="E751" t="s">
        <v>1518</v>
      </c>
      <c r="F751" t="s">
        <v>14</v>
      </c>
      <c r="G751" t="s">
        <v>18</v>
      </c>
      <c r="I751">
        <v>900000</v>
      </c>
      <c r="K751">
        <v>898000</v>
      </c>
    </row>
    <row r="752" spans="1:12" ht="15" customHeight="1">
      <c r="A752" t="s">
        <v>6091</v>
      </c>
      <c r="B752" t="s">
        <v>2095</v>
      </c>
      <c r="C752" t="s">
        <v>12</v>
      </c>
      <c r="D752" t="s">
        <v>2096</v>
      </c>
      <c r="E752" t="s">
        <v>1508</v>
      </c>
      <c r="F752" t="s">
        <v>14</v>
      </c>
      <c r="G752" t="s">
        <v>18</v>
      </c>
    </row>
    <row r="753" spans="1:12" ht="15" customHeight="1">
      <c r="A753" t="s">
        <v>6092</v>
      </c>
      <c r="B753" t="s">
        <v>2097</v>
      </c>
      <c r="C753" t="s">
        <v>12</v>
      </c>
      <c r="D753" t="s">
        <v>2098</v>
      </c>
      <c r="E753" t="s">
        <v>1518</v>
      </c>
      <c r="F753" t="s">
        <v>14</v>
      </c>
      <c r="G753" t="s">
        <v>18</v>
      </c>
      <c r="I753">
        <v>1730000</v>
      </c>
      <c r="J753">
        <v>2168000</v>
      </c>
      <c r="K753">
        <v>1590000</v>
      </c>
      <c r="L753">
        <v>3603000</v>
      </c>
    </row>
    <row r="754" spans="1:12" ht="15" customHeight="1">
      <c r="A754" t="s">
        <v>6093</v>
      </c>
      <c r="B754" t="s">
        <v>2099</v>
      </c>
      <c r="C754" t="s">
        <v>12</v>
      </c>
      <c r="D754" t="s">
        <v>2100</v>
      </c>
      <c r="E754" t="s">
        <v>1518</v>
      </c>
      <c r="F754" t="s">
        <v>14</v>
      </c>
      <c r="G754" t="s">
        <v>18</v>
      </c>
      <c r="I754">
        <v>1653000</v>
      </c>
      <c r="J754">
        <v>100000</v>
      </c>
      <c r="K754">
        <v>1676000</v>
      </c>
      <c r="L754">
        <v>51000</v>
      </c>
    </row>
    <row r="755" spans="1:12" ht="15" customHeight="1">
      <c r="A755" t="s">
        <v>6094</v>
      </c>
      <c r="B755" t="s">
        <v>2101</v>
      </c>
      <c r="C755" t="s">
        <v>12</v>
      </c>
      <c r="D755" t="s">
        <v>2102</v>
      </c>
      <c r="E755" t="s">
        <v>1517</v>
      </c>
      <c r="F755" t="s">
        <v>14</v>
      </c>
      <c r="G755" t="s">
        <v>18</v>
      </c>
      <c r="I755">
        <v>2165000</v>
      </c>
      <c r="J755">
        <v>6299000</v>
      </c>
      <c r="K755">
        <v>2480000</v>
      </c>
      <c r="L755">
        <v>4511000</v>
      </c>
    </row>
    <row r="756" spans="1:12" ht="15" customHeight="1">
      <c r="A756" t="s">
        <v>6095</v>
      </c>
      <c r="B756" t="s">
        <v>2103</v>
      </c>
      <c r="C756" t="s">
        <v>12</v>
      </c>
      <c r="D756" t="s">
        <v>2104</v>
      </c>
      <c r="E756" t="s">
        <v>1737</v>
      </c>
      <c r="F756" t="s">
        <v>14</v>
      </c>
      <c r="G756" t="s">
        <v>18</v>
      </c>
      <c r="I756">
        <v>1210000</v>
      </c>
      <c r="J756">
        <v>1692000</v>
      </c>
      <c r="K756">
        <v>1207000</v>
      </c>
      <c r="L756">
        <v>1708000</v>
      </c>
    </row>
    <row r="757" spans="1:12" ht="15" customHeight="1">
      <c r="A757" t="s">
        <v>6096</v>
      </c>
      <c r="B757" t="s">
        <v>2105</v>
      </c>
      <c r="C757" t="s">
        <v>12</v>
      </c>
      <c r="D757" t="s">
        <v>2106</v>
      </c>
      <c r="E757" t="s">
        <v>1532</v>
      </c>
      <c r="F757" t="s">
        <v>14</v>
      </c>
      <c r="G757" t="s">
        <v>18</v>
      </c>
      <c r="I757">
        <v>34000000</v>
      </c>
      <c r="J757">
        <v>21125000</v>
      </c>
      <c r="K757">
        <v>34246000</v>
      </c>
      <c r="L757">
        <v>30872000</v>
      </c>
    </row>
    <row r="758" spans="1:12" ht="15" customHeight="1">
      <c r="A758" t="s">
        <v>6097</v>
      </c>
      <c r="B758" t="s">
        <v>2107</v>
      </c>
      <c r="C758" t="s">
        <v>12</v>
      </c>
      <c r="D758" t="s">
        <v>2108</v>
      </c>
      <c r="E758" t="s">
        <v>1532</v>
      </c>
      <c r="F758" t="s">
        <v>14</v>
      </c>
      <c r="G758" t="s">
        <v>18</v>
      </c>
      <c r="I758">
        <v>1302000</v>
      </c>
      <c r="J758">
        <v>3547000</v>
      </c>
      <c r="K758">
        <v>546000</v>
      </c>
      <c r="L758">
        <v>4304000</v>
      </c>
    </row>
    <row r="759" spans="1:12" ht="15" customHeight="1">
      <c r="A759" t="s">
        <v>6098</v>
      </c>
      <c r="B759" t="s">
        <v>2109</v>
      </c>
      <c r="C759" t="s">
        <v>12</v>
      </c>
      <c r="D759" t="s">
        <v>2110</v>
      </c>
      <c r="E759" t="s">
        <v>1642</v>
      </c>
      <c r="F759" t="s">
        <v>14</v>
      </c>
      <c r="G759" t="s">
        <v>18</v>
      </c>
      <c r="H759" t="s">
        <v>23</v>
      </c>
      <c r="I759">
        <v>14205000</v>
      </c>
      <c r="J759">
        <v>15897000</v>
      </c>
      <c r="K759">
        <v>13913000</v>
      </c>
      <c r="L759">
        <v>17196000</v>
      </c>
    </row>
    <row r="760" spans="1:12" ht="15" customHeight="1">
      <c r="A760" t="s">
        <v>6099</v>
      </c>
      <c r="B760" t="s">
        <v>2111</v>
      </c>
      <c r="C760" t="s">
        <v>12</v>
      </c>
      <c r="D760" t="s">
        <v>2112</v>
      </c>
      <c r="E760" t="s">
        <v>1524</v>
      </c>
      <c r="F760" t="s">
        <v>14</v>
      </c>
      <c r="G760" t="s">
        <v>18</v>
      </c>
      <c r="I760">
        <v>163000</v>
      </c>
      <c r="J760">
        <v>579000</v>
      </c>
      <c r="K760">
        <v>518000</v>
      </c>
      <c r="L760">
        <v>419000</v>
      </c>
    </row>
    <row r="761" spans="1:12" ht="15" customHeight="1">
      <c r="A761" t="s">
        <v>6100</v>
      </c>
      <c r="B761" t="s">
        <v>2113</v>
      </c>
      <c r="C761" t="s">
        <v>12</v>
      </c>
      <c r="D761" t="s">
        <v>2114</v>
      </c>
      <c r="E761" t="s">
        <v>1532</v>
      </c>
      <c r="F761" t="s">
        <v>14</v>
      </c>
      <c r="G761" t="s">
        <v>18</v>
      </c>
    </row>
    <row r="762" spans="1:12" ht="15" customHeight="1">
      <c r="A762" t="s">
        <v>6101</v>
      </c>
      <c r="B762" t="s">
        <v>2115</v>
      </c>
      <c r="C762" t="s">
        <v>12</v>
      </c>
      <c r="D762" t="s">
        <v>2116</v>
      </c>
      <c r="E762" t="s">
        <v>1661</v>
      </c>
      <c r="F762" t="s">
        <v>14</v>
      </c>
      <c r="G762" t="s">
        <v>18</v>
      </c>
    </row>
    <row r="763" spans="1:12" ht="15" customHeight="1">
      <c r="A763" t="s">
        <v>6102</v>
      </c>
      <c r="B763" t="s">
        <v>2117</v>
      </c>
      <c r="C763" t="s">
        <v>12</v>
      </c>
      <c r="D763" t="s">
        <v>2118</v>
      </c>
      <c r="E763" t="s">
        <v>1801</v>
      </c>
      <c r="F763" t="s">
        <v>14</v>
      </c>
      <c r="G763" t="s">
        <v>18</v>
      </c>
      <c r="J763">
        <v>68000</v>
      </c>
      <c r="L763">
        <v>68000</v>
      </c>
    </row>
    <row r="764" spans="1:12" ht="15" customHeight="1">
      <c r="A764" t="s">
        <v>6103</v>
      </c>
      <c r="B764" t="s">
        <v>2119</v>
      </c>
      <c r="C764" t="s">
        <v>12</v>
      </c>
      <c r="D764" t="s">
        <v>2120</v>
      </c>
      <c r="E764" t="s">
        <v>1576</v>
      </c>
      <c r="F764" t="s">
        <v>14</v>
      </c>
      <c r="G764" t="s">
        <v>18</v>
      </c>
    </row>
    <row r="765" spans="1:12" ht="15" customHeight="1">
      <c r="A765" t="s">
        <v>6104</v>
      </c>
      <c r="B765" t="s">
        <v>2121</v>
      </c>
      <c r="C765" t="s">
        <v>12</v>
      </c>
      <c r="D765" t="s">
        <v>2122</v>
      </c>
      <c r="E765" t="s">
        <v>1518</v>
      </c>
      <c r="F765" t="s">
        <v>14</v>
      </c>
      <c r="G765" t="s">
        <v>18</v>
      </c>
      <c r="J765">
        <v>366000</v>
      </c>
      <c r="L765">
        <v>10560000</v>
      </c>
    </row>
    <row r="766" spans="1:12" ht="15" customHeight="1">
      <c r="A766" t="s">
        <v>6105</v>
      </c>
      <c r="B766" t="s">
        <v>2123</v>
      </c>
      <c r="C766" t="s">
        <v>12</v>
      </c>
      <c r="D766" t="s">
        <v>2124</v>
      </c>
      <c r="E766" t="s">
        <v>1749</v>
      </c>
      <c r="F766" t="s">
        <v>14</v>
      </c>
      <c r="G766" t="s">
        <v>18</v>
      </c>
    </row>
    <row r="767" spans="1:12" ht="15" customHeight="1">
      <c r="A767" t="s">
        <v>6106</v>
      </c>
      <c r="B767" t="s">
        <v>2125</v>
      </c>
      <c r="C767" t="s">
        <v>12</v>
      </c>
      <c r="D767" t="s">
        <v>2126</v>
      </c>
      <c r="E767" t="s">
        <v>1518</v>
      </c>
      <c r="F767" t="s">
        <v>14</v>
      </c>
      <c r="G767" t="s">
        <v>18</v>
      </c>
      <c r="I767">
        <v>35000</v>
      </c>
      <c r="J767">
        <v>16000</v>
      </c>
      <c r="K767">
        <v>28000</v>
      </c>
      <c r="L767">
        <v>18000</v>
      </c>
    </row>
    <row r="768" spans="1:12" ht="15" customHeight="1">
      <c r="A768" t="s">
        <v>6107</v>
      </c>
      <c r="B768" t="s">
        <v>2127</v>
      </c>
      <c r="C768" t="s">
        <v>12</v>
      </c>
      <c r="D768" t="s">
        <v>2128</v>
      </c>
      <c r="E768" t="s">
        <v>1532</v>
      </c>
      <c r="F768" t="s">
        <v>14</v>
      </c>
      <c r="G768" t="s">
        <v>18</v>
      </c>
      <c r="I768">
        <v>3560000</v>
      </c>
      <c r="J768">
        <v>1355000</v>
      </c>
      <c r="K768">
        <v>3560000</v>
      </c>
      <c r="L768">
        <v>1355000</v>
      </c>
    </row>
    <row r="769" spans="1:12" ht="15" customHeight="1">
      <c r="A769" t="s">
        <v>6108</v>
      </c>
      <c r="B769" t="s">
        <v>2129</v>
      </c>
      <c r="C769" t="s">
        <v>12</v>
      </c>
      <c r="D769" t="s">
        <v>2130</v>
      </c>
      <c r="E769" t="s">
        <v>1737</v>
      </c>
      <c r="F769" t="s">
        <v>14</v>
      </c>
      <c r="G769" t="s">
        <v>18</v>
      </c>
      <c r="J769">
        <v>1050000</v>
      </c>
      <c r="L769">
        <v>1050000</v>
      </c>
    </row>
    <row r="770" spans="1:12" ht="15" customHeight="1">
      <c r="A770" t="s">
        <v>6109</v>
      </c>
      <c r="B770" t="s">
        <v>2131</v>
      </c>
      <c r="C770" t="s">
        <v>12</v>
      </c>
      <c r="D770" t="s">
        <v>2132</v>
      </c>
      <c r="E770" t="s">
        <v>1518</v>
      </c>
      <c r="F770" t="s">
        <v>14</v>
      </c>
      <c r="G770" t="s">
        <v>18</v>
      </c>
      <c r="I770">
        <v>178000</v>
      </c>
      <c r="J770">
        <v>193000</v>
      </c>
      <c r="K770">
        <v>155000</v>
      </c>
      <c r="L770">
        <v>228000</v>
      </c>
    </row>
    <row r="771" spans="1:12" ht="15" customHeight="1">
      <c r="A771" t="s">
        <v>6110</v>
      </c>
      <c r="B771" t="s">
        <v>2133</v>
      </c>
      <c r="C771" t="s">
        <v>12</v>
      </c>
      <c r="D771" t="s">
        <v>2134</v>
      </c>
      <c r="E771" t="s">
        <v>1560</v>
      </c>
      <c r="F771" t="s">
        <v>14</v>
      </c>
      <c r="G771" t="s">
        <v>18</v>
      </c>
      <c r="I771">
        <v>2453000</v>
      </c>
      <c r="J771">
        <v>180000</v>
      </c>
      <c r="K771">
        <v>2702000</v>
      </c>
      <c r="L771">
        <v>440000</v>
      </c>
    </row>
    <row r="772" spans="1:12" ht="15" customHeight="1">
      <c r="A772" t="s">
        <v>6111</v>
      </c>
      <c r="B772" t="s">
        <v>2135</v>
      </c>
      <c r="C772" t="s">
        <v>12</v>
      </c>
      <c r="D772" t="s">
        <v>2136</v>
      </c>
      <c r="E772" t="s">
        <v>1517</v>
      </c>
      <c r="F772" t="s">
        <v>14</v>
      </c>
      <c r="G772" t="s">
        <v>18</v>
      </c>
      <c r="I772">
        <v>370000</v>
      </c>
      <c r="J772">
        <v>195000</v>
      </c>
      <c r="K772">
        <v>391000</v>
      </c>
      <c r="L772">
        <v>268000</v>
      </c>
    </row>
    <row r="773" spans="1:12" ht="15" customHeight="1">
      <c r="A773" t="s">
        <v>6112</v>
      </c>
      <c r="B773" t="s">
        <v>2137</v>
      </c>
      <c r="C773" t="s">
        <v>12</v>
      </c>
      <c r="D773" t="s">
        <v>2138</v>
      </c>
      <c r="E773" t="s">
        <v>1517</v>
      </c>
      <c r="F773" t="s">
        <v>14</v>
      </c>
      <c r="G773" t="s">
        <v>18</v>
      </c>
    </row>
    <row r="774" spans="1:12" ht="15" customHeight="1">
      <c r="A774" t="s">
        <v>6113</v>
      </c>
      <c r="B774" t="s">
        <v>2140</v>
      </c>
      <c r="C774" t="s">
        <v>12</v>
      </c>
      <c r="D774" t="s">
        <v>2141</v>
      </c>
      <c r="E774" t="s">
        <v>1661</v>
      </c>
      <c r="F774" t="s">
        <v>14</v>
      </c>
      <c r="G774" t="s">
        <v>18</v>
      </c>
    </row>
    <row r="775" spans="1:12" ht="15" customHeight="1">
      <c r="A775" t="s">
        <v>6114</v>
      </c>
      <c r="B775" t="s">
        <v>2142</v>
      </c>
      <c r="C775" t="s">
        <v>12</v>
      </c>
      <c r="D775" t="s">
        <v>2143</v>
      </c>
      <c r="E775" t="s">
        <v>1517</v>
      </c>
      <c r="F775" t="s">
        <v>14</v>
      </c>
      <c r="G775" t="s">
        <v>18</v>
      </c>
      <c r="J775">
        <v>10000</v>
      </c>
      <c r="K775">
        <v>15000</v>
      </c>
      <c r="L775">
        <v>26000</v>
      </c>
    </row>
    <row r="776" spans="1:12" ht="15" customHeight="1">
      <c r="A776" t="s">
        <v>6115</v>
      </c>
      <c r="B776" t="s">
        <v>2144</v>
      </c>
      <c r="C776" t="s">
        <v>12</v>
      </c>
      <c r="D776" t="s">
        <v>2145</v>
      </c>
      <c r="E776" t="s">
        <v>1504</v>
      </c>
      <c r="F776" t="s">
        <v>14</v>
      </c>
      <c r="G776" t="s">
        <v>18</v>
      </c>
      <c r="I776">
        <v>799000</v>
      </c>
      <c r="J776">
        <v>1304000</v>
      </c>
      <c r="K776">
        <v>789000</v>
      </c>
      <c r="L776">
        <v>1572000</v>
      </c>
    </row>
    <row r="777" spans="1:12" ht="15" customHeight="1">
      <c r="A777" t="s">
        <v>6116</v>
      </c>
      <c r="B777" t="s">
        <v>2146</v>
      </c>
      <c r="C777" t="s">
        <v>12</v>
      </c>
      <c r="D777" t="s">
        <v>2147</v>
      </c>
      <c r="E777" t="s">
        <v>1532</v>
      </c>
      <c r="F777" t="s">
        <v>14</v>
      </c>
      <c r="G777" t="s">
        <v>18</v>
      </c>
    </row>
    <row r="778" spans="1:12" ht="15" customHeight="1">
      <c r="A778" t="s">
        <v>6117</v>
      </c>
      <c r="B778" t="s">
        <v>2148</v>
      </c>
      <c r="C778" t="s">
        <v>12</v>
      </c>
      <c r="D778" t="s">
        <v>2149</v>
      </c>
      <c r="E778" t="s">
        <v>1754</v>
      </c>
      <c r="F778" t="s">
        <v>14</v>
      </c>
      <c r="G778" t="s">
        <v>18</v>
      </c>
    </row>
    <row r="779" spans="1:12" ht="15" customHeight="1">
      <c r="A779" t="s">
        <v>6118</v>
      </c>
      <c r="B779" t="s">
        <v>2150</v>
      </c>
      <c r="C779" t="s">
        <v>12</v>
      </c>
      <c r="D779" t="s">
        <v>2151</v>
      </c>
      <c r="E779" t="s">
        <v>1512</v>
      </c>
      <c r="F779" t="s">
        <v>14</v>
      </c>
      <c r="G779" t="s">
        <v>18</v>
      </c>
      <c r="J779">
        <v>1075000</v>
      </c>
      <c r="L779">
        <v>1145000</v>
      </c>
    </row>
    <row r="780" spans="1:12" ht="15" customHeight="1">
      <c r="A780" t="s">
        <v>6119</v>
      </c>
      <c r="B780" t="s">
        <v>2152</v>
      </c>
      <c r="C780" t="s">
        <v>12</v>
      </c>
      <c r="D780" t="s">
        <v>2153</v>
      </c>
      <c r="E780" t="s">
        <v>1566</v>
      </c>
      <c r="F780" t="s">
        <v>14</v>
      </c>
      <c r="G780" t="s">
        <v>18</v>
      </c>
    </row>
    <row r="781" spans="1:12" ht="15" customHeight="1">
      <c r="A781" t="s">
        <v>6120</v>
      </c>
      <c r="B781" t="s">
        <v>2154</v>
      </c>
      <c r="C781" t="s">
        <v>12</v>
      </c>
      <c r="D781" t="s">
        <v>2155</v>
      </c>
      <c r="E781" t="s">
        <v>1532</v>
      </c>
      <c r="F781" t="s">
        <v>14</v>
      </c>
      <c r="G781" t="s">
        <v>18</v>
      </c>
    </row>
    <row r="782" spans="1:12" ht="15" customHeight="1">
      <c r="A782" t="s">
        <v>6121</v>
      </c>
      <c r="B782" t="s">
        <v>2156</v>
      </c>
      <c r="C782" t="s">
        <v>12</v>
      </c>
      <c r="D782" t="s">
        <v>2157</v>
      </c>
      <c r="E782" t="s">
        <v>1516</v>
      </c>
      <c r="F782" t="s">
        <v>14</v>
      </c>
      <c r="G782" t="s">
        <v>18</v>
      </c>
      <c r="J782">
        <v>227000</v>
      </c>
      <c r="L782">
        <v>227000</v>
      </c>
    </row>
    <row r="783" spans="1:12" ht="15" customHeight="1">
      <c r="A783" t="s">
        <v>6122</v>
      </c>
      <c r="B783" t="s">
        <v>2158</v>
      </c>
      <c r="C783" t="s">
        <v>12</v>
      </c>
      <c r="D783" t="s">
        <v>2159</v>
      </c>
      <c r="E783" t="s">
        <v>1580</v>
      </c>
      <c r="F783" t="s">
        <v>14</v>
      </c>
      <c r="G783" t="s">
        <v>18</v>
      </c>
      <c r="I783">
        <v>2797000</v>
      </c>
      <c r="J783">
        <v>2502000</v>
      </c>
      <c r="K783">
        <v>3224000</v>
      </c>
      <c r="L783">
        <v>3112000</v>
      </c>
    </row>
    <row r="784" spans="1:12" ht="15" customHeight="1">
      <c r="A784" t="s">
        <v>6123</v>
      </c>
      <c r="B784" t="s">
        <v>2160</v>
      </c>
      <c r="C784" t="s">
        <v>12</v>
      </c>
      <c r="D784" t="s">
        <v>2161</v>
      </c>
      <c r="E784" t="s">
        <v>1532</v>
      </c>
      <c r="F784" t="s">
        <v>14</v>
      </c>
      <c r="G784" t="s">
        <v>18</v>
      </c>
    </row>
    <row r="785" spans="1:12" ht="15" customHeight="1">
      <c r="A785" t="s">
        <v>6124</v>
      </c>
      <c r="B785" t="s">
        <v>2162</v>
      </c>
      <c r="C785" t="s">
        <v>12</v>
      </c>
      <c r="D785" t="s">
        <v>2163</v>
      </c>
      <c r="E785" t="s">
        <v>1518</v>
      </c>
      <c r="F785" t="s">
        <v>14</v>
      </c>
      <c r="G785" t="s">
        <v>18</v>
      </c>
      <c r="I785">
        <v>384000</v>
      </c>
      <c r="J785">
        <v>900000</v>
      </c>
      <c r="K785">
        <v>455000</v>
      </c>
      <c r="L785">
        <v>958000</v>
      </c>
    </row>
    <row r="786" spans="1:12" ht="15" customHeight="1">
      <c r="A786" t="s">
        <v>6125</v>
      </c>
      <c r="B786" t="s">
        <v>2164</v>
      </c>
      <c r="C786" t="s">
        <v>12</v>
      </c>
      <c r="D786" t="s">
        <v>2165</v>
      </c>
      <c r="E786" t="s">
        <v>1518</v>
      </c>
      <c r="F786" t="s">
        <v>14</v>
      </c>
      <c r="G786" t="s">
        <v>18</v>
      </c>
      <c r="I786">
        <v>6541000</v>
      </c>
      <c r="J786">
        <v>12113000</v>
      </c>
      <c r="K786">
        <v>5865000</v>
      </c>
      <c r="L786">
        <v>12615000</v>
      </c>
    </row>
    <row r="787" spans="1:12" ht="15" customHeight="1">
      <c r="A787" t="s">
        <v>6126</v>
      </c>
      <c r="B787" t="s">
        <v>2166</v>
      </c>
      <c r="C787" t="s">
        <v>12</v>
      </c>
      <c r="D787" t="s">
        <v>2167</v>
      </c>
      <c r="E787" t="s">
        <v>1532</v>
      </c>
      <c r="F787" t="s">
        <v>14</v>
      </c>
      <c r="G787" t="s">
        <v>18</v>
      </c>
    </row>
    <row r="788" spans="1:12" ht="15" customHeight="1">
      <c r="A788" t="s">
        <v>6127</v>
      </c>
      <c r="B788" t="s">
        <v>2168</v>
      </c>
      <c r="C788" t="s">
        <v>12</v>
      </c>
      <c r="D788" t="s">
        <v>2169</v>
      </c>
      <c r="E788" t="s">
        <v>1516</v>
      </c>
      <c r="F788" t="s">
        <v>14</v>
      </c>
      <c r="G788" t="s">
        <v>18</v>
      </c>
      <c r="I788">
        <v>431000</v>
      </c>
      <c r="J788">
        <v>309000</v>
      </c>
      <c r="K788">
        <v>440000</v>
      </c>
      <c r="L788">
        <v>265000</v>
      </c>
    </row>
    <row r="789" spans="1:12" ht="15" customHeight="1">
      <c r="A789" t="s">
        <v>6128</v>
      </c>
      <c r="B789" t="s">
        <v>2170</v>
      </c>
      <c r="C789" t="s">
        <v>12</v>
      </c>
      <c r="D789" t="s">
        <v>2171</v>
      </c>
      <c r="E789" t="s">
        <v>1512</v>
      </c>
      <c r="F789" t="s">
        <v>14</v>
      </c>
      <c r="G789" t="s">
        <v>18</v>
      </c>
      <c r="I789">
        <v>1731000</v>
      </c>
      <c r="J789">
        <v>1318000</v>
      </c>
      <c r="K789">
        <v>1705000</v>
      </c>
      <c r="L789">
        <v>1390000</v>
      </c>
    </row>
    <row r="790" spans="1:12" ht="15" customHeight="1">
      <c r="A790" t="s">
        <v>6129</v>
      </c>
      <c r="B790" t="s">
        <v>2172</v>
      </c>
      <c r="C790" t="s">
        <v>12</v>
      </c>
      <c r="D790" t="s">
        <v>2173</v>
      </c>
      <c r="E790" t="s">
        <v>1576</v>
      </c>
      <c r="F790" t="s">
        <v>14</v>
      </c>
      <c r="G790" t="s">
        <v>18</v>
      </c>
    </row>
    <row r="791" spans="1:12" ht="15" customHeight="1">
      <c r="A791" t="s">
        <v>6130</v>
      </c>
      <c r="B791" t="s">
        <v>2174</v>
      </c>
      <c r="C791" t="s">
        <v>12</v>
      </c>
      <c r="D791" t="s">
        <v>2175</v>
      </c>
      <c r="E791" t="s">
        <v>1520</v>
      </c>
      <c r="F791" t="s">
        <v>14</v>
      </c>
      <c r="G791" t="s">
        <v>18</v>
      </c>
      <c r="I791">
        <v>1213000</v>
      </c>
      <c r="J791">
        <v>4204000</v>
      </c>
      <c r="K791">
        <v>385000</v>
      </c>
      <c r="L791">
        <v>2959000</v>
      </c>
    </row>
    <row r="792" spans="1:12" ht="15" customHeight="1">
      <c r="A792" t="s">
        <v>6131</v>
      </c>
      <c r="B792" t="s">
        <v>2176</v>
      </c>
      <c r="C792" t="s">
        <v>12</v>
      </c>
      <c r="D792" t="s">
        <v>2177</v>
      </c>
      <c r="E792" t="s">
        <v>1534</v>
      </c>
      <c r="F792" t="s">
        <v>14</v>
      </c>
      <c r="G792" t="s">
        <v>18</v>
      </c>
      <c r="I792">
        <v>442000</v>
      </c>
      <c r="J792">
        <v>916000</v>
      </c>
      <c r="K792">
        <v>625000</v>
      </c>
      <c r="L792">
        <v>881000</v>
      </c>
    </row>
    <row r="793" spans="1:12" ht="15" customHeight="1">
      <c r="A793" t="s">
        <v>6132</v>
      </c>
      <c r="B793" t="s">
        <v>2178</v>
      </c>
      <c r="C793" t="s">
        <v>12</v>
      </c>
      <c r="D793" t="s">
        <v>2179</v>
      </c>
      <c r="E793" t="s">
        <v>1588</v>
      </c>
      <c r="F793" t="s">
        <v>14</v>
      </c>
      <c r="G793" t="s">
        <v>18</v>
      </c>
    </row>
    <row r="794" spans="1:12" ht="15" customHeight="1">
      <c r="A794" t="s">
        <v>6133</v>
      </c>
      <c r="B794" t="s">
        <v>2180</v>
      </c>
      <c r="C794" t="s">
        <v>12</v>
      </c>
      <c r="D794" t="s">
        <v>2181</v>
      </c>
      <c r="E794" t="s">
        <v>1754</v>
      </c>
      <c r="F794" t="s">
        <v>14</v>
      </c>
      <c r="G794" t="s">
        <v>18</v>
      </c>
      <c r="I794">
        <v>2035000</v>
      </c>
      <c r="J794">
        <v>3023000</v>
      </c>
      <c r="K794">
        <v>2078000</v>
      </c>
      <c r="L794">
        <v>2857000</v>
      </c>
    </row>
    <row r="795" spans="1:12" ht="15" customHeight="1">
      <c r="A795" t="s">
        <v>6134</v>
      </c>
      <c r="B795" t="s">
        <v>2182</v>
      </c>
      <c r="C795" t="s">
        <v>12</v>
      </c>
      <c r="D795" t="s">
        <v>2183</v>
      </c>
      <c r="E795" t="s">
        <v>1532</v>
      </c>
      <c r="F795" t="s">
        <v>14</v>
      </c>
      <c r="G795" t="s">
        <v>18</v>
      </c>
      <c r="I795">
        <v>366179000</v>
      </c>
      <c r="J795">
        <v>277649000</v>
      </c>
      <c r="K795">
        <v>236970000</v>
      </c>
      <c r="L795">
        <v>495304000</v>
      </c>
    </row>
    <row r="796" spans="1:12" ht="15" customHeight="1">
      <c r="A796" t="s">
        <v>6135</v>
      </c>
      <c r="B796" t="s">
        <v>2184</v>
      </c>
      <c r="C796" t="s">
        <v>12</v>
      </c>
      <c r="D796" t="s">
        <v>2185</v>
      </c>
      <c r="E796" t="s">
        <v>1532</v>
      </c>
      <c r="F796" t="s">
        <v>14</v>
      </c>
      <c r="G796" t="s">
        <v>18</v>
      </c>
      <c r="I796">
        <v>523669000</v>
      </c>
      <c r="J796">
        <v>166896000</v>
      </c>
      <c r="K796">
        <v>341295000</v>
      </c>
      <c r="L796">
        <v>307904000</v>
      </c>
    </row>
    <row r="797" spans="1:12" ht="15" customHeight="1">
      <c r="A797" t="s">
        <v>6136</v>
      </c>
      <c r="B797" t="s">
        <v>2186</v>
      </c>
      <c r="C797" t="s">
        <v>12</v>
      </c>
      <c r="D797" t="s">
        <v>2187</v>
      </c>
      <c r="E797" t="s">
        <v>1754</v>
      </c>
      <c r="F797" t="s">
        <v>14</v>
      </c>
      <c r="G797" t="s">
        <v>18</v>
      </c>
      <c r="I797">
        <v>2650000</v>
      </c>
      <c r="J797">
        <v>1457000</v>
      </c>
      <c r="K797">
        <v>2588000</v>
      </c>
      <c r="L797">
        <v>1327000</v>
      </c>
    </row>
    <row r="798" spans="1:12" ht="15" customHeight="1">
      <c r="A798" t="s">
        <v>6137</v>
      </c>
      <c r="B798" t="s">
        <v>2188</v>
      </c>
      <c r="C798" t="s">
        <v>12</v>
      </c>
      <c r="D798" t="s">
        <v>2189</v>
      </c>
      <c r="E798" t="s">
        <v>1512</v>
      </c>
      <c r="F798" t="s">
        <v>14</v>
      </c>
      <c r="G798" t="s">
        <v>18</v>
      </c>
      <c r="I798">
        <v>573000</v>
      </c>
      <c r="J798">
        <v>1525000</v>
      </c>
      <c r="K798">
        <v>573000</v>
      </c>
      <c r="L798">
        <v>1525000</v>
      </c>
    </row>
    <row r="799" spans="1:12" ht="15" customHeight="1">
      <c r="A799" t="s">
        <v>6138</v>
      </c>
      <c r="B799" t="s">
        <v>2190</v>
      </c>
      <c r="C799" t="s">
        <v>12</v>
      </c>
      <c r="D799" t="s">
        <v>2191</v>
      </c>
      <c r="E799" t="s">
        <v>1560</v>
      </c>
      <c r="F799" t="s">
        <v>14</v>
      </c>
      <c r="G799" t="s">
        <v>18</v>
      </c>
      <c r="I799">
        <v>3017000</v>
      </c>
      <c r="J799">
        <v>3442000</v>
      </c>
      <c r="K799">
        <v>2609000</v>
      </c>
      <c r="L799">
        <v>3764000</v>
      </c>
    </row>
    <row r="800" spans="1:12" ht="15" customHeight="1">
      <c r="A800" t="s">
        <v>6139</v>
      </c>
      <c r="B800" t="s">
        <v>2192</v>
      </c>
      <c r="C800" t="s">
        <v>12</v>
      </c>
      <c r="D800" t="s">
        <v>2193</v>
      </c>
      <c r="E800" t="s">
        <v>1518</v>
      </c>
      <c r="F800" t="s">
        <v>14</v>
      </c>
      <c r="G800" t="s">
        <v>18</v>
      </c>
      <c r="I800">
        <v>1340000</v>
      </c>
      <c r="J800">
        <v>2744000</v>
      </c>
      <c r="K800">
        <v>3230000</v>
      </c>
      <c r="L800">
        <v>2430000</v>
      </c>
    </row>
    <row r="801" spans="1:12" ht="15" customHeight="1">
      <c r="A801" t="s">
        <v>6140</v>
      </c>
      <c r="B801" t="s">
        <v>2194</v>
      </c>
      <c r="C801" t="s">
        <v>12</v>
      </c>
      <c r="D801" t="s">
        <v>2195</v>
      </c>
      <c r="E801" t="s">
        <v>1618</v>
      </c>
      <c r="F801" t="s">
        <v>14</v>
      </c>
      <c r="G801" t="s">
        <v>18</v>
      </c>
    </row>
    <row r="802" spans="1:12" ht="15" customHeight="1">
      <c r="A802" t="s">
        <v>6141</v>
      </c>
      <c r="B802" t="s">
        <v>2196</v>
      </c>
      <c r="C802" t="s">
        <v>12</v>
      </c>
      <c r="D802" t="s">
        <v>2197</v>
      </c>
      <c r="E802" t="s">
        <v>1532</v>
      </c>
      <c r="F802" t="s">
        <v>14</v>
      </c>
      <c r="G802" t="s">
        <v>18</v>
      </c>
      <c r="I802">
        <v>1101000</v>
      </c>
      <c r="J802">
        <v>849000</v>
      </c>
      <c r="K802">
        <v>1041000</v>
      </c>
      <c r="L802">
        <v>947000</v>
      </c>
    </row>
    <row r="803" spans="1:12" ht="15" customHeight="1">
      <c r="A803" t="s">
        <v>6142</v>
      </c>
      <c r="B803" t="s">
        <v>2198</v>
      </c>
      <c r="C803" t="s">
        <v>12</v>
      </c>
      <c r="D803" t="s">
        <v>2199</v>
      </c>
      <c r="E803" t="s">
        <v>1508</v>
      </c>
      <c r="F803" t="s">
        <v>14</v>
      </c>
      <c r="G803" t="s">
        <v>18</v>
      </c>
      <c r="I803">
        <v>1984000</v>
      </c>
      <c r="J803">
        <v>4578000</v>
      </c>
      <c r="K803">
        <v>1750000</v>
      </c>
      <c r="L803">
        <v>6184000</v>
      </c>
    </row>
    <row r="804" spans="1:12" ht="15" customHeight="1">
      <c r="A804" t="s">
        <v>6143</v>
      </c>
      <c r="B804" t="s">
        <v>2200</v>
      </c>
      <c r="C804" t="s">
        <v>12</v>
      </c>
      <c r="D804" t="s">
        <v>2201</v>
      </c>
      <c r="E804" t="s">
        <v>1518</v>
      </c>
      <c r="F804" t="s">
        <v>14</v>
      </c>
      <c r="G804" t="s">
        <v>18</v>
      </c>
      <c r="I804">
        <v>795000</v>
      </c>
      <c r="K804">
        <v>44000</v>
      </c>
    </row>
    <row r="805" spans="1:12" ht="15" customHeight="1">
      <c r="A805" t="s">
        <v>6144</v>
      </c>
      <c r="B805" t="s">
        <v>2202</v>
      </c>
      <c r="C805" t="s">
        <v>12</v>
      </c>
      <c r="D805" t="s">
        <v>2203</v>
      </c>
      <c r="E805" t="s">
        <v>1509</v>
      </c>
      <c r="F805" t="s">
        <v>14</v>
      </c>
      <c r="G805" t="s">
        <v>18</v>
      </c>
      <c r="I805">
        <v>6594000</v>
      </c>
      <c r="J805">
        <v>5612000</v>
      </c>
      <c r="K805">
        <v>5735000</v>
      </c>
      <c r="L805">
        <v>3704000</v>
      </c>
    </row>
    <row r="806" spans="1:12" ht="15" customHeight="1">
      <c r="A806" t="s">
        <v>6145</v>
      </c>
      <c r="B806" t="s">
        <v>2204</v>
      </c>
      <c r="C806" t="s">
        <v>12</v>
      </c>
      <c r="D806" t="s">
        <v>2205</v>
      </c>
      <c r="E806" t="s">
        <v>1524</v>
      </c>
      <c r="F806" t="s">
        <v>14</v>
      </c>
      <c r="G806" t="s">
        <v>18</v>
      </c>
      <c r="I806">
        <v>34008000</v>
      </c>
      <c r="K806">
        <v>12000</v>
      </c>
    </row>
    <row r="807" spans="1:12" ht="15" customHeight="1">
      <c r="A807" t="s">
        <v>6146</v>
      </c>
      <c r="B807" t="s">
        <v>2206</v>
      </c>
      <c r="C807" t="s">
        <v>12</v>
      </c>
      <c r="D807" t="s">
        <v>2207</v>
      </c>
      <c r="E807" t="s">
        <v>1532</v>
      </c>
      <c r="F807" t="s">
        <v>14</v>
      </c>
      <c r="G807" t="s">
        <v>18</v>
      </c>
      <c r="J807">
        <v>224000</v>
      </c>
      <c r="L807">
        <v>249000</v>
      </c>
    </row>
    <row r="808" spans="1:12" ht="15" customHeight="1">
      <c r="A808" t="s">
        <v>6147</v>
      </c>
      <c r="B808" t="s">
        <v>2208</v>
      </c>
      <c r="C808" t="s">
        <v>12</v>
      </c>
      <c r="D808" t="s">
        <v>2209</v>
      </c>
      <c r="E808" t="s">
        <v>1512</v>
      </c>
      <c r="F808" t="s">
        <v>14</v>
      </c>
      <c r="G808" t="s">
        <v>18</v>
      </c>
      <c r="I808">
        <v>7600000</v>
      </c>
      <c r="J808">
        <v>7979000</v>
      </c>
      <c r="K808">
        <v>7579000</v>
      </c>
      <c r="L808">
        <v>7921000</v>
      </c>
    </row>
    <row r="809" spans="1:12" ht="15" customHeight="1">
      <c r="A809" t="s">
        <v>6148</v>
      </c>
      <c r="B809" t="s">
        <v>2210</v>
      </c>
      <c r="C809" t="s">
        <v>12</v>
      </c>
      <c r="D809" t="s">
        <v>2211</v>
      </c>
      <c r="E809" t="s">
        <v>1532</v>
      </c>
      <c r="F809" t="s">
        <v>14</v>
      </c>
      <c r="G809" t="s">
        <v>18</v>
      </c>
    </row>
    <row r="810" spans="1:12" ht="15" customHeight="1">
      <c r="A810" t="s">
        <v>6149</v>
      </c>
      <c r="B810" t="s">
        <v>2212</v>
      </c>
      <c r="C810" t="s">
        <v>12</v>
      </c>
      <c r="D810" t="s">
        <v>2213</v>
      </c>
      <c r="E810" t="s">
        <v>1526</v>
      </c>
      <c r="F810" t="s">
        <v>14</v>
      </c>
      <c r="G810" t="s">
        <v>18</v>
      </c>
    </row>
    <row r="811" spans="1:12" ht="15" customHeight="1">
      <c r="A811" t="s">
        <v>6150</v>
      </c>
      <c r="B811" t="s">
        <v>2214</v>
      </c>
      <c r="C811" t="s">
        <v>12</v>
      </c>
      <c r="D811" t="s">
        <v>2215</v>
      </c>
      <c r="E811" t="s">
        <v>1532</v>
      </c>
      <c r="F811" t="s">
        <v>14</v>
      </c>
      <c r="G811" t="s">
        <v>18</v>
      </c>
    </row>
    <row r="812" spans="1:12" ht="15" customHeight="1">
      <c r="A812" t="s">
        <v>6151</v>
      </c>
      <c r="B812" t="s">
        <v>2216</v>
      </c>
      <c r="C812" t="s">
        <v>12</v>
      </c>
      <c r="D812" t="s">
        <v>2217</v>
      </c>
      <c r="E812" t="s">
        <v>1532</v>
      </c>
      <c r="F812" t="s">
        <v>14</v>
      </c>
      <c r="G812" t="s">
        <v>18</v>
      </c>
      <c r="I812">
        <v>1097581000</v>
      </c>
      <c r="J812">
        <v>897907000</v>
      </c>
      <c r="K812">
        <v>1028487000</v>
      </c>
      <c r="L812">
        <v>921811000</v>
      </c>
    </row>
    <row r="813" spans="1:12" ht="15" customHeight="1">
      <c r="A813" t="s">
        <v>6152</v>
      </c>
      <c r="B813" t="s">
        <v>2218</v>
      </c>
      <c r="C813" t="s">
        <v>12</v>
      </c>
      <c r="D813" t="s">
        <v>2219</v>
      </c>
      <c r="E813" t="s">
        <v>1649</v>
      </c>
      <c r="F813" t="s">
        <v>14</v>
      </c>
      <c r="G813" t="s">
        <v>18</v>
      </c>
      <c r="I813">
        <v>1166000</v>
      </c>
      <c r="J813">
        <v>1240000</v>
      </c>
      <c r="K813">
        <v>1379000</v>
      </c>
      <c r="L813">
        <v>1125000</v>
      </c>
    </row>
    <row r="814" spans="1:12" ht="15" customHeight="1">
      <c r="A814" t="s">
        <v>6153</v>
      </c>
      <c r="B814" t="s">
        <v>2220</v>
      </c>
      <c r="C814" t="s">
        <v>12</v>
      </c>
      <c r="D814" t="s">
        <v>2221</v>
      </c>
      <c r="E814" t="s">
        <v>1649</v>
      </c>
      <c r="F814" t="s">
        <v>14</v>
      </c>
      <c r="G814" t="s">
        <v>18</v>
      </c>
      <c r="I814">
        <v>7762000</v>
      </c>
      <c r="J814">
        <v>7447000</v>
      </c>
      <c r="K814">
        <v>7682000</v>
      </c>
      <c r="L814">
        <v>6934000</v>
      </c>
    </row>
    <row r="815" spans="1:12" ht="15" customHeight="1">
      <c r="A815" t="s">
        <v>6154</v>
      </c>
      <c r="B815" t="s">
        <v>2222</v>
      </c>
      <c r="C815" t="s">
        <v>12</v>
      </c>
      <c r="D815" t="s">
        <v>2223</v>
      </c>
      <c r="E815" t="s">
        <v>1516</v>
      </c>
      <c r="F815" t="s">
        <v>14</v>
      </c>
      <c r="G815" t="s">
        <v>18</v>
      </c>
      <c r="I815">
        <v>8863000</v>
      </c>
      <c r="J815">
        <v>7388000</v>
      </c>
      <c r="K815">
        <v>7529000</v>
      </c>
      <c r="L815">
        <v>7641000</v>
      </c>
    </row>
    <row r="816" spans="1:12" ht="15" customHeight="1">
      <c r="A816" t="s">
        <v>6155</v>
      </c>
      <c r="B816" t="s">
        <v>2224</v>
      </c>
      <c r="C816" t="s">
        <v>12</v>
      </c>
      <c r="D816" t="s">
        <v>2225</v>
      </c>
      <c r="E816" t="s">
        <v>1516</v>
      </c>
      <c r="F816" t="s">
        <v>14</v>
      </c>
      <c r="G816" t="s">
        <v>77</v>
      </c>
      <c r="I816">
        <v>42098000</v>
      </c>
      <c r="J816">
        <v>37626000</v>
      </c>
      <c r="K816">
        <v>41683000</v>
      </c>
      <c r="L816">
        <v>37264000</v>
      </c>
    </row>
    <row r="817" spans="1:12" ht="15" customHeight="1">
      <c r="A817" t="s">
        <v>6156</v>
      </c>
      <c r="B817" t="s">
        <v>2226</v>
      </c>
      <c r="C817" t="s">
        <v>12</v>
      </c>
      <c r="D817" t="s">
        <v>2227</v>
      </c>
      <c r="E817" t="s">
        <v>1629</v>
      </c>
      <c r="F817" t="s">
        <v>14</v>
      </c>
      <c r="G817" t="s">
        <v>18</v>
      </c>
    </row>
    <row r="818" spans="1:12" ht="15" customHeight="1">
      <c r="A818" t="s">
        <v>6157</v>
      </c>
      <c r="B818" t="s">
        <v>2228</v>
      </c>
      <c r="C818" t="s">
        <v>12</v>
      </c>
      <c r="D818" t="s">
        <v>2229</v>
      </c>
      <c r="E818" t="s">
        <v>1524</v>
      </c>
      <c r="F818" t="s">
        <v>14</v>
      </c>
      <c r="G818" t="s">
        <v>18</v>
      </c>
      <c r="I818">
        <v>4153000</v>
      </c>
      <c r="J818">
        <v>4629000</v>
      </c>
      <c r="K818">
        <v>4088000</v>
      </c>
      <c r="L818">
        <v>3652000</v>
      </c>
    </row>
    <row r="819" spans="1:12" ht="15" customHeight="1">
      <c r="A819" t="s">
        <v>6158</v>
      </c>
      <c r="B819" t="s">
        <v>2230</v>
      </c>
      <c r="C819" t="s">
        <v>12</v>
      </c>
      <c r="D819" t="s">
        <v>2231</v>
      </c>
      <c r="E819" t="s">
        <v>1595</v>
      </c>
      <c r="F819" t="s">
        <v>14</v>
      </c>
      <c r="G819" t="s">
        <v>18</v>
      </c>
    </row>
    <row r="820" spans="1:12" ht="15" customHeight="1">
      <c r="A820" t="s">
        <v>6159</v>
      </c>
      <c r="B820" t="s">
        <v>2232</v>
      </c>
      <c r="C820" t="s">
        <v>12</v>
      </c>
      <c r="D820" t="s">
        <v>2233</v>
      </c>
      <c r="E820" t="s">
        <v>1512</v>
      </c>
      <c r="F820" t="s">
        <v>14</v>
      </c>
      <c r="G820" t="s">
        <v>18</v>
      </c>
      <c r="I820">
        <v>1350000</v>
      </c>
      <c r="J820">
        <v>803000</v>
      </c>
      <c r="K820">
        <v>1341000</v>
      </c>
      <c r="L820">
        <v>901000</v>
      </c>
    </row>
    <row r="821" spans="1:12" ht="15" customHeight="1">
      <c r="A821" t="s">
        <v>6160</v>
      </c>
      <c r="B821" t="s">
        <v>2234</v>
      </c>
      <c r="C821" t="s">
        <v>12</v>
      </c>
      <c r="D821" t="s">
        <v>2235</v>
      </c>
      <c r="E821" t="s">
        <v>1519</v>
      </c>
      <c r="F821" t="s">
        <v>14</v>
      </c>
      <c r="G821" t="s">
        <v>23</v>
      </c>
      <c r="I821">
        <v>27828000</v>
      </c>
      <c r="J821">
        <v>136426000</v>
      </c>
      <c r="K821">
        <v>28976000</v>
      </c>
      <c r="L821">
        <v>132274000</v>
      </c>
    </row>
    <row r="822" spans="1:12" ht="15" customHeight="1">
      <c r="A822" t="s">
        <v>6161</v>
      </c>
      <c r="B822" t="s">
        <v>2236</v>
      </c>
      <c r="C822" t="s">
        <v>12</v>
      </c>
      <c r="D822" t="s">
        <v>2237</v>
      </c>
      <c r="E822" t="s">
        <v>1512</v>
      </c>
      <c r="F822" t="s">
        <v>14</v>
      </c>
      <c r="G822" t="s">
        <v>18</v>
      </c>
      <c r="I822">
        <v>9260000</v>
      </c>
      <c r="J822">
        <v>9116000</v>
      </c>
      <c r="K822">
        <v>9735000</v>
      </c>
      <c r="L822">
        <v>8745000</v>
      </c>
    </row>
    <row r="823" spans="1:12" ht="15" customHeight="1">
      <c r="A823" t="s">
        <v>6162</v>
      </c>
      <c r="B823" t="s">
        <v>2238</v>
      </c>
      <c r="C823" t="s">
        <v>12</v>
      </c>
      <c r="D823" t="s">
        <v>2239</v>
      </c>
      <c r="E823" t="s">
        <v>1580</v>
      </c>
      <c r="F823" t="s">
        <v>14</v>
      </c>
      <c r="G823" t="s">
        <v>18</v>
      </c>
      <c r="I823">
        <v>24196000</v>
      </c>
      <c r="J823">
        <v>4138000</v>
      </c>
      <c r="K823">
        <v>13883000</v>
      </c>
      <c r="L823">
        <v>15488000</v>
      </c>
    </row>
    <row r="824" spans="1:12" ht="15" customHeight="1">
      <c r="A824" t="s">
        <v>6163</v>
      </c>
      <c r="B824" t="s">
        <v>2240</v>
      </c>
      <c r="C824" t="s">
        <v>12</v>
      </c>
      <c r="D824" t="s">
        <v>2241</v>
      </c>
      <c r="E824" t="s">
        <v>1516</v>
      </c>
      <c r="F824" t="s">
        <v>14</v>
      </c>
      <c r="G824" t="s">
        <v>18</v>
      </c>
      <c r="I824">
        <v>284000</v>
      </c>
      <c r="J824">
        <v>358000</v>
      </c>
      <c r="K824">
        <v>284000</v>
      </c>
      <c r="L824">
        <v>358000</v>
      </c>
    </row>
    <row r="825" spans="1:12" ht="15" customHeight="1">
      <c r="A825" t="s">
        <v>6164</v>
      </c>
      <c r="B825" t="s">
        <v>2242</v>
      </c>
      <c r="C825" t="s">
        <v>12</v>
      </c>
      <c r="D825" t="s">
        <v>2243</v>
      </c>
      <c r="E825" t="s">
        <v>1558</v>
      </c>
      <c r="F825" t="s">
        <v>14</v>
      </c>
      <c r="G825" t="s">
        <v>18</v>
      </c>
      <c r="I825">
        <v>1817000</v>
      </c>
      <c r="J825">
        <v>1527000</v>
      </c>
      <c r="K825">
        <v>1874000</v>
      </c>
      <c r="L825">
        <v>1525000</v>
      </c>
    </row>
    <row r="826" spans="1:12" ht="15" customHeight="1">
      <c r="A826" t="s">
        <v>6165</v>
      </c>
      <c r="B826" t="s">
        <v>2244</v>
      </c>
      <c r="C826" t="s">
        <v>12</v>
      </c>
      <c r="D826" t="s">
        <v>2245</v>
      </c>
      <c r="E826" t="s">
        <v>1558</v>
      </c>
      <c r="F826" t="s">
        <v>14</v>
      </c>
      <c r="G826" t="s">
        <v>18</v>
      </c>
      <c r="I826">
        <v>511000</v>
      </c>
      <c r="J826">
        <v>1020000</v>
      </c>
      <c r="K826">
        <v>437000</v>
      </c>
      <c r="L826">
        <v>976000</v>
      </c>
    </row>
    <row r="827" spans="1:12" ht="15" customHeight="1">
      <c r="A827" t="s">
        <v>6166</v>
      </c>
      <c r="B827" t="s">
        <v>2246</v>
      </c>
      <c r="C827" t="s">
        <v>12</v>
      </c>
      <c r="D827" t="s">
        <v>2247</v>
      </c>
      <c r="E827" t="s">
        <v>1512</v>
      </c>
      <c r="F827" t="s">
        <v>14</v>
      </c>
      <c r="G827" t="s">
        <v>18</v>
      </c>
      <c r="I827">
        <v>5841000</v>
      </c>
      <c r="J827">
        <v>10141000</v>
      </c>
      <c r="K827">
        <v>5793000</v>
      </c>
      <c r="L827">
        <v>13068000</v>
      </c>
    </row>
    <row r="828" spans="1:12" ht="15" customHeight="1">
      <c r="A828" t="s">
        <v>6167</v>
      </c>
      <c r="B828" t="s">
        <v>2248</v>
      </c>
      <c r="C828" t="s">
        <v>12</v>
      </c>
      <c r="D828" t="s">
        <v>2249</v>
      </c>
      <c r="E828" t="s">
        <v>1584</v>
      </c>
      <c r="F828" t="s">
        <v>14</v>
      </c>
      <c r="G828" t="s">
        <v>18</v>
      </c>
    </row>
    <row r="829" spans="1:12" ht="15" customHeight="1">
      <c r="A829" t="s">
        <v>6168</v>
      </c>
      <c r="B829" t="s">
        <v>2250</v>
      </c>
      <c r="C829" t="s">
        <v>12</v>
      </c>
      <c r="D829" t="s">
        <v>2251</v>
      </c>
      <c r="E829" t="s">
        <v>1532</v>
      </c>
      <c r="F829" t="s">
        <v>14</v>
      </c>
      <c r="G829" t="s">
        <v>18</v>
      </c>
      <c r="I829">
        <v>714000</v>
      </c>
      <c r="J829">
        <v>482000</v>
      </c>
      <c r="K829">
        <v>798000</v>
      </c>
      <c r="L829">
        <v>531000</v>
      </c>
    </row>
    <row r="830" spans="1:12" ht="15" customHeight="1">
      <c r="A830" t="s">
        <v>6169</v>
      </c>
      <c r="B830" t="s">
        <v>2252</v>
      </c>
      <c r="C830" t="s">
        <v>12</v>
      </c>
      <c r="D830" t="s">
        <v>2253</v>
      </c>
      <c r="E830" t="s">
        <v>1508</v>
      </c>
      <c r="F830" t="s">
        <v>14</v>
      </c>
      <c r="G830" t="s">
        <v>18</v>
      </c>
      <c r="I830">
        <v>21540000</v>
      </c>
      <c r="J830">
        <v>11373000</v>
      </c>
      <c r="K830">
        <v>24909000</v>
      </c>
      <c r="L830">
        <v>12325000</v>
      </c>
    </row>
    <row r="831" spans="1:12" ht="15" customHeight="1">
      <c r="A831" t="s">
        <v>6170</v>
      </c>
      <c r="B831" t="s">
        <v>2254</v>
      </c>
      <c r="C831" t="s">
        <v>12</v>
      </c>
      <c r="D831" t="s">
        <v>2255</v>
      </c>
      <c r="E831" t="s">
        <v>1738</v>
      </c>
      <c r="F831" t="s">
        <v>14</v>
      </c>
      <c r="G831" t="s">
        <v>18</v>
      </c>
      <c r="I831">
        <v>8596000</v>
      </c>
      <c r="J831">
        <v>8812000</v>
      </c>
      <c r="K831">
        <v>9220000</v>
      </c>
      <c r="L831">
        <v>9860000</v>
      </c>
    </row>
    <row r="832" spans="1:12" ht="15" customHeight="1">
      <c r="A832" t="s">
        <v>6171</v>
      </c>
      <c r="B832" t="s">
        <v>2256</v>
      </c>
      <c r="C832" t="s">
        <v>12</v>
      </c>
      <c r="D832" t="s">
        <v>2257</v>
      </c>
      <c r="E832" t="s">
        <v>1605</v>
      </c>
      <c r="F832" t="s">
        <v>25</v>
      </c>
      <c r="G832" t="s">
        <v>18</v>
      </c>
    </row>
    <row r="833" spans="1:12" ht="15" customHeight="1">
      <c r="A833" t="s">
        <v>6172</v>
      </c>
      <c r="B833" t="s">
        <v>2258</v>
      </c>
      <c r="C833" t="s">
        <v>12</v>
      </c>
      <c r="D833" t="s">
        <v>2259</v>
      </c>
      <c r="E833" t="s">
        <v>1625</v>
      </c>
      <c r="F833" t="s">
        <v>14</v>
      </c>
      <c r="G833" t="s">
        <v>18</v>
      </c>
      <c r="I833">
        <v>177000</v>
      </c>
      <c r="J833">
        <v>1387000</v>
      </c>
      <c r="K833">
        <v>234000</v>
      </c>
      <c r="L833">
        <v>1005000</v>
      </c>
    </row>
    <row r="834" spans="1:12" ht="15" customHeight="1">
      <c r="A834" t="s">
        <v>6173</v>
      </c>
      <c r="B834" t="s">
        <v>2260</v>
      </c>
      <c r="C834" t="s">
        <v>12</v>
      </c>
      <c r="D834" t="s">
        <v>2261</v>
      </c>
      <c r="E834" t="s">
        <v>1776</v>
      </c>
      <c r="F834" t="s">
        <v>14</v>
      </c>
      <c r="G834" t="s">
        <v>18</v>
      </c>
      <c r="I834">
        <v>4888000</v>
      </c>
      <c r="J834">
        <v>3720000</v>
      </c>
      <c r="K834">
        <v>3836000</v>
      </c>
      <c r="L834">
        <v>2747000</v>
      </c>
    </row>
    <row r="835" spans="1:12" ht="15" customHeight="1">
      <c r="A835" t="s">
        <v>6174</v>
      </c>
      <c r="B835" t="s">
        <v>2262</v>
      </c>
      <c r="C835" t="s">
        <v>12</v>
      </c>
      <c r="D835" t="s">
        <v>2263</v>
      </c>
      <c r="E835" t="s">
        <v>1667</v>
      </c>
      <c r="F835" t="s">
        <v>14</v>
      </c>
      <c r="G835" t="s">
        <v>18</v>
      </c>
    </row>
    <row r="836" spans="1:12" ht="15" customHeight="1">
      <c r="A836" t="s">
        <v>6175</v>
      </c>
      <c r="B836" t="s">
        <v>2264</v>
      </c>
      <c r="C836" t="s">
        <v>12</v>
      </c>
      <c r="D836" t="s">
        <v>2265</v>
      </c>
      <c r="E836" t="s">
        <v>1642</v>
      </c>
      <c r="F836" t="s">
        <v>14</v>
      </c>
      <c r="G836" t="s">
        <v>18</v>
      </c>
      <c r="I836">
        <v>5777000</v>
      </c>
      <c r="J836">
        <v>5569000</v>
      </c>
      <c r="K836">
        <v>5621000</v>
      </c>
      <c r="L836">
        <v>5482000</v>
      </c>
    </row>
    <row r="837" spans="1:12" ht="15" customHeight="1">
      <c r="A837" t="s">
        <v>6176</v>
      </c>
      <c r="B837" t="s">
        <v>2266</v>
      </c>
      <c r="C837" t="s">
        <v>12</v>
      </c>
      <c r="D837" t="s">
        <v>2267</v>
      </c>
      <c r="E837" t="s">
        <v>1517</v>
      </c>
      <c r="F837" t="s">
        <v>25</v>
      </c>
      <c r="G837" t="s">
        <v>18</v>
      </c>
      <c r="I837">
        <v>1126000</v>
      </c>
      <c r="J837">
        <v>1335000</v>
      </c>
      <c r="K837">
        <v>1139000</v>
      </c>
      <c r="L837">
        <v>1322000</v>
      </c>
    </row>
    <row r="838" spans="1:12" ht="15" customHeight="1">
      <c r="A838" t="s">
        <v>6177</v>
      </c>
      <c r="B838" t="s">
        <v>2268</v>
      </c>
      <c r="C838" t="s">
        <v>12</v>
      </c>
      <c r="D838" t="s">
        <v>2269</v>
      </c>
      <c r="E838" t="s">
        <v>1516</v>
      </c>
      <c r="F838" t="s">
        <v>14</v>
      </c>
      <c r="G838" t="s">
        <v>18</v>
      </c>
    </row>
    <row r="839" spans="1:12" ht="15" customHeight="1">
      <c r="A839" t="s">
        <v>6178</v>
      </c>
      <c r="B839" t="s">
        <v>2270</v>
      </c>
      <c r="C839" t="s">
        <v>12</v>
      </c>
      <c r="D839" t="s">
        <v>2271</v>
      </c>
      <c r="E839" t="s">
        <v>1513</v>
      </c>
      <c r="F839" t="s">
        <v>25</v>
      </c>
      <c r="G839" t="s">
        <v>18</v>
      </c>
      <c r="I839">
        <v>725000</v>
      </c>
      <c r="J839">
        <v>614000</v>
      </c>
      <c r="K839">
        <v>978000</v>
      </c>
      <c r="L839">
        <v>490000</v>
      </c>
    </row>
    <row r="840" spans="1:12" ht="15" customHeight="1">
      <c r="A840" t="s">
        <v>6179</v>
      </c>
      <c r="B840" t="s">
        <v>2272</v>
      </c>
      <c r="C840" t="s">
        <v>12</v>
      </c>
      <c r="D840" t="s">
        <v>2273</v>
      </c>
      <c r="E840" t="s">
        <v>1524</v>
      </c>
      <c r="F840" t="s">
        <v>14</v>
      </c>
      <c r="G840" t="s">
        <v>18</v>
      </c>
    </row>
    <row r="841" spans="1:12" ht="15" customHeight="1">
      <c r="A841" t="s">
        <v>6180</v>
      </c>
      <c r="B841" t="s">
        <v>2274</v>
      </c>
      <c r="C841" t="s">
        <v>12</v>
      </c>
      <c r="D841" t="s">
        <v>2275</v>
      </c>
      <c r="E841" t="s">
        <v>1533</v>
      </c>
      <c r="F841" t="s">
        <v>14</v>
      </c>
      <c r="G841" t="s">
        <v>18</v>
      </c>
      <c r="I841">
        <v>643000</v>
      </c>
      <c r="J841">
        <v>1136000</v>
      </c>
      <c r="K841">
        <v>625000</v>
      </c>
      <c r="L841">
        <v>751000</v>
      </c>
    </row>
    <row r="842" spans="1:12" ht="15" customHeight="1">
      <c r="A842" t="s">
        <v>6181</v>
      </c>
      <c r="B842" t="s">
        <v>2276</v>
      </c>
      <c r="C842" t="s">
        <v>12</v>
      </c>
      <c r="D842" t="s">
        <v>2277</v>
      </c>
      <c r="E842" t="s">
        <v>1737</v>
      </c>
      <c r="F842" t="s">
        <v>14</v>
      </c>
      <c r="G842" t="s">
        <v>22</v>
      </c>
      <c r="I842">
        <v>6435000</v>
      </c>
      <c r="J842">
        <v>8435000</v>
      </c>
      <c r="K842">
        <v>6469000</v>
      </c>
      <c r="L842">
        <v>7590000</v>
      </c>
    </row>
    <row r="843" spans="1:12" ht="15" customHeight="1">
      <c r="A843" t="s">
        <v>6182</v>
      </c>
      <c r="B843" t="s">
        <v>2278</v>
      </c>
      <c r="C843" t="s">
        <v>12</v>
      </c>
      <c r="D843" t="s">
        <v>2279</v>
      </c>
      <c r="E843" t="s">
        <v>1544</v>
      </c>
      <c r="F843" t="s">
        <v>14</v>
      </c>
      <c r="G843" t="s">
        <v>18</v>
      </c>
      <c r="I843">
        <v>702000</v>
      </c>
      <c r="J843">
        <v>6392000</v>
      </c>
      <c r="K843">
        <v>702000</v>
      </c>
      <c r="L843">
        <v>6076000</v>
      </c>
    </row>
    <row r="844" spans="1:12" ht="15" customHeight="1">
      <c r="A844" t="s">
        <v>6183</v>
      </c>
      <c r="B844" t="s">
        <v>2280</v>
      </c>
      <c r="C844" t="s">
        <v>12</v>
      </c>
      <c r="D844" t="s">
        <v>2281</v>
      </c>
      <c r="E844" t="s">
        <v>1532</v>
      </c>
      <c r="F844" t="s">
        <v>14</v>
      </c>
      <c r="G844" t="s">
        <v>18</v>
      </c>
    </row>
    <row r="845" spans="1:12" ht="15" customHeight="1">
      <c r="A845" t="s">
        <v>6184</v>
      </c>
      <c r="B845" t="s">
        <v>2282</v>
      </c>
      <c r="C845" t="s">
        <v>12</v>
      </c>
      <c r="D845" t="s">
        <v>2283</v>
      </c>
      <c r="E845" t="s">
        <v>1519</v>
      </c>
      <c r="F845" t="s">
        <v>14</v>
      </c>
      <c r="G845" t="s">
        <v>18</v>
      </c>
    </row>
    <row r="846" spans="1:12" ht="15" customHeight="1">
      <c r="A846" t="s">
        <v>6185</v>
      </c>
      <c r="B846" t="s">
        <v>2284</v>
      </c>
      <c r="C846" t="s">
        <v>12</v>
      </c>
      <c r="D846" t="s">
        <v>2285</v>
      </c>
      <c r="E846" t="s">
        <v>1532</v>
      </c>
      <c r="F846" t="s">
        <v>14</v>
      </c>
      <c r="G846" t="s">
        <v>18</v>
      </c>
    </row>
    <row r="847" spans="1:12" ht="15" customHeight="1">
      <c r="A847" t="s">
        <v>6186</v>
      </c>
      <c r="B847" t="s">
        <v>2286</v>
      </c>
      <c r="C847" t="s">
        <v>12</v>
      </c>
      <c r="D847" t="s">
        <v>2287</v>
      </c>
      <c r="E847" t="s">
        <v>1532</v>
      </c>
      <c r="F847" t="s">
        <v>14</v>
      </c>
      <c r="G847" t="s">
        <v>18</v>
      </c>
      <c r="K847">
        <v>2000</v>
      </c>
    </row>
    <row r="848" spans="1:12" ht="15" customHeight="1">
      <c r="A848" t="s">
        <v>6187</v>
      </c>
      <c r="B848" t="s">
        <v>2288</v>
      </c>
      <c r="C848" t="s">
        <v>12</v>
      </c>
      <c r="D848" t="s">
        <v>2289</v>
      </c>
      <c r="E848" t="s">
        <v>1532</v>
      </c>
      <c r="F848" t="s">
        <v>14</v>
      </c>
      <c r="G848" t="s">
        <v>18</v>
      </c>
      <c r="I848">
        <v>2248000</v>
      </c>
      <c r="J848">
        <v>1222000</v>
      </c>
      <c r="K848">
        <v>2417000</v>
      </c>
      <c r="L848">
        <v>1222000</v>
      </c>
    </row>
    <row r="849" spans="1:12" ht="15" customHeight="1">
      <c r="A849" t="s">
        <v>6188</v>
      </c>
      <c r="B849" t="s">
        <v>2290</v>
      </c>
      <c r="C849" t="s">
        <v>12</v>
      </c>
      <c r="D849" t="s">
        <v>2291</v>
      </c>
      <c r="E849" t="s">
        <v>1508</v>
      </c>
      <c r="F849" t="s">
        <v>14</v>
      </c>
      <c r="G849" t="s">
        <v>18</v>
      </c>
    </row>
    <row r="850" spans="1:12" ht="15" customHeight="1">
      <c r="A850" t="s">
        <v>6189</v>
      </c>
      <c r="B850" t="s">
        <v>2292</v>
      </c>
      <c r="C850" t="s">
        <v>12</v>
      </c>
      <c r="D850" t="s">
        <v>2293</v>
      </c>
      <c r="E850" t="s">
        <v>1580</v>
      </c>
      <c r="F850" t="s">
        <v>25</v>
      </c>
      <c r="G850" t="s">
        <v>18</v>
      </c>
      <c r="J850">
        <v>12000</v>
      </c>
      <c r="L850">
        <v>13000</v>
      </c>
    </row>
    <row r="851" spans="1:12" ht="15" customHeight="1">
      <c r="A851" t="s">
        <v>6190</v>
      </c>
      <c r="B851" t="s">
        <v>2294</v>
      </c>
      <c r="C851" t="s">
        <v>12</v>
      </c>
      <c r="D851" t="s">
        <v>2295</v>
      </c>
      <c r="E851" t="s">
        <v>1544</v>
      </c>
      <c r="F851" t="s">
        <v>14</v>
      </c>
      <c r="G851" t="s">
        <v>18</v>
      </c>
    </row>
    <row r="852" spans="1:12" ht="15" customHeight="1">
      <c r="A852" t="s">
        <v>6191</v>
      </c>
      <c r="B852" t="s">
        <v>2296</v>
      </c>
      <c r="C852" t="s">
        <v>12</v>
      </c>
      <c r="D852" t="s">
        <v>2297</v>
      </c>
      <c r="E852" t="s">
        <v>1524</v>
      </c>
      <c r="F852" t="s">
        <v>14</v>
      </c>
      <c r="G852" t="s">
        <v>18</v>
      </c>
      <c r="I852">
        <v>70120000</v>
      </c>
      <c r="J852">
        <v>17863000</v>
      </c>
      <c r="K852">
        <v>36942000</v>
      </c>
      <c r="L852">
        <v>46995000</v>
      </c>
    </row>
    <row r="853" spans="1:12" ht="15" customHeight="1">
      <c r="A853" t="s">
        <v>6192</v>
      </c>
      <c r="B853" t="s">
        <v>2298</v>
      </c>
      <c r="C853" t="s">
        <v>12</v>
      </c>
      <c r="D853" t="s">
        <v>2299</v>
      </c>
      <c r="E853" t="s">
        <v>1520</v>
      </c>
      <c r="F853" t="s">
        <v>14</v>
      </c>
      <c r="G853" t="s">
        <v>18</v>
      </c>
      <c r="I853">
        <v>155000</v>
      </c>
      <c r="J853">
        <v>212000</v>
      </c>
      <c r="K853">
        <v>29000</v>
      </c>
      <c r="L853">
        <v>9000</v>
      </c>
    </row>
    <row r="854" spans="1:12" ht="15" customHeight="1">
      <c r="A854" t="s">
        <v>6193</v>
      </c>
      <c r="B854" t="s">
        <v>2300</v>
      </c>
      <c r="C854" t="s">
        <v>12</v>
      </c>
      <c r="D854" t="s">
        <v>2301</v>
      </c>
      <c r="E854" t="s">
        <v>1518</v>
      </c>
      <c r="F854" t="s">
        <v>14</v>
      </c>
      <c r="G854" t="s">
        <v>18</v>
      </c>
    </row>
    <row r="855" spans="1:12" ht="15" customHeight="1">
      <c r="A855" t="s">
        <v>6194</v>
      </c>
      <c r="B855" t="s">
        <v>2302</v>
      </c>
      <c r="C855" t="s">
        <v>12</v>
      </c>
      <c r="D855" t="s">
        <v>2303</v>
      </c>
      <c r="E855" t="s">
        <v>1526</v>
      </c>
      <c r="F855" t="s">
        <v>14</v>
      </c>
      <c r="G855" t="s">
        <v>18</v>
      </c>
      <c r="I855">
        <v>60000</v>
      </c>
      <c r="J855">
        <v>345000</v>
      </c>
      <c r="K855">
        <v>113000</v>
      </c>
      <c r="L855">
        <v>98000</v>
      </c>
    </row>
    <row r="856" spans="1:12" ht="15" customHeight="1">
      <c r="A856" t="s">
        <v>6195</v>
      </c>
      <c r="B856" t="s">
        <v>2304</v>
      </c>
      <c r="C856" t="s">
        <v>12</v>
      </c>
      <c r="D856" t="s">
        <v>2305</v>
      </c>
      <c r="E856" t="s">
        <v>1518</v>
      </c>
      <c r="F856" t="s">
        <v>14</v>
      </c>
      <c r="G856" t="s">
        <v>18</v>
      </c>
      <c r="I856">
        <v>6958000</v>
      </c>
      <c r="J856">
        <v>11261000</v>
      </c>
      <c r="K856">
        <v>8025000</v>
      </c>
      <c r="L856">
        <v>8396000</v>
      </c>
    </row>
    <row r="857" spans="1:12" ht="15" customHeight="1">
      <c r="A857" t="s">
        <v>6196</v>
      </c>
      <c r="B857" t="s">
        <v>2306</v>
      </c>
      <c r="C857" t="s">
        <v>12</v>
      </c>
      <c r="D857" t="s">
        <v>2307</v>
      </c>
      <c r="E857" t="s">
        <v>1527</v>
      </c>
      <c r="F857" t="s">
        <v>14</v>
      </c>
      <c r="G857" t="s">
        <v>77</v>
      </c>
      <c r="J857">
        <v>9367000</v>
      </c>
      <c r="L857">
        <v>7224000</v>
      </c>
    </row>
    <row r="858" spans="1:12" ht="15" customHeight="1">
      <c r="A858" t="s">
        <v>6197</v>
      </c>
      <c r="B858" t="s">
        <v>2308</v>
      </c>
      <c r="C858" t="s">
        <v>12</v>
      </c>
      <c r="D858" t="s">
        <v>2309</v>
      </c>
      <c r="E858" t="s">
        <v>1579</v>
      </c>
      <c r="F858" t="s">
        <v>14</v>
      </c>
      <c r="G858" t="s">
        <v>18</v>
      </c>
      <c r="I858">
        <v>424000</v>
      </c>
      <c r="J858">
        <v>81000</v>
      </c>
      <c r="K858">
        <v>424000</v>
      </c>
      <c r="L858">
        <v>81000</v>
      </c>
    </row>
    <row r="859" spans="1:12" ht="15" customHeight="1">
      <c r="A859" t="s">
        <v>6198</v>
      </c>
      <c r="B859" t="s">
        <v>2310</v>
      </c>
      <c r="C859" t="s">
        <v>12</v>
      </c>
      <c r="D859" t="s">
        <v>2311</v>
      </c>
      <c r="E859" t="s">
        <v>1518</v>
      </c>
      <c r="F859" t="s">
        <v>14</v>
      </c>
      <c r="G859" t="s">
        <v>18</v>
      </c>
      <c r="I859">
        <v>984000</v>
      </c>
      <c r="J859">
        <v>2155000</v>
      </c>
      <c r="K859">
        <v>1824000</v>
      </c>
      <c r="L859">
        <v>2085000</v>
      </c>
    </row>
    <row r="860" spans="1:12" ht="15" customHeight="1">
      <c r="A860" t="s">
        <v>6199</v>
      </c>
      <c r="B860" t="s">
        <v>2312</v>
      </c>
      <c r="C860" t="s">
        <v>12</v>
      </c>
      <c r="D860" t="s">
        <v>2313</v>
      </c>
      <c r="E860" t="s">
        <v>1532</v>
      </c>
      <c r="F860" t="s">
        <v>14</v>
      </c>
      <c r="G860" t="s">
        <v>18</v>
      </c>
    </row>
    <row r="861" spans="1:12" ht="15" customHeight="1">
      <c r="A861" t="s">
        <v>6200</v>
      </c>
      <c r="B861" t="s">
        <v>2314</v>
      </c>
      <c r="C861" t="s">
        <v>12</v>
      </c>
      <c r="D861" t="s">
        <v>2315</v>
      </c>
      <c r="E861" t="s">
        <v>1628</v>
      </c>
      <c r="F861" t="s">
        <v>14</v>
      </c>
      <c r="G861" t="s">
        <v>18</v>
      </c>
      <c r="I861">
        <v>3301000</v>
      </c>
      <c r="J861">
        <v>2714000</v>
      </c>
      <c r="K861">
        <v>3049000</v>
      </c>
      <c r="L861">
        <v>2747000</v>
      </c>
    </row>
    <row r="862" spans="1:12" ht="15" customHeight="1">
      <c r="A862" t="s">
        <v>6201</v>
      </c>
      <c r="B862" t="s">
        <v>2316</v>
      </c>
      <c r="C862" t="s">
        <v>12</v>
      </c>
      <c r="D862" t="s">
        <v>2317</v>
      </c>
      <c r="E862" t="s">
        <v>1619</v>
      </c>
      <c r="F862" t="s">
        <v>14</v>
      </c>
      <c r="G862" t="s">
        <v>18</v>
      </c>
      <c r="I862">
        <v>785000</v>
      </c>
      <c r="J862">
        <v>600000</v>
      </c>
      <c r="K862">
        <v>891000</v>
      </c>
      <c r="L862">
        <v>500000</v>
      </c>
    </row>
    <row r="863" spans="1:12" ht="15" customHeight="1">
      <c r="A863" t="s">
        <v>6202</v>
      </c>
      <c r="B863" t="s">
        <v>2318</v>
      </c>
      <c r="C863" t="s">
        <v>12</v>
      </c>
      <c r="D863" t="s">
        <v>2319</v>
      </c>
      <c r="E863" t="s">
        <v>1801</v>
      </c>
      <c r="F863" t="s">
        <v>14</v>
      </c>
      <c r="G863" t="s">
        <v>18</v>
      </c>
      <c r="I863">
        <v>2794000</v>
      </c>
      <c r="J863">
        <v>110000</v>
      </c>
      <c r="K863">
        <v>3872000</v>
      </c>
      <c r="L863">
        <v>163000</v>
      </c>
    </row>
    <row r="864" spans="1:12" ht="15" customHeight="1">
      <c r="A864" t="s">
        <v>6203</v>
      </c>
      <c r="B864" t="s">
        <v>2320</v>
      </c>
      <c r="C864" t="s">
        <v>12</v>
      </c>
      <c r="D864" t="s">
        <v>2321</v>
      </c>
      <c r="E864" t="s">
        <v>1580</v>
      </c>
      <c r="F864" t="s">
        <v>14</v>
      </c>
      <c r="G864" t="s">
        <v>18</v>
      </c>
    </row>
    <row r="865" spans="1:12" ht="15" customHeight="1">
      <c r="A865" t="s">
        <v>6204</v>
      </c>
      <c r="B865" t="s">
        <v>2322</v>
      </c>
      <c r="C865" t="s">
        <v>12</v>
      </c>
      <c r="D865" t="s">
        <v>2323</v>
      </c>
      <c r="E865" t="s">
        <v>1519</v>
      </c>
      <c r="F865" t="s">
        <v>14</v>
      </c>
      <c r="G865" t="s">
        <v>18</v>
      </c>
    </row>
    <row r="866" spans="1:12" ht="15" customHeight="1">
      <c r="A866" t="s">
        <v>6205</v>
      </c>
      <c r="B866" t="s">
        <v>2324</v>
      </c>
      <c r="C866" t="s">
        <v>12</v>
      </c>
      <c r="D866" t="s">
        <v>2325</v>
      </c>
      <c r="E866" t="s">
        <v>1801</v>
      </c>
      <c r="F866" t="s">
        <v>14</v>
      </c>
      <c r="G866" t="s">
        <v>18</v>
      </c>
      <c r="I866">
        <v>264000</v>
      </c>
      <c r="J866">
        <v>418000</v>
      </c>
      <c r="K866">
        <v>245000</v>
      </c>
      <c r="L866">
        <v>357000</v>
      </c>
    </row>
    <row r="867" spans="1:12" ht="15" customHeight="1">
      <c r="A867" t="s">
        <v>6206</v>
      </c>
      <c r="B867" t="s">
        <v>2326</v>
      </c>
      <c r="C867" t="s">
        <v>12</v>
      </c>
      <c r="D867" t="s">
        <v>2327</v>
      </c>
      <c r="E867" t="s">
        <v>1519</v>
      </c>
      <c r="F867" t="s">
        <v>25</v>
      </c>
      <c r="G867" t="s">
        <v>18</v>
      </c>
      <c r="I867">
        <v>1133000</v>
      </c>
      <c r="J867">
        <v>767000</v>
      </c>
      <c r="K867">
        <v>1131000</v>
      </c>
      <c r="L867">
        <v>775000</v>
      </c>
    </row>
    <row r="868" spans="1:12" ht="15" customHeight="1">
      <c r="A868" t="s">
        <v>6207</v>
      </c>
      <c r="B868" t="s">
        <v>2328</v>
      </c>
      <c r="C868" t="s">
        <v>12</v>
      </c>
      <c r="D868" t="s">
        <v>2329</v>
      </c>
      <c r="E868" t="s">
        <v>1511</v>
      </c>
      <c r="F868" t="s">
        <v>14</v>
      </c>
      <c r="G868" t="s">
        <v>18</v>
      </c>
      <c r="I868">
        <v>300000</v>
      </c>
      <c r="J868">
        <v>200000</v>
      </c>
      <c r="K868">
        <v>239000</v>
      </c>
      <c r="L868">
        <v>222000</v>
      </c>
    </row>
    <row r="869" spans="1:12" ht="15" customHeight="1">
      <c r="A869" t="s">
        <v>6208</v>
      </c>
      <c r="B869" t="s">
        <v>2330</v>
      </c>
      <c r="C869" t="s">
        <v>12</v>
      </c>
      <c r="D869" t="s">
        <v>2331</v>
      </c>
      <c r="E869" t="s">
        <v>1642</v>
      </c>
      <c r="F869" t="s">
        <v>14</v>
      </c>
      <c r="G869" t="s">
        <v>18</v>
      </c>
    </row>
    <row r="870" spans="1:12" ht="15" customHeight="1">
      <c r="A870" t="s">
        <v>6209</v>
      </c>
      <c r="B870" t="s">
        <v>2332</v>
      </c>
      <c r="C870" t="s">
        <v>12</v>
      </c>
      <c r="D870" t="s">
        <v>2333</v>
      </c>
      <c r="E870" t="s">
        <v>1898</v>
      </c>
      <c r="F870" t="s">
        <v>14</v>
      </c>
      <c r="G870" t="s">
        <v>18</v>
      </c>
      <c r="I870">
        <v>22194000</v>
      </c>
      <c r="J870">
        <v>8805000</v>
      </c>
      <c r="K870">
        <v>17488000</v>
      </c>
      <c r="L870">
        <v>12371000</v>
      </c>
    </row>
    <row r="871" spans="1:12" ht="15" customHeight="1">
      <c r="A871" t="s">
        <v>6210</v>
      </c>
      <c r="B871" t="s">
        <v>2334</v>
      </c>
      <c r="C871" t="s">
        <v>12</v>
      </c>
      <c r="D871" t="s">
        <v>2335</v>
      </c>
      <c r="E871" t="s">
        <v>1526</v>
      </c>
      <c r="F871" t="s">
        <v>14</v>
      </c>
      <c r="G871" t="s">
        <v>18</v>
      </c>
      <c r="I871">
        <v>887000</v>
      </c>
      <c r="J871">
        <v>967000</v>
      </c>
      <c r="K871">
        <v>963000</v>
      </c>
      <c r="L871">
        <v>925000</v>
      </c>
    </row>
    <row r="872" spans="1:12" ht="15" customHeight="1">
      <c r="A872" t="s">
        <v>6211</v>
      </c>
      <c r="B872" t="s">
        <v>2336</v>
      </c>
      <c r="C872" t="s">
        <v>12</v>
      </c>
      <c r="D872" t="s">
        <v>2337</v>
      </c>
      <c r="E872" t="s">
        <v>1519</v>
      </c>
      <c r="F872" t="s">
        <v>14</v>
      </c>
      <c r="G872" t="s">
        <v>18</v>
      </c>
      <c r="I872">
        <v>790000</v>
      </c>
      <c r="J872">
        <v>1611000</v>
      </c>
      <c r="K872">
        <v>790000</v>
      </c>
      <c r="L872">
        <v>1611000</v>
      </c>
    </row>
    <row r="873" spans="1:12" ht="15" customHeight="1">
      <c r="A873" t="s">
        <v>6212</v>
      </c>
      <c r="B873" t="s">
        <v>2338</v>
      </c>
      <c r="C873" t="s">
        <v>12</v>
      </c>
      <c r="D873" t="s">
        <v>2339</v>
      </c>
      <c r="E873" t="s">
        <v>1532</v>
      </c>
      <c r="F873" t="s">
        <v>14</v>
      </c>
      <c r="G873" t="s">
        <v>18</v>
      </c>
      <c r="J873">
        <v>108000</v>
      </c>
      <c r="L873">
        <v>118000</v>
      </c>
    </row>
    <row r="874" spans="1:12" ht="15" customHeight="1">
      <c r="A874" t="s">
        <v>6213</v>
      </c>
      <c r="B874" t="s">
        <v>2340</v>
      </c>
      <c r="C874" t="s">
        <v>12</v>
      </c>
      <c r="D874" t="s">
        <v>2341</v>
      </c>
      <c r="E874" t="s">
        <v>1534</v>
      </c>
      <c r="F874" t="s">
        <v>14</v>
      </c>
      <c r="G874" t="s">
        <v>18</v>
      </c>
      <c r="I874">
        <v>2530000</v>
      </c>
      <c r="J874">
        <v>2682000</v>
      </c>
      <c r="K874">
        <v>3064000</v>
      </c>
      <c r="L874">
        <v>2932000</v>
      </c>
    </row>
    <row r="875" spans="1:12" ht="15" customHeight="1">
      <c r="A875" t="s">
        <v>6214</v>
      </c>
      <c r="B875" t="s">
        <v>2342</v>
      </c>
      <c r="C875" t="s">
        <v>12</v>
      </c>
      <c r="D875" t="s">
        <v>2343</v>
      </c>
      <c r="E875" t="s">
        <v>1580</v>
      </c>
      <c r="F875" t="s">
        <v>14</v>
      </c>
      <c r="G875" t="s">
        <v>18</v>
      </c>
      <c r="J875">
        <v>5077000</v>
      </c>
      <c r="L875">
        <v>5730000</v>
      </c>
    </row>
    <row r="876" spans="1:12" ht="15" customHeight="1">
      <c r="A876" t="s">
        <v>6215</v>
      </c>
      <c r="B876" t="s">
        <v>2344</v>
      </c>
      <c r="C876" t="s">
        <v>12</v>
      </c>
      <c r="D876" t="s">
        <v>2345</v>
      </c>
      <c r="E876" t="s">
        <v>1532</v>
      </c>
      <c r="F876" t="s">
        <v>14</v>
      </c>
      <c r="G876" t="s">
        <v>18</v>
      </c>
      <c r="I876">
        <v>14400000</v>
      </c>
      <c r="J876">
        <v>15660000</v>
      </c>
      <c r="K876">
        <v>15661000</v>
      </c>
      <c r="L876">
        <v>15923000</v>
      </c>
    </row>
    <row r="877" spans="1:12" ht="15" customHeight="1">
      <c r="A877" t="s">
        <v>6216</v>
      </c>
      <c r="B877" t="s">
        <v>2346</v>
      </c>
      <c r="C877" t="s">
        <v>12</v>
      </c>
      <c r="D877" t="s">
        <v>2347</v>
      </c>
      <c r="E877" t="s">
        <v>1589</v>
      </c>
      <c r="F877" t="s">
        <v>14</v>
      </c>
      <c r="G877" t="s">
        <v>18</v>
      </c>
      <c r="I877">
        <v>1170000</v>
      </c>
      <c r="J877">
        <v>414000</v>
      </c>
      <c r="K877">
        <v>968000</v>
      </c>
      <c r="L877">
        <v>588000</v>
      </c>
    </row>
    <row r="878" spans="1:12" ht="15" customHeight="1">
      <c r="A878" t="s">
        <v>6217</v>
      </c>
      <c r="B878" t="s">
        <v>2348</v>
      </c>
      <c r="C878" t="s">
        <v>12</v>
      </c>
      <c r="D878" t="s">
        <v>2349</v>
      </c>
      <c r="E878" t="s">
        <v>1595</v>
      </c>
      <c r="F878" t="s">
        <v>14</v>
      </c>
      <c r="G878" t="s">
        <v>18</v>
      </c>
    </row>
    <row r="879" spans="1:12" ht="15" customHeight="1">
      <c r="A879" t="s">
        <v>6218</v>
      </c>
      <c r="B879" t="s">
        <v>2350</v>
      </c>
      <c r="C879" t="s">
        <v>12</v>
      </c>
      <c r="D879" t="s">
        <v>2351</v>
      </c>
      <c r="E879" t="s">
        <v>1521</v>
      </c>
      <c r="F879" t="s">
        <v>14</v>
      </c>
      <c r="G879" t="s">
        <v>18</v>
      </c>
      <c r="I879">
        <v>34000</v>
      </c>
      <c r="K879">
        <v>56000</v>
      </c>
    </row>
    <row r="880" spans="1:12" ht="15" customHeight="1">
      <c r="A880" t="s">
        <v>6217</v>
      </c>
      <c r="B880" t="s">
        <v>2352</v>
      </c>
      <c r="C880" t="s">
        <v>12</v>
      </c>
      <c r="D880" t="s">
        <v>2353</v>
      </c>
      <c r="E880" t="s">
        <v>1533</v>
      </c>
      <c r="F880" t="s">
        <v>14</v>
      </c>
      <c r="G880" t="s">
        <v>18</v>
      </c>
      <c r="I880">
        <v>55202000</v>
      </c>
      <c r="J880">
        <v>46132000</v>
      </c>
      <c r="K880">
        <v>44774000</v>
      </c>
      <c r="L880">
        <v>52549000</v>
      </c>
    </row>
    <row r="881" spans="1:12" ht="15" customHeight="1">
      <c r="A881" t="s">
        <v>6219</v>
      </c>
      <c r="B881" t="s">
        <v>2354</v>
      </c>
      <c r="C881" t="s">
        <v>12</v>
      </c>
      <c r="D881" t="s">
        <v>2355</v>
      </c>
      <c r="E881" t="s">
        <v>1560</v>
      </c>
      <c r="F881" t="s">
        <v>14</v>
      </c>
      <c r="G881" t="s">
        <v>18</v>
      </c>
    </row>
    <row r="882" spans="1:12" ht="15" customHeight="1">
      <c r="A882" t="s">
        <v>6220</v>
      </c>
      <c r="B882" t="s">
        <v>2356</v>
      </c>
      <c r="C882" t="s">
        <v>12</v>
      </c>
      <c r="D882" t="s">
        <v>2357</v>
      </c>
      <c r="E882" t="s">
        <v>1510</v>
      </c>
      <c r="F882" t="s">
        <v>14</v>
      </c>
      <c r="G882" t="s">
        <v>18</v>
      </c>
      <c r="I882">
        <v>58000</v>
      </c>
      <c r="K882">
        <v>58000</v>
      </c>
    </row>
    <row r="883" spans="1:12" ht="15" customHeight="1">
      <c r="A883" t="s">
        <v>6221</v>
      </c>
      <c r="B883" t="s">
        <v>2358</v>
      </c>
      <c r="C883" t="s">
        <v>12</v>
      </c>
      <c r="D883" t="s">
        <v>2359</v>
      </c>
      <c r="E883" t="s">
        <v>1532</v>
      </c>
      <c r="F883" t="s">
        <v>14</v>
      </c>
      <c r="G883" t="s">
        <v>18</v>
      </c>
    </row>
    <row r="884" spans="1:12" ht="15" customHeight="1">
      <c r="A884" t="s">
        <v>6222</v>
      </c>
      <c r="B884" t="s">
        <v>2360</v>
      </c>
      <c r="C884" t="s">
        <v>12</v>
      </c>
      <c r="D884" t="s">
        <v>2361</v>
      </c>
      <c r="E884" t="s">
        <v>1629</v>
      </c>
      <c r="F884" t="s">
        <v>14</v>
      </c>
      <c r="G884" t="s">
        <v>18</v>
      </c>
      <c r="I884">
        <v>534000</v>
      </c>
      <c r="J884">
        <v>64000</v>
      </c>
      <c r="K884">
        <v>581000</v>
      </c>
      <c r="L884">
        <v>291000</v>
      </c>
    </row>
    <row r="885" spans="1:12" ht="15" customHeight="1">
      <c r="A885" t="s">
        <v>6223</v>
      </c>
      <c r="B885" t="s">
        <v>2362</v>
      </c>
      <c r="C885" t="s">
        <v>12</v>
      </c>
      <c r="D885" t="s">
        <v>2363</v>
      </c>
      <c r="E885" t="s">
        <v>1580</v>
      </c>
      <c r="F885" t="s">
        <v>14</v>
      </c>
      <c r="G885" t="s">
        <v>18</v>
      </c>
      <c r="I885">
        <v>1350000</v>
      </c>
      <c r="J885">
        <v>1169000</v>
      </c>
      <c r="K885">
        <v>1959000</v>
      </c>
      <c r="L885">
        <v>1169000</v>
      </c>
    </row>
    <row r="886" spans="1:12" ht="15" customHeight="1">
      <c r="A886" t="s">
        <v>6224</v>
      </c>
      <c r="B886" t="s">
        <v>2364</v>
      </c>
      <c r="C886" t="s">
        <v>12</v>
      </c>
      <c r="D886" t="s">
        <v>2365</v>
      </c>
      <c r="E886" t="s">
        <v>1504</v>
      </c>
      <c r="F886" t="s">
        <v>14</v>
      </c>
      <c r="G886" t="s">
        <v>18</v>
      </c>
      <c r="I886">
        <v>277000</v>
      </c>
      <c r="J886">
        <v>380000</v>
      </c>
      <c r="K886">
        <v>311000</v>
      </c>
      <c r="L886">
        <v>400000</v>
      </c>
    </row>
    <row r="887" spans="1:12" ht="15" customHeight="1">
      <c r="A887" t="s">
        <v>6225</v>
      </c>
      <c r="B887" t="s">
        <v>2366</v>
      </c>
      <c r="C887" t="s">
        <v>12</v>
      </c>
      <c r="D887" t="s">
        <v>2367</v>
      </c>
      <c r="E887" t="s">
        <v>1629</v>
      </c>
      <c r="F887" t="s">
        <v>14</v>
      </c>
      <c r="G887" t="s">
        <v>18</v>
      </c>
      <c r="I887">
        <v>20000</v>
      </c>
      <c r="J887">
        <v>44000</v>
      </c>
      <c r="K887">
        <v>33000</v>
      </c>
      <c r="L887">
        <v>12000</v>
      </c>
    </row>
    <row r="888" spans="1:12" ht="15" customHeight="1">
      <c r="A888" t="s">
        <v>6226</v>
      </c>
      <c r="B888" t="s">
        <v>2368</v>
      </c>
      <c r="C888" t="s">
        <v>12</v>
      </c>
      <c r="D888" t="s">
        <v>2369</v>
      </c>
      <c r="E888" t="s">
        <v>1628</v>
      </c>
      <c r="F888" t="s">
        <v>14</v>
      </c>
      <c r="G888" t="s">
        <v>18</v>
      </c>
      <c r="I888">
        <v>2458000</v>
      </c>
      <c r="J888">
        <v>3697000</v>
      </c>
      <c r="K888">
        <v>4937000</v>
      </c>
      <c r="L888">
        <v>5451000</v>
      </c>
    </row>
    <row r="889" spans="1:12" ht="15" customHeight="1">
      <c r="A889" t="s">
        <v>6227</v>
      </c>
      <c r="B889" t="s">
        <v>2370</v>
      </c>
      <c r="C889" t="s">
        <v>12</v>
      </c>
      <c r="D889" t="s">
        <v>2371</v>
      </c>
      <c r="E889" t="s">
        <v>1512</v>
      </c>
      <c r="F889" t="s">
        <v>14</v>
      </c>
      <c r="G889" t="s">
        <v>18</v>
      </c>
      <c r="I889">
        <v>15359000</v>
      </c>
      <c r="J889">
        <v>8890000</v>
      </c>
      <c r="K889">
        <v>17273000</v>
      </c>
      <c r="L889">
        <v>9290000</v>
      </c>
    </row>
    <row r="890" spans="1:12" ht="15" customHeight="1">
      <c r="A890" t="s">
        <v>6228</v>
      </c>
      <c r="B890" t="s">
        <v>2372</v>
      </c>
      <c r="C890" t="s">
        <v>12</v>
      </c>
      <c r="D890" t="s">
        <v>2373</v>
      </c>
      <c r="E890" t="s">
        <v>1754</v>
      </c>
      <c r="F890" t="s">
        <v>14</v>
      </c>
      <c r="G890" t="s">
        <v>18</v>
      </c>
      <c r="I890">
        <v>288000</v>
      </c>
      <c r="J890">
        <v>294000</v>
      </c>
      <c r="K890">
        <v>267000</v>
      </c>
      <c r="L890">
        <v>314000</v>
      </c>
    </row>
    <row r="891" spans="1:12" ht="15" customHeight="1">
      <c r="A891" t="s">
        <v>6229</v>
      </c>
      <c r="B891" t="s">
        <v>2374</v>
      </c>
      <c r="C891" t="s">
        <v>12</v>
      </c>
      <c r="D891" t="s">
        <v>2375</v>
      </c>
      <c r="E891" t="s">
        <v>1524</v>
      </c>
      <c r="F891" t="s">
        <v>14</v>
      </c>
      <c r="G891" t="s">
        <v>18</v>
      </c>
      <c r="I891">
        <v>2288000</v>
      </c>
      <c r="J891">
        <v>2401000</v>
      </c>
      <c r="K891">
        <v>2230000</v>
      </c>
      <c r="L891">
        <v>2110000</v>
      </c>
    </row>
    <row r="892" spans="1:12" ht="15" customHeight="1">
      <c r="A892" t="s">
        <v>6230</v>
      </c>
      <c r="B892" t="s">
        <v>2376</v>
      </c>
      <c r="C892" t="s">
        <v>12</v>
      </c>
      <c r="D892" t="s">
        <v>2377</v>
      </c>
      <c r="E892" t="s">
        <v>1521</v>
      </c>
      <c r="F892" t="s">
        <v>14</v>
      </c>
      <c r="G892" t="s">
        <v>18</v>
      </c>
      <c r="I892">
        <v>957000</v>
      </c>
      <c r="J892">
        <v>894000</v>
      </c>
      <c r="K892">
        <v>957000</v>
      </c>
      <c r="L892">
        <v>894000</v>
      </c>
    </row>
    <row r="893" spans="1:12" ht="15" customHeight="1">
      <c r="A893" t="s">
        <v>6231</v>
      </c>
      <c r="B893" t="s">
        <v>2378</v>
      </c>
      <c r="C893" t="s">
        <v>12</v>
      </c>
      <c r="D893" t="s">
        <v>2379</v>
      </c>
      <c r="E893" t="s">
        <v>1532</v>
      </c>
      <c r="F893" t="s">
        <v>14</v>
      </c>
      <c r="G893" t="s">
        <v>18</v>
      </c>
    </row>
    <row r="894" spans="1:12" ht="15" customHeight="1">
      <c r="A894" t="s">
        <v>6232</v>
      </c>
      <c r="B894" t="s">
        <v>2380</v>
      </c>
      <c r="C894" t="s">
        <v>12</v>
      </c>
      <c r="D894" t="s">
        <v>2381</v>
      </c>
      <c r="E894" t="s">
        <v>1516</v>
      </c>
      <c r="F894" t="s">
        <v>14</v>
      </c>
      <c r="G894" t="s">
        <v>18</v>
      </c>
      <c r="I894">
        <v>583000</v>
      </c>
      <c r="J894">
        <v>788000</v>
      </c>
      <c r="K894">
        <v>404000</v>
      </c>
      <c r="L894">
        <v>993000</v>
      </c>
    </row>
    <row r="895" spans="1:12" ht="15" customHeight="1">
      <c r="A895" t="s">
        <v>6233</v>
      </c>
      <c r="B895" t="s">
        <v>2382</v>
      </c>
      <c r="C895" t="s">
        <v>12</v>
      </c>
      <c r="D895" t="s">
        <v>2383</v>
      </c>
      <c r="E895" t="s">
        <v>1662</v>
      </c>
      <c r="F895" t="s">
        <v>14</v>
      </c>
      <c r="G895" t="s">
        <v>18</v>
      </c>
    </row>
    <row r="896" spans="1:12" ht="15" customHeight="1">
      <c r="A896" t="s">
        <v>6234</v>
      </c>
      <c r="B896" t="s">
        <v>2384</v>
      </c>
      <c r="C896" t="s">
        <v>12</v>
      </c>
      <c r="D896" t="s">
        <v>2385</v>
      </c>
      <c r="E896" t="s">
        <v>1642</v>
      </c>
      <c r="F896" t="s">
        <v>14</v>
      </c>
      <c r="G896" t="s">
        <v>18</v>
      </c>
      <c r="I896">
        <v>45222000</v>
      </c>
      <c r="J896">
        <v>84787000</v>
      </c>
      <c r="K896">
        <v>14013000</v>
      </c>
      <c r="L896">
        <v>67207000</v>
      </c>
    </row>
    <row r="897" spans="1:12" ht="15" customHeight="1">
      <c r="A897" t="s">
        <v>6235</v>
      </c>
      <c r="B897" t="s">
        <v>2386</v>
      </c>
      <c r="C897" t="s">
        <v>12</v>
      </c>
      <c r="D897" t="s">
        <v>2387</v>
      </c>
      <c r="E897" t="s">
        <v>1629</v>
      </c>
      <c r="F897" t="s">
        <v>14</v>
      </c>
      <c r="G897" t="s">
        <v>18</v>
      </c>
      <c r="I897">
        <v>5158000</v>
      </c>
      <c r="J897">
        <v>4929000</v>
      </c>
      <c r="K897">
        <v>3029000</v>
      </c>
      <c r="L897">
        <v>7248000</v>
      </c>
    </row>
    <row r="898" spans="1:12" ht="15" customHeight="1">
      <c r="A898" t="s">
        <v>6236</v>
      </c>
      <c r="B898" t="s">
        <v>2388</v>
      </c>
      <c r="C898" t="s">
        <v>12</v>
      </c>
      <c r="D898" t="s">
        <v>2389</v>
      </c>
      <c r="E898" t="s">
        <v>1509</v>
      </c>
      <c r="F898" t="s">
        <v>249</v>
      </c>
      <c r="G898" t="s">
        <v>18</v>
      </c>
      <c r="J898">
        <v>274000</v>
      </c>
      <c r="K898">
        <v>704000</v>
      </c>
      <c r="L898">
        <v>895000</v>
      </c>
    </row>
    <row r="899" spans="1:12" ht="15" customHeight="1">
      <c r="A899" t="s">
        <v>6237</v>
      </c>
      <c r="B899" t="s">
        <v>2390</v>
      </c>
      <c r="C899" t="s">
        <v>12</v>
      </c>
      <c r="D899" t="s">
        <v>2391</v>
      </c>
      <c r="E899" t="s">
        <v>1604</v>
      </c>
      <c r="F899" t="s">
        <v>14</v>
      </c>
      <c r="G899" t="s">
        <v>18</v>
      </c>
      <c r="I899">
        <v>328000</v>
      </c>
      <c r="J899">
        <v>1130000</v>
      </c>
      <c r="K899">
        <v>328000</v>
      </c>
      <c r="L899">
        <v>1128000</v>
      </c>
    </row>
    <row r="900" spans="1:12" ht="15" customHeight="1">
      <c r="A900" t="s">
        <v>6238</v>
      </c>
      <c r="B900" t="s">
        <v>2392</v>
      </c>
      <c r="C900" t="s">
        <v>12</v>
      </c>
      <c r="D900" t="s">
        <v>2393</v>
      </c>
      <c r="E900" t="s">
        <v>1532</v>
      </c>
      <c r="F900" t="s">
        <v>14</v>
      </c>
      <c r="G900" t="s">
        <v>18</v>
      </c>
    </row>
    <row r="901" spans="1:12" ht="15" customHeight="1">
      <c r="A901" t="s">
        <v>6239</v>
      </c>
      <c r="B901" t="s">
        <v>2394</v>
      </c>
      <c r="C901" t="s">
        <v>12</v>
      </c>
      <c r="D901" t="s">
        <v>2395</v>
      </c>
      <c r="E901" t="s">
        <v>1509</v>
      </c>
      <c r="F901" t="s">
        <v>14</v>
      </c>
      <c r="G901" t="s">
        <v>77</v>
      </c>
      <c r="I901">
        <v>4475000</v>
      </c>
      <c r="J901">
        <v>5435000</v>
      </c>
      <c r="K901">
        <v>3830000</v>
      </c>
      <c r="L901">
        <v>5749000</v>
      </c>
    </row>
    <row r="902" spans="1:12" ht="15" customHeight="1">
      <c r="A902" t="s">
        <v>6240</v>
      </c>
      <c r="B902" t="s">
        <v>2396</v>
      </c>
      <c r="C902" t="s">
        <v>12</v>
      </c>
      <c r="D902" t="s">
        <v>2397</v>
      </c>
      <c r="E902" t="s">
        <v>1667</v>
      </c>
      <c r="F902" t="s">
        <v>25</v>
      </c>
      <c r="G902" t="s">
        <v>77</v>
      </c>
      <c r="J902">
        <v>4847000</v>
      </c>
      <c r="L902">
        <v>5099000</v>
      </c>
    </row>
    <row r="903" spans="1:12" ht="15" customHeight="1">
      <c r="A903" t="s">
        <v>6241</v>
      </c>
      <c r="B903" t="s">
        <v>2398</v>
      </c>
      <c r="C903" t="s">
        <v>12</v>
      </c>
      <c r="D903" t="s">
        <v>2399</v>
      </c>
      <c r="E903" t="s">
        <v>1526</v>
      </c>
      <c r="F903" t="s">
        <v>25</v>
      </c>
      <c r="G903" t="s">
        <v>18</v>
      </c>
    </row>
    <row r="904" spans="1:12" ht="15" customHeight="1">
      <c r="A904" t="s">
        <v>6242</v>
      </c>
      <c r="B904" t="s">
        <v>2400</v>
      </c>
      <c r="C904" t="s">
        <v>12</v>
      </c>
      <c r="D904" t="s">
        <v>2401</v>
      </c>
      <c r="E904" t="s">
        <v>1558</v>
      </c>
      <c r="F904" t="s">
        <v>14</v>
      </c>
      <c r="G904" t="s">
        <v>18</v>
      </c>
    </row>
    <row r="905" spans="1:12" ht="15" customHeight="1">
      <c r="A905" t="s">
        <v>6243</v>
      </c>
      <c r="B905" t="s">
        <v>2402</v>
      </c>
      <c r="C905" t="s">
        <v>12</v>
      </c>
      <c r="D905" t="s">
        <v>2403</v>
      </c>
      <c r="E905" t="s">
        <v>1618</v>
      </c>
      <c r="F905" t="s">
        <v>14</v>
      </c>
      <c r="G905" t="s">
        <v>18</v>
      </c>
      <c r="I905">
        <v>397000</v>
      </c>
      <c r="J905">
        <v>1028000</v>
      </c>
      <c r="K905">
        <v>399000</v>
      </c>
      <c r="L905">
        <v>1033000</v>
      </c>
    </row>
    <row r="906" spans="1:12" ht="15" customHeight="1">
      <c r="A906" t="s">
        <v>6244</v>
      </c>
      <c r="B906" t="s">
        <v>2404</v>
      </c>
      <c r="C906" t="s">
        <v>12</v>
      </c>
      <c r="D906" t="s">
        <v>2405</v>
      </c>
      <c r="E906" t="s">
        <v>1565</v>
      </c>
      <c r="F906" t="s">
        <v>25</v>
      </c>
      <c r="G906" t="s">
        <v>18</v>
      </c>
      <c r="I906">
        <v>2391000</v>
      </c>
      <c r="J906">
        <v>5199000</v>
      </c>
      <c r="K906">
        <v>2218000</v>
      </c>
      <c r="L906">
        <v>5320000</v>
      </c>
    </row>
    <row r="907" spans="1:12" ht="15" customHeight="1">
      <c r="A907" t="s">
        <v>6245</v>
      </c>
      <c r="B907" t="s">
        <v>2406</v>
      </c>
      <c r="C907" t="s">
        <v>12</v>
      </c>
      <c r="D907" t="s">
        <v>2407</v>
      </c>
      <c r="E907" t="s">
        <v>1525</v>
      </c>
      <c r="F907" t="s">
        <v>14</v>
      </c>
      <c r="G907" t="s">
        <v>18</v>
      </c>
    </row>
    <row r="908" spans="1:12" ht="15" customHeight="1">
      <c r="A908" t="s">
        <v>6246</v>
      </c>
      <c r="B908" t="s">
        <v>2408</v>
      </c>
      <c r="C908" t="s">
        <v>12</v>
      </c>
      <c r="D908" t="s">
        <v>2409</v>
      </c>
      <c r="E908" t="s">
        <v>1532</v>
      </c>
      <c r="F908" t="s">
        <v>25</v>
      </c>
      <c r="G908" t="s">
        <v>18</v>
      </c>
    </row>
    <row r="909" spans="1:12" ht="15" customHeight="1">
      <c r="A909" t="s">
        <v>6247</v>
      </c>
      <c r="B909" t="s">
        <v>2410</v>
      </c>
      <c r="C909" t="s">
        <v>12</v>
      </c>
      <c r="D909" t="s">
        <v>2411</v>
      </c>
      <c r="E909" t="s">
        <v>1619</v>
      </c>
      <c r="F909" t="s">
        <v>14</v>
      </c>
      <c r="G909" t="s">
        <v>18</v>
      </c>
    </row>
    <row r="910" spans="1:12" ht="15" customHeight="1">
      <c r="A910" t="s">
        <v>6248</v>
      </c>
      <c r="B910" t="s">
        <v>2412</v>
      </c>
      <c r="C910" t="s">
        <v>12</v>
      </c>
      <c r="D910" t="s">
        <v>2413</v>
      </c>
      <c r="E910" t="s">
        <v>1509</v>
      </c>
      <c r="F910" t="s">
        <v>25</v>
      </c>
      <c r="G910" t="s">
        <v>18</v>
      </c>
      <c r="I910">
        <v>5400000</v>
      </c>
      <c r="J910">
        <v>3860000</v>
      </c>
      <c r="K910">
        <v>4779000</v>
      </c>
      <c r="L910">
        <v>4481000</v>
      </c>
    </row>
    <row r="911" spans="1:12" ht="15" customHeight="1">
      <c r="A911" t="s">
        <v>6249</v>
      </c>
      <c r="B911" t="s">
        <v>2414</v>
      </c>
      <c r="C911" t="s">
        <v>12</v>
      </c>
      <c r="D911" t="s">
        <v>2415</v>
      </c>
      <c r="E911" t="s">
        <v>1560</v>
      </c>
      <c r="F911" t="s">
        <v>14</v>
      </c>
      <c r="G911" t="s">
        <v>18</v>
      </c>
      <c r="I911">
        <v>7460000</v>
      </c>
      <c r="J911">
        <v>5011000</v>
      </c>
      <c r="K911">
        <v>9790000</v>
      </c>
      <c r="L911">
        <v>5012000</v>
      </c>
    </row>
    <row r="912" spans="1:12" ht="15" customHeight="1">
      <c r="A912" t="s">
        <v>6250</v>
      </c>
      <c r="B912" t="s">
        <v>2416</v>
      </c>
      <c r="C912" t="s">
        <v>12</v>
      </c>
      <c r="D912" t="s">
        <v>2417</v>
      </c>
      <c r="E912" t="s">
        <v>1646</v>
      </c>
      <c r="F912" t="s">
        <v>14</v>
      </c>
      <c r="G912" t="s">
        <v>18</v>
      </c>
      <c r="I912">
        <v>946000</v>
      </c>
      <c r="K912">
        <v>673000</v>
      </c>
      <c r="L912">
        <v>807000</v>
      </c>
    </row>
    <row r="913" spans="1:12" ht="15" customHeight="1">
      <c r="A913" t="s">
        <v>6251</v>
      </c>
      <c r="B913" t="s">
        <v>2418</v>
      </c>
      <c r="C913" t="s">
        <v>12</v>
      </c>
      <c r="D913" t="s">
        <v>2419</v>
      </c>
      <c r="E913" t="s">
        <v>1829</v>
      </c>
      <c r="F913" t="s">
        <v>25</v>
      </c>
      <c r="G913" t="s">
        <v>77</v>
      </c>
      <c r="I913">
        <v>49236000</v>
      </c>
      <c r="J913">
        <v>34980000</v>
      </c>
      <c r="K913">
        <v>48717000</v>
      </c>
      <c r="L913">
        <v>35886000</v>
      </c>
    </row>
    <row r="914" spans="1:12" ht="15" customHeight="1">
      <c r="A914" t="s">
        <v>6252</v>
      </c>
      <c r="B914" t="s">
        <v>2420</v>
      </c>
      <c r="C914" t="s">
        <v>12</v>
      </c>
      <c r="D914" t="s">
        <v>2421</v>
      </c>
      <c r="E914" t="s">
        <v>1662</v>
      </c>
      <c r="F914" t="s">
        <v>14</v>
      </c>
      <c r="G914" t="s">
        <v>18</v>
      </c>
    </row>
    <row r="915" spans="1:12" ht="15" customHeight="1">
      <c r="A915" t="s">
        <v>6253</v>
      </c>
      <c r="B915" t="s">
        <v>2422</v>
      </c>
      <c r="C915" t="s">
        <v>12</v>
      </c>
      <c r="D915" t="s">
        <v>2423</v>
      </c>
      <c r="E915" t="s">
        <v>1519</v>
      </c>
      <c r="F915" t="s">
        <v>14</v>
      </c>
      <c r="G915" t="s">
        <v>18</v>
      </c>
      <c r="I915">
        <v>19879000</v>
      </c>
      <c r="J915">
        <v>8828000</v>
      </c>
      <c r="K915">
        <v>7816000</v>
      </c>
      <c r="L915">
        <v>13481000</v>
      </c>
    </row>
    <row r="916" spans="1:12" ht="15" customHeight="1">
      <c r="A916" t="s">
        <v>6254</v>
      </c>
      <c r="B916" t="s">
        <v>2424</v>
      </c>
      <c r="C916" t="s">
        <v>12</v>
      </c>
      <c r="D916" t="s">
        <v>2425</v>
      </c>
      <c r="E916" t="s">
        <v>1544</v>
      </c>
      <c r="F916" t="s">
        <v>14</v>
      </c>
      <c r="G916" t="s">
        <v>18</v>
      </c>
    </row>
    <row r="917" spans="1:12" ht="15" customHeight="1">
      <c r="A917" t="s">
        <v>6255</v>
      </c>
      <c r="B917" t="s">
        <v>2426</v>
      </c>
      <c r="C917" t="s">
        <v>12</v>
      </c>
      <c r="D917" t="s">
        <v>2427</v>
      </c>
      <c r="E917" t="s">
        <v>1532</v>
      </c>
      <c r="F917" t="s">
        <v>14</v>
      </c>
      <c r="G917" t="s">
        <v>18</v>
      </c>
      <c r="I917">
        <v>82080000</v>
      </c>
      <c r="J917">
        <v>83759000</v>
      </c>
      <c r="K917">
        <v>79246000</v>
      </c>
      <c r="L917">
        <v>83303000</v>
      </c>
    </row>
    <row r="918" spans="1:12" ht="15" customHeight="1">
      <c r="A918" t="s">
        <v>6256</v>
      </c>
      <c r="B918" t="s">
        <v>2428</v>
      </c>
      <c r="C918" t="s">
        <v>12</v>
      </c>
      <c r="D918" t="s">
        <v>2429</v>
      </c>
      <c r="E918" t="s">
        <v>1595</v>
      </c>
      <c r="F918" t="s">
        <v>14</v>
      </c>
      <c r="G918" t="s">
        <v>18</v>
      </c>
    </row>
    <row r="919" spans="1:12" ht="15" customHeight="1">
      <c r="A919" t="s">
        <v>6256</v>
      </c>
      <c r="B919" t="s">
        <v>2431</v>
      </c>
      <c r="C919" t="s">
        <v>12</v>
      </c>
      <c r="D919" t="s">
        <v>2432</v>
      </c>
      <c r="E919" t="s">
        <v>1829</v>
      </c>
      <c r="F919" t="s">
        <v>14</v>
      </c>
      <c r="G919" t="s">
        <v>18</v>
      </c>
      <c r="I919">
        <v>4378000</v>
      </c>
      <c r="J919">
        <v>2961000</v>
      </c>
      <c r="K919">
        <v>4272000</v>
      </c>
      <c r="L919">
        <v>2961000</v>
      </c>
    </row>
    <row r="920" spans="1:12" ht="15" customHeight="1">
      <c r="A920" t="s">
        <v>6257</v>
      </c>
      <c r="B920" t="s">
        <v>2433</v>
      </c>
      <c r="C920" t="s">
        <v>12</v>
      </c>
      <c r="D920" t="s">
        <v>2434</v>
      </c>
      <c r="E920" t="s">
        <v>1505</v>
      </c>
      <c r="F920" t="s">
        <v>14</v>
      </c>
      <c r="G920" t="s">
        <v>18</v>
      </c>
      <c r="I920">
        <v>754000</v>
      </c>
      <c r="J920">
        <v>685000</v>
      </c>
      <c r="K920">
        <v>754000</v>
      </c>
      <c r="L920">
        <v>685000</v>
      </c>
    </row>
    <row r="921" spans="1:12" ht="15" customHeight="1">
      <c r="A921" t="s">
        <v>6258</v>
      </c>
      <c r="B921" t="s">
        <v>2435</v>
      </c>
      <c r="C921" t="s">
        <v>12</v>
      </c>
      <c r="D921" t="s">
        <v>2436</v>
      </c>
      <c r="E921" t="s">
        <v>1579</v>
      </c>
      <c r="F921" t="s">
        <v>14</v>
      </c>
      <c r="G921" t="s">
        <v>18</v>
      </c>
      <c r="I921">
        <v>64000</v>
      </c>
      <c r="J921">
        <v>96000</v>
      </c>
      <c r="K921">
        <v>94000</v>
      </c>
      <c r="L921">
        <v>81000</v>
      </c>
    </row>
    <row r="922" spans="1:12" ht="15" customHeight="1">
      <c r="A922" t="s">
        <v>6258</v>
      </c>
      <c r="B922" t="s">
        <v>2437</v>
      </c>
      <c r="C922" t="s">
        <v>12</v>
      </c>
      <c r="D922" t="s">
        <v>2438</v>
      </c>
      <c r="E922" t="s">
        <v>1532</v>
      </c>
      <c r="F922" t="s">
        <v>14</v>
      </c>
      <c r="G922" t="s">
        <v>18</v>
      </c>
    </row>
    <row r="923" spans="1:12" ht="15" customHeight="1">
      <c r="A923" t="s">
        <v>6258</v>
      </c>
      <c r="B923" t="s">
        <v>2439</v>
      </c>
      <c r="C923" t="s">
        <v>12</v>
      </c>
      <c r="D923" t="s">
        <v>2440</v>
      </c>
      <c r="E923" t="s">
        <v>1619</v>
      </c>
      <c r="F923" t="s">
        <v>14</v>
      </c>
      <c r="G923" t="s">
        <v>18</v>
      </c>
      <c r="I923">
        <v>449000</v>
      </c>
      <c r="J923">
        <v>227000</v>
      </c>
      <c r="K923">
        <v>528000</v>
      </c>
      <c r="L923">
        <v>250000</v>
      </c>
    </row>
    <row r="924" spans="1:12" ht="15" customHeight="1">
      <c r="A924" t="s">
        <v>6259</v>
      </c>
      <c r="B924" t="s">
        <v>2441</v>
      </c>
      <c r="C924" t="s">
        <v>12</v>
      </c>
      <c r="D924" t="s">
        <v>2442</v>
      </c>
      <c r="E924" t="s">
        <v>1519</v>
      </c>
      <c r="F924" t="s">
        <v>14</v>
      </c>
      <c r="G924" t="s">
        <v>18</v>
      </c>
      <c r="I924">
        <v>2672000</v>
      </c>
      <c r="J924">
        <v>1868000</v>
      </c>
      <c r="K924">
        <v>2793000</v>
      </c>
      <c r="L924">
        <v>1793000</v>
      </c>
    </row>
    <row r="925" spans="1:12" ht="15" customHeight="1">
      <c r="A925" t="s">
        <v>6260</v>
      </c>
      <c r="B925" t="s">
        <v>2443</v>
      </c>
      <c r="C925" t="s">
        <v>12</v>
      </c>
      <c r="D925" t="s">
        <v>2444</v>
      </c>
      <c r="E925" t="s">
        <v>1619</v>
      </c>
      <c r="F925" t="s">
        <v>14</v>
      </c>
      <c r="G925" t="s">
        <v>77</v>
      </c>
      <c r="I925">
        <v>23000</v>
      </c>
      <c r="K925">
        <v>223000</v>
      </c>
    </row>
    <row r="926" spans="1:12" ht="15" customHeight="1">
      <c r="A926" t="s">
        <v>6261</v>
      </c>
      <c r="B926" t="s">
        <v>2445</v>
      </c>
      <c r="C926" t="s">
        <v>12</v>
      </c>
      <c r="D926" t="s">
        <v>2446</v>
      </c>
      <c r="E926" t="s">
        <v>1519</v>
      </c>
      <c r="F926" t="s">
        <v>14</v>
      </c>
      <c r="G926" t="s">
        <v>18</v>
      </c>
      <c r="K926">
        <v>18000</v>
      </c>
      <c r="L926">
        <v>23000</v>
      </c>
    </row>
    <row r="927" spans="1:12" ht="15" customHeight="1">
      <c r="A927" t="s">
        <v>6262</v>
      </c>
      <c r="B927" t="s">
        <v>2447</v>
      </c>
      <c r="C927" t="s">
        <v>12</v>
      </c>
      <c r="D927" t="s">
        <v>2448</v>
      </c>
      <c r="E927" t="s">
        <v>1527</v>
      </c>
      <c r="F927" t="s">
        <v>25</v>
      </c>
      <c r="G927" t="s">
        <v>18</v>
      </c>
    </row>
    <row r="928" spans="1:12" ht="15" customHeight="1">
      <c r="A928" t="s">
        <v>6263</v>
      </c>
      <c r="B928" t="s">
        <v>2449</v>
      </c>
      <c r="C928" t="s">
        <v>12</v>
      </c>
      <c r="D928" t="s">
        <v>2450</v>
      </c>
      <c r="E928" t="s">
        <v>1658</v>
      </c>
      <c r="F928" t="s">
        <v>25</v>
      </c>
      <c r="G928" t="s">
        <v>18</v>
      </c>
      <c r="I928">
        <v>2975000</v>
      </c>
      <c r="K928">
        <v>2975000</v>
      </c>
    </row>
    <row r="929" spans="1:12" ht="15" customHeight="1">
      <c r="A929" t="s">
        <v>6263</v>
      </c>
      <c r="B929" t="s">
        <v>2451</v>
      </c>
      <c r="C929" t="s">
        <v>12</v>
      </c>
      <c r="D929" t="s">
        <v>2452</v>
      </c>
      <c r="E929" t="s">
        <v>1504</v>
      </c>
      <c r="F929" t="s">
        <v>25</v>
      </c>
      <c r="G929" t="s">
        <v>18</v>
      </c>
    </row>
    <row r="930" spans="1:12" ht="15" customHeight="1">
      <c r="A930" t="s">
        <v>6264</v>
      </c>
      <c r="B930" t="s">
        <v>2453</v>
      </c>
      <c r="C930" t="s">
        <v>12</v>
      </c>
      <c r="D930" t="s">
        <v>2454</v>
      </c>
      <c r="E930" t="s">
        <v>1628</v>
      </c>
      <c r="F930" t="s">
        <v>14</v>
      </c>
      <c r="G930" t="s">
        <v>18</v>
      </c>
    </row>
    <row r="931" spans="1:12" ht="15" customHeight="1">
      <c r="A931" t="s">
        <v>6265</v>
      </c>
      <c r="B931" t="s">
        <v>2455</v>
      </c>
      <c r="C931" t="s">
        <v>12</v>
      </c>
      <c r="D931" t="s">
        <v>2456</v>
      </c>
      <c r="E931" t="s">
        <v>1532</v>
      </c>
      <c r="F931" t="s">
        <v>25</v>
      </c>
      <c r="G931" t="s">
        <v>18</v>
      </c>
    </row>
    <row r="932" spans="1:12" ht="15" customHeight="1">
      <c r="A932" t="s">
        <v>6266</v>
      </c>
      <c r="B932" t="s">
        <v>2457</v>
      </c>
      <c r="C932" t="s">
        <v>12</v>
      </c>
      <c r="D932" t="s">
        <v>2458</v>
      </c>
      <c r="E932" t="s">
        <v>1532</v>
      </c>
      <c r="F932" t="s">
        <v>14</v>
      </c>
      <c r="G932" t="s">
        <v>18</v>
      </c>
      <c r="I932">
        <v>65000</v>
      </c>
      <c r="J932">
        <v>1067000</v>
      </c>
      <c r="K932">
        <v>104000</v>
      </c>
      <c r="L932">
        <v>864000</v>
      </c>
    </row>
    <row r="933" spans="1:12" ht="15" customHeight="1">
      <c r="A933" t="s">
        <v>6267</v>
      </c>
      <c r="B933" t="s">
        <v>2459</v>
      </c>
      <c r="C933" t="s">
        <v>12</v>
      </c>
      <c r="D933" t="s">
        <v>2460</v>
      </c>
      <c r="E933" t="s">
        <v>1517</v>
      </c>
      <c r="F933" t="s">
        <v>25</v>
      </c>
      <c r="G933" t="s">
        <v>18</v>
      </c>
      <c r="I933">
        <v>12116000</v>
      </c>
      <c r="J933">
        <v>37413000</v>
      </c>
      <c r="K933">
        <v>12334000</v>
      </c>
      <c r="L933">
        <v>37730000</v>
      </c>
    </row>
    <row r="934" spans="1:12" ht="15" customHeight="1">
      <c r="A934" t="s">
        <v>6268</v>
      </c>
      <c r="B934" t="s">
        <v>2461</v>
      </c>
      <c r="C934" t="s">
        <v>12</v>
      </c>
      <c r="D934" t="s">
        <v>2462</v>
      </c>
      <c r="E934" t="s">
        <v>1642</v>
      </c>
      <c r="F934" t="s">
        <v>14</v>
      </c>
      <c r="G934" t="s">
        <v>18</v>
      </c>
    </row>
    <row r="935" spans="1:12" ht="15" customHeight="1">
      <c r="A935" t="s">
        <v>6269</v>
      </c>
      <c r="B935" t="s">
        <v>2463</v>
      </c>
      <c r="C935" t="s">
        <v>12</v>
      </c>
      <c r="D935" t="s">
        <v>2464</v>
      </c>
      <c r="E935" t="s">
        <v>1532</v>
      </c>
      <c r="F935" t="s">
        <v>14</v>
      </c>
      <c r="G935" t="s">
        <v>18</v>
      </c>
      <c r="J935">
        <v>256000</v>
      </c>
      <c r="L935">
        <v>161000</v>
      </c>
    </row>
    <row r="936" spans="1:12" ht="15" customHeight="1">
      <c r="A936" t="s">
        <v>6270</v>
      </c>
      <c r="B936" t="s">
        <v>2465</v>
      </c>
      <c r="C936" t="s">
        <v>12</v>
      </c>
      <c r="D936" t="s">
        <v>2466</v>
      </c>
      <c r="E936" t="s">
        <v>1505</v>
      </c>
      <c r="F936" t="s">
        <v>14</v>
      </c>
      <c r="G936" t="s">
        <v>77</v>
      </c>
      <c r="I936">
        <v>5336000</v>
      </c>
      <c r="J936">
        <v>9269000</v>
      </c>
      <c r="K936">
        <v>5179000</v>
      </c>
      <c r="L936">
        <v>9654000</v>
      </c>
    </row>
    <row r="937" spans="1:12" ht="15" customHeight="1">
      <c r="A937" t="s">
        <v>6271</v>
      </c>
      <c r="B937" t="s">
        <v>2467</v>
      </c>
      <c r="C937" t="s">
        <v>12</v>
      </c>
      <c r="D937" t="s">
        <v>2468</v>
      </c>
      <c r="E937" t="s">
        <v>1532</v>
      </c>
      <c r="F937" t="s">
        <v>14</v>
      </c>
      <c r="G937" t="s">
        <v>18</v>
      </c>
      <c r="I937">
        <v>110000</v>
      </c>
      <c r="J937">
        <v>123000</v>
      </c>
      <c r="K937">
        <v>111000</v>
      </c>
      <c r="L937">
        <v>71000</v>
      </c>
    </row>
    <row r="938" spans="1:12" ht="15" customHeight="1">
      <c r="A938" t="s">
        <v>6272</v>
      </c>
      <c r="B938" t="s">
        <v>2469</v>
      </c>
      <c r="C938" t="s">
        <v>12</v>
      </c>
      <c r="D938" t="s">
        <v>2470</v>
      </c>
      <c r="E938" t="s">
        <v>1595</v>
      </c>
      <c r="F938" t="s">
        <v>14</v>
      </c>
      <c r="G938" t="s">
        <v>18</v>
      </c>
    </row>
    <row r="939" spans="1:12" ht="15" customHeight="1">
      <c r="A939" t="s">
        <v>6273</v>
      </c>
      <c r="B939" t="s">
        <v>2471</v>
      </c>
      <c r="C939" t="s">
        <v>12</v>
      </c>
      <c r="D939" t="s">
        <v>2472</v>
      </c>
      <c r="E939" t="s">
        <v>1580</v>
      </c>
      <c r="F939" t="s">
        <v>14</v>
      </c>
      <c r="G939" t="s">
        <v>18</v>
      </c>
      <c r="I939">
        <v>921000</v>
      </c>
      <c r="J939">
        <v>441000</v>
      </c>
      <c r="K939">
        <v>921000</v>
      </c>
      <c r="L939">
        <v>441000</v>
      </c>
    </row>
    <row r="940" spans="1:12" ht="15" customHeight="1">
      <c r="A940" t="s">
        <v>6274</v>
      </c>
      <c r="B940" t="s">
        <v>2473</v>
      </c>
      <c r="C940" t="s">
        <v>12</v>
      </c>
      <c r="D940" t="s">
        <v>2474</v>
      </c>
      <c r="E940" t="s">
        <v>1532</v>
      </c>
      <c r="F940" t="s">
        <v>14</v>
      </c>
      <c r="G940" t="s">
        <v>18</v>
      </c>
      <c r="J940">
        <v>200000</v>
      </c>
      <c r="L940">
        <v>201000</v>
      </c>
    </row>
    <row r="941" spans="1:12" ht="15" customHeight="1">
      <c r="A941" t="s">
        <v>6275</v>
      </c>
      <c r="B941" t="s">
        <v>2475</v>
      </c>
      <c r="C941" t="s">
        <v>12</v>
      </c>
      <c r="D941" t="s">
        <v>2476</v>
      </c>
      <c r="E941" t="s">
        <v>1532</v>
      </c>
      <c r="F941" t="s">
        <v>14</v>
      </c>
      <c r="G941" t="s">
        <v>18</v>
      </c>
    </row>
    <row r="942" spans="1:12" ht="15" customHeight="1">
      <c r="A942" t="s">
        <v>6276</v>
      </c>
      <c r="B942" t="s">
        <v>2477</v>
      </c>
      <c r="C942" t="s">
        <v>12</v>
      </c>
      <c r="D942" t="s">
        <v>2478</v>
      </c>
      <c r="E942" t="s">
        <v>1524</v>
      </c>
      <c r="F942" t="s">
        <v>14</v>
      </c>
      <c r="G942" t="s">
        <v>18</v>
      </c>
      <c r="J942">
        <v>483000</v>
      </c>
      <c r="L942">
        <v>478000</v>
      </c>
    </row>
    <row r="943" spans="1:12" ht="15" customHeight="1">
      <c r="A943" t="s">
        <v>6277</v>
      </c>
      <c r="B943" t="s">
        <v>2479</v>
      </c>
      <c r="C943" t="s">
        <v>12</v>
      </c>
      <c r="D943" t="s">
        <v>2480</v>
      </c>
      <c r="E943" t="s">
        <v>1628</v>
      </c>
      <c r="F943" t="s">
        <v>25</v>
      </c>
      <c r="G943" t="s">
        <v>23</v>
      </c>
    </row>
    <row r="944" spans="1:12" ht="15" customHeight="1">
      <c r="A944" t="s">
        <v>6278</v>
      </c>
      <c r="B944" t="s">
        <v>2481</v>
      </c>
      <c r="C944" t="s">
        <v>12</v>
      </c>
      <c r="D944" t="s">
        <v>2482</v>
      </c>
      <c r="E944" t="s">
        <v>1512</v>
      </c>
      <c r="F944" t="s">
        <v>14</v>
      </c>
      <c r="G944" t="s">
        <v>18</v>
      </c>
      <c r="I944">
        <v>5000</v>
      </c>
      <c r="J944">
        <v>5000</v>
      </c>
      <c r="K944">
        <v>5000</v>
      </c>
      <c r="L944">
        <v>5000</v>
      </c>
    </row>
    <row r="945" spans="1:12" ht="15" customHeight="1">
      <c r="A945" t="s">
        <v>6279</v>
      </c>
      <c r="B945" t="s">
        <v>2483</v>
      </c>
      <c r="C945" t="s">
        <v>12</v>
      </c>
      <c r="D945" t="s">
        <v>2484</v>
      </c>
      <c r="E945" t="s">
        <v>1505</v>
      </c>
      <c r="F945" t="s">
        <v>14</v>
      </c>
      <c r="G945" t="s">
        <v>18</v>
      </c>
    </row>
    <row r="946" spans="1:12" ht="15" customHeight="1">
      <c r="A946" t="s">
        <v>6280</v>
      </c>
      <c r="B946" t="s">
        <v>2485</v>
      </c>
      <c r="C946" t="s">
        <v>12</v>
      </c>
      <c r="D946" t="s">
        <v>2486</v>
      </c>
      <c r="E946" t="s">
        <v>1532</v>
      </c>
      <c r="F946" t="s">
        <v>14</v>
      </c>
      <c r="G946" t="s">
        <v>18</v>
      </c>
      <c r="I946">
        <v>758000</v>
      </c>
      <c r="J946">
        <v>35000</v>
      </c>
      <c r="K946">
        <v>1682000</v>
      </c>
      <c r="L946">
        <v>38000</v>
      </c>
    </row>
    <row r="947" spans="1:12" ht="15" customHeight="1">
      <c r="A947" t="s">
        <v>6281</v>
      </c>
      <c r="B947" t="s">
        <v>2487</v>
      </c>
      <c r="C947" t="s">
        <v>12</v>
      </c>
      <c r="D947" t="s">
        <v>2488</v>
      </c>
      <c r="E947" t="s">
        <v>1532</v>
      </c>
      <c r="F947" t="s">
        <v>14</v>
      </c>
      <c r="G947" t="s">
        <v>18</v>
      </c>
      <c r="I947">
        <v>3176000</v>
      </c>
      <c r="J947">
        <v>3149000</v>
      </c>
      <c r="K947">
        <v>3277000</v>
      </c>
      <c r="L947">
        <v>2710000</v>
      </c>
    </row>
    <row r="948" spans="1:12" ht="15" customHeight="1">
      <c r="A948" t="s">
        <v>6282</v>
      </c>
      <c r="B948" t="s">
        <v>2489</v>
      </c>
      <c r="C948" t="s">
        <v>12</v>
      </c>
      <c r="D948" t="s">
        <v>2490</v>
      </c>
      <c r="E948" t="s">
        <v>1520</v>
      </c>
      <c r="F948" t="s">
        <v>25</v>
      </c>
      <c r="G948" t="s">
        <v>18</v>
      </c>
      <c r="I948">
        <v>4040000</v>
      </c>
      <c r="J948">
        <v>51615000</v>
      </c>
      <c r="K948">
        <v>3670000</v>
      </c>
      <c r="L948">
        <v>43708000</v>
      </c>
    </row>
    <row r="949" spans="1:12" ht="15" customHeight="1">
      <c r="A949" t="s">
        <v>6283</v>
      </c>
      <c r="B949" t="s">
        <v>2491</v>
      </c>
      <c r="C949" t="s">
        <v>12</v>
      </c>
      <c r="D949" t="s">
        <v>2492</v>
      </c>
      <c r="E949" t="s">
        <v>1642</v>
      </c>
      <c r="F949" t="s">
        <v>25</v>
      </c>
      <c r="G949" t="s">
        <v>18</v>
      </c>
    </row>
    <row r="950" spans="1:12" ht="15" customHeight="1">
      <c r="A950" t="s">
        <v>6284</v>
      </c>
      <c r="B950" t="s">
        <v>2493</v>
      </c>
      <c r="C950" t="s">
        <v>12</v>
      </c>
      <c r="D950" t="s">
        <v>2494</v>
      </c>
      <c r="E950" t="s">
        <v>1533</v>
      </c>
      <c r="F950" t="s">
        <v>14</v>
      </c>
      <c r="G950" t="s">
        <v>18</v>
      </c>
      <c r="I950">
        <v>3959000</v>
      </c>
      <c r="J950">
        <v>1822000</v>
      </c>
      <c r="K950">
        <v>2994000</v>
      </c>
      <c r="L950">
        <v>2942000</v>
      </c>
    </row>
    <row r="951" spans="1:12" ht="15" customHeight="1">
      <c r="A951" t="s">
        <v>6285</v>
      </c>
      <c r="B951" t="s">
        <v>2495</v>
      </c>
      <c r="C951" t="s">
        <v>12</v>
      </c>
      <c r="D951" t="s">
        <v>2496</v>
      </c>
      <c r="E951" t="s">
        <v>1801</v>
      </c>
      <c r="F951" t="s">
        <v>14</v>
      </c>
      <c r="G951" t="s">
        <v>18</v>
      </c>
      <c r="I951">
        <v>33000</v>
      </c>
      <c r="K951">
        <v>45000</v>
      </c>
    </row>
    <row r="952" spans="1:12" ht="15" customHeight="1">
      <c r="A952" t="s">
        <v>6286</v>
      </c>
      <c r="B952" t="s">
        <v>2497</v>
      </c>
      <c r="C952" t="s">
        <v>12</v>
      </c>
      <c r="D952" t="s">
        <v>2498</v>
      </c>
      <c r="E952" t="s">
        <v>1532</v>
      </c>
      <c r="F952" t="s">
        <v>14</v>
      </c>
      <c r="G952" t="s">
        <v>18</v>
      </c>
      <c r="J952">
        <v>7114000</v>
      </c>
      <c r="L952">
        <v>6329000</v>
      </c>
    </row>
    <row r="953" spans="1:12" ht="15" customHeight="1">
      <c r="A953" t="s">
        <v>6287</v>
      </c>
      <c r="B953" t="s">
        <v>2499</v>
      </c>
      <c r="C953" t="s">
        <v>12</v>
      </c>
      <c r="D953" t="s">
        <v>2500</v>
      </c>
      <c r="E953" t="s">
        <v>1534</v>
      </c>
      <c r="F953" t="s">
        <v>14</v>
      </c>
      <c r="G953" t="s">
        <v>18</v>
      </c>
      <c r="I953">
        <v>2015000</v>
      </c>
      <c r="J953">
        <v>1459000</v>
      </c>
      <c r="K953">
        <v>2002000</v>
      </c>
      <c r="L953">
        <v>2164000</v>
      </c>
    </row>
    <row r="954" spans="1:12" ht="15" customHeight="1">
      <c r="A954" t="s">
        <v>6288</v>
      </c>
      <c r="B954" t="s">
        <v>2501</v>
      </c>
      <c r="C954" t="s">
        <v>12</v>
      </c>
      <c r="D954" t="s">
        <v>2502</v>
      </c>
      <c r="E954" t="s">
        <v>1508</v>
      </c>
      <c r="F954" t="s">
        <v>25</v>
      </c>
      <c r="G954" t="s">
        <v>22</v>
      </c>
      <c r="H954" t="s">
        <v>23</v>
      </c>
      <c r="I954">
        <v>146677000</v>
      </c>
      <c r="J954">
        <v>266777000</v>
      </c>
      <c r="K954">
        <v>152301000</v>
      </c>
      <c r="L954">
        <v>172925000</v>
      </c>
    </row>
    <row r="955" spans="1:12" ht="15" customHeight="1">
      <c r="A955" t="s">
        <v>6289</v>
      </c>
      <c r="B955" t="s">
        <v>2503</v>
      </c>
      <c r="C955" t="s">
        <v>12</v>
      </c>
      <c r="D955" t="s">
        <v>2504</v>
      </c>
      <c r="E955" t="s">
        <v>1532</v>
      </c>
      <c r="F955" t="s">
        <v>14</v>
      </c>
      <c r="G955" t="s">
        <v>18</v>
      </c>
    </row>
    <row r="956" spans="1:12" ht="15" customHeight="1">
      <c r="A956" t="s">
        <v>6290</v>
      </c>
      <c r="B956" t="s">
        <v>2505</v>
      </c>
      <c r="C956" t="s">
        <v>12</v>
      </c>
      <c r="D956" t="s">
        <v>2506</v>
      </c>
      <c r="E956" t="s">
        <v>1662</v>
      </c>
      <c r="F956" t="s">
        <v>25</v>
      </c>
      <c r="G956" t="s">
        <v>22</v>
      </c>
      <c r="I956">
        <v>83455000</v>
      </c>
      <c r="J956">
        <v>21891000</v>
      </c>
      <c r="K956">
        <v>28706000</v>
      </c>
      <c r="L956">
        <v>74171000</v>
      </c>
    </row>
    <row r="957" spans="1:12" ht="15" customHeight="1">
      <c r="A957" t="s">
        <v>6291</v>
      </c>
      <c r="B957" t="s">
        <v>2507</v>
      </c>
      <c r="C957" t="s">
        <v>12</v>
      </c>
      <c r="D957" t="s">
        <v>2508</v>
      </c>
      <c r="E957" t="s">
        <v>1516</v>
      </c>
      <c r="F957" t="s">
        <v>14</v>
      </c>
      <c r="G957" t="s">
        <v>18</v>
      </c>
    </row>
    <row r="958" spans="1:12" ht="15" customHeight="1">
      <c r="A958" t="s">
        <v>6292</v>
      </c>
      <c r="B958" t="s">
        <v>2509</v>
      </c>
      <c r="C958" t="s">
        <v>12</v>
      </c>
      <c r="D958" t="s">
        <v>2510</v>
      </c>
      <c r="E958" t="s">
        <v>1509</v>
      </c>
      <c r="F958" t="s">
        <v>25</v>
      </c>
      <c r="G958" t="s">
        <v>18</v>
      </c>
      <c r="J958">
        <v>3253000</v>
      </c>
      <c r="L958">
        <v>3253000</v>
      </c>
    </row>
    <row r="959" spans="1:12" ht="15" customHeight="1">
      <c r="A959" t="s">
        <v>6293</v>
      </c>
      <c r="B959" t="s">
        <v>2511</v>
      </c>
      <c r="C959" t="s">
        <v>12</v>
      </c>
      <c r="D959" t="s">
        <v>2512</v>
      </c>
      <c r="E959" t="s">
        <v>1532</v>
      </c>
      <c r="F959" t="s">
        <v>14</v>
      </c>
      <c r="G959" t="s">
        <v>18</v>
      </c>
      <c r="I959">
        <v>47338000</v>
      </c>
      <c r="J959">
        <v>54680000</v>
      </c>
      <c r="K959">
        <v>40000000</v>
      </c>
      <c r="L959">
        <v>62249000</v>
      </c>
    </row>
    <row r="960" spans="1:12" ht="15" customHeight="1">
      <c r="A960" t="s">
        <v>6294</v>
      </c>
      <c r="B960" t="s">
        <v>2513</v>
      </c>
      <c r="C960" t="s">
        <v>12</v>
      </c>
      <c r="D960" t="s">
        <v>2514</v>
      </c>
      <c r="E960" t="s">
        <v>1580</v>
      </c>
      <c r="F960" t="s">
        <v>14</v>
      </c>
      <c r="G960" t="s">
        <v>18</v>
      </c>
    </row>
    <row r="961" spans="1:12" ht="15" customHeight="1">
      <c r="A961" t="s">
        <v>6295</v>
      </c>
      <c r="B961" t="s">
        <v>2515</v>
      </c>
      <c r="C961" t="s">
        <v>12</v>
      </c>
      <c r="D961" t="s">
        <v>2516</v>
      </c>
      <c r="E961" t="s">
        <v>1527</v>
      </c>
      <c r="F961" t="s">
        <v>14</v>
      </c>
      <c r="G961" t="s">
        <v>18</v>
      </c>
      <c r="I961">
        <v>499000</v>
      </c>
      <c r="J961">
        <v>144000</v>
      </c>
      <c r="K961">
        <v>220000</v>
      </c>
      <c r="L961">
        <v>623000</v>
      </c>
    </row>
    <row r="962" spans="1:12" ht="15" customHeight="1">
      <c r="A962" t="s">
        <v>6296</v>
      </c>
      <c r="B962" t="s">
        <v>2517</v>
      </c>
      <c r="C962" t="s">
        <v>12</v>
      </c>
      <c r="D962" t="s">
        <v>2518</v>
      </c>
      <c r="E962" t="s">
        <v>1532</v>
      </c>
      <c r="F962" t="s">
        <v>14</v>
      </c>
      <c r="G962" t="s">
        <v>18</v>
      </c>
      <c r="I962">
        <v>3691000</v>
      </c>
      <c r="J962">
        <v>2381000</v>
      </c>
      <c r="K962">
        <v>3979000</v>
      </c>
      <c r="L962">
        <v>2488000</v>
      </c>
    </row>
    <row r="963" spans="1:12" ht="15" customHeight="1">
      <c r="A963" t="s">
        <v>6297</v>
      </c>
      <c r="B963" t="s">
        <v>2519</v>
      </c>
      <c r="C963" t="s">
        <v>12</v>
      </c>
      <c r="D963" t="s">
        <v>2520</v>
      </c>
      <c r="E963" t="s">
        <v>1575</v>
      </c>
      <c r="F963" t="s">
        <v>14</v>
      </c>
      <c r="G963" t="s">
        <v>77</v>
      </c>
      <c r="I963">
        <v>19565000</v>
      </c>
      <c r="J963">
        <v>21290000</v>
      </c>
      <c r="K963">
        <v>16964000</v>
      </c>
      <c r="L963">
        <v>19588000</v>
      </c>
    </row>
    <row r="964" spans="1:12" ht="15" customHeight="1">
      <c r="A964" t="s">
        <v>6298</v>
      </c>
      <c r="B964" t="s">
        <v>2521</v>
      </c>
      <c r="C964" t="s">
        <v>12</v>
      </c>
      <c r="D964" t="s">
        <v>2522</v>
      </c>
      <c r="E964" t="s">
        <v>1532</v>
      </c>
      <c r="F964" t="s">
        <v>14</v>
      </c>
      <c r="G964" t="s">
        <v>18</v>
      </c>
      <c r="I964">
        <v>729000</v>
      </c>
      <c r="J964">
        <v>379000</v>
      </c>
      <c r="K964">
        <v>678000</v>
      </c>
      <c r="L964">
        <v>447000</v>
      </c>
    </row>
    <row r="965" spans="1:12" ht="15" customHeight="1">
      <c r="A965" t="s">
        <v>6299</v>
      </c>
      <c r="B965" t="s">
        <v>2523</v>
      </c>
      <c r="C965" t="s">
        <v>12</v>
      </c>
      <c r="D965" t="s">
        <v>2524</v>
      </c>
      <c r="E965" t="s">
        <v>1558</v>
      </c>
      <c r="F965" t="s">
        <v>14</v>
      </c>
      <c r="G965" t="s">
        <v>18</v>
      </c>
      <c r="I965">
        <v>1030000</v>
      </c>
      <c r="J965">
        <v>1101000</v>
      </c>
      <c r="K965">
        <v>1027000</v>
      </c>
      <c r="L965">
        <v>1117000</v>
      </c>
    </row>
    <row r="966" spans="1:12" ht="15" customHeight="1">
      <c r="A966" t="s">
        <v>6300</v>
      </c>
      <c r="B966" t="s">
        <v>2525</v>
      </c>
      <c r="C966" t="s">
        <v>12</v>
      </c>
      <c r="D966" t="s">
        <v>2526</v>
      </c>
      <c r="E966" t="s">
        <v>1754</v>
      </c>
      <c r="F966" t="s">
        <v>14</v>
      </c>
      <c r="G966" t="s">
        <v>18</v>
      </c>
    </row>
    <row r="967" spans="1:12" ht="15" customHeight="1">
      <c r="A967" t="s">
        <v>6301</v>
      </c>
      <c r="B967" t="s">
        <v>2527</v>
      </c>
      <c r="C967" t="s">
        <v>12</v>
      </c>
      <c r="D967" t="s">
        <v>2528</v>
      </c>
      <c r="E967" t="s">
        <v>1524</v>
      </c>
      <c r="F967" t="s">
        <v>14</v>
      </c>
      <c r="G967" t="s">
        <v>18</v>
      </c>
      <c r="I967">
        <v>6309000</v>
      </c>
      <c r="J967">
        <v>5816000</v>
      </c>
      <c r="K967">
        <v>5563000</v>
      </c>
      <c r="L967">
        <v>6591000</v>
      </c>
    </row>
    <row r="968" spans="1:12" ht="15" customHeight="1">
      <c r="A968" t="s">
        <v>6302</v>
      </c>
      <c r="B968" t="s">
        <v>2529</v>
      </c>
      <c r="C968" t="s">
        <v>12</v>
      </c>
      <c r="D968" t="s">
        <v>2530</v>
      </c>
      <c r="E968" t="s">
        <v>1604</v>
      </c>
      <c r="F968" t="s">
        <v>14</v>
      </c>
      <c r="G968" t="s">
        <v>18</v>
      </c>
      <c r="I968">
        <v>5293000</v>
      </c>
      <c r="J968">
        <v>5049000</v>
      </c>
      <c r="K968">
        <v>3967000</v>
      </c>
      <c r="L968">
        <v>5773000</v>
      </c>
    </row>
    <row r="969" spans="1:12" ht="15" customHeight="1">
      <c r="A969" t="s">
        <v>6303</v>
      </c>
      <c r="B969" t="s">
        <v>2531</v>
      </c>
      <c r="C969" t="s">
        <v>12</v>
      </c>
      <c r="D969" t="s">
        <v>2532</v>
      </c>
      <c r="E969" t="s">
        <v>1533</v>
      </c>
      <c r="F969" t="s">
        <v>25</v>
      </c>
      <c r="G969" t="s">
        <v>18</v>
      </c>
    </row>
    <row r="970" spans="1:12" ht="15" customHeight="1">
      <c r="A970" t="s">
        <v>6304</v>
      </c>
      <c r="B970" t="s">
        <v>2533</v>
      </c>
      <c r="C970" t="s">
        <v>12</v>
      </c>
      <c r="D970" t="s">
        <v>2534</v>
      </c>
      <c r="E970" t="s">
        <v>1516</v>
      </c>
      <c r="F970" t="s">
        <v>14</v>
      </c>
      <c r="G970" t="s">
        <v>18</v>
      </c>
      <c r="I970">
        <v>48000</v>
      </c>
      <c r="K970">
        <v>48000</v>
      </c>
      <c r="L970">
        <v>4000</v>
      </c>
    </row>
    <row r="971" spans="1:12" ht="15" customHeight="1">
      <c r="A971" t="s">
        <v>6305</v>
      </c>
      <c r="B971" t="s">
        <v>2535</v>
      </c>
      <c r="C971" t="s">
        <v>12</v>
      </c>
      <c r="D971" t="s">
        <v>2536</v>
      </c>
      <c r="E971" t="s">
        <v>1512</v>
      </c>
      <c r="F971" t="s">
        <v>14</v>
      </c>
      <c r="G971" t="s">
        <v>18</v>
      </c>
      <c r="I971">
        <v>2911000</v>
      </c>
      <c r="J971">
        <v>1999000</v>
      </c>
      <c r="K971">
        <v>4321000</v>
      </c>
      <c r="L971">
        <v>4087000</v>
      </c>
    </row>
    <row r="972" spans="1:12" ht="15" customHeight="1">
      <c r="A972" t="s">
        <v>6306</v>
      </c>
      <c r="B972" t="s">
        <v>2537</v>
      </c>
      <c r="C972" t="s">
        <v>12</v>
      </c>
      <c r="D972" t="s">
        <v>2538</v>
      </c>
      <c r="E972" t="s">
        <v>1544</v>
      </c>
      <c r="F972" t="s">
        <v>14</v>
      </c>
      <c r="G972" t="s">
        <v>18</v>
      </c>
      <c r="J972">
        <v>3508000</v>
      </c>
      <c r="K972">
        <v>3330000</v>
      </c>
      <c r="L972">
        <v>3279000</v>
      </c>
    </row>
    <row r="973" spans="1:12" ht="15" customHeight="1">
      <c r="A973" t="s">
        <v>6306</v>
      </c>
      <c r="B973" t="s">
        <v>2539</v>
      </c>
      <c r="C973" t="s">
        <v>12</v>
      </c>
      <c r="D973" t="s">
        <v>2540</v>
      </c>
      <c r="E973" t="s">
        <v>1547</v>
      </c>
      <c r="F973" t="s">
        <v>14</v>
      </c>
      <c r="G973" t="s">
        <v>18</v>
      </c>
      <c r="I973">
        <v>7962000</v>
      </c>
      <c r="J973">
        <v>8920000</v>
      </c>
      <c r="K973">
        <v>7962000</v>
      </c>
      <c r="L973">
        <v>8920000</v>
      </c>
    </row>
    <row r="974" spans="1:12" ht="15" customHeight="1">
      <c r="A974" t="s">
        <v>6307</v>
      </c>
      <c r="B974" t="s">
        <v>2541</v>
      </c>
      <c r="C974" t="s">
        <v>12</v>
      </c>
      <c r="D974" t="s">
        <v>2542</v>
      </c>
      <c r="E974" t="s">
        <v>1649</v>
      </c>
      <c r="F974" t="s">
        <v>14</v>
      </c>
      <c r="G974" t="s">
        <v>18</v>
      </c>
      <c r="I974">
        <v>19168000</v>
      </c>
      <c r="J974">
        <v>30864000</v>
      </c>
      <c r="K974">
        <v>17272000</v>
      </c>
      <c r="L974">
        <v>26751000</v>
      </c>
    </row>
    <row r="975" spans="1:12" ht="15" customHeight="1">
      <c r="A975" t="s">
        <v>6308</v>
      </c>
      <c r="B975" t="s">
        <v>2543</v>
      </c>
      <c r="C975" t="s">
        <v>12</v>
      </c>
      <c r="D975" t="s">
        <v>2544</v>
      </c>
      <c r="E975" t="s">
        <v>1524</v>
      </c>
      <c r="F975" t="s">
        <v>14</v>
      </c>
      <c r="G975" t="s">
        <v>18</v>
      </c>
      <c r="I975">
        <v>82000</v>
      </c>
      <c r="J975">
        <v>80000</v>
      </c>
      <c r="K975">
        <v>50000</v>
      </c>
      <c r="L975">
        <v>119000</v>
      </c>
    </row>
    <row r="976" spans="1:12" ht="15" customHeight="1">
      <c r="A976" t="s">
        <v>6309</v>
      </c>
      <c r="B976" t="s">
        <v>2545</v>
      </c>
      <c r="C976" t="s">
        <v>12</v>
      </c>
      <c r="D976" t="s">
        <v>2546</v>
      </c>
      <c r="E976" t="s">
        <v>1781</v>
      </c>
      <c r="F976" t="s">
        <v>25</v>
      </c>
      <c r="G976" t="s">
        <v>18</v>
      </c>
      <c r="I976">
        <v>2250000</v>
      </c>
      <c r="J976">
        <v>2215000</v>
      </c>
      <c r="K976">
        <v>2336000</v>
      </c>
      <c r="L976">
        <v>2332000</v>
      </c>
    </row>
    <row r="977" spans="1:12" ht="15" customHeight="1">
      <c r="A977" t="s">
        <v>6310</v>
      </c>
      <c r="B977" t="s">
        <v>2547</v>
      </c>
      <c r="C977" t="s">
        <v>12</v>
      </c>
      <c r="D977" t="s">
        <v>2548</v>
      </c>
      <c r="E977" t="s">
        <v>1588</v>
      </c>
      <c r="F977" t="s">
        <v>14</v>
      </c>
      <c r="G977" t="s">
        <v>18</v>
      </c>
      <c r="I977">
        <v>356000</v>
      </c>
      <c r="J977">
        <v>276000</v>
      </c>
      <c r="K977">
        <v>349000</v>
      </c>
      <c r="L977">
        <v>287000</v>
      </c>
    </row>
    <row r="978" spans="1:12" ht="15" customHeight="1">
      <c r="A978" t="s">
        <v>6311</v>
      </c>
      <c r="B978" t="s">
        <v>2549</v>
      </c>
      <c r="C978" t="s">
        <v>12</v>
      </c>
      <c r="D978" t="s">
        <v>2550</v>
      </c>
      <c r="E978" t="s">
        <v>1618</v>
      </c>
      <c r="F978" t="s">
        <v>14</v>
      </c>
      <c r="G978" t="s">
        <v>18</v>
      </c>
      <c r="I978">
        <v>2384000</v>
      </c>
      <c r="J978">
        <v>2157000</v>
      </c>
      <c r="K978">
        <v>1808000</v>
      </c>
      <c r="L978">
        <v>1809000</v>
      </c>
    </row>
    <row r="979" spans="1:12" ht="15" customHeight="1">
      <c r="A979" t="s">
        <v>6312</v>
      </c>
      <c r="B979" t="s">
        <v>2551</v>
      </c>
      <c r="C979" t="s">
        <v>12</v>
      </c>
      <c r="D979" t="s">
        <v>2552</v>
      </c>
      <c r="E979" t="s">
        <v>1558</v>
      </c>
      <c r="F979" t="s">
        <v>14</v>
      </c>
      <c r="G979" t="s">
        <v>18</v>
      </c>
      <c r="I979">
        <v>1167000</v>
      </c>
      <c r="J979">
        <v>910000</v>
      </c>
      <c r="K979">
        <v>1095000</v>
      </c>
      <c r="L979">
        <v>959000</v>
      </c>
    </row>
    <row r="980" spans="1:12" ht="15" customHeight="1">
      <c r="A980" t="s">
        <v>6313</v>
      </c>
      <c r="B980" t="s">
        <v>2553</v>
      </c>
      <c r="C980" t="s">
        <v>12</v>
      </c>
      <c r="D980" t="s">
        <v>2554</v>
      </c>
      <c r="E980" t="s">
        <v>1558</v>
      </c>
      <c r="F980" t="s">
        <v>14</v>
      </c>
      <c r="G980" t="s">
        <v>77</v>
      </c>
      <c r="I980">
        <v>1636000</v>
      </c>
      <c r="J980">
        <v>1030000</v>
      </c>
      <c r="K980">
        <v>1549000</v>
      </c>
      <c r="L980">
        <v>1045000</v>
      </c>
    </row>
    <row r="981" spans="1:12" ht="15" customHeight="1">
      <c r="A981" t="s">
        <v>6314</v>
      </c>
      <c r="B981" t="s">
        <v>2555</v>
      </c>
      <c r="C981" t="s">
        <v>12</v>
      </c>
      <c r="D981" t="s">
        <v>2556</v>
      </c>
      <c r="E981" t="s">
        <v>1629</v>
      </c>
      <c r="F981" t="s">
        <v>14</v>
      </c>
      <c r="G981" t="s">
        <v>18</v>
      </c>
      <c r="I981">
        <v>615000</v>
      </c>
      <c r="J981">
        <v>601000</v>
      </c>
      <c r="K981">
        <v>563000</v>
      </c>
      <c r="L981">
        <v>548000</v>
      </c>
    </row>
    <row r="982" spans="1:12" ht="15" customHeight="1">
      <c r="A982" t="s">
        <v>6315</v>
      </c>
      <c r="B982" t="s">
        <v>2557</v>
      </c>
      <c r="C982" t="s">
        <v>12</v>
      </c>
      <c r="D982" t="s">
        <v>2558</v>
      </c>
      <c r="E982" t="s">
        <v>1512</v>
      </c>
      <c r="F982" t="s">
        <v>14</v>
      </c>
      <c r="G982" t="s">
        <v>18</v>
      </c>
      <c r="I982">
        <v>1871000</v>
      </c>
      <c r="J982">
        <v>1615000</v>
      </c>
      <c r="K982">
        <v>1840000</v>
      </c>
      <c r="L982">
        <v>1648000</v>
      </c>
    </row>
    <row r="983" spans="1:12" ht="15" customHeight="1">
      <c r="A983" t="s">
        <v>6316</v>
      </c>
      <c r="B983" t="s">
        <v>2559</v>
      </c>
      <c r="C983" t="s">
        <v>12</v>
      </c>
      <c r="D983" t="s">
        <v>2560</v>
      </c>
      <c r="E983" t="s">
        <v>1558</v>
      </c>
      <c r="F983" t="s">
        <v>14</v>
      </c>
      <c r="G983" t="s">
        <v>18</v>
      </c>
      <c r="I983">
        <v>627000</v>
      </c>
      <c r="J983">
        <v>328000</v>
      </c>
      <c r="K983">
        <v>647000</v>
      </c>
      <c r="L983">
        <v>335000</v>
      </c>
    </row>
    <row r="984" spans="1:12" ht="15" customHeight="1">
      <c r="A984" t="s">
        <v>6317</v>
      </c>
      <c r="B984" t="s">
        <v>2561</v>
      </c>
      <c r="C984" t="s">
        <v>12</v>
      </c>
      <c r="D984" t="s">
        <v>2562</v>
      </c>
      <c r="E984" t="s">
        <v>1512</v>
      </c>
      <c r="F984" t="s">
        <v>14</v>
      </c>
      <c r="G984" t="s">
        <v>18</v>
      </c>
    </row>
    <row r="985" spans="1:12" ht="15" customHeight="1">
      <c r="A985" t="s">
        <v>6318</v>
      </c>
      <c r="B985" t="s">
        <v>2563</v>
      </c>
      <c r="C985" t="s">
        <v>12</v>
      </c>
      <c r="D985" t="s">
        <v>2564</v>
      </c>
      <c r="E985" t="s">
        <v>1649</v>
      </c>
      <c r="F985" t="s">
        <v>14</v>
      </c>
      <c r="G985" t="s">
        <v>18</v>
      </c>
      <c r="I985">
        <v>1369000</v>
      </c>
      <c r="J985">
        <v>1097000</v>
      </c>
      <c r="K985">
        <v>1571000</v>
      </c>
      <c r="L985">
        <v>1088000</v>
      </c>
    </row>
    <row r="986" spans="1:12" ht="15" customHeight="1">
      <c r="A986" t="s">
        <v>6319</v>
      </c>
      <c r="B986" t="s">
        <v>2565</v>
      </c>
      <c r="C986" t="s">
        <v>12</v>
      </c>
      <c r="D986" t="s">
        <v>2566</v>
      </c>
      <c r="E986" t="s">
        <v>1513</v>
      </c>
      <c r="F986" t="s">
        <v>14</v>
      </c>
      <c r="G986" t="s">
        <v>18</v>
      </c>
      <c r="I986">
        <v>1410000</v>
      </c>
      <c r="J986">
        <v>1345000</v>
      </c>
      <c r="K986">
        <v>1396000</v>
      </c>
      <c r="L986">
        <v>1636000</v>
      </c>
    </row>
    <row r="987" spans="1:12" ht="15" customHeight="1">
      <c r="A987" t="s">
        <v>6320</v>
      </c>
      <c r="B987" t="s">
        <v>2567</v>
      </c>
      <c r="C987" t="s">
        <v>12</v>
      </c>
      <c r="D987" t="s">
        <v>2568</v>
      </c>
      <c r="E987" t="s">
        <v>1504</v>
      </c>
      <c r="F987" t="s">
        <v>14</v>
      </c>
      <c r="G987" t="s">
        <v>18</v>
      </c>
      <c r="J987">
        <v>1270000</v>
      </c>
      <c r="L987">
        <v>1270000</v>
      </c>
    </row>
    <row r="988" spans="1:12" ht="15" customHeight="1">
      <c r="A988" t="s">
        <v>6321</v>
      </c>
      <c r="B988" t="s">
        <v>2569</v>
      </c>
      <c r="C988" t="s">
        <v>12</v>
      </c>
      <c r="D988" t="s">
        <v>2570</v>
      </c>
      <c r="E988" t="s">
        <v>1532</v>
      </c>
      <c r="F988" t="s">
        <v>14</v>
      </c>
      <c r="G988" t="s">
        <v>18</v>
      </c>
    </row>
    <row r="989" spans="1:12" ht="15" customHeight="1">
      <c r="A989" t="s">
        <v>6322</v>
      </c>
      <c r="B989" t="s">
        <v>2571</v>
      </c>
      <c r="C989" t="s">
        <v>12</v>
      </c>
      <c r="D989" t="s">
        <v>2572</v>
      </c>
      <c r="E989" t="s">
        <v>1754</v>
      </c>
      <c r="F989" t="s">
        <v>14</v>
      </c>
      <c r="G989" t="s">
        <v>18</v>
      </c>
    </row>
    <row r="990" spans="1:12" ht="15" customHeight="1">
      <c r="A990" t="s">
        <v>6323</v>
      </c>
      <c r="B990" t="s">
        <v>2573</v>
      </c>
      <c r="C990" t="s">
        <v>12</v>
      </c>
      <c r="D990" t="s">
        <v>2574</v>
      </c>
      <c r="E990" t="s">
        <v>1516</v>
      </c>
      <c r="F990" t="s">
        <v>14</v>
      </c>
      <c r="G990" t="s">
        <v>18</v>
      </c>
    </row>
    <row r="991" spans="1:12" ht="15" customHeight="1">
      <c r="A991" t="s">
        <v>6324</v>
      </c>
      <c r="B991" t="s">
        <v>2575</v>
      </c>
      <c r="C991" t="s">
        <v>12</v>
      </c>
      <c r="D991" t="s">
        <v>2576</v>
      </c>
      <c r="E991" t="s">
        <v>1516</v>
      </c>
      <c r="F991" t="s">
        <v>25</v>
      </c>
      <c r="G991" t="s">
        <v>18</v>
      </c>
      <c r="I991">
        <v>3434000</v>
      </c>
      <c r="J991">
        <v>3628000</v>
      </c>
      <c r="K991">
        <v>3432000</v>
      </c>
      <c r="L991">
        <v>3577000</v>
      </c>
    </row>
    <row r="992" spans="1:12" ht="15" customHeight="1">
      <c r="A992" t="s">
        <v>6325</v>
      </c>
      <c r="B992" t="s">
        <v>2577</v>
      </c>
      <c r="C992" t="s">
        <v>12</v>
      </c>
      <c r="D992" t="s">
        <v>2578</v>
      </c>
      <c r="E992" t="s">
        <v>1509</v>
      </c>
      <c r="F992" t="s">
        <v>14</v>
      </c>
      <c r="G992" t="s">
        <v>18</v>
      </c>
      <c r="I992">
        <v>5256000</v>
      </c>
      <c r="J992">
        <v>3966000</v>
      </c>
      <c r="K992">
        <v>4883000</v>
      </c>
      <c r="L992">
        <v>4430000</v>
      </c>
    </row>
    <row r="993" spans="1:12" ht="15" customHeight="1">
      <c r="A993" t="s">
        <v>6326</v>
      </c>
      <c r="B993" t="s">
        <v>2579</v>
      </c>
      <c r="C993" t="s">
        <v>12</v>
      </c>
      <c r="D993" t="s">
        <v>2580</v>
      </c>
      <c r="E993" t="s">
        <v>1618</v>
      </c>
      <c r="F993" t="s">
        <v>14</v>
      </c>
      <c r="G993" t="s">
        <v>18</v>
      </c>
    </row>
    <row r="994" spans="1:12" ht="15" customHeight="1">
      <c r="A994" t="s">
        <v>6327</v>
      </c>
      <c r="B994" t="s">
        <v>2581</v>
      </c>
      <c r="C994" t="s">
        <v>12</v>
      </c>
      <c r="D994" t="s">
        <v>2582</v>
      </c>
      <c r="E994" t="s">
        <v>1509</v>
      </c>
      <c r="F994" t="s">
        <v>14</v>
      </c>
      <c r="G994" t="s">
        <v>18</v>
      </c>
      <c r="I994">
        <v>206000</v>
      </c>
      <c r="J994">
        <v>226000</v>
      </c>
      <c r="K994">
        <v>206000</v>
      </c>
      <c r="L994">
        <v>226000</v>
      </c>
    </row>
    <row r="995" spans="1:12" ht="15" customHeight="1">
      <c r="A995" t="s">
        <v>6328</v>
      </c>
      <c r="B995" t="s">
        <v>2583</v>
      </c>
      <c r="C995" t="s">
        <v>12</v>
      </c>
      <c r="D995" t="s">
        <v>2584</v>
      </c>
      <c r="E995" t="s">
        <v>1532</v>
      </c>
      <c r="F995" t="s">
        <v>25</v>
      </c>
      <c r="G995" t="s">
        <v>18</v>
      </c>
    </row>
    <row r="996" spans="1:12" ht="15" customHeight="1">
      <c r="A996" t="s">
        <v>6329</v>
      </c>
      <c r="B996" t="s">
        <v>2585</v>
      </c>
      <c r="C996" t="s">
        <v>12</v>
      </c>
      <c r="D996" t="s">
        <v>2586</v>
      </c>
      <c r="E996" t="s">
        <v>1524</v>
      </c>
      <c r="F996" t="s">
        <v>25</v>
      </c>
      <c r="G996" t="s">
        <v>18</v>
      </c>
    </row>
    <row r="997" spans="1:12" ht="15" customHeight="1">
      <c r="A997" t="s">
        <v>6330</v>
      </c>
      <c r="B997" t="s">
        <v>2587</v>
      </c>
      <c r="C997" t="s">
        <v>12</v>
      </c>
      <c r="D997" t="s">
        <v>2588</v>
      </c>
      <c r="E997" t="s">
        <v>1524</v>
      </c>
      <c r="F997" t="s">
        <v>25</v>
      </c>
      <c r="G997" t="s">
        <v>18</v>
      </c>
      <c r="I997">
        <v>195000</v>
      </c>
      <c r="J997">
        <v>1107000</v>
      </c>
      <c r="K997">
        <v>489000</v>
      </c>
      <c r="L997">
        <v>1606000</v>
      </c>
    </row>
    <row r="998" spans="1:12" ht="15" customHeight="1">
      <c r="A998" t="s">
        <v>6331</v>
      </c>
      <c r="B998" t="s">
        <v>2589</v>
      </c>
      <c r="C998" t="s">
        <v>12</v>
      </c>
      <c r="D998" t="s">
        <v>2590</v>
      </c>
      <c r="E998" t="s">
        <v>1801</v>
      </c>
      <c r="F998" t="s">
        <v>14</v>
      </c>
      <c r="G998" t="s">
        <v>77</v>
      </c>
      <c r="I998">
        <v>11807000</v>
      </c>
      <c r="J998">
        <v>19452000</v>
      </c>
      <c r="K998">
        <v>13545000</v>
      </c>
      <c r="L998">
        <v>16500000</v>
      </c>
    </row>
    <row r="999" spans="1:12" ht="15" customHeight="1">
      <c r="A999" t="s">
        <v>6332</v>
      </c>
      <c r="B999" t="s">
        <v>2591</v>
      </c>
      <c r="C999" t="s">
        <v>12</v>
      </c>
      <c r="D999" t="s">
        <v>2592</v>
      </c>
      <c r="E999" t="s">
        <v>1516</v>
      </c>
      <c r="F999" t="s">
        <v>14</v>
      </c>
      <c r="G999" t="s">
        <v>18</v>
      </c>
      <c r="I999">
        <v>2020000</v>
      </c>
      <c r="J999">
        <v>1923000</v>
      </c>
      <c r="K999">
        <v>2027000</v>
      </c>
      <c r="L999">
        <v>1948000</v>
      </c>
    </row>
    <row r="1000" spans="1:12" ht="15" customHeight="1">
      <c r="A1000" t="s">
        <v>6333</v>
      </c>
      <c r="B1000" t="s">
        <v>2593</v>
      </c>
      <c r="C1000" t="s">
        <v>12</v>
      </c>
      <c r="D1000" t="s">
        <v>2594</v>
      </c>
      <c r="E1000" t="s">
        <v>1532</v>
      </c>
      <c r="F1000" t="s">
        <v>25</v>
      </c>
      <c r="G1000" t="s">
        <v>18</v>
      </c>
    </row>
    <row r="1001" spans="1:12" ht="15" customHeight="1">
      <c r="A1001" t="s">
        <v>6334</v>
      </c>
      <c r="B1001" t="s">
        <v>2595</v>
      </c>
      <c r="C1001" t="s">
        <v>12</v>
      </c>
      <c r="D1001" t="s">
        <v>2596</v>
      </c>
      <c r="E1001" t="s">
        <v>1532</v>
      </c>
      <c r="F1001" t="s">
        <v>14</v>
      </c>
      <c r="G1001" t="s">
        <v>18</v>
      </c>
      <c r="I1001">
        <v>2080000</v>
      </c>
      <c r="J1001">
        <v>650000</v>
      </c>
      <c r="K1001">
        <v>2088000</v>
      </c>
      <c r="L1001">
        <v>670000</v>
      </c>
    </row>
    <row r="1002" spans="1:12" ht="15" customHeight="1">
      <c r="A1002" t="s">
        <v>6335</v>
      </c>
      <c r="B1002" t="s">
        <v>2597</v>
      </c>
      <c r="C1002" t="s">
        <v>12</v>
      </c>
      <c r="D1002" t="s">
        <v>2598</v>
      </c>
      <c r="E1002" t="s">
        <v>1533</v>
      </c>
      <c r="F1002" t="s">
        <v>25</v>
      </c>
      <c r="G1002" t="s">
        <v>18</v>
      </c>
      <c r="I1002">
        <v>10312000</v>
      </c>
      <c r="J1002">
        <v>2302000</v>
      </c>
      <c r="K1002">
        <v>10572000</v>
      </c>
      <c r="L1002">
        <v>2295000</v>
      </c>
    </row>
    <row r="1003" spans="1:12" ht="15" customHeight="1">
      <c r="A1003" t="s">
        <v>6336</v>
      </c>
      <c r="B1003" t="s">
        <v>2599</v>
      </c>
      <c r="C1003" t="s">
        <v>12</v>
      </c>
      <c r="D1003" t="s">
        <v>2600</v>
      </c>
      <c r="E1003" t="s">
        <v>1532</v>
      </c>
      <c r="F1003" t="s">
        <v>14</v>
      </c>
      <c r="G1003" t="s">
        <v>18</v>
      </c>
    </row>
    <row r="1004" spans="1:12" ht="15" customHeight="1">
      <c r="A1004" t="s">
        <v>6337</v>
      </c>
      <c r="B1004" t="s">
        <v>2601</v>
      </c>
      <c r="C1004" t="s">
        <v>12</v>
      </c>
      <c r="D1004" t="s">
        <v>2602</v>
      </c>
      <c r="E1004" t="s">
        <v>1532</v>
      </c>
      <c r="F1004" t="s">
        <v>14</v>
      </c>
      <c r="G1004" t="s">
        <v>22</v>
      </c>
      <c r="H1004" t="s">
        <v>23</v>
      </c>
      <c r="J1004">
        <v>85112000</v>
      </c>
    </row>
    <row r="1005" spans="1:12" ht="15" customHeight="1">
      <c r="A1005" t="s">
        <v>6338</v>
      </c>
      <c r="B1005" t="s">
        <v>2603</v>
      </c>
      <c r="C1005" t="s">
        <v>12</v>
      </c>
      <c r="D1005" t="s">
        <v>2604</v>
      </c>
      <c r="E1005" t="s">
        <v>1628</v>
      </c>
      <c r="F1005" t="s">
        <v>14</v>
      </c>
      <c r="G1005" t="s">
        <v>18</v>
      </c>
      <c r="I1005">
        <v>125000</v>
      </c>
      <c r="J1005">
        <v>119000</v>
      </c>
      <c r="K1005">
        <v>123000</v>
      </c>
      <c r="L1005">
        <v>119000</v>
      </c>
    </row>
    <row r="1006" spans="1:12" ht="15" customHeight="1">
      <c r="A1006" t="s">
        <v>6339</v>
      </c>
      <c r="B1006" t="s">
        <v>2605</v>
      </c>
      <c r="C1006" t="s">
        <v>12</v>
      </c>
      <c r="D1006" t="s">
        <v>2606</v>
      </c>
      <c r="E1006" t="s">
        <v>1525</v>
      </c>
      <c r="F1006" t="s">
        <v>14</v>
      </c>
      <c r="G1006" t="s">
        <v>18</v>
      </c>
    </row>
    <row r="1007" spans="1:12" ht="15" customHeight="1">
      <c r="A1007" t="s">
        <v>6340</v>
      </c>
      <c r="B1007" t="s">
        <v>2607</v>
      </c>
      <c r="C1007" t="s">
        <v>12</v>
      </c>
      <c r="D1007" t="s">
        <v>2608</v>
      </c>
      <c r="E1007" t="s">
        <v>1667</v>
      </c>
      <c r="F1007" t="s">
        <v>14</v>
      </c>
      <c r="G1007" t="s">
        <v>18</v>
      </c>
      <c r="I1007">
        <v>12367000</v>
      </c>
      <c r="J1007">
        <v>36000</v>
      </c>
      <c r="K1007">
        <v>19194000</v>
      </c>
      <c r="L1007">
        <v>1021000</v>
      </c>
    </row>
    <row r="1008" spans="1:12" ht="15" customHeight="1">
      <c r="A1008" t="s">
        <v>6341</v>
      </c>
      <c r="B1008" t="s">
        <v>2609</v>
      </c>
      <c r="C1008" t="s">
        <v>12</v>
      </c>
      <c r="D1008" t="s">
        <v>2610</v>
      </c>
      <c r="E1008" t="s">
        <v>1526</v>
      </c>
      <c r="F1008" t="s">
        <v>14</v>
      </c>
      <c r="G1008" t="s">
        <v>18</v>
      </c>
      <c r="I1008">
        <v>1736000</v>
      </c>
      <c r="J1008">
        <v>1890000</v>
      </c>
      <c r="K1008">
        <v>1047000</v>
      </c>
      <c r="L1008">
        <v>1451000</v>
      </c>
    </row>
    <row r="1009" spans="1:12" ht="15" customHeight="1">
      <c r="A1009" t="s">
        <v>6342</v>
      </c>
      <c r="B1009" t="s">
        <v>2611</v>
      </c>
      <c r="C1009" t="s">
        <v>12</v>
      </c>
      <c r="D1009" t="s">
        <v>2612</v>
      </c>
      <c r="E1009" t="s">
        <v>1508</v>
      </c>
      <c r="F1009" t="s">
        <v>14</v>
      </c>
      <c r="G1009" t="s">
        <v>18</v>
      </c>
      <c r="I1009">
        <v>1013000</v>
      </c>
      <c r="J1009">
        <v>880000</v>
      </c>
      <c r="K1009">
        <v>1550000</v>
      </c>
      <c r="L1009">
        <v>969000</v>
      </c>
    </row>
    <row r="1010" spans="1:12" ht="15" customHeight="1">
      <c r="A1010" t="s">
        <v>6343</v>
      </c>
      <c r="B1010" t="s">
        <v>2613</v>
      </c>
      <c r="C1010" t="s">
        <v>12</v>
      </c>
      <c r="D1010" t="s">
        <v>2614</v>
      </c>
      <c r="E1010" t="s">
        <v>1595</v>
      </c>
      <c r="F1010" t="s">
        <v>14</v>
      </c>
      <c r="G1010" t="s">
        <v>18</v>
      </c>
      <c r="I1010">
        <v>1162000</v>
      </c>
      <c r="J1010">
        <v>4077000</v>
      </c>
      <c r="K1010">
        <v>1210000</v>
      </c>
      <c r="L1010">
        <v>3303000</v>
      </c>
    </row>
    <row r="1011" spans="1:12" ht="15" customHeight="1">
      <c r="A1011" t="s">
        <v>6344</v>
      </c>
      <c r="B1011" t="s">
        <v>2615</v>
      </c>
      <c r="C1011" t="s">
        <v>12</v>
      </c>
      <c r="D1011" t="s">
        <v>2616</v>
      </c>
      <c r="E1011" t="s">
        <v>1662</v>
      </c>
      <c r="F1011" t="s">
        <v>14</v>
      </c>
      <c r="G1011" t="s">
        <v>18</v>
      </c>
    </row>
    <row r="1012" spans="1:12" ht="15" customHeight="1">
      <c r="A1012" t="s">
        <v>6345</v>
      </c>
      <c r="B1012" t="s">
        <v>2617</v>
      </c>
      <c r="C1012" t="s">
        <v>12</v>
      </c>
      <c r="D1012" t="s">
        <v>2618</v>
      </c>
      <c r="E1012" t="s">
        <v>2139</v>
      </c>
      <c r="F1012" t="s">
        <v>25</v>
      </c>
      <c r="G1012" t="s">
        <v>18</v>
      </c>
    </row>
    <row r="1013" spans="1:12" ht="15" customHeight="1">
      <c r="A1013" t="s">
        <v>6346</v>
      </c>
      <c r="B1013" t="s">
        <v>2619</v>
      </c>
      <c r="C1013" t="s">
        <v>12</v>
      </c>
      <c r="D1013" t="s">
        <v>2620</v>
      </c>
      <c r="E1013" t="s">
        <v>1532</v>
      </c>
      <c r="F1013" t="s">
        <v>14</v>
      </c>
      <c r="G1013" t="s">
        <v>18</v>
      </c>
    </row>
    <row r="1014" spans="1:12" ht="15" customHeight="1">
      <c r="A1014" t="s">
        <v>6347</v>
      </c>
      <c r="B1014" t="s">
        <v>2621</v>
      </c>
      <c r="C1014" t="s">
        <v>12</v>
      </c>
      <c r="D1014" t="s">
        <v>2622</v>
      </c>
      <c r="E1014" t="s">
        <v>1524</v>
      </c>
      <c r="F1014" t="s">
        <v>14</v>
      </c>
      <c r="G1014" t="s">
        <v>18</v>
      </c>
      <c r="I1014">
        <v>35000</v>
      </c>
      <c r="K1014">
        <v>36000</v>
      </c>
    </row>
    <row r="1015" spans="1:12" ht="15" customHeight="1">
      <c r="A1015" t="s">
        <v>6348</v>
      </c>
      <c r="B1015" t="s">
        <v>2623</v>
      </c>
      <c r="C1015" t="s">
        <v>12</v>
      </c>
      <c r="D1015" t="s">
        <v>2624</v>
      </c>
      <c r="E1015" t="s">
        <v>1517</v>
      </c>
      <c r="F1015" t="s">
        <v>14</v>
      </c>
      <c r="G1015" t="s">
        <v>18</v>
      </c>
      <c r="J1015">
        <v>5336000</v>
      </c>
      <c r="L1015">
        <v>5107000</v>
      </c>
    </row>
    <row r="1016" spans="1:12" ht="15" customHeight="1">
      <c r="A1016" t="s">
        <v>6349</v>
      </c>
      <c r="B1016" t="s">
        <v>2625</v>
      </c>
      <c r="C1016" t="s">
        <v>12</v>
      </c>
      <c r="D1016" t="s">
        <v>2626</v>
      </c>
      <c r="E1016" t="s">
        <v>1579</v>
      </c>
      <c r="F1016" t="s">
        <v>14</v>
      </c>
      <c r="G1016" t="s">
        <v>18</v>
      </c>
      <c r="I1016">
        <v>31000</v>
      </c>
      <c r="J1016">
        <v>3000</v>
      </c>
      <c r="K1016">
        <v>22000</v>
      </c>
      <c r="L1016">
        <v>2000</v>
      </c>
    </row>
    <row r="1017" spans="1:12" ht="15" customHeight="1">
      <c r="A1017" t="s">
        <v>6350</v>
      </c>
      <c r="B1017" t="s">
        <v>2627</v>
      </c>
      <c r="C1017" t="s">
        <v>12</v>
      </c>
      <c r="D1017" t="s">
        <v>2628</v>
      </c>
      <c r="E1017" t="s">
        <v>1508</v>
      </c>
      <c r="F1017" t="s">
        <v>14</v>
      </c>
      <c r="G1017" t="s">
        <v>18</v>
      </c>
      <c r="I1017">
        <v>19479000</v>
      </c>
      <c r="J1017">
        <v>11026000</v>
      </c>
      <c r="K1017">
        <v>18106000</v>
      </c>
      <c r="L1017">
        <v>9996000</v>
      </c>
    </row>
    <row r="1018" spans="1:12" ht="15" customHeight="1">
      <c r="A1018" t="s">
        <v>6351</v>
      </c>
      <c r="B1018" t="s">
        <v>2629</v>
      </c>
      <c r="C1018" t="s">
        <v>12</v>
      </c>
      <c r="D1018" t="s">
        <v>2630</v>
      </c>
      <c r="E1018" t="s">
        <v>1533</v>
      </c>
      <c r="F1018" t="s">
        <v>14</v>
      </c>
      <c r="G1018" t="s">
        <v>22</v>
      </c>
      <c r="I1018">
        <v>1346000</v>
      </c>
      <c r="J1018">
        <v>202000</v>
      </c>
      <c r="K1018">
        <v>1677000</v>
      </c>
      <c r="L1018">
        <v>214000</v>
      </c>
    </row>
    <row r="1019" spans="1:12" ht="15" customHeight="1">
      <c r="A1019" t="s">
        <v>6352</v>
      </c>
      <c r="B1019" t="s">
        <v>2631</v>
      </c>
      <c r="C1019" t="s">
        <v>12</v>
      </c>
      <c r="D1019" t="s">
        <v>2632</v>
      </c>
      <c r="E1019" t="s">
        <v>1580</v>
      </c>
      <c r="F1019" t="s">
        <v>25</v>
      </c>
      <c r="G1019" t="s">
        <v>18</v>
      </c>
      <c r="I1019">
        <v>540000</v>
      </c>
      <c r="J1019">
        <v>580000</v>
      </c>
      <c r="K1019">
        <v>540000</v>
      </c>
      <c r="L1019">
        <v>580000</v>
      </c>
    </row>
    <row r="1020" spans="1:12" ht="15" customHeight="1">
      <c r="A1020" t="s">
        <v>6353</v>
      </c>
      <c r="B1020" t="s">
        <v>2633</v>
      </c>
      <c r="C1020" t="s">
        <v>12</v>
      </c>
      <c r="D1020" t="s">
        <v>2634</v>
      </c>
      <c r="E1020" t="s">
        <v>1532</v>
      </c>
      <c r="F1020" t="s">
        <v>14</v>
      </c>
      <c r="G1020" t="s">
        <v>18</v>
      </c>
      <c r="I1020">
        <v>500000</v>
      </c>
      <c r="K1020">
        <v>884000</v>
      </c>
    </row>
    <row r="1021" spans="1:12" ht="15" customHeight="1">
      <c r="A1021" t="s">
        <v>6354</v>
      </c>
      <c r="B1021" t="s">
        <v>2635</v>
      </c>
      <c r="C1021" t="s">
        <v>12</v>
      </c>
      <c r="D1021" t="s">
        <v>2636</v>
      </c>
      <c r="E1021" t="s">
        <v>1532</v>
      </c>
      <c r="F1021" t="s">
        <v>14</v>
      </c>
      <c r="G1021" t="s">
        <v>18</v>
      </c>
      <c r="K1021">
        <v>31000</v>
      </c>
    </row>
    <row r="1022" spans="1:12" ht="15" customHeight="1">
      <c r="A1022" t="s">
        <v>6355</v>
      </c>
      <c r="B1022" t="s">
        <v>2637</v>
      </c>
      <c r="C1022" t="s">
        <v>12</v>
      </c>
      <c r="D1022" t="s">
        <v>2638</v>
      </c>
      <c r="E1022" t="s">
        <v>1525</v>
      </c>
      <c r="F1022" t="s">
        <v>14</v>
      </c>
      <c r="G1022" t="s">
        <v>18</v>
      </c>
    </row>
    <row r="1023" spans="1:12" ht="15" customHeight="1">
      <c r="A1023" t="s">
        <v>6356</v>
      </c>
      <c r="B1023" t="s">
        <v>2639</v>
      </c>
      <c r="C1023" t="s">
        <v>12</v>
      </c>
      <c r="D1023" t="s">
        <v>2640</v>
      </c>
      <c r="E1023" t="s">
        <v>1533</v>
      </c>
      <c r="F1023" t="s">
        <v>14</v>
      </c>
      <c r="G1023" t="s">
        <v>18</v>
      </c>
      <c r="I1023">
        <v>26508000</v>
      </c>
      <c r="J1023">
        <v>22715000</v>
      </c>
      <c r="K1023">
        <v>26577000</v>
      </c>
      <c r="L1023">
        <v>22822000</v>
      </c>
    </row>
    <row r="1024" spans="1:12" ht="15" customHeight="1">
      <c r="A1024" t="s">
        <v>6357</v>
      </c>
      <c r="B1024" t="s">
        <v>2641</v>
      </c>
      <c r="C1024" t="s">
        <v>12</v>
      </c>
      <c r="D1024" t="s">
        <v>2642</v>
      </c>
      <c r="E1024" t="s">
        <v>1532</v>
      </c>
      <c r="F1024" t="s">
        <v>14</v>
      </c>
      <c r="G1024" t="s">
        <v>18</v>
      </c>
      <c r="I1024">
        <v>1104000</v>
      </c>
      <c r="J1024">
        <v>1108000</v>
      </c>
      <c r="K1024">
        <v>1097000</v>
      </c>
      <c r="L1024">
        <v>1319000</v>
      </c>
    </row>
    <row r="1025" spans="1:12" ht="15" customHeight="1">
      <c r="A1025" t="s">
        <v>6358</v>
      </c>
      <c r="B1025" t="s">
        <v>2643</v>
      </c>
      <c r="C1025" t="s">
        <v>12</v>
      </c>
      <c r="D1025" t="s">
        <v>2644</v>
      </c>
      <c r="E1025" t="s">
        <v>1579</v>
      </c>
      <c r="F1025" t="s">
        <v>25</v>
      </c>
      <c r="G1025" t="s">
        <v>18</v>
      </c>
    </row>
    <row r="1026" spans="1:12" ht="15" customHeight="1">
      <c r="A1026" t="s">
        <v>6359</v>
      </c>
      <c r="B1026" t="s">
        <v>2645</v>
      </c>
      <c r="C1026" t="s">
        <v>12</v>
      </c>
      <c r="D1026" t="s">
        <v>2646</v>
      </c>
      <c r="E1026" t="s">
        <v>1521</v>
      </c>
      <c r="F1026" t="s">
        <v>14</v>
      </c>
      <c r="G1026" t="s">
        <v>77</v>
      </c>
      <c r="I1026">
        <v>22727000</v>
      </c>
      <c r="J1026">
        <v>16731000</v>
      </c>
      <c r="K1026">
        <v>25299000</v>
      </c>
      <c r="L1026">
        <v>15768000</v>
      </c>
    </row>
    <row r="1027" spans="1:12" ht="15" customHeight="1">
      <c r="A1027" t="s">
        <v>6360</v>
      </c>
      <c r="B1027" t="s">
        <v>2647</v>
      </c>
      <c r="C1027" t="s">
        <v>12</v>
      </c>
      <c r="D1027" t="s">
        <v>2648</v>
      </c>
      <c r="E1027" t="s">
        <v>1629</v>
      </c>
      <c r="F1027" t="s">
        <v>14</v>
      </c>
      <c r="G1027" t="s">
        <v>18</v>
      </c>
      <c r="I1027">
        <v>3533000</v>
      </c>
      <c r="J1027">
        <v>3584000</v>
      </c>
      <c r="K1027">
        <v>3559000</v>
      </c>
      <c r="L1027">
        <v>3151000</v>
      </c>
    </row>
    <row r="1028" spans="1:12" ht="15" customHeight="1">
      <c r="A1028" t="s">
        <v>6361</v>
      </c>
      <c r="B1028" t="s">
        <v>2649</v>
      </c>
      <c r="C1028" t="s">
        <v>12</v>
      </c>
      <c r="D1028" t="s">
        <v>2650</v>
      </c>
      <c r="E1028" t="s">
        <v>1532</v>
      </c>
      <c r="F1028" t="s">
        <v>25</v>
      </c>
      <c r="G1028" t="s">
        <v>18</v>
      </c>
    </row>
    <row r="1029" spans="1:12" ht="15" customHeight="1">
      <c r="A1029" t="s">
        <v>6362</v>
      </c>
      <c r="B1029" t="s">
        <v>2651</v>
      </c>
      <c r="C1029" t="s">
        <v>12</v>
      </c>
      <c r="D1029" t="s">
        <v>2652</v>
      </c>
      <c r="E1029" t="s">
        <v>1532</v>
      </c>
      <c r="F1029" t="s">
        <v>25</v>
      </c>
      <c r="G1029" t="s">
        <v>18</v>
      </c>
    </row>
    <row r="1030" spans="1:12" ht="15" customHeight="1">
      <c r="A1030" t="s">
        <v>6363</v>
      </c>
      <c r="B1030" t="s">
        <v>2653</v>
      </c>
      <c r="C1030" t="s">
        <v>12</v>
      </c>
      <c r="D1030" t="s">
        <v>2654</v>
      </c>
      <c r="E1030" t="s">
        <v>1504</v>
      </c>
      <c r="F1030" t="s">
        <v>14</v>
      </c>
      <c r="G1030" t="s">
        <v>18</v>
      </c>
      <c r="I1030">
        <v>1542000</v>
      </c>
      <c r="J1030">
        <v>800000</v>
      </c>
      <c r="K1030">
        <v>1355000</v>
      </c>
      <c r="L1030">
        <v>787000</v>
      </c>
    </row>
    <row r="1031" spans="1:12" ht="15" customHeight="1">
      <c r="A1031" t="s">
        <v>6364</v>
      </c>
      <c r="B1031" t="s">
        <v>2655</v>
      </c>
      <c r="C1031" t="s">
        <v>12</v>
      </c>
      <c r="D1031" t="s">
        <v>2656</v>
      </c>
      <c r="E1031" t="s">
        <v>1532</v>
      </c>
      <c r="F1031" t="s">
        <v>14</v>
      </c>
      <c r="G1031" t="s">
        <v>18</v>
      </c>
      <c r="I1031">
        <v>621000</v>
      </c>
      <c r="J1031">
        <v>456000</v>
      </c>
      <c r="K1031">
        <v>762000</v>
      </c>
      <c r="L1031">
        <v>472000</v>
      </c>
    </row>
    <row r="1032" spans="1:12" ht="15" customHeight="1">
      <c r="A1032" t="s">
        <v>6365</v>
      </c>
      <c r="B1032" t="s">
        <v>2657</v>
      </c>
      <c r="C1032" t="s">
        <v>12</v>
      </c>
      <c r="D1032" t="s">
        <v>2658</v>
      </c>
      <c r="E1032" t="s">
        <v>1767</v>
      </c>
      <c r="F1032" t="s">
        <v>25</v>
      </c>
      <c r="G1032" t="s">
        <v>18</v>
      </c>
      <c r="I1032">
        <v>296000</v>
      </c>
      <c r="J1032">
        <v>1527000</v>
      </c>
      <c r="K1032">
        <v>296000</v>
      </c>
      <c r="L1032">
        <v>1527000</v>
      </c>
    </row>
    <row r="1033" spans="1:12" ht="15" customHeight="1">
      <c r="A1033" t="s">
        <v>6366</v>
      </c>
      <c r="B1033" t="s">
        <v>2659</v>
      </c>
      <c r="C1033" t="s">
        <v>12</v>
      </c>
      <c r="D1033" t="s">
        <v>2660</v>
      </c>
      <c r="E1033" t="s">
        <v>1580</v>
      </c>
      <c r="F1033" t="s">
        <v>14</v>
      </c>
      <c r="G1033" t="s">
        <v>18</v>
      </c>
      <c r="I1033">
        <v>3747000</v>
      </c>
      <c r="J1033">
        <v>1971000</v>
      </c>
      <c r="K1033">
        <v>3287000</v>
      </c>
      <c r="L1033">
        <v>6517000</v>
      </c>
    </row>
    <row r="1034" spans="1:12" ht="15" customHeight="1">
      <c r="A1034" t="s">
        <v>6367</v>
      </c>
      <c r="B1034" t="s">
        <v>2661</v>
      </c>
      <c r="C1034" t="s">
        <v>12</v>
      </c>
      <c r="D1034" t="s">
        <v>2662</v>
      </c>
      <c r="E1034" t="s">
        <v>1560</v>
      </c>
      <c r="F1034" t="s">
        <v>14</v>
      </c>
      <c r="G1034" t="s">
        <v>22</v>
      </c>
      <c r="I1034">
        <v>6860000</v>
      </c>
      <c r="J1034">
        <v>6533000</v>
      </c>
      <c r="K1034">
        <v>7129000</v>
      </c>
      <c r="L1034">
        <v>7453000</v>
      </c>
    </row>
    <row r="1035" spans="1:12" ht="15" customHeight="1">
      <c r="A1035" t="s">
        <v>6368</v>
      </c>
      <c r="B1035" t="s">
        <v>2663</v>
      </c>
      <c r="C1035" t="s">
        <v>12</v>
      </c>
      <c r="D1035" t="s">
        <v>2664</v>
      </c>
      <c r="E1035" t="s">
        <v>1642</v>
      </c>
      <c r="F1035" t="s">
        <v>14</v>
      </c>
      <c r="G1035" t="s">
        <v>18</v>
      </c>
      <c r="I1035">
        <v>5928000</v>
      </c>
      <c r="J1035">
        <v>9135000</v>
      </c>
      <c r="K1035">
        <v>6244000</v>
      </c>
      <c r="L1035">
        <v>8492000</v>
      </c>
    </row>
    <row r="1036" spans="1:12" ht="15" customHeight="1">
      <c r="A1036" t="s">
        <v>6369</v>
      </c>
      <c r="B1036" t="s">
        <v>2665</v>
      </c>
      <c r="C1036" t="s">
        <v>12</v>
      </c>
      <c r="D1036" t="s">
        <v>2666</v>
      </c>
      <c r="E1036" t="s">
        <v>1532</v>
      </c>
      <c r="F1036" t="s">
        <v>14</v>
      </c>
      <c r="G1036" t="s">
        <v>18</v>
      </c>
      <c r="I1036">
        <v>2000</v>
      </c>
      <c r="K1036">
        <v>2000</v>
      </c>
    </row>
    <row r="1037" spans="1:12" ht="15" customHeight="1">
      <c r="A1037" t="s">
        <v>6370</v>
      </c>
      <c r="B1037" t="s">
        <v>2667</v>
      </c>
      <c r="C1037" t="s">
        <v>12</v>
      </c>
      <c r="D1037" t="s">
        <v>2668</v>
      </c>
      <c r="E1037" t="s">
        <v>1532</v>
      </c>
      <c r="F1037" t="s">
        <v>14</v>
      </c>
      <c r="G1037" t="s">
        <v>18</v>
      </c>
      <c r="I1037">
        <v>1254000</v>
      </c>
      <c r="J1037">
        <v>630000</v>
      </c>
      <c r="K1037">
        <v>1998000</v>
      </c>
      <c r="L1037">
        <v>777000</v>
      </c>
    </row>
    <row r="1038" spans="1:12" ht="15" customHeight="1">
      <c r="A1038" t="s">
        <v>6371</v>
      </c>
      <c r="B1038" t="s">
        <v>2669</v>
      </c>
      <c r="C1038" t="s">
        <v>12</v>
      </c>
      <c r="D1038" t="s">
        <v>2670</v>
      </c>
      <c r="E1038" t="s">
        <v>1508</v>
      </c>
      <c r="F1038" t="s">
        <v>14</v>
      </c>
      <c r="G1038" t="s">
        <v>18</v>
      </c>
      <c r="I1038">
        <v>1092000</v>
      </c>
      <c r="J1038">
        <v>3882000</v>
      </c>
      <c r="K1038">
        <v>1180000</v>
      </c>
      <c r="L1038">
        <v>3382000</v>
      </c>
    </row>
    <row r="1039" spans="1:12" ht="15" customHeight="1">
      <c r="A1039" t="s">
        <v>6372</v>
      </c>
      <c r="B1039" t="s">
        <v>2671</v>
      </c>
      <c r="C1039" t="s">
        <v>12</v>
      </c>
      <c r="D1039" t="s">
        <v>2672</v>
      </c>
      <c r="E1039" t="s">
        <v>1532</v>
      </c>
      <c r="F1039" t="s">
        <v>14</v>
      </c>
      <c r="G1039" t="s">
        <v>22</v>
      </c>
      <c r="H1039" t="s">
        <v>23</v>
      </c>
      <c r="I1039">
        <v>25085000</v>
      </c>
      <c r="J1039">
        <v>37497000</v>
      </c>
      <c r="K1039">
        <v>21943000</v>
      </c>
      <c r="L1039">
        <v>34710000</v>
      </c>
    </row>
    <row r="1040" spans="1:12" ht="15" customHeight="1">
      <c r="A1040" t="s">
        <v>6373</v>
      </c>
      <c r="B1040" t="s">
        <v>2673</v>
      </c>
      <c r="C1040" t="s">
        <v>12</v>
      </c>
      <c r="D1040" t="s">
        <v>2674</v>
      </c>
      <c r="E1040" t="s">
        <v>1559</v>
      </c>
      <c r="F1040" t="s">
        <v>14</v>
      </c>
      <c r="G1040" t="s">
        <v>77</v>
      </c>
      <c r="I1040">
        <v>17813000</v>
      </c>
      <c r="J1040">
        <v>28121000</v>
      </c>
      <c r="K1040">
        <v>17620000</v>
      </c>
      <c r="L1040">
        <v>27469000</v>
      </c>
    </row>
    <row r="1041" spans="1:12" ht="15" customHeight="1">
      <c r="A1041" t="s">
        <v>6374</v>
      </c>
      <c r="B1041" t="s">
        <v>2675</v>
      </c>
      <c r="C1041" t="s">
        <v>12</v>
      </c>
      <c r="D1041" t="s">
        <v>2676</v>
      </c>
      <c r="E1041" t="s">
        <v>1628</v>
      </c>
      <c r="F1041" t="s">
        <v>14</v>
      </c>
      <c r="G1041" t="s">
        <v>18</v>
      </c>
      <c r="I1041">
        <v>928000</v>
      </c>
      <c r="J1041">
        <v>1221000</v>
      </c>
      <c r="K1041">
        <v>928000</v>
      </c>
    </row>
    <row r="1042" spans="1:12" ht="15" customHeight="1">
      <c r="A1042" t="s">
        <v>6375</v>
      </c>
      <c r="B1042" t="s">
        <v>2677</v>
      </c>
      <c r="C1042" t="s">
        <v>12</v>
      </c>
      <c r="D1042" t="s">
        <v>2678</v>
      </c>
      <c r="E1042" t="s">
        <v>1509</v>
      </c>
      <c r="F1042" t="s">
        <v>14</v>
      </c>
      <c r="G1042" t="s">
        <v>22</v>
      </c>
      <c r="I1042">
        <v>130875000</v>
      </c>
      <c r="J1042">
        <v>195569000</v>
      </c>
      <c r="K1042">
        <v>129010000</v>
      </c>
      <c r="L1042">
        <v>177439000</v>
      </c>
    </row>
    <row r="1043" spans="1:12" ht="15" customHeight="1">
      <c r="A1043" t="s">
        <v>6376</v>
      </c>
      <c r="B1043" t="s">
        <v>2679</v>
      </c>
      <c r="C1043" t="s">
        <v>12</v>
      </c>
      <c r="D1043" t="s">
        <v>2680</v>
      </c>
      <c r="E1043" t="s">
        <v>1532</v>
      </c>
      <c r="F1043" t="s">
        <v>14</v>
      </c>
      <c r="G1043" t="s">
        <v>18</v>
      </c>
      <c r="I1043">
        <v>97000</v>
      </c>
      <c r="J1043">
        <v>392000</v>
      </c>
      <c r="K1043">
        <v>94000</v>
      </c>
    </row>
    <row r="1044" spans="1:12" ht="15" customHeight="1">
      <c r="A1044" t="s">
        <v>6377</v>
      </c>
      <c r="B1044" t="s">
        <v>2681</v>
      </c>
      <c r="C1044" t="s">
        <v>12</v>
      </c>
      <c r="D1044" t="s">
        <v>2682</v>
      </c>
      <c r="E1044" t="s">
        <v>1524</v>
      </c>
      <c r="F1044" t="s">
        <v>14</v>
      </c>
      <c r="G1044" t="s">
        <v>22</v>
      </c>
      <c r="I1044">
        <v>4347000</v>
      </c>
      <c r="J1044">
        <v>6767000</v>
      </c>
      <c r="K1044">
        <v>3772000</v>
      </c>
      <c r="L1044">
        <v>6919000</v>
      </c>
    </row>
    <row r="1045" spans="1:12" ht="15" customHeight="1">
      <c r="A1045" t="s">
        <v>6378</v>
      </c>
      <c r="B1045" t="s">
        <v>2683</v>
      </c>
      <c r="C1045" t="s">
        <v>12</v>
      </c>
      <c r="D1045" t="s">
        <v>2684</v>
      </c>
      <c r="E1045" t="s">
        <v>1532</v>
      </c>
      <c r="F1045" t="s">
        <v>14</v>
      </c>
      <c r="G1045" t="s">
        <v>18</v>
      </c>
      <c r="I1045">
        <v>1308000</v>
      </c>
      <c r="J1045">
        <v>380000</v>
      </c>
      <c r="K1045">
        <v>1091000</v>
      </c>
      <c r="L1045">
        <v>590000</v>
      </c>
    </row>
    <row r="1046" spans="1:12" ht="15" customHeight="1">
      <c r="A1046" t="s">
        <v>6379</v>
      </c>
      <c r="B1046" t="s">
        <v>2685</v>
      </c>
      <c r="C1046" t="s">
        <v>12</v>
      </c>
      <c r="D1046" t="s">
        <v>2686</v>
      </c>
      <c r="E1046" t="s">
        <v>1579</v>
      </c>
      <c r="F1046" t="s">
        <v>14</v>
      </c>
      <c r="G1046" t="s">
        <v>18</v>
      </c>
      <c r="I1046">
        <v>1140000</v>
      </c>
      <c r="J1046">
        <v>1114000</v>
      </c>
      <c r="K1046">
        <v>1091000</v>
      </c>
      <c r="L1046">
        <v>1200000</v>
      </c>
    </row>
    <row r="1047" spans="1:12" ht="15" customHeight="1">
      <c r="A1047" t="s">
        <v>6380</v>
      </c>
      <c r="B1047" t="s">
        <v>2687</v>
      </c>
      <c r="C1047" t="s">
        <v>12</v>
      </c>
      <c r="D1047" t="s">
        <v>2688</v>
      </c>
      <c r="E1047" t="s">
        <v>1667</v>
      </c>
      <c r="F1047" t="s">
        <v>14</v>
      </c>
      <c r="G1047" t="s">
        <v>18</v>
      </c>
      <c r="I1047">
        <v>9429000</v>
      </c>
      <c r="J1047">
        <v>15410000</v>
      </c>
      <c r="K1047">
        <v>5431000</v>
      </c>
      <c r="L1047">
        <v>17585000</v>
      </c>
    </row>
    <row r="1048" spans="1:12" ht="15" customHeight="1">
      <c r="A1048" t="s">
        <v>6381</v>
      </c>
      <c r="B1048" t="s">
        <v>2689</v>
      </c>
      <c r="C1048" t="s">
        <v>12</v>
      </c>
      <c r="D1048" t="s">
        <v>2690</v>
      </c>
      <c r="E1048" t="s">
        <v>1509</v>
      </c>
      <c r="F1048" t="s">
        <v>14</v>
      </c>
      <c r="G1048" t="s">
        <v>18</v>
      </c>
      <c r="I1048">
        <v>679000</v>
      </c>
      <c r="J1048">
        <v>1429000</v>
      </c>
      <c r="K1048">
        <v>599000</v>
      </c>
      <c r="L1048">
        <v>1545000</v>
      </c>
    </row>
    <row r="1049" spans="1:12" ht="15" customHeight="1">
      <c r="A1049" t="s">
        <v>6382</v>
      </c>
      <c r="B1049" t="s">
        <v>2691</v>
      </c>
      <c r="C1049" t="s">
        <v>12</v>
      </c>
      <c r="D1049" t="s">
        <v>2692</v>
      </c>
      <c r="E1049" t="s">
        <v>1560</v>
      </c>
      <c r="F1049" t="s">
        <v>25</v>
      </c>
      <c r="G1049" t="s">
        <v>18</v>
      </c>
      <c r="I1049">
        <v>284000</v>
      </c>
      <c r="J1049">
        <v>-158000</v>
      </c>
    </row>
    <row r="1050" spans="1:12" ht="15" customHeight="1">
      <c r="A1050" t="s">
        <v>6383</v>
      </c>
      <c r="B1050" t="s">
        <v>2693</v>
      </c>
      <c r="C1050" t="s">
        <v>12</v>
      </c>
      <c r="D1050" t="s">
        <v>2694</v>
      </c>
      <c r="E1050" t="s">
        <v>1532</v>
      </c>
      <c r="F1050" t="s">
        <v>14</v>
      </c>
      <c r="G1050" t="s">
        <v>18</v>
      </c>
      <c r="I1050">
        <v>20450000</v>
      </c>
      <c r="J1050">
        <v>23956000</v>
      </c>
      <c r="K1050">
        <v>36058000</v>
      </c>
      <c r="L1050">
        <v>25537000</v>
      </c>
    </row>
    <row r="1051" spans="1:12" ht="15" customHeight="1">
      <c r="A1051" t="s">
        <v>6384</v>
      </c>
      <c r="B1051" t="s">
        <v>2695</v>
      </c>
      <c r="C1051" t="s">
        <v>12</v>
      </c>
      <c r="D1051" t="s">
        <v>2696</v>
      </c>
      <c r="E1051" t="s">
        <v>1532</v>
      </c>
      <c r="F1051" t="s">
        <v>14</v>
      </c>
      <c r="G1051" t="s">
        <v>18</v>
      </c>
    </row>
    <row r="1052" spans="1:12" ht="15" customHeight="1">
      <c r="A1052" t="s">
        <v>6385</v>
      </c>
      <c r="B1052" t="s">
        <v>2697</v>
      </c>
      <c r="C1052" t="s">
        <v>12</v>
      </c>
      <c r="D1052" t="s">
        <v>2698</v>
      </c>
      <c r="E1052" t="s">
        <v>1524</v>
      </c>
      <c r="F1052" t="s">
        <v>25</v>
      </c>
      <c r="G1052" t="s">
        <v>18</v>
      </c>
      <c r="I1052">
        <v>1928000</v>
      </c>
      <c r="J1052">
        <v>2185000</v>
      </c>
      <c r="K1052">
        <v>1905000</v>
      </c>
      <c r="L1052">
        <v>2165000</v>
      </c>
    </row>
    <row r="1053" spans="1:12" ht="15" customHeight="1">
      <c r="A1053" t="s">
        <v>6386</v>
      </c>
      <c r="B1053" t="s">
        <v>2699</v>
      </c>
      <c r="C1053" t="s">
        <v>12</v>
      </c>
      <c r="D1053" t="s">
        <v>2700</v>
      </c>
      <c r="E1053" t="s">
        <v>1544</v>
      </c>
      <c r="F1053" t="s">
        <v>14</v>
      </c>
      <c r="G1053" t="s">
        <v>18</v>
      </c>
    </row>
    <row r="1054" spans="1:12" ht="15" customHeight="1">
      <c r="A1054" t="s">
        <v>6387</v>
      </c>
      <c r="B1054" t="s">
        <v>2701</v>
      </c>
      <c r="C1054" t="s">
        <v>12</v>
      </c>
      <c r="D1054" t="s">
        <v>2702</v>
      </c>
      <c r="E1054" t="s">
        <v>1533</v>
      </c>
      <c r="F1054" t="s">
        <v>14</v>
      </c>
      <c r="G1054" t="s">
        <v>18</v>
      </c>
      <c r="I1054">
        <v>414000</v>
      </c>
      <c r="J1054">
        <v>217000</v>
      </c>
      <c r="K1054">
        <v>373000</v>
      </c>
      <c r="L1054">
        <v>242000</v>
      </c>
    </row>
    <row r="1055" spans="1:12" ht="15" customHeight="1">
      <c r="A1055" t="s">
        <v>6388</v>
      </c>
      <c r="B1055" t="s">
        <v>2703</v>
      </c>
      <c r="C1055" t="s">
        <v>12</v>
      </c>
      <c r="D1055" t="s">
        <v>2704</v>
      </c>
      <c r="E1055" t="s">
        <v>1576</v>
      </c>
      <c r="F1055" t="s">
        <v>14</v>
      </c>
      <c r="G1055" t="s">
        <v>22</v>
      </c>
      <c r="I1055">
        <v>4861000</v>
      </c>
      <c r="J1055">
        <v>2892000</v>
      </c>
      <c r="K1055">
        <v>4715000</v>
      </c>
      <c r="L1055">
        <v>2818000</v>
      </c>
    </row>
    <row r="1056" spans="1:12" ht="15" customHeight="1">
      <c r="A1056" t="s">
        <v>6389</v>
      </c>
      <c r="B1056" t="s">
        <v>2705</v>
      </c>
      <c r="C1056" t="s">
        <v>12</v>
      </c>
      <c r="D1056" t="s">
        <v>2706</v>
      </c>
      <c r="E1056" t="s">
        <v>1512</v>
      </c>
      <c r="F1056" t="s">
        <v>14</v>
      </c>
      <c r="G1056" t="s">
        <v>18</v>
      </c>
      <c r="I1056">
        <v>10376000</v>
      </c>
      <c r="J1056">
        <v>10437000</v>
      </c>
      <c r="K1056">
        <v>11277000</v>
      </c>
      <c r="L1056">
        <v>7357000</v>
      </c>
    </row>
    <row r="1057" spans="1:12" ht="15" customHeight="1">
      <c r="A1057" t="s">
        <v>6390</v>
      </c>
      <c r="B1057" t="s">
        <v>2707</v>
      </c>
      <c r="C1057" t="s">
        <v>12</v>
      </c>
      <c r="D1057" t="s">
        <v>2708</v>
      </c>
      <c r="E1057" t="s">
        <v>1517</v>
      </c>
      <c r="F1057" t="s">
        <v>25</v>
      </c>
      <c r="G1057" t="s">
        <v>18</v>
      </c>
      <c r="I1057">
        <v>344000</v>
      </c>
      <c r="J1057">
        <v>564000</v>
      </c>
      <c r="K1057">
        <v>344000</v>
      </c>
      <c r="L1057">
        <v>564000</v>
      </c>
    </row>
    <row r="1058" spans="1:12" ht="15" customHeight="1">
      <c r="A1058" t="s">
        <v>6391</v>
      </c>
      <c r="B1058" t="s">
        <v>2709</v>
      </c>
      <c r="C1058" t="s">
        <v>12</v>
      </c>
      <c r="D1058" t="s">
        <v>2710</v>
      </c>
      <c r="E1058" t="s">
        <v>1524</v>
      </c>
      <c r="F1058" t="s">
        <v>14</v>
      </c>
      <c r="G1058" t="s">
        <v>18</v>
      </c>
    </row>
    <row r="1059" spans="1:12" ht="15" customHeight="1">
      <c r="A1059" t="s">
        <v>6392</v>
      </c>
      <c r="B1059" t="s">
        <v>2711</v>
      </c>
      <c r="C1059" t="s">
        <v>12</v>
      </c>
      <c r="D1059" t="s">
        <v>2712</v>
      </c>
      <c r="E1059" t="s">
        <v>1509</v>
      </c>
      <c r="F1059" t="s">
        <v>14</v>
      </c>
      <c r="G1059" t="s">
        <v>18</v>
      </c>
      <c r="I1059">
        <v>4264000</v>
      </c>
      <c r="J1059">
        <v>4184000</v>
      </c>
      <c r="K1059">
        <v>4287000</v>
      </c>
      <c r="L1059">
        <v>4188000</v>
      </c>
    </row>
    <row r="1060" spans="1:12" ht="15" customHeight="1">
      <c r="A1060" t="s">
        <v>6393</v>
      </c>
      <c r="B1060" t="s">
        <v>2713</v>
      </c>
      <c r="C1060" t="s">
        <v>12</v>
      </c>
      <c r="D1060" t="s">
        <v>2714</v>
      </c>
      <c r="E1060" t="s">
        <v>1504</v>
      </c>
      <c r="F1060" t="s">
        <v>14</v>
      </c>
      <c r="G1060" t="s">
        <v>18</v>
      </c>
      <c r="I1060">
        <v>396000</v>
      </c>
      <c r="J1060">
        <v>357000</v>
      </c>
      <c r="K1060">
        <v>382000</v>
      </c>
      <c r="L1060">
        <v>344000</v>
      </c>
    </row>
    <row r="1061" spans="1:12" ht="15" customHeight="1">
      <c r="A1061" t="s">
        <v>6394</v>
      </c>
      <c r="B1061" t="s">
        <v>2715</v>
      </c>
      <c r="C1061" t="s">
        <v>12</v>
      </c>
      <c r="D1061" t="s">
        <v>2716</v>
      </c>
      <c r="E1061" t="s">
        <v>1629</v>
      </c>
      <c r="F1061" t="s">
        <v>249</v>
      </c>
      <c r="G1061" t="s">
        <v>18</v>
      </c>
      <c r="I1061">
        <v>733000</v>
      </c>
      <c r="J1061">
        <v>671000</v>
      </c>
      <c r="K1061">
        <v>699000</v>
      </c>
      <c r="L1061">
        <v>598000</v>
      </c>
    </row>
    <row r="1062" spans="1:12" ht="15" customHeight="1">
      <c r="A1062" t="s">
        <v>6395</v>
      </c>
      <c r="B1062" t="s">
        <v>2717</v>
      </c>
      <c r="C1062" t="s">
        <v>12</v>
      </c>
      <c r="D1062" t="s">
        <v>2718</v>
      </c>
      <c r="E1062" t="s">
        <v>1576</v>
      </c>
      <c r="F1062" t="s">
        <v>14</v>
      </c>
      <c r="G1062" t="s">
        <v>18</v>
      </c>
      <c r="I1062">
        <v>7215000</v>
      </c>
      <c r="J1062">
        <v>16511000</v>
      </c>
      <c r="K1062">
        <v>7030000</v>
      </c>
      <c r="L1062">
        <v>15538000</v>
      </c>
    </row>
    <row r="1063" spans="1:12" ht="15" customHeight="1">
      <c r="A1063" t="s">
        <v>6396</v>
      </c>
      <c r="B1063" t="s">
        <v>2719</v>
      </c>
      <c r="C1063" t="s">
        <v>12</v>
      </c>
      <c r="D1063" t="s">
        <v>2720</v>
      </c>
      <c r="E1063" t="s">
        <v>1532</v>
      </c>
      <c r="F1063" t="s">
        <v>14</v>
      </c>
      <c r="G1063" t="s">
        <v>22</v>
      </c>
      <c r="I1063">
        <v>22047000</v>
      </c>
      <c r="J1063">
        <v>23118000</v>
      </c>
      <c r="K1063">
        <v>21313000</v>
      </c>
      <c r="L1063">
        <v>26088000</v>
      </c>
    </row>
    <row r="1064" spans="1:12" ht="15" customHeight="1">
      <c r="A1064" t="s">
        <v>6397</v>
      </c>
      <c r="B1064" t="s">
        <v>2721</v>
      </c>
      <c r="C1064" t="s">
        <v>12</v>
      </c>
      <c r="D1064" t="s">
        <v>2722</v>
      </c>
      <c r="E1064" t="s">
        <v>1524</v>
      </c>
      <c r="F1064" t="s">
        <v>14</v>
      </c>
      <c r="G1064" t="s">
        <v>18</v>
      </c>
      <c r="I1064">
        <v>828000</v>
      </c>
      <c r="J1064">
        <v>694000</v>
      </c>
      <c r="K1064">
        <v>820000</v>
      </c>
      <c r="L1064">
        <v>717000</v>
      </c>
    </row>
    <row r="1065" spans="1:12" ht="15" customHeight="1">
      <c r="A1065" t="s">
        <v>6398</v>
      </c>
      <c r="B1065" t="s">
        <v>2723</v>
      </c>
      <c r="C1065" t="s">
        <v>12</v>
      </c>
      <c r="D1065" t="s">
        <v>2724</v>
      </c>
      <c r="E1065" t="s">
        <v>1519</v>
      </c>
      <c r="F1065" t="s">
        <v>25</v>
      </c>
      <c r="G1065" t="s">
        <v>18</v>
      </c>
      <c r="I1065">
        <v>2390000</v>
      </c>
      <c r="J1065">
        <v>2980000</v>
      </c>
      <c r="K1065">
        <v>2232000</v>
      </c>
      <c r="L1065">
        <v>2459000</v>
      </c>
    </row>
    <row r="1066" spans="1:12" ht="15" customHeight="1">
      <c r="A1066" t="s">
        <v>6399</v>
      </c>
      <c r="B1066" t="s">
        <v>2725</v>
      </c>
      <c r="C1066" t="s">
        <v>12</v>
      </c>
      <c r="D1066" t="s">
        <v>2726</v>
      </c>
      <c r="E1066" t="s">
        <v>1532</v>
      </c>
      <c r="F1066" t="s">
        <v>14</v>
      </c>
      <c r="G1066" t="s">
        <v>18</v>
      </c>
      <c r="J1066">
        <v>300000</v>
      </c>
      <c r="L1066">
        <v>300000</v>
      </c>
    </row>
    <row r="1067" spans="1:12" ht="15" customHeight="1">
      <c r="A1067" t="s">
        <v>6400</v>
      </c>
      <c r="B1067" t="s">
        <v>2727</v>
      </c>
      <c r="C1067" t="s">
        <v>12</v>
      </c>
      <c r="D1067" t="s">
        <v>2728</v>
      </c>
      <c r="E1067" t="s">
        <v>1544</v>
      </c>
      <c r="F1067" t="s">
        <v>14</v>
      </c>
      <c r="G1067" t="s">
        <v>18</v>
      </c>
      <c r="I1067">
        <v>9245000</v>
      </c>
      <c r="J1067">
        <v>7743000</v>
      </c>
      <c r="K1067">
        <v>8916000</v>
      </c>
      <c r="L1067">
        <v>7609000</v>
      </c>
    </row>
    <row r="1068" spans="1:12" ht="15" customHeight="1">
      <c r="A1068" t="s">
        <v>6401</v>
      </c>
      <c r="B1068" t="s">
        <v>2729</v>
      </c>
      <c r="C1068" t="s">
        <v>12</v>
      </c>
      <c r="D1068" t="s">
        <v>2730</v>
      </c>
      <c r="E1068" t="s">
        <v>1642</v>
      </c>
      <c r="F1068" t="s">
        <v>14</v>
      </c>
      <c r="G1068" t="s">
        <v>18</v>
      </c>
      <c r="I1068">
        <v>514000</v>
      </c>
      <c r="J1068">
        <v>1115000</v>
      </c>
      <c r="K1068">
        <v>523000</v>
      </c>
      <c r="L1068">
        <v>1199000</v>
      </c>
    </row>
    <row r="1069" spans="1:12" ht="15" customHeight="1">
      <c r="A1069" t="s">
        <v>6402</v>
      </c>
      <c r="B1069" t="s">
        <v>2731</v>
      </c>
      <c r="C1069" t="s">
        <v>1215</v>
      </c>
      <c r="D1069" t="s">
        <v>2732</v>
      </c>
      <c r="E1069" t="s">
        <v>1504</v>
      </c>
      <c r="F1069" t="s">
        <v>14</v>
      </c>
      <c r="G1069" t="s">
        <v>18</v>
      </c>
      <c r="I1069">
        <v>1541000</v>
      </c>
      <c r="K1069">
        <v>1531000</v>
      </c>
    </row>
    <row r="1070" spans="1:12" ht="15" customHeight="1">
      <c r="A1070" t="s">
        <v>6403</v>
      </c>
      <c r="B1070" t="s">
        <v>2733</v>
      </c>
      <c r="C1070" t="s">
        <v>12</v>
      </c>
      <c r="D1070" t="s">
        <v>2734</v>
      </c>
      <c r="E1070" t="s">
        <v>1589</v>
      </c>
      <c r="F1070" t="s">
        <v>14</v>
      </c>
      <c r="G1070" t="s">
        <v>18</v>
      </c>
      <c r="I1070">
        <v>2610000</v>
      </c>
      <c r="J1070">
        <v>911000</v>
      </c>
      <c r="K1070">
        <v>2117000</v>
      </c>
      <c r="L1070">
        <v>513000</v>
      </c>
    </row>
    <row r="1071" spans="1:12" ht="15" customHeight="1">
      <c r="A1071" t="s">
        <v>6404</v>
      </c>
      <c r="B1071" t="s">
        <v>2735</v>
      </c>
      <c r="C1071" t="s">
        <v>12</v>
      </c>
      <c r="D1071" t="s">
        <v>2736</v>
      </c>
      <c r="E1071" t="s">
        <v>1580</v>
      </c>
      <c r="F1071" t="s">
        <v>14</v>
      </c>
      <c r="G1071" t="s">
        <v>18</v>
      </c>
    </row>
    <row r="1072" spans="1:12" ht="15" customHeight="1">
      <c r="A1072" t="s">
        <v>6405</v>
      </c>
      <c r="B1072" t="s">
        <v>2737</v>
      </c>
      <c r="C1072" t="s">
        <v>12</v>
      </c>
      <c r="D1072" t="s">
        <v>2738</v>
      </c>
      <c r="E1072" t="s">
        <v>1667</v>
      </c>
      <c r="F1072" t="s">
        <v>14</v>
      </c>
      <c r="G1072" t="s">
        <v>18</v>
      </c>
      <c r="I1072">
        <v>2291000</v>
      </c>
      <c r="J1072">
        <v>2756000</v>
      </c>
      <c r="K1072">
        <v>1355000</v>
      </c>
      <c r="L1072">
        <v>3953000</v>
      </c>
    </row>
    <row r="1073" spans="1:12" ht="15" customHeight="1">
      <c r="A1073" t="s">
        <v>6406</v>
      </c>
      <c r="B1073" t="s">
        <v>2739</v>
      </c>
      <c r="C1073" t="s">
        <v>12</v>
      </c>
      <c r="D1073" t="s">
        <v>2740</v>
      </c>
      <c r="E1073" t="s">
        <v>1532</v>
      </c>
      <c r="F1073" t="s">
        <v>14</v>
      </c>
      <c r="G1073" t="s">
        <v>18</v>
      </c>
      <c r="I1073">
        <v>1370000</v>
      </c>
      <c r="K1073">
        <v>958000</v>
      </c>
    </row>
    <row r="1074" spans="1:12" ht="15" customHeight="1">
      <c r="A1074" t="s">
        <v>6407</v>
      </c>
      <c r="B1074" t="s">
        <v>2741</v>
      </c>
      <c r="C1074" t="s">
        <v>12</v>
      </c>
      <c r="D1074" t="s">
        <v>2742</v>
      </c>
      <c r="E1074" t="s">
        <v>1509</v>
      </c>
      <c r="F1074" t="s">
        <v>14</v>
      </c>
      <c r="G1074" t="s">
        <v>18</v>
      </c>
    </row>
    <row r="1075" spans="1:12" ht="15" customHeight="1">
      <c r="A1075" t="s">
        <v>6408</v>
      </c>
      <c r="B1075" t="s">
        <v>2743</v>
      </c>
      <c r="C1075" t="s">
        <v>12</v>
      </c>
      <c r="D1075" t="s">
        <v>2744</v>
      </c>
      <c r="E1075" t="s">
        <v>1508</v>
      </c>
      <c r="F1075" t="s">
        <v>14</v>
      </c>
      <c r="G1075" t="s">
        <v>18</v>
      </c>
      <c r="I1075">
        <v>182000</v>
      </c>
      <c r="K1075">
        <v>15000</v>
      </c>
    </row>
    <row r="1076" spans="1:12" ht="15" customHeight="1">
      <c r="A1076" t="s">
        <v>6409</v>
      </c>
      <c r="B1076" t="s">
        <v>2745</v>
      </c>
      <c r="C1076" t="s">
        <v>12</v>
      </c>
      <c r="D1076" t="s">
        <v>2746</v>
      </c>
      <c r="E1076" t="s">
        <v>1519</v>
      </c>
      <c r="F1076" t="s">
        <v>14</v>
      </c>
      <c r="G1076" t="s">
        <v>18</v>
      </c>
      <c r="J1076">
        <v>1529000</v>
      </c>
      <c r="L1076">
        <v>401000</v>
      </c>
    </row>
    <row r="1077" spans="1:12" ht="15" customHeight="1">
      <c r="A1077" t="s">
        <v>6410</v>
      </c>
      <c r="B1077" t="s">
        <v>2747</v>
      </c>
      <c r="C1077" t="s">
        <v>12</v>
      </c>
      <c r="D1077" t="s">
        <v>2748</v>
      </c>
      <c r="E1077" t="s">
        <v>1516</v>
      </c>
      <c r="F1077" t="s">
        <v>14</v>
      </c>
      <c r="G1077" t="s">
        <v>18</v>
      </c>
      <c r="I1077">
        <v>8824000</v>
      </c>
      <c r="J1077">
        <v>12346000</v>
      </c>
      <c r="K1077">
        <v>7500000</v>
      </c>
      <c r="L1077">
        <v>11615000</v>
      </c>
    </row>
    <row r="1078" spans="1:12" ht="15" customHeight="1">
      <c r="A1078" t="s">
        <v>6411</v>
      </c>
      <c r="B1078" t="s">
        <v>2749</v>
      </c>
      <c r="C1078" t="s">
        <v>12</v>
      </c>
      <c r="D1078" t="s">
        <v>2750</v>
      </c>
      <c r="E1078" t="s">
        <v>1533</v>
      </c>
      <c r="F1078" t="s">
        <v>14</v>
      </c>
      <c r="G1078" t="s">
        <v>18</v>
      </c>
      <c r="I1078">
        <v>285000</v>
      </c>
      <c r="J1078">
        <v>215000</v>
      </c>
      <c r="K1078">
        <v>292000</v>
      </c>
      <c r="L1078">
        <v>216000</v>
      </c>
    </row>
    <row r="1079" spans="1:12" ht="15" customHeight="1">
      <c r="A1079" t="s">
        <v>6412</v>
      </c>
      <c r="B1079" t="s">
        <v>2751</v>
      </c>
      <c r="C1079" t="s">
        <v>12</v>
      </c>
      <c r="D1079" t="s">
        <v>2752</v>
      </c>
      <c r="E1079" t="s">
        <v>1619</v>
      </c>
      <c r="F1079" t="s">
        <v>14</v>
      </c>
      <c r="G1079" t="s">
        <v>18</v>
      </c>
      <c r="I1079">
        <v>367000</v>
      </c>
      <c r="J1079">
        <v>594000</v>
      </c>
      <c r="K1079">
        <v>382000</v>
      </c>
      <c r="L1079">
        <v>519000</v>
      </c>
    </row>
    <row r="1080" spans="1:12" ht="15" customHeight="1">
      <c r="A1080" t="s">
        <v>6413</v>
      </c>
      <c r="B1080" t="s">
        <v>2753</v>
      </c>
      <c r="C1080" t="s">
        <v>12</v>
      </c>
      <c r="D1080" t="s">
        <v>2754</v>
      </c>
      <c r="E1080" t="s">
        <v>1518</v>
      </c>
      <c r="F1080" t="s">
        <v>14</v>
      </c>
      <c r="G1080" t="s">
        <v>18</v>
      </c>
    </row>
    <row r="1081" spans="1:12" ht="15" customHeight="1">
      <c r="A1081" t="s">
        <v>6414</v>
      </c>
      <c r="B1081" t="s">
        <v>2755</v>
      </c>
      <c r="C1081" t="s">
        <v>12</v>
      </c>
      <c r="D1081" t="s">
        <v>2756</v>
      </c>
      <c r="E1081" t="s">
        <v>1532</v>
      </c>
      <c r="F1081" t="s">
        <v>14</v>
      </c>
      <c r="G1081" t="s">
        <v>18</v>
      </c>
    </row>
    <row r="1082" spans="1:12" ht="15" customHeight="1">
      <c r="A1082" t="s">
        <v>6414</v>
      </c>
      <c r="B1082" t="s">
        <v>2757</v>
      </c>
      <c r="C1082" t="s">
        <v>12</v>
      </c>
      <c r="D1082" t="s">
        <v>2758</v>
      </c>
      <c r="E1082" t="s">
        <v>1560</v>
      </c>
      <c r="F1082" t="s">
        <v>14</v>
      </c>
      <c r="G1082" t="s">
        <v>18</v>
      </c>
      <c r="I1082">
        <v>1588000</v>
      </c>
      <c r="J1082">
        <v>1665000</v>
      </c>
      <c r="K1082">
        <v>2573000</v>
      </c>
      <c r="L1082">
        <v>1775000</v>
      </c>
    </row>
    <row r="1083" spans="1:12" ht="15" customHeight="1">
      <c r="A1083" t="s">
        <v>6414</v>
      </c>
      <c r="B1083" t="s">
        <v>2759</v>
      </c>
      <c r="C1083" t="s">
        <v>12</v>
      </c>
      <c r="D1083" t="s">
        <v>2760</v>
      </c>
      <c r="E1083" t="s">
        <v>1535</v>
      </c>
      <c r="F1083" t="s">
        <v>14</v>
      </c>
      <c r="G1083" t="s">
        <v>18</v>
      </c>
      <c r="J1083">
        <v>26000</v>
      </c>
      <c r="K1083">
        <v>155000</v>
      </c>
      <c r="L1083">
        <v>1000</v>
      </c>
    </row>
    <row r="1084" spans="1:12" ht="15" customHeight="1">
      <c r="A1084" t="s">
        <v>6414</v>
      </c>
      <c r="B1084" t="s">
        <v>2761</v>
      </c>
      <c r="C1084" t="s">
        <v>12</v>
      </c>
      <c r="D1084" t="s">
        <v>2762</v>
      </c>
      <c r="E1084" t="s">
        <v>1524</v>
      </c>
      <c r="F1084" t="s">
        <v>14</v>
      </c>
      <c r="G1084" t="s">
        <v>18</v>
      </c>
      <c r="I1084">
        <v>11000</v>
      </c>
      <c r="K1084">
        <v>32000</v>
      </c>
    </row>
    <row r="1085" spans="1:12" ht="15" customHeight="1">
      <c r="A1085" t="s">
        <v>6415</v>
      </c>
      <c r="B1085" t="s">
        <v>2763</v>
      </c>
      <c r="C1085" t="s">
        <v>12</v>
      </c>
      <c r="D1085" t="s">
        <v>2764</v>
      </c>
      <c r="E1085" t="s">
        <v>1509</v>
      </c>
      <c r="F1085" t="s">
        <v>14</v>
      </c>
      <c r="G1085" t="s">
        <v>18</v>
      </c>
    </row>
    <row r="1086" spans="1:12" ht="15" customHeight="1">
      <c r="A1086" t="s">
        <v>6416</v>
      </c>
      <c r="B1086" t="s">
        <v>2765</v>
      </c>
      <c r="C1086" t="s">
        <v>12</v>
      </c>
      <c r="D1086" t="s">
        <v>2766</v>
      </c>
      <c r="E1086" t="s">
        <v>1589</v>
      </c>
      <c r="F1086" t="s">
        <v>14</v>
      </c>
      <c r="G1086" t="s">
        <v>18</v>
      </c>
      <c r="I1086">
        <v>922000</v>
      </c>
      <c r="J1086">
        <v>495000</v>
      </c>
      <c r="K1086">
        <v>1086000</v>
      </c>
      <c r="L1086">
        <v>637000</v>
      </c>
    </row>
    <row r="1087" spans="1:12" ht="15" customHeight="1">
      <c r="A1087" t="s">
        <v>6417</v>
      </c>
      <c r="B1087" t="s">
        <v>2767</v>
      </c>
      <c r="C1087" t="s">
        <v>12</v>
      </c>
      <c r="D1087" t="s">
        <v>2768</v>
      </c>
      <c r="E1087" t="s">
        <v>1526</v>
      </c>
      <c r="F1087" t="s">
        <v>14</v>
      </c>
      <c r="G1087" t="s">
        <v>18</v>
      </c>
    </row>
    <row r="1088" spans="1:12" ht="15" customHeight="1">
      <c r="A1088" t="s">
        <v>6418</v>
      </c>
      <c r="B1088" t="s">
        <v>2769</v>
      </c>
      <c r="C1088" t="s">
        <v>12</v>
      </c>
      <c r="D1088" t="s">
        <v>2770</v>
      </c>
      <c r="E1088" t="s">
        <v>1532</v>
      </c>
      <c r="F1088" t="s">
        <v>14</v>
      </c>
      <c r="G1088" t="s">
        <v>18</v>
      </c>
    </row>
    <row r="1089" spans="1:12" ht="15" customHeight="1">
      <c r="A1089" t="s">
        <v>6419</v>
      </c>
      <c r="B1089" t="s">
        <v>2771</v>
      </c>
      <c r="C1089" t="s">
        <v>12</v>
      </c>
      <c r="D1089" t="s">
        <v>2772</v>
      </c>
      <c r="E1089" t="s">
        <v>1579</v>
      </c>
      <c r="F1089" t="s">
        <v>14</v>
      </c>
      <c r="G1089" t="s">
        <v>18</v>
      </c>
      <c r="I1089">
        <v>485000</v>
      </c>
      <c r="J1089">
        <v>431000</v>
      </c>
      <c r="K1089">
        <v>387000</v>
      </c>
      <c r="L1089">
        <v>322000</v>
      </c>
    </row>
    <row r="1090" spans="1:12" ht="15" customHeight="1">
      <c r="A1090" t="s">
        <v>6420</v>
      </c>
      <c r="B1090" t="s">
        <v>2773</v>
      </c>
      <c r="C1090" t="s">
        <v>12</v>
      </c>
      <c r="D1090" t="s">
        <v>2774</v>
      </c>
      <c r="E1090" t="s">
        <v>1560</v>
      </c>
      <c r="F1090" t="s">
        <v>25</v>
      </c>
      <c r="G1090" t="s">
        <v>18</v>
      </c>
      <c r="J1090">
        <v>237000</v>
      </c>
      <c r="L1090">
        <v>114000</v>
      </c>
    </row>
    <row r="1091" spans="1:12" ht="15" customHeight="1">
      <c r="A1091" t="s">
        <v>6421</v>
      </c>
      <c r="B1091" t="s">
        <v>2775</v>
      </c>
      <c r="C1091" t="s">
        <v>12</v>
      </c>
      <c r="D1091" t="s">
        <v>2776</v>
      </c>
      <c r="E1091" t="s">
        <v>1520</v>
      </c>
      <c r="F1091" t="s">
        <v>14</v>
      </c>
      <c r="G1091" t="s">
        <v>18</v>
      </c>
      <c r="I1091">
        <v>16605000</v>
      </c>
      <c r="J1091">
        <v>27453000</v>
      </c>
      <c r="K1091">
        <v>18092000</v>
      </c>
      <c r="L1091">
        <v>24910000</v>
      </c>
    </row>
    <row r="1092" spans="1:12" ht="15" customHeight="1">
      <c r="A1092" t="s">
        <v>6422</v>
      </c>
      <c r="B1092" t="s">
        <v>2777</v>
      </c>
      <c r="C1092" t="s">
        <v>12</v>
      </c>
      <c r="D1092" t="s">
        <v>2778</v>
      </c>
      <c r="E1092" t="s">
        <v>1517</v>
      </c>
      <c r="F1092" t="s">
        <v>14</v>
      </c>
      <c r="G1092" t="s">
        <v>18</v>
      </c>
      <c r="I1092">
        <v>444000</v>
      </c>
      <c r="K1092">
        <v>670000</v>
      </c>
    </row>
    <row r="1093" spans="1:12" ht="15" customHeight="1">
      <c r="A1093" t="s">
        <v>6423</v>
      </c>
      <c r="B1093" t="s">
        <v>2779</v>
      </c>
      <c r="C1093" t="s">
        <v>12</v>
      </c>
      <c r="D1093" t="s">
        <v>2780</v>
      </c>
      <c r="E1093" t="s">
        <v>1532</v>
      </c>
      <c r="F1093" t="s">
        <v>14</v>
      </c>
      <c r="G1093" t="s">
        <v>18</v>
      </c>
    </row>
    <row r="1094" spans="1:12" ht="15" customHeight="1">
      <c r="A1094" t="s">
        <v>6424</v>
      </c>
      <c r="B1094" t="s">
        <v>2781</v>
      </c>
      <c r="C1094" t="s">
        <v>12</v>
      </c>
      <c r="D1094" t="s">
        <v>2782</v>
      </c>
      <c r="E1094" t="s">
        <v>1754</v>
      </c>
      <c r="F1094" t="s">
        <v>14</v>
      </c>
      <c r="G1094" t="s">
        <v>18</v>
      </c>
      <c r="K1094">
        <v>1459000</v>
      </c>
      <c r="L1094">
        <v>1568000</v>
      </c>
    </row>
    <row r="1095" spans="1:12" ht="15" customHeight="1">
      <c r="A1095" t="s">
        <v>6425</v>
      </c>
      <c r="B1095" t="s">
        <v>2783</v>
      </c>
      <c r="C1095" t="s">
        <v>12</v>
      </c>
      <c r="D1095" t="s">
        <v>2784</v>
      </c>
      <c r="E1095" t="s">
        <v>1532</v>
      </c>
      <c r="F1095" t="s">
        <v>14</v>
      </c>
      <c r="G1095" t="s">
        <v>18</v>
      </c>
      <c r="I1095">
        <v>292000</v>
      </c>
      <c r="J1095">
        <v>287000</v>
      </c>
      <c r="K1095">
        <v>274000</v>
      </c>
      <c r="L1095">
        <v>316000</v>
      </c>
    </row>
    <row r="1096" spans="1:12" ht="15" customHeight="1">
      <c r="A1096" t="s">
        <v>6426</v>
      </c>
      <c r="B1096" t="s">
        <v>2785</v>
      </c>
      <c r="C1096" t="s">
        <v>12</v>
      </c>
      <c r="D1096" t="s">
        <v>2786</v>
      </c>
      <c r="E1096" t="s">
        <v>1504</v>
      </c>
      <c r="F1096" t="s">
        <v>14</v>
      </c>
      <c r="G1096" t="s">
        <v>18</v>
      </c>
      <c r="I1096">
        <v>2358000</v>
      </c>
      <c r="K1096">
        <v>2486000</v>
      </c>
    </row>
    <row r="1097" spans="1:12" ht="15" customHeight="1">
      <c r="A1097" t="s">
        <v>6427</v>
      </c>
      <c r="B1097" t="s">
        <v>2787</v>
      </c>
      <c r="C1097" t="s">
        <v>12</v>
      </c>
      <c r="D1097" t="s">
        <v>2788</v>
      </c>
      <c r="E1097" t="s">
        <v>1526</v>
      </c>
      <c r="F1097" t="s">
        <v>14</v>
      </c>
      <c r="G1097" t="s">
        <v>18</v>
      </c>
      <c r="I1097">
        <v>611000</v>
      </c>
      <c r="J1097">
        <v>856000</v>
      </c>
      <c r="K1097">
        <v>611000</v>
      </c>
      <c r="L1097">
        <v>845000</v>
      </c>
    </row>
    <row r="1098" spans="1:12" ht="15" customHeight="1">
      <c r="A1098" t="s">
        <v>6428</v>
      </c>
      <c r="B1098" t="s">
        <v>2789</v>
      </c>
      <c r="C1098" t="s">
        <v>12</v>
      </c>
      <c r="D1098" t="s">
        <v>2790</v>
      </c>
      <c r="E1098" t="s">
        <v>1532</v>
      </c>
      <c r="F1098" t="s">
        <v>14</v>
      </c>
      <c r="G1098" t="s">
        <v>18</v>
      </c>
      <c r="I1098">
        <v>1294000</v>
      </c>
      <c r="K1098">
        <v>1234000</v>
      </c>
    </row>
    <row r="1099" spans="1:12" ht="15" customHeight="1">
      <c r="A1099" t="s">
        <v>6429</v>
      </c>
      <c r="B1099" t="s">
        <v>2791</v>
      </c>
      <c r="C1099" t="s">
        <v>12</v>
      </c>
      <c r="D1099" t="s">
        <v>2792</v>
      </c>
      <c r="E1099" t="s">
        <v>1604</v>
      </c>
      <c r="F1099" t="s">
        <v>14</v>
      </c>
      <c r="G1099" t="s">
        <v>18</v>
      </c>
      <c r="I1099">
        <v>266000</v>
      </c>
      <c r="J1099">
        <v>70000</v>
      </c>
      <c r="K1099">
        <v>214000</v>
      </c>
      <c r="L1099">
        <v>51000</v>
      </c>
    </row>
    <row r="1100" spans="1:12" ht="15" customHeight="1">
      <c r="A1100" t="s">
        <v>6430</v>
      </c>
      <c r="B1100" t="s">
        <v>2793</v>
      </c>
      <c r="C1100" t="s">
        <v>12</v>
      </c>
      <c r="D1100" t="s">
        <v>2794</v>
      </c>
      <c r="E1100" t="s">
        <v>1509</v>
      </c>
      <c r="F1100" t="s">
        <v>25</v>
      </c>
      <c r="G1100" t="s">
        <v>18</v>
      </c>
    </row>
    <row r="1101" spans="1:12" ht="15" customHeight="1">
      <c r="A1101" t="s">
        <v>6431</v>
      </c>
      <c r="B1101" t="s">
        <v>2795</v>
      </c>
      <c r="C1101" t="s">
        <v>12</v>
      </c>
      <c r="D1101" t="s">
        <v>2796</v>
      </c>
      <c r="E1101" t="s">
        <v>1767</v>
      </c>
      <c r="F1101" t="s">
        <v>14</v>
      </c>
      <c r="G1101" t="s">
        <v>18</v>
      </c>
      <c r="I1101">
        <v>766000</v>
      </c>
      <c r="J1101">
        <v>397000</v>
      </c>
      <c r="K1101">
        <v>122000</v>
      </c>
      <c r="L1101">
        <v>1059000</v>
      </c>
    </row>
    <row r="1102" spans="1:12" ht="15" customHeight="1">
      <c r="A1102" t="s">
        <v>6432</v>
      </c>
      <c r="B1102" t="s">
        <v>2798</v>
      </c>
      <c r="C1102" t="s">
        <v>12</v>
      </c>
      <c r="D1102" t="s">
        <v>2799</v>
      </c>
      <c r="E1102" t="s">
        <v>1512</v>
      </c>
      <c r="F1102" t="s">
        <v>24</v>
      </c>
      <c r="G1102" t="s">
        <v>22</v>
      </c>
      <c r="I1102">
        <v>1004000</v>
      </c>
      <c r="L1102">
        <v>1101000</v>
      </c>
    </row>
    <row r="1103" spans="1:12" ht="15" customHeight="1">
      <c r="A1103" t="s">
        <v>6433</v>
      </c>
      <c r="B1103" t="s">
        <v>2800</v>
      </c>
      <c r="C1103" t="s">
        <v>12</v>
      </c>
      <c r="D1103" t="s">
        <v>2801</v>
      </c>
      <c r="E1103" t="s">
        <v>1532</v>
      </c>
      <c r="F1103" t="s">
        <v>14</v>
      </c>
      <c r="G1103" t="s">
        <v>18</v>
      </c>
      <c r="I1103">
        <v>3284000</v>
      </c>
      <c r="J1103">
        <v>1544000</v>
      </c>
      <c r="K1103">
        <v>4281000</v>
      </c>
      <c r="L1103">
        <v>1475000</v>
      </c>
    </row>
    <row r="1104" spans="1:12" ht="15" customHeight="1">
      <c r="A1104" t="s">
        <v>6434</v>
      </c>
      <c r="B1104" t="s">
        <v>2802</v>
      </c>
      <c r="C1104" t="s">
        <v>12</v>
      </c>
      <c r="D1104" t="s">
        <v>2803</v>
      </c>
      <c r="E1104" t="s">
        <v>1532</v>
      </c>
      <c r="F1104" t="s">
        <v>14</v>
      </c>
      <c r="G1104" t="s">
        <v>77</v>
      </c>
      <c r="I1104">
        <v>43154000</v>
      </c>
      <c r="J1104">
        <v>57291000</v>
      </c>
      <c r="K1104">
        <v>51871000</v>
      </c>
      <c r="L1104">
        <v>57864000</v>
      </c>
    </row>
    <row r="1105" spans="1:12" ht="15" customHeight="1">
      <c r="A1105" t="s">
        <v>6435</v>
      </c>
      <c r="B1105" t="s">
        <v>2804</v>
      </c>
      <c r="C1105" t="s">
        <v>12</v>
      </c>
      <c r="D1105" t="s">
        <v>2805</v>
      </c>
      <c r="E1105" t="s">
        <v>1881</v>
      </c>
      <c r="F1105" t="s">
        <v>14</v>
      </c>
      <c r="G1105" t="s">
        <v>18</v>
      </c>
      <c r="I1105">
        <v>662000</v>
      </c>
      <c r="J1105">
        <v>1713000</v>
      </c>
      <c r="K1105">
        <v>1110000</v>
      </c>
      <c r="L1105">
        <v>1469000</v>
      </c>
    </row>
    <row r="1106" spans="1:12" ht="15" customHeight="1">
      <c r="A1106" t="s">
        <v>6436</v>
      </c>
      <c r="B1106" t="s">
        <v>2806</v>
      </c>
      <c r="C1106" t="s">
        <v>12</v>
      </c>
      <c r="D1106" t="s">
        <v>2807</v>
      </c>
      <c r="E1106" t="s">
        <v>1533</v>
      </c>
      <c r="F1106" t="s">
        <v>14</v>
      </c>
      <c r="G1106" t="s">
        <v>18</v>
      </c>
      <c r="I1106">
        <v>2700000</v>
      </c>
      <c r="J1106">
        <v>22045000</v>
      </c>
      <c r="K1106">
        <v>2699000</v>
      </c>
      <c r="L1106">
        <v>20554000</v>
      </c>
    </row>
    <row r="1107" spans="1:12" ht="15" customHeight="1">
      <c r="A1107" t="s">
        <v>6437</v>
      </c>
      <c r="B1107" t="s">
        <v>2808</v>
      </c>
      <c r="C1107" t="s">
        <v>12</v>
      </c>
      <c r="D1107" t="s">
        <v>2809</v>
      </c>
      <c r="E1107" t="s">
        <v>1532</v>
      </c>
      <c r="F1107" t="s">
        <v>14</v>
      </c>
      <c r="G1107" t="s">
        <v>18</v>
      </c>
      <c r="I1107">
        <v>647000</v>
      </c>
      <c r="J1107">
        <v>270000</v>
      </c>
      <c r="K1107">
        <v>567000</v>
      </c>
      <c r="L1107">
        <v>345000</v>
      </c>
    </row>
    <row r="1108" spans="1:12" ht="15" customHeight="1">
      <c r="A1108" t="s">
        <v>6438</v>
      </c>
      <c r="B1108" t="s">
        <v>2810</v>
      </c>
      <c r="C1108" t="s">
        <v>12</v>
      </c>
      <c r="D1108" t="s">
        <v>2811</v>
      </c>
      <c r="E1108" t="s">
        <v>1776</v>
      </c>
      <c r="F1108" t="s">
        <v>14</v>
      </c>
      <c r="G1108" t="s">
        <v>18</v>
      </c>
      <c r="I1108">
        <v>5576000</v>
      </c>
      <c r="J1108">
        <v>4653000</v>
      </c>
      <c r="K1108">
        <v>4571000</v>
      </c>
      <c r="L1108">
        <v>4780000</v>
      </c>
    </row>
    <row r="1109" spans="1:12" ht="15" customHeight="1">
      <c r="A1109" t="s">
        <v>6439</v>
      </c>
      <c r="B1109" t="s">
        <v>2812</v>
      </c>
      <c r="C1109" t="s">
        <v>12</v>
      </c>
      <c r="D1109" t="s">
        <v>2813</v>
      </c>
      <c r="E1109" t="s">
        <v>1589</v>
      </c>
      <c r="F1109" t="s">
        <v>14</v>
      </c>
      <c r="G1109" t="s">
        <v>18</v>
      </c>
      <c r="I1109">
        <v>3904000</v>
      </c>
      <c r="J1109">
        <v>4354000</v>
      </c>
      <c r="K1109">
        <v>3336000</v>
      </c>
      <c r="L1109">
        <v>4120000</v>
      </c>
    </row>
    <row r="1110" spans="1:12" ht="15" customHeight="1">
      <c r="A1110" t="s">
        <v>6440</v>
      </c>
      <c r="B1110" t="s">
        <v>2814</v>
      </c>
      <c r="C1110" t="s">
        <v>12</v>
      </c>
      <c r="D1110" t="s">
        <v>2815</v>
      </c>
      <c r="E1110" t="s">
        <v>1532</v>
      </c>
      <c r="F1110" t="s">
        <v>14</v>
      </c>
      <c r="G1110" t="s">
        <v>18</v>
      </c>
      <c r="I1110">
        <v>1122000</v>
      </c>
      <c r="J1110">
        <v>556000</v>
      </c>
      <c r="K1110">
        <v>1230000</v>
      </c>
      <c r="L1110">
        <v>620000</v>
      </c>
    </row>
    <row r="1111" spans="1:12" ht="15" customHeight="1">
      <c r="A1111" t="s">
        <v>6441</v>
      </c>
      <c r="B1111" t="s">
        <v>2816</v>
      </c>
      <c r="C1111" t="s">
        <v>12</v>
      </c>
      <c r="D1111" t="s">
        <v>2817</v>
      </c>
      <c r="E1111" t="s">
        <v>1559</v>
      </c>
      <c r="F1111" t="s">
        <v>14</v>
      </c>
      <c r="G1111" t="s">
        <v>18</v>
      </c>
      <c r="I1111">
        <v>76000</v>
      </c>
      <c r="J1111">
        <v>142000</v>
      </c>
      <c r="K1111">
        <v>44000</v>
      </c>
      <c r="L1111">
        <v>166000</v>
      </c>
    </row>
    <row r="1112" spans="1:12" ht="15" customHeight="1">
      <c r="A1112" t="s">
        <v>6442</v>
      </c>
      <c r="B1112" t="s">
        <v>2818</v>
      </c>
      <c r="C1112" t="s">
        <v>12</v>
      </c>
      <c r="D1112" t="s">
        <v>2819</v>
      </c>
      <c r="E1112" t="s">
        <v>1533</v>
      </c>
      <c r="F1112" t="s">
        <v>14</v>
      </c>
      <c r="G1112" t="s">
        <v>18</v>
      </c>
      <c r="I1112">
        <v>320000</v>
      </c>
      <c r="J1112">
        <v>1163000</v>
      </c>
      <c r="K1112">
        <v>320000</v>
      </c>
      <c r="L1112">
        <v>1153000</v>
      </c>
    </row>
    <row r="1113" spans="1:12" ht="15" customHeight="1">
      <c r="A1113" t="s">
        <v>6443</v>
      </c>
      <c r="B1113" t="s">
        <v>2820</v>
      </c>
      <c r="C1113" t="s">
        <v>12</v>
      </c>
      <c r="D1113" t="s">
        <v>2821</v>
      </c>
      <c r="E1113" t="s">
        <v>1532</v>
      </c>
      <c r="F1113" t="s">
        <v>14</v>
      </c>
      <c r="G1113" t="s">
        <v>18</v>
      </c>
      <c r="I1113">
        <v>49000</v>
      </c>
      <c r="J1113">
        <v>1913000</v>
      </c>
      <c r="K1113">
        <v>289000</v>
      </c>
      <c r="L1113">
        <v>813000</v>
      </c>
    </row>
    <row r="1114" spans="1:12" ht="15" customHeight="1">
      <c r="A1114" t="s">
        <v>6444</v>
      </c>
      <c r="B1114" t="s">
        <v>2822</v>
      </c>
      <c r="C1114" t="s">
        <v>12</v>
      </c>
      <c r="D1114" t="s">
        <v>2823</v>
      </c>
      <c r="E1114" t="s">
        <v>1533</v>
      </c>
      <c r="F1114" t="s">
        <v>14</v>
      </c>
      <c r="G1114" t="s">
        <v>18</v>
      </c>
      <c r="K1114">
        <v>857000</v>
      </c>
    </row>
    <row r="1115" spans="1:12" ht="15" customHeight="1">
      <c r="A1115" t="s">
        <v>6445</v>
      </c>
      <c r="B1115" t="s">
        <v>2824</v>
      </c>
      <c r="C1115" t="s">
        <v>12</v>
      </c>
      <c r="D1115" t="s">
        <v>2825</v>
      </c>
      <c r="E1115" t="s">
        <v>1532</v>
      </c>
      <c r="F1115" t="s">
        <v>14</v>
      </c>
      <c r="G1115" t="s">
        <v>18</v>
      </c>
      <c r="I1115">
        <v>17457000</v>
      </c>
      <c r="J1115">
        <v>16241000</v>
      </c>
      <c r="K1115">
        <v>15191000</v>
      </c>
      <c r="L1115">
        <v>18947000</v>
      </c>
    </row>
    <row r="1116" spans="1:12" ht="15" customHeight="1">
      <c r="A1116" t="s">
        <v>6446</v>
      </c>
      <c r="B1116" t="s">
        <v>2826</v>
      </c>
      <c r="C1116" t="s">
        <v>12</v>
      </c>
      <c r="D1116" t="s">
        <v>2827</v>
      </c>
      <c r="E1116" t="s">
        <v>1519</v>
      </c>
      <c r="F1116" t="s">
        <v>14</v>
      </c>
      <c r="G1116" t="s">
        <v>18</v>
      </c>
    </row>
    <row r="1117" spans="1:12" ht="15" customHeight="1">
      <c r="A1117" t="s">
        <v>6447</v>
      </c>
      <c r="B1117" t="s">
        <v>2828</v>
      </c>
      <c r="C1117" t="s">
        <v>12</v>
      </c>
      <c r="D1117" t="s">
        <v>2829</v>
      </c>
      <c r="E1117" t="s">
        <v>1505</v>
      </c>
      <c r="F1117" t="s">
        <v>14</v>
      </c>
      <c r="G1117" t="s">
        <v>18</v>
      </c>
      <c r="I1117">
        <v>23000</v>
      </c>
      <c r="K1117">
        <v>27000</v>
      </c>
    </row>
    <row r="1118" spans="1:12" ht="15" customHeight="1">
      <c r="A1118" t="s">
        <v>6448</v>
      </c>
      <c r="B1118" t="s">
        <v>2830</v>
      </c>
      <c r="C1118" t="s">
        <v>12</v>
      </c>
      <c r="D1118" t="s">
        <v>2831</v>
      </c>
      <c r="E1118" t="s">
        <v>1532</v>
      </c>
      <c r="F1118" t="s">
        <v>14</v>
      </c>
      <c r="G1118" t="s">
        <v>18</v>
      </c>
      <c r="I1118">
        <v>14718000</v>
      </c>
      <c r="J1118">
        <v>19271000</v>
      </c>
      <c r="K1118">
        <v>13676000</v>
      </c>
      <c r="L1118">
        <v>19076000</v>
      </c>
    </row>
    <row r="1119" spans="1:12" ht="15" customHeight="1">
      <c r="A1119" t="s">
        <v>6449</v>
      </c>
      <c r="B1119" t="s">
        <v>2832</v>
      </c>
      <c r="C1119" t="s">
        <v>12</v>
      </c>
      <c r="D1119" t="s">
        <v>2833</v>
      </c>
      <c r="E1119" t="s">
        <v>1532</v>
      </c>
      <c r="F1119" t="s">
        <v>14</v>
      </c>
      <c r="G1119" t="s">
        <v>18</v>
      </c>
      <c r="I1119">
        <v>77000</v>
      </c>
      <c r="K1119">
        <v>78000</v>
      </c>
    </row>
    <row r="1120" spans="1:12" ht="15" customHeight="1">
      <c r="A1120" t="s">
        <v>6450</v>
      </c>
      <c r="B1120" t="s">
        <v>2834</v>
      </c>
      <c r="C1120" t="s">
        <v>12</v>
      </c>
      <c r="D1120" t="s">
        <v>2835</v>
      </c>
      <c r="E1120" t="s">
        <v>1629</v>
      </c>
      <c r="F1120" t="s">
        <v>14</v>
      </c>
      <c r="G1120" t="s">
        <v>18</v>
      </c>
      <c r="I1120">
        <v>192000</v>
      </c>
      <c r="J1120">
        <v>76000</v>
      </c>
      <c r="K1120">
        <v>192000</v>
      </c>
      <c r="L1120">
        <v>76000</v>
      </c>
    </row>
    <row r="1121" spans="1:12" ht="15" customHeight="1">
      <c r="A1121" t="s">
        <v>6451</v>
      </c>
      <c r="B1121" t="s">
        <v>2836</v>
      </c>
      <c r="C1121" t="s">
        <v>12</v>
      </c>
      <c r="D1121" t="s">
        <v>2837</v>
      </c>
      <c r="E1121" t="s">
        <v>1532</v>
      </c>
      <c r="F1121" t="s">
        <v>25</v>
      </c>
      <c r="G1121" t="s">
        <v>18</v>
      </c>
    </row>
    <row r="1122" spans="1:12" ht="15" customHeight="1">
      <c r="A1122" t="s">
        <v>6452</v>
      </c>
      <c r="B1122" t="s">
        <v>2838</v>
      </c>
      <c r="C1122" t="s">
        <v>12</v>
      </c>
      <c r="D1122" t="s">
        <v>2839</v>
      </c>
      <c r="E1122" t="s">
        <v>1667</v>
      </c>
      <c r="F1122" t="s">
        <v>14</v>
      </c>
      <c r="G1122" t="s">
        <v>18</v>
      </c>
      <c r="I1122">
        <v>1680000</v>
      </c>
      <c r="J1122">
        <v>1379000</v>
      </c>
      <c r="K1122">
        <v>1911000</v>
      </c>
      <c r="L1122">
        <v>1203000</v>
      </c>
    </row>
    <row r="1123" spans="1:12" ht="15" customHeight="1">
      <c r="A1123" t="s">
        <v>6453</v>
      </c>
      <c r="B1123" t="s">
        <v>2840</v>
      </c>
      <c r="C1123" t="s">
        <v>12</v>
      </c>
      <c r="D1123" t="s">
        <v>2841</v>
      </c>
      <c r="E1123" t="s">
        <v>1508</v>
      </c>
      <c r="F1123" t="s">
        <v>14</v>
      </c>
      <c r="G1123" t="s">
        <v>18</v>
      </c>
      <c r="I1123">
        <v>800000</v>
      </c>
      <c r="J1123">
        <v>778000</v>
      </c>
      <c r="K1123">
        <v>804000</v>
      </c>
      <c r="L1123">
        <v>752000</v>
      </c>
    </row>
    <row r="1124" spans="1:12" ht="15" customHeight="1">
      <c r="A1124" t="s">
        <v>6454</v>
      </c>
      <c r="B1124" t="s">
        <v>2842</v>
      </c>
      <c r="C1124" t="s">
        <v>12</v>
      </c>
      <c r="D1124" t="s">
        <v>2843</v>
      </c>
      <c r="E1124" t="s">
        <v>1524</v>
      </c>
      <c r="F1124" t="s">
        <v>14</v>
      </c>
      <c r="G1124" t="s">
        <v>18</v>
      </c>
      <c r="I1124">
        <v>1410000</v>
      </c>
      <c r="J1124">
        <v>1602000</v>
      </c>
      <c r="K1124">
        <v>1420000</v>
      </c>
      <c r="L1124">
        <v>1557000</v>
      </c>
    </row>
    <row r="1125" spans="1:12" ht="15" customHeight="1">
      <c r="A1125" t="s">
        <v>6455</v>
      </c>
      <c r="B1125" t="s">
        <v>2844</v>
      </c>
      <c r="C1125" t="s">
        <v>12</v>
      </c>
      <c r="D1125" t="s">
        <v>2845</v>
      </c>
      <c r="E1125" t="s">
        <v>1516</v>
      </c>
      <c r="F1125" t="s">
        <v>14</v>
      </c>
      <c r="G1125" t="s">
        <v>18</v>
      </c>
      <c r="I1125">
        <v>4625000</v>
      </c>
      <c r="J1125">
        <v>3737000</v>
      </c>
      <c r="K1125">
        <v>2946000</v>
      </c>
      <c r="L1125">
        <v>2241000</v>
      </c>
    </row>
    <row r="1126" spans="1:12" ht="15" customHeight="1">
      <c r="A1126" t="s">
        <v>6456</v>
      </c>
      <c r="B1126" t="s">
        <v>2846</v>
      </c>
      <c r="C1126" t="s">
        <v>12</v>
      </c>
      <c r="D1126" t="s">
        <v>2847</v>
      </c>
      <c r="E1126" t="s">
        <v>1517</v>
      </c>
      <c r="F1126" t="s">
        <v>14</v>
      </c>
      <c r="G1126" t="s">
        <v>18</v>
      </c>
      <c r="I1126">
        <v>3500000</v>
      </c>
      <c r="J1126">
        <v>3500000</v>
      </c>
      <c r="K1126">
        <v>3571000</v>
      </c>
      <c r="L1126">
        <v>-3330000</v>
      </c>
    </row>
    <row r="1127" spans="1:12" ht="15" customHeight="1">
      <c r="A1127" t="s">
        <v>6457</v>
      </c>
      <c r="B1127" t="s">
        <v>2848</v>
      </c>
      <c r="C1127" t="s">
        <v>12</v>
      </c>
      <c r="D1127" t="s">
        <v>2849</v>
      </c>
      <c r="E1127" t="s">
        <v>1662</v>
      </c>
      <c r="F1127" t="s">
        <v>14</v>
      </c>
      <c r="G1127" t="s">
        <v>807</v>
      </c>
      <c r="H1127" t="s">
        <v>807</v>
      </c>
      <c r="I1127">
        <v>71350000</v>
      </c>
      <c r="J1127">
        <v>84435000</v>
      </c>
      <c r="K1127">
        <v>71271000</v>
      </c>
      <c r="L1127">
        <v>80654000</v>
      </c>
    </row>
    <row r="1128" spans="1:12" ht="15" customHeight="1">
      <c r="A1128" t="s">
        <v>6458</v>
      </c>
      <c r="B1128" t="s">
        <v>2850</v>
      </c>
      <c r="C1128" t="s">
        <v>12</v>
      </c>
      <c r="D1128" t="s">
        <v>2851</v>
      </c>
      <c r="E1128" t="s">
        <v>1579</v>
      </c>
      <c r="F1128" t="s">
        <v>14</v>
      </c>
      <c r="G1128" t="s">
        <v>18</v>
      </c>
      <c r="I1128">
        <v>3983000</v>
      </c>
      <c r="J1128">
        <v>175000</v>
      </c>
      <c r="K1128">
        <v>3983000</v>
      </c>
      <c r="L1128">
        <v>175000</v>
      </c>
    </row>
    <row r="1129" spans="1:12" ht="15" customHeight="1">
      <c r="A1129" t="s">
        <v>6459</v>
      </c>
      <c r="B1129" t="s">
        <v>2852</v>
      </c>
      <c r="C1129" t="s">
        <v>12</v>
      </c>
      <c r="D1129" t="s">
        <v>2853</v>
      </c>
      <c r="E1129" t="s">
        <v>1881</v>
      </c>
      <c r="F1129" t="s">
        <v>25</v>
      </c>
      <c r="G1129" t="s">
        <v>18</v>
      </c>
      <c r="I1129">
        <v>2721000</v>
      </c>
      <c r="K1129">
        <v>2835000</v>
      </c>
      <c r="L1129">
        <v>2000</v>
      </c>
    </row>
    <row r="1130" spans="1:12" ht="15" customHeight="1">
      <c r="A1130" t="s">
        <v>6460</v>
      </c>
      <c r="B1130" t="s">
        <v>2854</v>
      </c>
      <c r="C1130" t="s">
        <v>12</v>
      </c>
      <c r="D1130" t="s">
        <v>2855</v>
      </c>
      <c r="E1130" t="s">
        <v>1504</v>
      </c>
      <c r="F1130" t="s">
        <v>14</v>
      </c>
      <c r="G1130" t="s">
        <v>18</v>
      </c>
      <c r="I1130">
        <v>7647000</v>
      </c>
      <c r="J1130">
        <v>8982000</v>
      </c>
      <c r="K1130">
        <v>7152000</v>
      </c>
      <c r="L1130">
        <v>9184000</v>
      </c>
    </row>
    <row r="1131" spans="1:12" ht="15" customHeight="1">
      <c r="A1131" t="s">
        <v>6461</v>
      </c>
      <c r="B1131" t="s">
        <v>2856</v>
      </c>
      <c r="C1131" t="s">
        <v>12</v>
      </c>
      <c r="D1131" t="s">
        <v>2857</v>
      </c>
      <c r="E1131" t="s">
        <v>1579</v>
      </c>
      <c r="F1131" t="s">
        <v>14</v>
      </c>
      <c r="G1131" t="s">
        <v>18</v>
      </c>
    </row>
    <row r="1132" spans="1:12" ht="15" customHeight="1">
      <c r="A1132" t="s">
        <v>6462</v>
      </c>
      <c r="B1132" t="s">
        <v>2858</v>
      </c>
      <c r="C1132" t="s">
        <v>12</v>
      </c>
      <c r="D1132" t="s">
        <v>2859</v>
      </c>
      <c r="E1132" t="s">
        <v>1509</v>
      </c>
      <c r="F1132" t="s">
        <v>14</v>
      </c>
      <c r="G1132" t="s">
        <v>18</v>
      </c>
      <c r="I1132">
        <v>120228000</v>
      </c>
      <c r="J1132">
        <v>338347000</v>
      </c>
      <c r="K1132">
        <v>16390000</v>
      </c>
      <c r="L1132">
        <v>29951000</v>
      </c>
    </row>
    <row r="1133" spans="1:12" ht="15" customHeight="1">
      <c r="A1133" t="s">
        <v>6463</v>
      </c>
      <c r="B1133" t="s">
        <v>2860</v>
      </c>
      <c r="C1133" t="s">
        <v>12</v>
      </c>
      <c r="D1133" t="s">
        <v>2861</v>
      </c>
      <c r="E1133" t="s">
        <v>1509</v>
      </c>
      <c r="F1133" t="s">
        <v>14</v>
      </c>
      <c r="G1133" t="s">
        <v>18</v>
      </c>
      <c r="I1133">
        <v>-7206000</v>
      </c>
      <c r="J1133">
        <v>297317000</v>
      </c>
      <c r="K1133">
        <v>54948000</v>
      </c>
      <c r="L1133">
        <v>54683000</v>
      </c>
    </row>
    <row r="1134" spans="1:12" ht="15" customHeight="1">
      <c r="A1134" t="s">
        <v>6464</v>
      </c>
      <c r="B1134" t="s">
        <v>2862</v>
      </c>
      <c r="C1134" t="s">
        <v>12</v>
      </c>
      <c r="D1134" t="s">
        <v>2863</v>
      </c>
      <c r="E1134" t="s">
        <v>1532</v>
      </c>
      <c r="F1134" t="s">
        <v>14</v>
      </c>
      <c r="G1134" t="s">
        <v>18</v>
      </c>
    </row>
    <row r="1135" spans="1:12" ht="15" customHeight="1">
      <c r="A1135" t="s">
        <v>6465</v>
      </c>
      <c r="B1135" t="s">
        <v>2864</v>
      </c>
      <c r="C1135" t="s">
        <v>12</v>
      </c>
      <c r="D1135" t="s">
        <v>2865</v>
      </c>
      <c r="E1135" t="s">
        <v>1526</v>
      </c>
      <c r="F1135" t="s">
        <v>14</v>
      </c>
      <c r="G1135" t="s">
        <v>18</v>
      </c>
      <c r="I1135">
        <v>190000</v>
      </c>
      <c r="K1135">
        <v>91000</v>
      </c>
    </row>
    <row r="1136" spans="1:12" ht="15" customHeight="1">
      <c r="A1136" t="s">
        <v>6466</v>
      </c>
      <c r="B1136" t="s">
        <v>2866</v>
      </c>
      <c r="C1136" t="s">
        <v>12</v>
      </c>
      <c r="D1136" t="s">
        <v>2867</v>
      </c>
      <c r="E1136" t="s">
        <v>1532</v>
      </c>
      <c r="F1136" t="s">
        <v>14</v>
      </c>
      <c r="G1136" t="s">
        <v>18</v>
      </c>
    </row>
    <row r="1137" spans="1:12" ht="15" customHeight="1">
      <c r="A1137" t="s">
        <v>6467</v>
      </c>
      <c r="B1137" t="s">
        <v>2868</v>
      </c>
      <c r="C1137" t="s">
        <v>12</v>
      </c>
      <c r="D1137" t="s">
        <v>2869</v>
      </c>
      <c r="E1137" t="s">
        <v>1532</v>
      </c>
      <c r="F1137" t="s">
        <v>14</v>
      </c>
      <c r="G1137" t="s">
        <v>18</v>
      </c>
    </row>
    <row r="1138" spans="1:12" ht="15" customHeight="1">
      <c r="A1138" t="s">
        <v>6468</v>
      </c>
      <c r="B1138" t="s">
        <v>2870</v>
      </c>
      <c r="C1138" t="s">
        <v>12</v>
      </c>
      <c r="D1138" t="s">
        <v>2871</v>
      </c>
      <c r="E1138" t="s">
        <v>1512</v>
      </c>
      <c r="F1138" t="s">
        <v>14</v>
      </c>
      <c r="G1138" t="s">
        <v>18</v>
      </c>
      <c r="I1138">
        <v>1100000</v>
      </c>
      <c r="J1138">
        <v>1191000</v>
      </c>
      <c r="K1138">
        <v>1111000</v>
      </c>
      <c r="L1138">
        <v>1131000</v>
      </c>
    </row>
    <row r="1139" spans="1:12" ht="15" customHeight="1">
      <c r="A1139" t="s">
        <v>6469</v>
      </c>
      <c r="B1139" t="s">
        <v>2872</v>
      </c>
      <c r="C1139" t="s">
        <v>12</v>
      </c>
      <c r="D1139" t="s">
        <v>2873</v>
      </c>
      <c r="E1139" t="s">
        <v>1532</v>
      </c>
      <c r="F1139" t="s">
        <v>14</v>
      </c>
      <c r="G1139" t="s">
        <v>18</v>
      </c>
      <c r="I1139">
        <v>4612000</v>
      </c>
      <c r="J1139">
        <v>4334000</v>
      </c>
      <c r="K1139">
        <v>5016000</v>
      </c>
      <c r="L1139">
        <v>4271000</v>
      </c>
    </row>
    <row r="1140" spans="1:12" ht="15" customHeight="1">
      <c r="A1140" t="s">
        <v>6470</v>
      </c>
      <c r="B1140" t="s">
        <v>2874</v>
      </c>
      <c r="C1140" t="s">
        <v>12</v>
      </c>
      <c r="D1140" t="s">
        <v>2875</v>
      </c>
      <c r="E1140" t="s">
        <v>1532</v>
      </c>
      <c r="F1140" t="s">
        <v>14</v>
      </c>
      <c r="G1140" t="s">
        <v>22</v>
      </c>
      <c r="I1140">
        <v>62765000</v>
      </c>
      <c r="J1140">
        <v>74562000</v>
      </c>
      <c r="K1140">
        <v>73680000</v>
      </c>
      <c r="L1140">
        <v>62463000</v>
      </c>
    </row>
    <row r="1141" spans="1:12" ht="15" customHeight="1">
      <c r="A1141" t="s">
        <v>6471</v>
      </c>
      <c r="B1141" t="s">
        <v>2876</v>
      </c>
      <c r="C1141" t="s">
        <v>12</v>
      </c>
      <c r="D1141" t="s">
        <v>2877</v>
      </c>
      <c r="E1141" t="s">
        <v>1588</v>
      </c>
      <c r="F1141" t="s">
        <v>14</v>
      </c>
      <c r="G1141" t="s">
        <v>18</v>
      </c>
      <c r="I1141">
        <v>2500000</v>
      </c>
      <c r="K1141">
        <v>2512000</v>
      </c>
      <c r="L1141">
        <v>28000</v>
      </c>
    </row>
    <row r="1142" spans="1:12" ht="15" customHeight="1">
      <c r="A1142" t="s">
        <v>6472</v>
      </c>
      <c r="B1142" t="s">
        <v>2878</v>
      </c>
      <c r="C1142" t="s">
        <v>12</v>
      </c>
      <c r="D1142" t="s">
        <v>2879</v>
      </c>
      <c r="E1142" t="s">
        <v>1532</v>
      </c>
      <c r="F1142" t="s">
        <v>14</v>
      </c>
      <c r="G1142" t="s">
        <v>23</v>
      </c>
    </row>
    <row r="1143" spans="1:12" ht="15" customHeight="1">
      <c r="A1143" t="s">
        <v>6473</v>
      </c>
      <c r="B1143" t="s">
        <v>2880</v>
      </c>
      <c r="C1143" t="s">
        <v>12</v>
      </c>
      <c r="D1143" t="s">
        <v>2881</v>
      </c>
      <c r="E1143" t="s">
        <v>1776</v>
      </c>
      <c r="F1143" t="s">
        <v>25</v>
      </c>
      <c r="G1143" t="s">
        <v>18</v>
      </c>
      <c r="J1143">
        <v>255000</v>
      </c>
      <c r="L1143">
        <v>193000</v>
      </c>
    </row>
    <row r="1144" spans="1:12" ht="15" customHeight="1">
      <c r="A1144" t="s">
        <v>6474</v>
      </c>
      <c r="B1144" t="s">
        <v>2882</v>
      </c>
      <c r="C1144" t="s">
        <v>12</v>
      </c>
      <c r="D1144" t="s">
        <v>2883</v>
      </c>
      <c r="E1144" t="s">
        <v>1532</v>
      </c>
      <c r="F1144" t="s">
        <v>14</v>
      </c>
      <c r="G1144" t="s">
        <v>18</v>
      </c>
    </row>
    <row r="1145" spans="1:12" ht="15" customHeight="1">
      <c r="A1145" t="s">
        <v>6475</v>
      </c>
      <c r="B1145" t="s">
        <v>2884</v>
      </c>
      <c r="C1145" t="s">
        <v>12</v>
      </c>
      <c r="D1145" t="s">
        <v>2885</v>
      </c>
      <c r="E1145" t="s">
        <v>1580</v>
      </c>
      <c r="F1145" t="s">
        <v>25</v>
      </c>
      <c r="G1145" t="s">
        <v>18</v>
      </c>
    </row>
    <row r="1146" spans="1:12" ht="15" customHeight="1">
      <c r="A1146" t="s">
        <v>6476</v>
      </c>
      <c r="B1146" t="s">
        <v>2886</v>
      </c>
      <c r="C1146" t="s">
        <v>12</v>
      </c>
      <c r="D1146" t="s">
        <v>2887</v>
      </c>
      <c r="E1146" t="s">
        <v>1526</v>
      </c>
      <c r="F1146" t="s">
        <v>14</v>
      </c>
      <c r="G1146" t="s">
        <v>18</v>
      </c>
      <c r="I1146">
        <v>1027000</v>
      </c>
      <c r="K1146">
        <v>1035000</v>
      </c>
      <c r="L1146">
        <v>16000</v>
      </c>
    </row>
    <row r="1147" spans="1:12" ht="15" customHeight="1">
      <c r="A1147" t="s">
        <v>6477</v>
      </c>
      <c r="B1147" t="s">
        <v>2888</v>
      </c>
      <c r="C1147" t="s">
        <v>12</v>
      </c>
      <c r="D1147" t="s">
        <v>2889</v>
      </c>
      <c r="E1147" t="s">
        <v>1509</v>
      </c>
      <c r="F1147" t="s">
        <v>14</v>
      </c>
      <c r="G1147" t="s">
        <v>18</v>
      </c>
      <c r="I1147">
        <v>75000</v>
      </c>
      <c r="K1147">
        <v>71000</v>
      </c>
    </row>
    <row r="1148" spans="1:12" ht="15" customHeight="1">
      <c r="A1148" t="s">
        <v>6478</v>
      </c>
      <c r="B1148" t="s">
        <v>2890</v>
      </c>
      <c r="C1148" t="s">
        <v>12</v>
      </c>
      <c r="D1148" t="s">
        <v>2891</v>
      </c>
      <c r="E1148" t="s">
        <v>1533</v>
      </c>
      <c r="F1148" t="s">
        <v>14</v>
      </c>
      <c r="G1148" t="s">
        <v>18</v>
      </c>
      <c r="I1148">
        <v>28346000</v>
      </c>
      <c r="J1148">
        <v>88466000</v>
      </c>
      <c r="K1148">
        <v>24187000</v>
      </c>
      <c r="L1148">
        <v>83125000</v>
      </c>
    </row>
    <row r="1149" spans="1:12" ht="15" customHeight="1">
      <c r="A1149" t="s">
        <v>6479</v>
      </c>
      <c r="B1149" t="s">
        <v>2892</v>
      </c>
      <c r="C1149" t="s">
        <v>12</v>
      </c>
      <c r="D1149" t="s">
        <v>2893</v>
      </c>
      <c r="E1149" t="s">
        <v>1558</v>
      </c>
      <c r="F1149" t="s">
        <v>25</v>
      </c>
      <c r="G1149" t="s">
        <v>18</v>
      </c>
      <c r="I1149">
        <v>5415000</v>
      </c>
      <c r="J1149">
        <v>3135000</v>
      </c>
      <c r="K1149">
        <v>4818000</v>
      </c>
      <c r="L1149">
        <v>4636000</v>
      </c>
    </row>
    <row r="1150" spans="1:12" ht="15" customHeight="1">
      <c r="A1150" t="s">
        <v>6480</v>
      </c>
      <c r="B1150" t="s">
        <v>2894</v>
      </c>
      <c r="C1150" t="s">
        <v>12</v>
      </c>
      <c r="D1150" t="s">
        <v>2895</v>
      </c>
      <c r="E1150" t="s">
        <v>1662</v>
      </c>
      <c r="F1150" t="s">
        <v>14</v>
      </c>
      <c r="G1150" t="s">
        <v>18</v>
      </c>
      <c r="I1150">
        <v>5311000</v>
      </c>
      <c r="J1150">
        <v>5398000</v>
      </c>
      <c r="K1150">
        <v>5144000</v>
      </c>
      <c r="L1150">
        <v>5454000</v>
      </c>
    </row>
    <row r="1151" spans="1:12" ht="15" customHeight="1">
      <c r="A1151" t="s">
        <v>6481</v>
      </c>
      <c r="B1151" t="s">
        <v>2896</v>
      </c>
      <c r="C1151" t="s">
        <v>12</v>
      </c>
      <c r="D1151" t="s">
        <v>2897</v>
      </c>
      <c r="E1151" t="s">
        <v>1544</v>
      </c>
      <c r="F1151" t="s">
        <v>14</v>
      </c>
      <c r="G1151" t="s">
        <v>18</v>
      </c>
      <c r="I1151">
        <v>38000</v>
      </c>
      <c r="J1151">
        <v>442000</v>
      </c>
      <c r="K1151">
        <v>44000</v>
      </c>
      <c r="L1151">
        <v>439000</v>
      </c>
    </row>
    <row r="1152" spans="1:12" ht="15" customHeight="1">
      <c r="A1152" t="s">
        <v>6482</v>
      </c>
      <c r="B1152" t="s">
        <v>2898</v>
      </c>
      <c r="C1152" t="s">
        <v>12</v>
      </c>
      <c r="D1152" t="s">
        <v>2899</v>
      </c>
      <c r="E1152" t="s">
        <v>1508</v>
      </c>
      <c r="F1152" t="s">
        <v>14</v>
      </c>
      <c r="G1152" t="s">
        <v>18</v>
      </c>
    </row>
    <row r="1153" spans="1:12" ht="15" customHeight="1">
      <c r="A1153" t="s">
        <v>6483</v>
      </c>
      <c r="B1153" t="s">
        <v>2900</v>
      </c>
      <c r="C1153" t="s">
        <v>12</v>
      </c>
      <c r="D1153" t="s">
        <v>2901</v>
      </c>
      <c r="E1153" t="s">
        <v>1532</v>
      </c>
      <c r="F1153" t="s">
        <v>14</v>
      </c>
      <c r="G1153" t="s">
        <v>18</v>
      </c>
    </row>
    <row r="1154" spans="1:12" ht="15" customHeight="1">
      <c r="A1154" t="s">
        <v>6484</v>
      </c>
      <c r="B1154" t="s">
        <v>2902</v>
      </c>
      <c r="C1154" t="s">
        <v>12</v>
      </c>
      <c r="D1154" t="s">
        <v>2903</v>
      </c>
      <c r="E1154" t="s">
        <v>1532</v>
      </c>
      <c r="F1154" t="s">
        <v>14</v>
      </c>
      <c r="G1154" t="s">
        <v>18</v>
      </c>
      <c r="H1154" t="s">
        <v>302</v>
      </c>
      <c r="I1154">
        <v>3103000</v>
      </c>
      <c r="J1154">
        <v>26908000</v>
      </c>
      <c r="K1154">
        <v>2867000</v>
      </c>
      <c r="L1154">
        <v>26315000</v>
      </c>
    </row>
    <row r="1155" spans="1:12" ht="15" customHeight="1">
      <c r="A1155" t="s">
        <v>6485</v>
      </c>
      <c r="B1155" t="s">
        <v>2904</v>
      </c>
      <c r="C1155" t="s">
        <v>12</v>
      </c>
      <c r="D1155" t="s">
        <v>2905</v>
      </c>
      <c r="E1155" t="s">
        <v>1524</v>
      </c>
      <c r="F1155" t="s">
        <v>14</v>
      </c>
      <c r="G1155" t="s">
        <v>18</v>
      </c>
      <c r="I1155">
        <v>595000</v>
      </c>
      <c r="J1155">
        <v>658000</v>
      </c>
      <c r="K1155">
        <v>159000</v>
      </c>
      <c r="L1155">
        <v>1133000</v>
      </c>
    </row>
    <row r="1156" spans="1:12" ht="15" customHeight="1">
      <c r="A1156" t="s">
        <v>6486</v>
      </c>
      <c r="B1156" t="s">
        <v>2906</v>
      </c>
      <c r="C1156" t="s">
        <v>12</v>
      </c>
      <c r="D1156" t="s">
        <v>2907</v>
      </c>
      <c r="E1156" t="s">
        <v>1509</v>
      </c>
      <c r="F1156" t="s">
        <v>14</v>
      </c>
      <c r="G1156" t="s">
        <v>18</v>
      </c>
      <c r="I1156">
        <v>109000</v>
      </c>
      <c r="J1156">
        <v>214000</v>
      </c>
      <c r="K1156">
        <v>113000</v>
      </c>
      <c r="L1156">
        <v>214000</v>
      </c>
    </row>
    <row r="1157" spans="1:12" ht="15" customHeight="1">
      <c r="A1157" t="s">
        <v>6487</v>
      </c>
      <c r="B1157" t="s">
        <v>2908</v>
      </c>
      <c r="C1157" t="s">
        <v>12</v>
      </c>
      <c r="D1157" t="s">
        <v>2909</v>
      </c>
      <c r="E1157" t="s">
        <v>1579</v>
      </c>
      <c r="F1157" t="s">
        <v>14</v>
      </c>
      <c r="G1157" t="s">
        <v>23</v>
      </c>
      <c r="I1157">
        <v>39620000</v>
      </c>
      <c r="J1157">
        <v>44571000</v>
      </c>
      <c r="K1157">
        <v>40134000</v>
      </c>
      <c r="L1157">
        <v>44297000</v>
      </c>
    </row>
    <row r="1158" spans="1:12" ht="15" customHeight="1">
      <c r="A1158" t="s">
        <v>6488</v>
      </c>
      <c r="B1158" t="s">
        <v>2910</v>
      </c>
      <c r="C1158" t="s">
        <v>12</v>
      </c>
      <c r="D1158" t="s">
        <v>2911</v>
      </c>
      <c r="E1158" t="s">
        <v>1535</v>
      </c>
      <c r="F1158" t="s">
        <v>14</v>
      </c>
      <c r="G1158" t="s">
        <v>18</v>
      </c>
      <c r="I1158">
        <v>1685000</v>
      </c>
      <c r="J1158">
        <v>299000</v>
      </c>
      <c r="K1158">
        <v>1663000</v>
      </c>
      <c r="L1158">
        <v>341000</v>
      </c>
    </row>
    <row r="1159" spans="1:12" ht="15" customHeight="1">
      <c r="A1159" t="s">
        <v>6489</v>
      </c>
      <c r="B1159" t="s">
        <v>2912</v>
      </c>
      <c r="C1159" t="s">
        <v>12</v>
      </c>
      <c r="D1159" t="s">
        <v>2913</v>
      </c>
      <c r="E1159" t="s">
        <v>1649</v>
      </c>
      <c r="F1159" t="s">
        <v>14</v>
      </c>
      <c r="G1159" t="s">
        <v>18</v>
      </c>
      <c r="I1159">
        <v>768000</v>
      </c>
      <c r="J1159">
        <v>942000</v>
      </c>
      <c r="K1159">
        <v>802000</v>
      </c>
      <c r="L1159">
        <v>1092000</v>
      </c>
    </row>
    <row r="1160" spans="1:12" ht="15" customHeight="1">
      <c r="A1160" t="s">
        <v>6490</v>
      </c>
      <c r="B1160" t="s">
        <v>2914</v>
      </c>
      <c r="C1160" t="s">
        <v>12</v>
      </c>
      <c r="D1160" t="s">
        <v>2915</v>
      </c>
      <c r="E1160" t="s">
        <v>1558</v>
      </c>
      <c r="F1160" t="s">
        <v>14</v>
      </c>
      <c r="G1160" t="s">
        <v>77</v>
      </c>
      <c r="I1160">
        <v>1369000</v>
      </c>
      <c r="J1160">
        <v>1299000</v>
      </c>
      <c r="K1160">
        <v>1661000</v>
      </c>
      <c r="L1160">
        <v>1113000</v>
      </c>
    </row>
    <row r="1161" spans="1:12" ht="15" customHeight="1">
      <c r="A1161" t="s">
        <v>6491</v>
      </c>
      <c r="B1161" t="s">
        <v>2916</v>
      </c>
      <c r="C1161" t="s">
        <v>12</v>
      </c>
      <c r="D1161" t="s">
        <v>2917</v>
      </c>
      <c r="E1161" t="s">
        <v>1517</v>
      </c>
      <c r="F1161" t="s">
        <v>14</v>
      </c>
      <c r="G1161" t="s">
        <v>18</v>
      </c>
    </row>
    <row r="1162" spans="1:12" ht="15" customHeight="1">
      <c r="A1162" t="s">
        <v>6491</v>
      </c>
      <c r="B1162" t="s">
        <v>2918</v>
      </c>
      <c r="C1162" t="s">
        <v>12</v>
      </c>
      <c r="D1162" t="s">
        <v>2919</v>
      </c>
      <c r="E1162" t="s">
        <v>1580</v>
      </c>
      <c r="F1162" t="s">
        <v>14</v>
      </c>
      <c r="G1162" t="s">
        <v>18</v>
      </c>
      <c r="J1162">
        <v>2389000</v>
      </c>
      <c r="L1162">
        <v>2476000</v>
      </c>
    </row>
    <row r="1163" spans="1:12" ht="15" customHeight="1">
      <c r="A1163" t="s">
        <v>6492</v>
      </c>
      <c r="B1163" t="s">
        <v>2920</v>
      </c>
      <c r="C1163" t="s">
        <v>12</v>
      </c>
      <c r="D1163" t="s">
        <v>2921</v>
      </c>
      <c r="E1163" t="s">
        <v>1604</v>
      </c>
      <c r="F1163" t="s">
        <v>14</v>
      </c>
      <c r="G1163" t="s">
        <v>18</v>
      </c>
      <c r="I1163">
        <v>90000</v>
      </c>
      <c r="K1163">
        <v>90000</v>
      </c>
    </row>
    <row r="1164" spans="1:12" ht="15" customHeight="1">
      <c r="A1164" t="s">
        <v>6493</v>
      </c>
      <c r="B1164" t="s">
        <v>2922</v>
      </c>
      <c r="C1164" t="s">
        <v>12</v>
      </c>
      <c r="D1164" t="s">
        <v>2923</v>
      </c>
      <c r="E1164" t="s">
        <v>1534</v>
      </c>
      <c r="F1164" t="s">
        <v>14</v>
      </c>
      <c r="G1164" t="s">
        <v>18</v>
      </c>
      <c r="I1164">
        <v>425000</v>
      </c>
      <c r="J1164">
        <v>425000</v>
      </c>
      <c r="K1164">
        <v>372000</v>
      </c>
      <c r="L1164">
        <v>372000</v>
      </c>
    </row>
    <row r="1165" spans="1:12" ht="15" customHeight="1">
      <c r="A1165" t="s">
        <v>6494</v>
      </c>
      <c r="B1165" t="s">
        <v>2924</v>
      </c>
      <c r="C1165" t="s">
        <v>12</v>
      </c>
      <c r="D1165" t="s">
        <v>2925</v>
      </c>
      <c r="E1165" t="s">
        <v>1781</v>
      </c>
      <c r="F1165" t="s">
        <v>14</v>
      </c>
      <c r="G1165" t="s">
        <v>18</v>
      </c>
      <c r="I1165">
        <v>16570000</v>
      </c>
      <c r="J1165">
        <v>2502000</v>
      </c>
      <c r="K1165">
        <v>14303000</v>
      </c>
      <c r="L1165">
        <v>4776000</v>
      </c>
    </row>
    <row r="1166" spans="1:12" ht="15" customHeight="1">
      <c r="A1166" t="s">
        <v>6495</v>
      </c>
      <c r="B1166" t="s">
        <v>2926</v>
      </c>
      <c r="C1166" t="s">
        <v>12</v>
      </c>
      <c r="D1166" t="s">
        <v>2927</v>
      </c>
      <c r="E1166" t="s">
        <v>1560</v>
      </c>
      <c r="F1166" t="s">
        <v>14</v>
      </c>
      <c r="G1166" t="s">
        <v>18</v>
      </c>
      <c r="J1166">
        <v>83000</v>
      </c>
      <c r="L1166">
        <v>482000</v>
      </c>
    </row>
    <row r="1167" spans="1:12" ht="15" customHeight="1">
      <c r="A1167" t="s">
        <v>6496</v>
      </c>
      <c r="B1167" t="s">
        <v>2928</v>
      </c>
      <c r="C1167" t="s">
        <v>12</v>
      </c>
      <c r="D1167" t="s">
        <v>2929</v>
      </c>
      <c r="E1167" t="s">
        <v>1629</v>
      </c>
      <c r="F1167" t="s">
        <v>25</v>
      </c>
      <c r="G1167" t="s">
        <v>18</v>
      </c>
      <c r="I1167">
        <v>20000000</v>
      </c>
      <c r="J1167">
        <v>4130000</v>
      </c>
      <c r="K1167">
        <v>20000000</v>
      </c>
      <c r="L1167">
        <v>4130000</v>
      </c>
    </row>
    <row r="1168" spans="1:12" ht="15" customHeight="1">
      <c r="A1168" t="s">
        <v>6497</v>
      </c>
      <c r="B1168" t="s">
        <v>2930</v>
      </c>
      <c r="C1168" t="s">
        <v>12</v>
      </c>
      <c r="D1168" t="s">
        <v>2931</v>
      </c>
      <c r="E1168" t="s">
        <v>1754</v>
      </c>
      <c r="F1168" t="s">
        <v>14</v>
      </c>
      <c r="G1168" t="s">
        <v>18</v>
      </c>
      <c r="J1168">
        <v>1495000</v>
      </c>
      <c r="L1168">
        <v>1715000</v>
      </c>
    </row>
    <row r="1169" spans="1:12" ht="15" customHeight="1">
      <c r="A1169" t="s">
        <v>6498</v>
      </c>
      <c r="B1169" t="s">
        <v>2932</v>
      </c>
      <c r="C1169" t="s">
        <v>12</v>
      </c>
      <c r="D1169" t="s">
        <v>2933</v>
      </c>
      <c r="E1169" t="s">
        <v>1517</v>
      </c>
      <c r="F1169" t="s">
        <v>25</v>
      </c>
      <c r="G1169" t="s">
        <v>18</v>
      </c>
      <c r="I1169">
        <v>499000</v>
      </c>
      <c r="J1169">
        <v>194000</v>
      </c>
      <c r="K1169">
        <v>201000</v>
      </c>
      <c r="L1169">
        <v>770000</v>
      </c>
    </row>
    <row r="1170" spans="1:12" ht="15" customHeight="1">
      <c r="A1170" t="s">
        <v>6499</v>
      </c>
      <c r="B1170" t="s">
        <v>2934</v>
      </c>
      <c r="C1170" t="s">
        <v>12</v>
      </c>
      <c r="D1170" t="s">
        <v>2935</v>
      </c>
      <c r="E1170" t="s">
        <v>1558</v>
      </c>
      <c r="F1170" t="s">
        <v>14</v>
      </c>
      <c r="G1170" t="s">
        <v>18</v>
      </c>
    </row>
    <row r="1171" spans="1:12" ht="15" customHeight="1">
      <c r="A1171" t="s">
        <v>6500</v>
      </c>
      <c r="B1171" t="s">
        <v>2936</v>
      </c>
      <c r="C1171" t="s">
        <v>12</v>
      </c>
      <c r="D1171" t="s">
        <v>2937</v>
      </c>
      <c r="E1171" t="s">
        <v>1521</v>
      </c>
      <c r="F1171" t="s">
        <v>14</v>
      </c>
      <c r="G1171" t="s">
        <v>18</v>
      </c>
      <c r="I1171">
        <v>4179000</v>
      </c>
      <c r="J1171">
        <v>4800000</v>
      </c>
      <c r="K1171">
        <v>4172000</v>
      </c>
      <c r="L1171">
        <v>4800000</v>
      </c>
    </row>
    <row r="1172" spans="1:12" ht="15" customHeight="1">
      <c r="A1172" t="s">
        <v>6501</v>
      </c>
      <c r="B1172" t="s">
        <v>2938</v>
      </c>
      <c r="C1172" t="s">
        <v>12</v>
      </c>
      <c r="D1172" t="s">
        <v>2939</v>
      </c>
      <c r="E1172" t="s">
        <v>1580</v>
      </c>
      <c r="F1172" t="s">
        <v>249</v>
      </c>
      <c r="G1172" t="s">
        <v>18</v>
      </c>
    </row>
    <row r="1173" spans="1:12" ht="15" customHeight="1">
      <c r="A1173" t="s">
        <v>6502</v>
      </c>
      <c r="B1173" t="s">
        <v>2940</v>
      </c>
      <c r="C1173" t="s">
        <v>12</v>
      </c>
      <c r="D1173" t="s">
        <v>2941</v>
      </c>
      <c r="E1173" t="s">
        <v>1509</v>
      </c>
      <c r="F1173" t="s">
        <v>14</v>
      </c>
      <c r="G1173" t="s">
        <v>18</v>
      </c>
      <c r="I1173">
        <v>6714000</v>
      </c>
      <c r="J1173">
        <v>6654000</v>
      </c>
      <c r="K1173">
        <v>7733000</v>
      </c>
      <c r="L1173">
        <v>7178000</v>
      </c>
    </row>
    <row r="1174" spans="1:12" ht="15" customHeight="1">
      <c r="A1174" t="s">
        <v>6503</v>
      </c>
      <c r="B1174" t="s">
        <v>2942</v>
      </c>
      <c r="C1174" t="s">
        <v>12</v>
      </c>
      <c r="D1174" t="s">
        <v>2943</v>
      </c>
      <c r="E1174" t="s">
        <v>1516</v>
      </c>
      <c r="F1174" t="s">
        <v>14</v>
      </c>
      <c r="G1174" t="s">
        <v>18</v>
      </c>
      <c r="I1174">
        <v>301000</v>
      </c>
      <c r="J1174">
        <v>3421000</v>
      </c>
      <c r="K1174">
        <v>301000</v>
      </c>
      <c r="L1174">
        <v>4011000</v>
      </c>
    </row>
    <row r="1175" spans="1:12" ht="15" customHeight="1">
      <c r="A1175" t="s">
        <v>6504</v>
      </c>
      <c r="B1175" t="s">
        <v>2944</v>
      </c>
      <c r="C1175" t="s">
        <v>12</v>
      </c>
      <c r="D1175" t="s">
        <v>2945</v>
      </c>
      <c r="E1175" t="s">
        <v>1508</v>
      </c>
      <c r="F1175" t="s">
        <v>14</v>
      </c>
      <c r="G1175" t="s">
        <v>18</v>
      </c>
    </row>
    <row r="1176" spans="1:12" ht="15" customHeight="1">
      <c r="A1176" t="s">
        <v>6505</v>
      </c>
      <c r="B1176" t="s">
        <v>2946</v>
      </c>
      <c r="C1176" t="s">
        <v>12</v>
      </c>
      <c r="D1176" t="s">
        <v>2947</v>
      </c>
      <c r="E1176" t="s">
        <v>1532</v>
      </c>
      <c r="F1176" t="s">
        <v>14</v>
      </c>
      <c r="G1176" t="s">
        <v>18</v>
      </c>
    </row>
    <row r="1177" spans="1:12" ht="15" customHeight="1">
      <c r="A1177" t="s">
        <v>6506</v>
      </c>
      <c r="B1177" t="s">
        <v>2948</v>
      </c>
      <c r="C1177" t="s">
        <v>12</v>
      </c>
      <c r="D1177" t="s">
        <v>2949</v>
      </c>
      <c r="E1177" t="s">
        <v>1629</v>
      </c>
      <c r="F1177" t="s">
        <v>25</v>
      </c>
      <c r="G1177" t="s">
        <v>18</v>
      </c>
    </row>
    <row r="1178" spans="1:12" ht="15" customHeight="1">
      <c r="A1178" t="s">
        <v>6507</v>
      </c>
      <c r="B1178" t="s">
        <v>2950</v>
      </c>
      <c r="C1178" t="s">
        <v>12</v>
      </c>
      <c r="D1178" t="s">
        <v>2951</v>
      </c>
      <c r="E1178" t="s">
        <v>1510</v>
      </c>
      <c r="F1178" t="s">
        <v>14</v>
      </c>
      <c r="G1178" t="s">
        <v>18</v>
      </c>
    </row>
    <row r="1179" spans="1:12" ht="15" customHeight="1">
      <c r="A1179" t="s">
        <v>6508</v>
      </c>
      <c r="B1179" t="s">
        <v>2952</v>
      </c>
      <c r="C1179" t="s">
        <v>12</v>
      </c>
      <c r="D1179" t="s">
        <v>2953</v>
      </c>
      <c r="E1179" t="s">
        <v>1560</v>
      </c>
      <c r="F1179" t="s">
        <v>14</v>
      </c>
      <c r="G1179" t="s">
        <v>18</v>
      </c>
    </row>
    <row r="1180" spans="1:12" ht="15" customHeight="1">
      <c r="A1180" t="s">
        <v>6509</v>
      </c>
      <c r="B1180" t="s">
        <v>2954</v>
      </c>
      <c r="C1180" t="s">
        <v>12</v>
      </c>
      <c r="D1180" t="s">
        <v>2955</v>
      </c>
      <c r="E1180" t="s">
        <v>1565</v>
      </c>
      <c r="F1180" t="s">
        <v>14</v>
      </c>
      <c r="G1180" t="s">
        <v>18</v>
      </c>
      <c r="I1180">
        <v>2500000</v>
      </c>
      <c r="J1180">
        <v>5299000</v>
      </c>
      <c r="K1180">
        <v>2482000</v>
      </c>
      <c r="L1180">
        <v>1757000</v>
      </c>
    </row>
    <row r="1181" spans="1:12" ht="15" customHeight="1">
      <c r="A1181" t="s">
        <v>6510</v>
      </c>
      <c r="B1181" t="s">
        <v>2956</v>
      </c>
      <c r="C1181" t="s">
        <v>12</v>
      </c>
      <c r="D1181" t="s">
        <v>2957</v>
      </c>
      <c r="E1181" t="s">
        <v>1619</v>
      </c>
      <c r="F1181" t="s">
        <v>14</v>
      </c>
      <c r="G1181" t="s">
        <v>18</v>
      </c>
      <c r="I1181">
        <v>492000</v>
      </c>
      <c r="K1181">
        <v>487000</v>
      </c>
    </row>
    <row r="1182" spans="1:12" ht="15" customHeight="1">
      <c r="A1182" t="s">
        <v>6511</v>
      </c>
      <c r="B1182" t="s">
        <v>2958</v>
      </c>
      <c r="C1182" t="s">
        <v>12</v>
      </c>
      <c r="D1182" t="s">
        <v>2959</v>
      </c>
      <c r="E1182" t="s">
        <v>1519</v>
      </c>
      <c r="F1182" t="s">
        <v>14</v>
      </c>
      <c r="G1182" t="s">
        <v>18</v>
      </c>
    </row>
    <row r="1183" spans="1:12" ht="15" customHeight="1">
      <c r="A1183" t="s">
        <v>6512</v>
      </c>
      <c r="B1183" t="s">
        <v>2960</v>
      </c>
      <c r="C1183" t="s">
        <v>12</v>
      </c>
      <c r="D1183" t="s">
        <v>2961</v>
      </c>
      <c r="E1183" t="s">
        <v>1532</v>
      </c>
      <c r="F1183" t="s">
        <v>25</v>
      </c>
      <c r="G1183" t="s">
        <v>18</v>
      </c>
    </row>
    <row r="1184" spans="1:12" ht="15" customHeight="1">
      <c r="A1184" t="s">
        <v>6513</v>
      </c>
      <c r="B1184" t="s">
        <v>2962</v>
      </c>
      <c r="C1184" t="s">
        <v>12</v>
      </c>
      <c r="D1184" t="s">
        <v>2963</v>
      </c>
      <c r="E1184" t="s">
        <v>1560</v>
      </c>
      <c r="F1184" t="s">
        <v>25</v>
      </c>
      <c r="G1184" t="s">
        <v>18</v>
      </c>
      <c r="J1184">
        <v>12000</v>
      </c>
      <c r="L1184">
        <v>7568000</v>
      </c>
    </row>
    <row r="1185" spans="1:12" ht="15" customHeight="1">
      <c r="A1185" t="s">
        <v>6514</v>
      </c>
      <c r="B1185" t="s">
        <v>2964</v>
      </c>
      <c r="C1185" t="s">
        <v>12</v>
      </c>
      <c r="D1185" t="s">
        <v>2965</v>
      </c>
      <c r="E1185" t="s">
        <v>1776</v>
      </c>
      <c r="F1185" t="s">
        <v>25</v>
      </c>
      <c r="G1185" t="s">
        <v>18</v>
      </c>
      <c r="J1185">
        <v>60000</v>
      </c>
      <c r="L1185">
        <v>21000</v>
      </c>
    </row>
    <row r="1186" spans="1:12" ht="15" customHeight="1">
      <c r="A1186" t="s">
        <v>6515</v>
      </c>
      <c r="B1186" t="s">
        <v>2966</v>
      </c>
      <c r="C1186" t="s">
        <v>12</v>
      </c>
      <c r="D1186" t="s">
        <v>2967</v>
      </c>
      <c r="E1186" t="s">
        <v>1618</v>
      </c>
      <c r="F1186" t="s">
        <v>14</v>
      </c>
      <c r="G1186" t="s">
        <v>18</v>
      </c>
      <c r="I1186">
        <v>9023000</v>
      </c>
      <c r="J1186">
        <v>10110000</v>
      </c>
      <c r="K1186">
        <v>9628000</v>
      </c>
      <c r="L1186">
        <v>9795000</v>
      </c>
    </row>
    <row r="1187" spans="1:12" ht="15" customHeight="1">
      <c r="A1187" t="s">
        <v>6516</v>
      </c>
      <c r="B1187" t="s">
        <v>2968</v>
      </c>
      <c r="C1187" t="s">
        <v>12</v>
      </c>
      <c r="D1187" t="s">
        <v>2969</v>
      </c>
      <c r="E1187" t="s">
        <v>1532</v>
      </c>
      <c r="F1187" t="s">
        <v>14</v>
      </c>
      <c r="G1187" t="s">
        <v>18</v>
      </c>
      <c r="J1187">
        <v>6009000</v>
      </c>
      <c r="L1187">
        <v>6316000</v>
      </c>
    </row>
    <row r="1188" spans="1:12" ht="15" customHeight="1">
      <c r="A1188" t="s">
        <v>6517</v>
      </c>
      <c r="B1188" t="s">
        <v>2970</v>
      </c>
      <c r="C1188" t="s">
        <v>12</v>
      </c>
      <c r="D1188" t="s">
        <v>2971</v>
      </c>
      <c r="E1188" t="s">
        <v>1504</v>
      </c>
      <c r="F1188" t="s">
        <v>25</v>
      </c>
      <c r="G1188" t="s">
        <v>18</v>
      </c>
    </row>
    <row r="1189" spans="1:12" ht="15" customHeight="1">
      <c r="A1189" t="s">
        <v>6518</v>
      </c>
      <c r="B1189" t="s">
        <v>2972</v>
      </c>
      <c r="C1189" t="s">
        <v>12</v>
      </c>
      <c r="D1189" t="s">
        <v>2973</v>
      </c>
      <c r="E1189" t="s">
        <v>1544</v>
      </c>
      <c r="F1189" t="s">
        <v>14</v>
      </c>
      <c r="G1189" t="s">
        <v>18</v>
      </c>
    </row>
    <row r="1190" spans="1:12" ht="15" customHeight="1">
      <c r="A1190" t="s">
        <v>6519</v>
      </c>
      <c r="B1190" t="s">
        <v>2974</v>
      </c>
      <c r="C1190" t="s">
        <v>12</v>
      </c>
      <c r="D1190" t="s">
        <v>2975</v>
      </c>
      <c r="E1190" t="s">
        <v>1580</v>
      </c>
      <c r="F1190" t="s">
        <v>14</v>
      </c>
      <c r="G1190" t="s">
        <v>18</v>
      </c>
      <c r="I1190">
        <v>31523000</v>
      </c>
      <c r="J1190">
        <v>31725000</v>
      </c>
      <c r="K1190">
        <v>27480000</v>
      </c>
      <c r="L1190">
        <v>30210000</v>
      </c>
    </row>
    <row r="1191" spans="1:12" ht="15" customHeight="1">
      <c r="A1191" t="s">
        <v>6519</v>
      </c>
      <c r="B1191" t="s">
        <v>2976</v>
      </c>
      <c r="C1191" t="s">
        <v>12</v>
      </c>
      <c r="D1191" t="s">
        <v>2977</v>
      </c>
      <c r="E1191" t="s">
        <v>1738</v>
      </c>
      <c r="F1191" t="s">
        <v>14</v>
      </c>
      <c r="G1191" t="s">
        <v>18</v>
      </c>
      <c r="I1191">
        <v>4058000</v>
      </c>
      <c r="J1191">
        <v>3758000</v>
      </c>
      <c r="K1191">
        <v>3634000</v>
      </c>
      <c r="L1191">
        <v>3960000</v>
      </c>
    </row>
    <row r="1192" spans="1:12" ht="15" customHeight="1">
      <c r="A1192" t="s">
        <v>6520</v>
      </c>
      <c r="B1192" t="s">
        <v>2978</v>
      </c>
      <c r="C1192" t="s">
        <v>12</v>
      </c>
      <c r="D1192" t="s">
        <v>2979</v>
      </c>
      <c r="E1192" t="s">
        <v>1558</v>
      </c>
      <c r="F1192" t="s">
        <v>14</v>
      </c>
      <c r="G1192" t="s">
        <v>18</v>
      </c>
      <c r="I1192">
        <v>1154000</v>
      </c>
      <c r="J1192">
        <v>1188000</v>
      </c>
      <c r="K1192">
        <v>1011000</v>
      </c>
      <c r="L1192">
        <v>1672000</v>
      </c>
    </row>
    <row r="1193" spans="1:12" ht="15" customHeight="1">
      <c r="A1193" t="s">
        <v>6520</v>
      </c>
      <c r="B1193" t="s">
        <v>2980</v>
      </c>
      <c r="C1193" t="s">
        <v>12</v>
      </c>
      <c r="D1193" t="s">
        <v>2981</v>
      </c>
      <c r="E1193" t="s">
        <v>1509</v>
      </c>
      <c r="F1193" t="s">
        <v>14</v>
      </c>
      <c r="G1193" t="s">
        <v>18</v>
      </c>
      <c r="I1193">
        <v>5090000</v>
      </c>
      <c r="J1193">
        <v>13395000</v>
      </c>
      <c r="K1193">
        <v>4771000</v>
      </c>
      <c r="L1193">
        <v>11366000</v>
      </c>
    </row>
    <row r="1194" spans="1:12" ht="15" customHeight="1">
      <c r="A1194" t="s">
        <v>6520</v>
      </c>
      <c r="B1194" t="s">
        <v>2982</v>
      </c>
      <c r="C1194" t="s">
        <v>12</v>
      </c>
      <c r="D1194" t="s">
        <v>2983</v>
      </c>
      <c r="E1194" t="s">
        <v>1595</v>
      </c>
      <c r="F1194" t="s">
        <v>14</v>
      </c>
      <c r="G1194" t="s">
        <v>18</v>
      </c>
      <c r="I1194">
        <v>2331000</v>
      </c>
      <c r="J1194">
        <v>1489000</v>
      </c>
      <c r="K1194">
        <v>2465000</v>
      </c>
      <c r="L1194">
        <v>1288000</v>
      </c>
    </row>
    <row r="1195" spans="1:12" ht="15" customHeight="1">
      <c r="A1195" t="s">
        <v>6521</v>
      </c>
      <c r="B1195" t="s">
        <v>2984</v>
      </c>
      <c r="C1195" t="s">
        <v>12</v>
      </c>
      <c r="D1195" t="s">
        <v>2985</v>
      </c>
      <c r="E1195" t="s">
        <v>1520</v>
      </c>
      <c r="F1195" t="s">
        <v>14</v>
      </c>
      <c r="G1195" t="s">
        <v>18</v>
      </c>
    </row>
    <row r="1196" spans="1:12" ht="15" customHeight="1">
      <c r="A1196" t="s">
        <v>6522</v>
      </c>
      <c r="B1196" t="s">
        <v>2986</v>
      </c>
      <c r="C1196" t="s">
        <v>12</v>
      </c>
      <c r="D1196" t="s">
        <v>2987</v>
      </c>
      <c r="E1196" t="s">
        <v>1520</v>
      </c>
      <c r="F1196" t="s">
        <v>14</v>
      </c>
      <c r="G1196" t="s">
        <v>18</v>
      </c>
      <c r="J1196">
        <v>110000</v>
      </c>
      <c r="L1196">
        <v>120000</v>
      </c>
    </row>
    <row r="1197" spans="1:12" ht="15" customHeight="1">
      <c r="A1197" t="s">
        <v>6523</v>
      </c>
      <c r="B1197" t="s">
        <v>2988</v>
      </c>
      <c r="C1197" t="s">
        <v>12</v>
      </c>
      <c r="D1197" t="s">
        <v>2989</v>
      </c>
      <c r="E1197" t="s">
        <v>1667</v>
      </c>
      <c r="F1197" t="s">
        <v>14</v>
      </c>
      <c r="G1197" t="s">
        <v>18</v>
      </c>
      <c r="I1197">
        <v>6467000</v>
      </c>
      <c r="J1197">
        <v>7912000</v>
      </c>
      <c r="K1197">
        <v>6467000</v>
      </c>
      <c r="L1197">
        <v>7859000</v>
      </c>
    </row>
    <row r="1198" spans="1:12" ht="15" customHeight="1">
      <c r="A1198" t="s">
        <v>6524</v>
      </c>
      <c r="B1198" t="s">
        <v>2990</v>
      </c>
      <c r="C1198" t="s">
        <v>12</v>
      </c>
      <c r="D1198" t="s">
        <v>2991</v>
      </c>
      <c r="E1198" t="s">
        <v>1628</v>
      </c>
      <c r="F1198" t="s">
        <v>14</v>
      </c>
      <c r="G1198" t="s">
        <v>18</v>
      </c>
      <c r="I1198">
        <v>1441000</v>
      </c>
      <c r="J1198">
        <v>2155000</v>
      </c>
      <c r="K1198">
        <v>1052000</v>
      </c>
      <c r="L1198">
        <v>2095000</v>
      </c>
    </row>
    <row r="1199" spans="1:12" ht="15" customHeight="1">
      <c r="A1199" t="s">
        <v>6524</v>
      </c>
      <c r="B1199" t="s">
        <v>2992</v>
      </c>
      <c r="C1199" t="s">
        <v>12</v>
      </c>
      <c r="D1199" t="s">
        <v>2993</v>
      </c>
      <c r="E1199" t="s">
        <v>1619</v>
      </c>
      <c r="F1199" t="s">
        <v>14</v>
      </c>
      <c r="G1199" t="s">
        <v>18</v>
      </c>
      <c r="I1199">
        <v>500000</v>
      </c>
      <c r="J1199">
        <v>1200000</v>
      </c>
      <c r="K1199">
        <v>969000</v>
      </c>
      <c r="L1199">
        <v>451000</v>
      </c>
    </row>
    <row r="1200" spans="1:12" ht="15" customHeight="1">
      <c r="A1200" t="s">
        <v>6525</v>
      </c>
      <c r="B1200" t="s">
        <v>2994</v>
      </c>
      <c r="C1200" t="s">
        <v>12</v>
      </c>
      <c r="D1200" t="s">
        <v>2995</v>
      </c>
      <c r="E1200" t="s">
        <v>1532</v>
      </c>
      <c r="F1200" t="s">
        <v>14</v>
      </c>
      <c r="G1200" t="s">
        <v>18</v>
      </c>
    </row>
    <row r="1201" spans="1:12" ht="15" customHeight="1">
      <c r="A1201" t="s">
        <v>6526</v>
      </c>
      <c r="B1201" t="s">
        <v>2996</v>
      </c>
      <c r="C1201" t="s">
        <v>12</v>
      </c>
      <c r="D1201" t="s">
        <v>2997</v>
      </c>
      <c r="E1201" t="s">
        <v>1509</v>
      </c>
      <c r="F1201" t="s">
        <v>14</v>
      </c>
      <c r="G1201" t="s">
        <v>18</v>
      </c>
      <c r="I1201">
        <v>19619000</v>
      </c>
      <c r="J1201">
        <v>18706000</v>
      </c>
      <c r="K1201">
        <v>18865000</v>
      </c>
      <c r="L1201">
        <v>18575000</v>
      </c>
    </row>
    <row r="1202" spans="1:12" ht="15" customHeight="1">
      <c r="A1202" t="s">
        <v>6527</v>
      </c>
      <c r="B1202" t="s">
        <v>2998</v>
      </c>
      <c r="C1202" t="s">
        <v>12</v>
      </c>
      <c r="D1202" t="s">
        <v>2999</v>
      </c>
      <c r="E1202" t="s">
        <v>1517</v>
      </c>
      <c r="F1202" t="s">
        <v>25</v>
      </c>
      <c r="G1202" t="s">
        <v>18</v>
      </c>
      <c r="I1202">
        <v>43000</v>
      </c>
      <c r="J1202">
        <v>194000</v>
      </c>
      <c r="K1202">
        <v>50000</v>
      </c>
      <c r="L1202">
        <v>194000</v>
      </c>
    </row>
    <row r="1203" spans="1:12" ht="15" customHeight="1">
      <c r="A1203" t="s">
        <v>6528</v>
      </c>
      <c r="B1203" t="s">
        <v>3000</v>
      </c>
      <c r="C1203" t="s">
        <v>12</v>
      </c>
      <c r="D1203" t="s">
        <v>3001</v>
      </c>
      <c r="E1203" t="s">
        <v>1508</v>
      </c>
      <c r="F1203" t="s">
        <v>14</v>
      </c>
      <c r="G1203" t="s">
        <v>18</v>
      </c>
      <c r="I1203">
        <v>35196000</v>
      </c>
      <c r="J1203">
        <v>35854000</v>
      </c>
      <c r="K1203">
        <v>30806000</v>
      </c>
      <c r="L1203">
        <v>34847000</v>
      </c>
    </row>
    <row r="1204" spans="1:12" ht="15" customHeight="1">
      <c r="A1204" t="s">
        <v>6529</v>
      </c>
      <c r="B1204" t="s">
        <v>3002</v>
      </c>
      <c r="C1204" t="s">
        <v>12</v>
      </c>
      <c r="D1204" t="s">
        <v>3003</v>
      </c>
      <c r="E1204" t="s">
        <v>1508</v>
      </c>
      <c r="F1204" t="s">
        <v>14</v>
      </c>
      <c r="G1204" t="s">
        <v>18</v>
      </c>
    </row>
    <row r="1205" spans="1:12" ht="15" customHeight="1">
      <c r="A1205" t="s">
        <v>6530</v>
      </c>
      <c r="B1205" t="s">
        <v>3004</v>
      </c>
      <c r="C1205" t="s">
        <v>12</v>
      </c>
      <c r="D1205" t="s">
        <v>3005</v>
      </c>
      <c r="E1205" t="s">
        <v>1532</v>
      </c>
      <c r="F1205" t="s">
        <v>14</v>
      </c>
      <c r="G1205" t="s">
        <v>22</v>
      </c>
      <c r="I1205">
        <v>11668000</v>
      </c>
      <c r="J1205">
        <v>14190000</v>
      </c>
      <c r="K1205">
        <v>12344000</v>
      </c>
      <c r="L1205">
        <v>13537000</v>
      </c>
    </row>
    <row r="1206" spans="1:12" ht="15" customHeight="1">
      <c r="A1206" t="s">
        <v>6531</v>
      </c>
      <c r="B1206" t="s">
        <v>3006</v>
      </c>
      <c r="C1206" t="s">
        <v>12</v>
      </c>
      <c r="D1206" t="s">
        <v>3007</v>
      </c>
      <c r="E1206" t="s">
        <v>1532</v>
      </c>
      <c r="F1206" t="s">
        <v>25</v>
      </c>
      <c r="G1206" t="s">
        <v>18</v>
      </c>
    </row>
    <row r="1207" spans="1:12" ht="15" customHeight="1">
      <c r="A1207" t="s">
        <v>6532</v>
      </c>
      <c r="B1207" t="s">
        <v>3008</v>
      </c>
      <c r="C1207" t="s">
        <v>12</v>
      </c>
      <c r="D1207" t="s">
        <v>3009</v>
      </c>
      <c r="E1207" t="s">
        <v>1667</v>
      </c>
      <c r="F1207" t="s">
        <v>25</v>
      </c>
      <c r="G1207" t="s">
        <v>18</v>
      </c>
      <c r="J1207">
        <v>1482000</v>
      </c>
      <c r="K1207">
        <v>437000</v>
      </c>
      <c r="L1207">
        <v>1474000</v>
      </c>
    </row>
    <row r="1208" spans="1:12" ht="15" customHeight="1">
      <c r="A1208" t="s">
        <v>6533</v>
      </c>
      <c r="B1208" t="s">
        <v>3010</v>
      </c>
      <c r="C1208" t="s">
        <v>12</v>
      </c>
      <c r="D1208" t="s">
        <v>3011</v>
      </c>
      <c r="E1208" t="s">
        <v>1629</v>
      </c>
      <c r="F1208" t="s">
        <v>14</v>
      </c>
      <c r="G1208" t="s">
        <v>18</v>
      </c>
      <c r="I1208">
        <v>1353000</v>
      </c>
      <c r="J1208">
        <v>1482000</v>
      </c>
      <c r="K1208">
        <v>1233000</v>
      </c>
      <c r="L1208">
        <v>580000</v>
      </c>
    </row>
    <row r="1209" spans="1:12" ht="15" customHeight="1">
      <c r="A1209" t="s">
        <v>6534</v>
      </c>
      <c r="B1209" t="s">
        <v>3012</v>
      </c>
      <c r="C1209" t="s">
        <v>12</v>
      </c>
      <c r="D1209" t="s">
        <v>3013</v>
      </c>
      <c r="E1209" t="s">
        <v>1524</v>
      </c>
      <c r="F1209" t="s">
        <v>14</v>
      </c>
      <c r="G1209" t="s">
        <v>77</v>
      </c>
      <c r="I1209">
        <v>32403000</v>
      </c>
      <c r="J1209">
        <v>11676000</v>
      </c>
      <c r="K1209">
        <v>32730000</v>
      </c>
      <c r="L1209">
        <v>12593000</v>
      </c>
    </row>
    <row r="1210" spans="1:12" ht="15" customHeight="1">
      <c r="A1210" t="s">
        <v>6535</v>
      </c>
      <c r="B1210" t="s">
        <v>3014</v>
      </c>
      <c r="C1210" t="s">
        <v>12</v>
      </c>
      <c r="D1210" t="s">
        <v>3015</v>
      </c>
      <c r="E1210" t="s">
        <v>1505</v>
      </c>
      <c r="F1210" t="s">
        <v>14</v>
      </c>
      <c r="G1210" t="s">
        <v>18</v>
      </c>
    </row>
    <row r="1211" spans="1:12" ht="15" customHeight="1">
      <c r="A1211" t="s">
        <v>6536</v>
      </c>
      <c r="B1211" t="s">
        <v>3016</v>
      </c>
      <c r="C1211" t="s">
        <v>12</v>
      </c>
      <c r="D1211" t="s">
        <v>3017</v>
      </c>
      <c r="E1211" t="s">
        <v>1588</v>
      </c>
      <c r="F1211" t="s">
        <v>25</v>
      </c>
      <c r="G1211" t="s">
        <v>18</v>
      </c>
    </row>
    <row r="1212" spans="1:12" ht="15" customHeight="1">
      <c r="A1212" t="s">
        <v>6537</v>
      </c>
      <c r="B1212" t="s">
        <v>3018</v>
      </c>
      <c r="C1212" t="s">
        <v>12</v>
      </c>
      <c r="D1212" t="s">
        <v>3019</v>
      </c>
      <c r="E1212" t="s">
        <v>1801</v>
      </c>
      <c r="F1212" t="s">
        <v>14</v>
      </c>
      <c r="G1212" t="s">
        <v>18</v>
      </c>
    </row>
    <row r="1213" spans="1:12" ht="15" customHeight="1">
      <c r="A1213" t="s">
        <v>6538</v>
      </c>
      <c r="B1213" t="s">
        <v>3020</v>
      </c>
      <c r="C1213" t="s">
        <v>12</v>
      </c>
      <c r="D1213" t="s">
        <v>3021</v>
      </c>
      <c r="E1213" t="s">
        <v>1579</v>
      </c>
      <c r="F1213" t="s">
        <v>14</v>
      </c>
      <c r="G1213" t="s">
        <v>18</v>
      </c>
    </row>
    <row r="1214" spans="1:12" ht="15" customHeight="1">
      <c r="A1214" t="s">
        <v>6538</v>
      </c>
      <c r="B1214" t="s">
        <v>3022</v>
      </c>
      <c r="C1214" t="s">
        <v>12</v>
      </c>
      <c r="D1214" t="s">
        <v>3023</v>
      </c>
      <c r="E1214" t="s">
        <v>1588</v>
      </c>
      <c r="F1214" t="s">
        <v>14</v>
      </c>
      <c r="G1214" t="s">
        <v>18</v>
      </c>
    </row>
    <row r="1215" spans="1:12" ht="15" customHeight="1">
      <c r="A1215" t="s">
        <v>6539</v>
      </c>
      <c r="B1215" t="s">
        <v>3024</v>
      </c>
      <c r="C1215" t="s">
        <v>12</v>
      </c>
      <c r="D1215" t="s">
        <v>3025</v>
      </c>
      <c r="E1215" t="s">
        <v>1604</v>
      </c>
      <c r="F1215" t="s">
        <v>25</v>
      </c>
      <c r="G1215" t="s">
        <v>18</v>
      </c>
      <c r="I1215">
        <v>263000</v>
      </c>
      <c r="J1215">
        <v>1233000</v>
      </c>
      <c r="K1215">
        <v>258000</v>
      </c>
      <c r="L1215">
        <v>513000</v>
      </c>
    </row>
    <row r="1216" spans="1:12" ht="15" customHeight="1">
      <c r="A1216" t="s">
        <v>6540</v>
      </c>
      <c r="B1216" t="s">
        <v>3026</v>
      </c>
      <c r="C1216" t="s">
        <v>12</v>
      </c>
      <c r="D1216" t="s">
        <v>3027</v>
      </c>
      <c r="E1216" t="s">
        <v>1532</v>
      </c>
      <c r="F1216" t="s">
        <v>14</v>
      </c>
      <c r="G1216" t="s">
        <v>18</v>
      </c>
      <c r="I1216">
        <v>38688000</v>
      </c>
      <c r="J1216">
        <v>9605000</v>
      </c>
      <c r="K1216">
        <v>25334000</v>
      </c>
      <c r="L1216">
        <v>22123000</v>
      </c>
    </row>
    <row r="1217" spans="1:12" ht="15" customHeight="1">
      <c r="A1217" t="s">
        <v>6541</v>
      </c>
      <c r="B1217" t="s">
        <v>3028</v>
      </c>
      <c r="C1217" t="s">
        <v>12</v>
      </c>
      <c r="D1217" t="s">
        <v>3029</v>
      </c>
      <c r="E1217" t="s">
        <v>1524</v>
      </c>
      <c r="F1217" t="s">
        <v>14</v>
      </c>
      <c r="G1217" t="s">
        <v>18</v>
      </c>
      <c r="I1217">
        <v>1564000</v>
      </c>
      <c r="J1217">
        <v>150000</v>
      </c>
      <c r="K1217">
        <v>1421000</v>
      </c>
      <c r="L1217">
        <v>579000</v>
      </c>
    </row>
    <row r="1218" spans="1:12" ht="15" customHeight="1">
      <c r="A1218" t="s">
        <v>6542</v>
      </c>
      <c r="B1218" t="s">
        <v>3030</v>
      </c>
      <c r="C1218" t="s">
        <v>12</v>
      </c>
      <c r="D1218" t="s">
        <v>3031</v>
      </c>
      <c r="E1218" t="s">
        <v>1532</v>
      </c>
      <c r="F1218" t="s">
        <v>14</v>
      </c>
      <c r="G1218" t="s">
        <v>18</v>
      </c>
    </row>
    <row r="1219" spans="1:12" ht="15" customHeight="1">
      <c r="A1219" t="s">
        <v>6543</v>
      </c>
      <c r="B1219" t="s">
        <v>3032</v>
      </c>
      <c r="C1219" t="s">
        <v>12</v>
      </c>
      <c r="D1219" t="s">
        <v>3033</v>
      </c>
      <c r="E1219" t="s">
        <v>1776</v>
      </c>
      <c r="F1219" t="s">
        <v>14</v>
      </c>
      <c r="G1219" t="s">
        <v>18</v>
      </c>
    </row>
    <row r="1220" spans="1:12" ht="15" customHeight="1">
      <c r="A1220" t="s">
        <v>6544</v>
      </c>
      <c r="B1220" t="s">
        <v>3034</v>
      </c>
      <c r="C1220" t="s">
        <v>12</v>
      </c>
      <c r="D1220" t="s">
        <v>3035</v>
      </c>
      <c r="E1220" t="s">
        <v>1508</v>
      </c>
      <c r="F1220" t="s">
        <v>14</v>
      </c>
      <c r="G1220" t="s">
        <v>18</v>
      </c>
    </row>
    <row r="1221" spans="1:12" ht="15" customHeight="1">
      <c r="A1221" t="s">
        <v>6545</v>
      </c>
      <c r="B1221" t="s">
        <v>3036</v>
      </c>
      <c r="C1221" t="s">
        <v>12</v>
      </c>
      <c r="D1221" t="s">
        <v>3037</v>
      </c>
      <c r="E1221" t="s">
        <v>1532</v>
      </c>
      <c r="F1221" t="s">
        <v>14</v>
      </c>
      <c r="G1221" t="s">
        <v>18</v>
      </c>
      <c r="I1221">
        <v>3000</v>
      </c>
      <c r="K1221">
        <v>6000</v>
      </c>
    </row>
    <row r="1222" spans="1:12" ht="15" customHeight="1">
      <c r="A1222" t="s">
        <v>6546</v>
      </c>
      <c r="B1222" t="s">
        <v>3038</v>
      </c>
      <c r="C1222" t="s">
        <v>12</v>
      </c>
      <c r="D1222" t="s">
        <v>3039</v>
      </c>
      <c r="E1222" t="s">
        <v>1527</v>
      </c>
      <c r="F1222" t="s">
        <v>25</v>
      </c>
      <c r="G1222" t="s">
        <v>18</v>
      </c>
      <c r="I1222">
        <v>642000</v>
      </c>
      <c r="J1222">
        <v>1139000</v>
      </c>
      <c r="K1222">
        <v>642000</v>
      </c>
      <c r="L1222">
        <v>1139000</v>
      </c>
    </row>
    <row r="1223" spans="1:12" ht="15" customHeight="1">
      <c r="A1223" t="s">
        <v>6547</v>
      </c>
      <c r="B1223" t="s">
        <v>3040</v>
      </c>
      <c r="C1223" t="s">
        <v>12</v>
      </c>
      <c r="D1223" t="s">
        <v>3041</v>
      </c>
      <c r="E1223" t="s">
        <v>1532</v>
      </c>
      <c r="F1223" t="s">
        <v>14</v>
      </c>
      <c r="G1223" t="s">
        <v>18</v>
      </c>
    </row>
    <row r="1224" spans="1:12" ht="15" customHeight="1">
      <c r="A1224" t="s">
        <v>6548</v>
      </c>
      <c r="B1224" t="s">
        <v>3042</v>
      </c>
      <c r="C1224" t="s">
        <v>12</v>
      </c>
      <c r="D1224" t="s">
        <v>3043</v>
      </c>
      <c r="E1224" t="s">
        <v>1532</v>
      </c>
      <c r="F1224" t="s">
        <v>14</v>
      </c>
      <c r="G1224" t="s">
        <v>18</v>
      </c>
      <c r="I1224">
        <v>38981000</v>
      </c>
      <c r="J1224">
        <v>42827000</v>
      </c>
      <c r="K1224">
        <v>39707000</v>
      </c>
      <c r="L1224">
        <v>38016000</v>
      </c>
    </row>
    <row r="1225" spans="1:12" ht="15" customHeight="1">
      <c r="A1225" t="s">
        <v>6549</v>
      </c>
      <c r="B1225" t="s">
        <v>3044</v>
      </c>
      <c r="C1225" t="s">
        <v>12</v>
      </c>
      <c r="D1225" t="s">
        <v>3045</v>
      </c>
      <c r="E1225" t="s">
        <v>1558</v>
      </c>
      <c r="F1225" t="s">
        <v>14</v>
      </c>
      <c r="G1225" t="s">
        <v>18</v>
      </c>
      <c r="I1225">
        <v>963000</v>
      </c>
      <c r="K1225">
        <v>1021000</v>
      </c>
      <c r="L1225">
        <v>11000</v>
      </c>
    </row>
    <row r="1226" spans="1:12" ht="15" customHeight="1">
      <c r="A1226" t="s">
        <v>6550</v>
      </c>
      <c r="B1226" t="s">
        <v>3046</v>
      </c>
      <c r="C1226" t="s">
        <v>12</v>
      </c>
      <c r="D1226" t="s">
        <v>3047</v>
      </c>
      <c r="E1226" t="s">
        <v>1661</v>
      </c>
      <c r="F1226" t="s">
        <v>14</v>
      </c>
      <c r="G1226" t="s">
        <v>18</v>
      </c>
      <c r="I1226">
        <v>2827000</v>
      </c>
      <c r="J1226">
        <v>3861000</v>
      </c>
      <c r="K1226">
        <v>2540000</v>
      </c>
      <c r="L1226">
        <v>3719000</v>
      </c>
    </row>
    <row r="1227" spans="1:12" ht="15" customHeight="1">
      <c r="A1227" t="s">
        <v>6551</v>
      </c>
      <c r="B1227" t="s">
        <v>3048</v>
      </c>
      <c r="C1227" t="s">
        <v>12</v>
      </c>
      <c r="D1227" t="s">
        <v>3049</v>
      </c>
      <c r="E1227" t="s">
        <v>1516</v>
      </c>
      <c r="F1227" t="s">
        <v>25</v>
      </c>
      <c r="G1227" t="s">
        <v>18</v>
      </c>
    </row>
    <row r="1228" spans="1:12" ht="15" customHeight="1">
      <c r="A1228" t="s">
        <v>6552</v>
      </c>
      <c r="B1228" t="s">
        <v>3050</v>
      </c>
      <c r="C1228" t="s">
        <v>12</v>
      </c>
      <c r="D1228" t="s">
        <v>3051</v>
      </c>
      <c r="E1228" t="s">
        <v>1798</v>
      </c>
      <c r="F1228" t="s">
        <v>14</v>
      </c>
      <c r="G1228" t="s">
        <v>18</v>
      </c>
      <c r="I1228">
        <v>23000</v>
      </c>
      <c r="K1228">
        <v>62000</v>
      </c>
    </row>
    <row r="1229" spans="1:12" ht="15" customHeight="1">
      <c r="A1229" t="s">
        <v>6553</v>
      </c>
      <c r="B1229" t="s">
        <v>3052</v>
      </c>
      <c r="C1229" t="s">
        <v>12</v>
      </c>
      <c r="D1229" t="s">
        <v>3053</v>
      </c>
      <c r="E1229" t="s">
        <v>1532</v>
      </c>
      <c r="F1229" t="s">
        <v>14</v>
      </c>
      <c r="G1229" t="s">
        <v>18</v>
      </c>
      <c r="I1229">
        <v>7537000</v>
      </c>
      <c r="J1229">
        <v>2890000</v>
      </c>
      <c r="K1229">
        <v>6875000</v>
      </c>
      <c r="L1229">
        <v>3946000</v>
      </c>
    </row>
    <row r="1230" spans="1:12" ht="15" customHeight="1">
      <c r="A1230" t="s">
        <v>6554</v>
      </c>
      <c r="B1230" t="s">
        <v>3054</v>
      </c>
      <c r="C1230" t="s">
        <v>12</v>
      </c>
      <c r="D1230" t="s">
        <v>3055</v>
      </c>
      <c r="E1230" t="s">
        <v>1625</v>
      </c>
      <c r="F1230" t="s">
        <v>249</v>
      </c>
      <c r="G1230" t="s">
        <v>18</v>
      </c>
      <c r="I1230">
        <v>202000</v>
      </c>
      <c r="J1230">
        <v>710000</v>
      </c>
      <c r="K1230">
        <v>187000</v>
      </c>
      <c r="L1230">
        <v>573000</v>
      </c>
    </row>
    <row r="1231" spans="1:12" ht="15" customHeight="1">
      <c r="A1231" t="s">
        <v>6555</v>
      </c>
      <c r="B1231" t="s">
        <v>3056</v>
      </c>
      <c r="C1231" t="s">
        <v>12</v>
      </c>
      <c r="D1231" t="s">
        <v>3057</v>
      </c>
      <c r="E1231" t="s">
        <v>1533</v>
      </c>
      <c r="F1231" t="s">
        <v>14</v>
      </c>
      <c r="G1231" t="s">
        <v>18</v>
      </c>
      <c r="I1231">
        <v>69000</v>
      </c>
      <c r="K1231">
        <v>54000</v>
      </c>
      <c r="L1231">
        <v>17000</v>
      </c>
    </row>
    <row r="1232" spans="1:12" ht="15" customHeight="1">
      <c r="A1232" t="s">
        <v>6556</v>
      </c>
      <c r="B1232" t="s">
        <v>3058</v>
      </c>
      <c r="C1232" t="s">
        <v>12</v>
      </c>
      <c r="D1232" t="s">
        <v>3059</v>
      </c>
      <c r="E1232" t="s">
        <v>1511</v>
      </c>
      <c r="F1232" t="s">
        <v>249</v>
      </c>
      <c r="G1232" t="s">
        <v>18</v>
      </c>
      <c r="I1232">
        <v>15000</v>
      </c>
      <c r="J1232">
        <v>185000</v>
      </c>
      <c r="K1232">
        <v>15000</v>
      </c>
      <c r="L1232">
        <v>627000</v>
      </c>
    </row>
    <row r="1233" spans="1:12" ht="15" customHeight="1">
      <c r="A1233" t="s">
        <v>6557</v>
      </c>
      <c r="B1233" t="s">
        <v>3060</v>
      </c>
      <c r="C1233" t="s">
        <v>12</v>
      </c>
      <c r="D1233" t="s">
        <v>3061</v>
      </c>
      <c r="E1233" t="s">
        <v>1532</v>
      </c>
      <c r="F1233" t="s">
        <v>14</v>
      </c>
      <c r="G1233" t="s">
        <v>18</v>
      </c>
      <c r="J1233">
        <v>121000</v>
      </c>
      <c r="L1233">
        <v>50000</v>
      </c>
    </row>
    <row r="1234" spans="1:12" ht="15" customHeight="1">
      <c r="A1234" t="s">
        <v>6558</v>
      </c>
      <c r="B1234" t="s">
        <v>3062</v>
      </c>
      <c r="C1234" t="s">
        <v>12</v>
      </c>
      <c r="D1234" t="s">
        <v>3063</v>
      </c>
      <c r="E1234" t="s">
        <v>1504</v>
      </c>
      <c r="F1234" t="s">
        <v>14</v>
      </c>
      <c r="G1234" t="s">
        <v>18</v>
      </c>
      <c r="K1234">
        <v>2000</v>
      </c>
    </row>
    <row r="1235" spans="1:12" ht="15" customHeight="1">
      <c r="A1235" t="s">
        <v>6559</v>
      </c>
      <c r="B1235" t="s">
        <v>3064</v>
      </c>
      <c r="C1235" t="s">
        <v>12</v>
      </c>
      <c r="D1235" t="s">
        <v>3065</v>
      </c>
      <c r="E1235" t="s">
        <v>1560</v>
      </c>
      <c r="F1235" t="s">
        <v>14</v>
      </c>
      <c r="G1235" t="s">
        <v>22</v>
      </c>
      <c r="I1235">
        <v>1102000</v>
      </c>
      <c r="J1235">
        <v>1760000</v>
      </c>
      <c r="K1235">
        <v>251000</v>
      </c>
      <c r="L1235">
        <v>2612000</v>
      </c>
    </row>
    <row r="1236" spans="1:12" ht="15" customHeight="1">
      <c r="A1236" t="s">
        <v>6560</v>
      </c>
      <c r="B1236" t="s">
        <v>3066</v>
      </c>
      <c r="C1236" t="s">
        <v>12</v>
      </c>
      <c r="D1236" t="s">
        <v>3067</v>
      </c>
      <c r="E1236" t="s">
        <v>1754</v>
      </c>
      <c r="F1236" t="s">
        <v>14</v>
      </c>
      <c r="G1236" t="s">
        <v>18</v>
      </c>
      <c r="I1236">
        <v>2280000</v>
      </c>
      <c r="J1236">
        <v>6140000</v>
      </c>
      <c r="K1236">
        <v>2807000</v>
      </c>
      <c r="L1236">
        <v>5827000</v>
      </c>
    </row>
    <row r="1237" spans="1:12" ht="15" customHeight="1">
      <c r="A1237" t="s">
        <v>6561</v>
      </c>
      <c r="B1237" t="s">
        <v>3068</v>
      </c>
      <c r="C1237" t="s">
        <v>12</v>
      </c>
      <c r="D1237" t="s">
        <v>3069</v>
      </c>
      <c r="E1237" t="s">
        <v>1519</v>
      </c>
      <c r="F1237" t="s">
        <v>14</v>
      </c>
      <c r="G1237" t="s">
        <v>18</v>
      </c>
      <c r="I1237">
        <v>4000</v>
      </c>
      <c r="K1237">
        <v>5000</v>
      </c>
    </row>
    <row r="1238" spans="1:12" ht="15" customHeight="1">
      <c r="A1238" t="s">
        <v>6562</v>
      </c>
      <c r="B1238" t="s">
        <v>3070</v>
      </c>
      <c r="C1238" t="s">
        <v>12</v>
      </c>
      <c r="D1238" t="s">
        <v>3071</v>
      </c>
      <c r="E1238" t="s">
        <v>1560</v>
      </c>
      <c r="F1238" t="s">
        <v>25</v>
      </c>
      <c r="G1238" t="s">
        <v>18</v>
      </c>
      <c r="I1238">
        <v>143000</v>
      </c>
      <c r="J1238">
        <v>143000</v>
      </c>
      <c r="K1238">
        <v>144000</v>
      </c>
      <c r="L1238">
        <v>144000</v>
      </c>
    </row>
    <row r="1239" spans="1:12" ht="15" customHeight="1">
      <c r="A1239" t="s">
        <v>6563</v>
      </c>
      <c r="B1239" t="s">
        <v>3072</v>
      </c>
      <c r="C1239" t="s">
        <v>12</v>
      </c>
      <c r="D1239" t="s">
        <v>3073</v>
      </c>
      <c r="E1239" t="s">
        <v>1532</v>
      </c>
      <c r="F1239" t="s">
        <v>14</v>
      </c>
      <c r="G1239" t="s">
        <v>18</v>
      </c>
    </row>
    <row r="1240" spans="1:12" ht="15" customHeight="1">
      <c r="A1240" t="s">
        <v>6564</v>
      </c>
      <c r="B1240" t="s">
        <v>3074</v>
      </c>
      <c r="C1240" t="s">
        <v>12</v>
      </c>
      <c r="D1240" t="s">
        <v>3075</v>
      </c>
      <c r="E1240" t="s">
        <v>1509</v>
      </c>
      <c r="F1240" t="s">
        <v>14</v>
      </c>
      <c r="G1240" t="s">
        <v>18</v>
      </c>
      <c r="I1240">
        <v>1459000</v>
      </c>
      <c r="J1240">
        <v>1621000</v>
      </c>
      <c r="K1240">
        <v>1518000</v>
      </c>
      <c r="L1240">
        <v>1434000</v>
      </c>
    </row>
    <row r="1241" spans="1:12" ht="15" customHeight="1">
      <c r="A1241" t="s">
        <v>6565</v>
      </c>
      <c r="B1241" t="s">
        <v>3076</v>
      </c>
      <c r="C1241" t="s">
        <v>12</v>
      </c>
      <c r="D1241" t="s">
        <v>3077</v>
      </c>
      <c r="E1241" t="s">
        <v>1533</v>
      </c>
      <c r="F1241" t="s">
        <v>25</v>
      </c>
      <c r="G1241" t="s">
        <v>18</v>
      </c>
    </row>
    <row r="1242" spans="1:12" ht="15" customHeight="1">
      <c r="A1242" t="s">
        <v>6566</v>
      </c>
      <c r="B1242" t="s">
        <v>3078</v>
      </c>
      <c r="C1242" t="s">
        <v>12</v>
      </c>
      <c r="D1242" t="s">
        <v>3079</v>
      </c>
      <c r="E1242" t="s">
        <v>1525</v>
      </c>
      <c r="F1242" t="s">
        <v>14</v>
      </c>
      <c r="G1242" t="s">
        <v>18</v>
      </c>
    </row>
    <row r="1243" spans="1:12" ht="15" customHeight="1">
      <c r="A1243" t="s">
        <v>6567</v>
      </c>
      <c r="B1243" t="s">
        <v>3080</v>
      </c>
      <c r="C1243" t="s">
        <v>12</v>
      </c>
      <c r="D1243" t="s">
        <v>3081</v>
      </c>
      <c r="E1243" t="s">
        <v>1801</v>
      </c>
      <c r="F1243" t="s">
        <v>14</v>
      </c>
      <c r="G1243" t="s">
        <v>18</v>
      </c>
    </row>
    <row r="1244" spans="1:12" ht="15" customHeight="1">
      <c r="A1244" t="s">
        <v>6568</v>
      </c>
      <c r="B1244" t="s">
        <v>3082</v>
      </c>
      <c r="C1244" t="s">
        <v>12</v>
      </c>
      <c r="D1244" t="s">
        <v>3083</v>
      </c>
      <c r="E1244" t="s">
        <v>1532</v>
      </c>
      <c r="F1244" t="s">
        <v>14</v>
      </c>
      <c r="G1244" t="s">
        <v>18</v>
      </c>
    </row>
    <row r="1245" spans="1:12" ht="15" customHeight="1">
      <c r="A1245" t="s">
        <v>6569</v>
      </c>
      <c r="B1245" t="s">
        <v>3084</v>
      </c>
      <c r="C1245" t="s">
        <v>12</v>
      </c>
      <c r="D1245" t="s">
        <v>3085</v>
      </c>
      <c r="E1245" t="s">
        <v>1532</v>
      </c>
      <c r="F1245" t="s">
        <v>25</v>
      </c>
      <c r="G1245" t="s">
        <v>18</v>
      </c>
      <c r="K1245">
        <v>218000</v>
      </c>
      <c r="L1245">
        <v>592000</v>
      </c>
    </row>
    <row r="1246" spans="1:12" ht="15" customHeight="1">
      <c r="A1246" t="s">
        <v>6570</v>
      </c>
      <c r="B1246" t="s">
        <v>3086</v>
      </c>
      <c r="C1246" t="s">
        <v>12</v>
      </c>
      <c r="D1246" t="s">
        <v>3087</v>
      </c>
      <c r="E1246" t="s">
        <v>1516</v>
      </c>
      <c r="F1246" t="s">
        <v>14</v>
      </c>
      <c r="G1246" t="s">
        <v>18</v>
      </c>
      <c r="L1246">
        <v>94000</v>
      </c>
    </row>
    <row r="1247" spans="1:12" ht="15" customHeight="1">
      <c r="A1247" t="s">
        <v>6571</v>
      </c>
      <c r="B1247" t="s">
        <v>3088</v>
      </c>
      <c r="C1247" t="s">
        <v>12</v>
      </c>
      <c r="D1247" t="s">
        <v>3089</v>
      </c>
      <c r="E1247" t="s">
        <v>1519</v>
      </c>
      <c r="F1247" t="s">
        <v>14</v>
      </c>
      <c r="G1247" t="s">
        <v>18</v>
      </c>
    </row>
    <row r="1248" spans="1:12" ht="15" customHeight="1">
      <c r="A1248" t="s">
        <v>6572</v>
      </c>
      <c r="B1248" t="s">
        <v>3090</v>
      </c>
      <c r="C1248" t="s">
        <v>12</v>
      </c>
      <c r="D1248" t="s">
        <v>3091</v>
      </c>
      <c r="E1248" t="s">
        <v>1754</v>
      </c>
      <c r="F1248" t="s">
        <v>14</v>
      </c>
      <c r="G1248" t="s">
        <v>18</v>
      </c>
      <c r="J1248">
        <v>20000</v>
      </c>
      <c r="K1248">
        <v>132000</v>
      </c>
      <c r="L1248">
        <v>30000</v>
      </c>
    </row>
    <row r="1249" spans="1:12" ht="15" customHeight="1">
      <c r="A1249" t="s">
        <v>6573</v>
      </c>
      <c r="B1249" t="s">
        <v>3092</v>
      </c>
      <c r="C1249" t="s">
        <v>12</v>
      </c>
      <c r="D1249" t="s">
        <v>3093</v>
      </c>
      <c r="E1249" t="s">
        <v>1525</v>
      </c>
      <c r="F1249" t="s">
        <v>14</v>
      </c>
      <c r="G1249" t="s">
        <v>18</v>
      </c>
    </row>
    <row r="1250" spans="1:12" ht="15" customHeight="1">
      <c r="A1250" t="s">
        <v>6574</v>
      </c>
      <c r="B1250" t="s">
        <v>3094</v>
      </c>
      <c r="C1250" t="s">
        <v>12</v>
      </c>
      <c r="D1250" t="s">
        <v>3095</v>
      </c>
      <c r="E1250" t="s">
        <v>1646</v>
      </c>
      <c r="F1250" t="s">
        <v>14</v>
      </c>
      <c r="G1250" t="s">
        <v>18</v>
      </c>
      <c r="I1250">
        <v>4968000</v>
      </c>
      <c r="K1250">
        <v>4887000</v>
      </c>
    </row>
    <row r="1251" spans="1:12" ht="15" customHeight="1">
      <c r="A1251" t="s">
        <v>6575</v>
      </c>
      <c r="B1251" t="s">
        <v>3096</v>
      </c>
      <c r="C1251" t="s">
        <v>12</v>
      </c>
      <c r="D1251" t="s">
        <v>3097</v>
      </c>
      <c r="E1251" t="s">
        <v>1646</v>
      </c>
      <c r="F1251" t="s">
        <v>14</v>
      </c>
      <c r="G1251" t="s">
        <v>18</v>
      </c>
      <c r="I1251">
        <v>3048000</v>
      </c>
      <c r="J1251">
        <v>3036000</v>
      </c>
      <c r="K1251">
        <v>2847000</v>
      </c>
      <c r="L1251">
        <v>3151000</v>
      </c>
    </row>
    <row r="1252" spans="1:12" ht="15" customHeight="1">
      <c r="A1252" t="s">
        <v>6576</v>
      </c>
      <c r="B1252" t="s">
        <v>3098</v>
      </c>
      <c r="C1252" t="s">
        <v>12</v>
      </c>
      <c r="D1252" t="s">
        <v>3099</v>
      </c>
      <c r="E1252" t="s">
        <v>1588</v>
      </c>
      <c r="F1252" t="s">
        <v>14</v>
      </c>
      <c r="G1252" t="s">
        <v>18</v>
      </c>
      <c r="I1252">
        <v>461000</v>
      </c>
      <c r="J1252">
        <v>838000</v>
      </c>
      <c r="K1252">
        <v>461000</v>
      </c>
      <c r="L1252">
        <v>833000</v>
      </c>
    </row>
    <row r="1253" spans="1:12" ht="15" customHeight="1">
      <c r="A1253" t="s">
        <v>6577</v>
      </c>
      <c r="B1253" t="s">
        <v>3100</v>
      </c>
      <c r="C1253" t="s">
        <v>12</v>
      </c>
      <c r="D1253" t="s">
        <v>3101</v>
      </c>
      <c r="E1253" t="s">
        <v>1662</v>
      </c>
      <c r="F1253" t="s">
        <v>14</v>
      </c>
      <c r="G1253" t="s">
        <v>18</v>
      </c>
      <c r="I1253">
        <v>5094000</v>
      </c>
      <c r="J1253">
        <v>5710000</v>
      </c>
      <c r="K1253">
        <v>5109000</v>
      </c>
      <c r="L1253">
        <v>5713000</v>
      </c>
    </row>
    <row r="1254" spans="1:12" ht="15" customHeight="1">
      <c r="A1254" t="s">
        <v>6578</v>
      </c>
      <c r="B1254" t="s">
        <v>3102</v>
      </c>
      <c r="C1254" t="s">
        <v>12</v>
      </c>
      <c r="D1254" t="s">
        <v>3103</v>
      </c>
      <c r="E1254" t="s">
        <v>1580</v>
      </c>
      <c r="F1254" t="s">
        <v>25</v>
      </c>
      <c r="G1254" t="s">
        <v>18</v>
      </c>
      <c r="I1254">
        <v>25000</v>
      </c>
      <c r="K1254">
        <v>25000</v>
      </c>
    </row>
    <row r="1255" spans="1:12" ht="15" customHeight="1">
      <c r="A1255" t="s">
        <v>6579</v>
      </c>
      <c r="B1255" t="s">
        <v>3104</v>
      </c>
      <c r="C1255" t="s">
        <v>12</v>
      </c>
      <c r="D1255" t="s">
        <v>3105</v>
      </c>
      <c r="E1255" t="s">
        <v>1508</v>
      </c>
      <c r="F1255" t="s">
        <v>14</v>
      </c>
      <c r="G1255" t="s">
        <v>18</v>
      </c>
      <c r="I1255">
        <v>192000</v>
      </c>
      <c r="J1255">
        <v>333000</v>
      </c>
      <c r="K1255">
        <v>232000</v>
      </c>
      <c r="L1255">
        <v>280000</v>
      </c>
    </row>
    <row r="1256" spans="1:12" ht="15" customHeight="1">
      <c r="A1256" t="s">
        <v>6580</v>
      </c>
      <c r="B1256" t="s">
        <v>3106</v>
      </c>
      <c r="C1256" t="s">
        <v>12</v>
      </c>
      <c r="D1256" t="s">
        <v>3107</v>
      </c>
      <c r="E1256" t="s">
        <v>1532</v>
      </c>
      <c r="F1256" t="s">
        <v>14</v>
      </c>
      <c r="G1256" t="s">
        <v>18</v>
      </c>
    </row>
    <row r="1257" spans="1:12" ht="15" customHeight="1">
      <c r="A1257" t="s">
        <v>6581</v>
      </c>
      <c r="B1257" t="s">
        <v>3108</v>
      </c>
      <c r="C1257" t="s">
        <v>12</v>
      </c>
      <c r="D1257" t="s">
        <v>3109</v>
      </c>
      <c r="E1257" t="s">
        <v>1535</v>
      </c>
      <c r="F1257" t="s">
        <v>14</v>
      </c>
      <c r="G1257" t="s">
        <v>18</v>
      </c>
      <c r="I1257">
        <v>29000</v>
      </c>
      <c r="J1257">
        <v>12000</v>
      </c>
      <c r="K1257">
        <v>38000</v>
      </c>
      <c r="L1257">
        <v>12000</v>
      </c>
    </row>
    <row r="1258" spans="1:12" ht="15" customHeight="1">
      <c r="A1258" t="s">
        <v>6582</v>
      </c>
      <c r="B1258" t="s">
        <v>3110</v>
      </c>
      <c r="C1258" t="s">
        <v>12</v>
      </c>
      <c r="D1258" t="s">
        <v>3111</v>
      </c>
      <c r="E1258" t="s">
        <v>1532</v>
      </c>
      <c r="F1258" t="s">
        <v>14</v>
      </c>
      <c r="G1258" t="s">
        <v>18</v>
      </c>
      <c r="J1258">
        <v>901000</v>
      </c>
      <c r="L1258">
        <v>413000</v>
      </c>
    </row>
    <row r="1259" spans="1:12" ht="15" customHeight="1">
      <c r="A1259" t="s">
        <v>6583</v>
      </c>
      <c r="B1259" t="s">
        <v>3112</v>
      </c>
      <c r="C1259" t="s">
        <v>12</v>
      </c>
      <c r="D1259" t="s">
        <v>3113</v>
      </c>
      <c r="E1259" t="s">
        <v>1532</v>
      </c>
      <c r="F1259" t="s">
        <v>14</v>
      </c>
      <c r="G1259" t="s">
        <v>18</v>
      </c>
      <c r="I1259">
        <v>409578000</v>
      </c>
      <c r="J1259">
        <v>476996000</v>
      </c>
      <c r="K1259">
        <v>418186000</v>
      </c>
      <c r="L1259">
        <v>307100000</v>
      </c>
    </row>
    <row r="1260" spans="1:12" ht="15" customHeight="1">
      <c r="A1260" t="s">
        <v>6584</v>
      </c>
      <c r="B1260" t="s">
        <v>3114</v>
      </c>
      <c r="C1260" t="s">
        <v>12</v>
      </c>
      <c r="D1260" t="s">
        <v>3115</v>
      </c>
      <c r="E1260" t="s">
        <v>1532</v>
      </c>
      <c r="F1260" t="s">
        <v>14</v>
      </c>
      <c r="G1260" t="s">
        <v>18</v>
      </c>
    </row>
    <row r="1261" spans="1:12" ht="15" customHeight="1">
      <c r="A1261" t="s">
        <v>6585</v>
      </c>
      <c r="B1261" t="s">
        <v>3116</v>
      </c>
      <c r="C1261" t="s">
        <v>12</v>
      </c>
      <c r="D1261" t="s">
        <v>3117</v>
      </c>
      <c r="E1261" t="s">
        <v>1508</v>
      </c>
      <c r="F1261" t="s">
        <v>14</v>
      </c>
      <c r="G1261" t="s">
        <v>18</v>
      </c>
    </row>
    <row r="1262" spans="1:12" ht="15" customHeight="1">
      <c r="A1262" t="s">
        <v>6586</v>
      </c>
      <c r="B1262" t="s">
        <v>3118</v>
      </c>
      <c r="C1262" t="s">
        <v>12</v>
      </c>
      <c r="D1262" t="s">
        <v>3119</v>
      </c>
      <c r="E1262" t="s">
        <v>1534</v>
      </c>
      <c r="F1262" t="s">
        <v>14</v>
      </c>
      <c r="G1262" t="s">
        <v>18</v>
      </c>
      <c r="I1262">
        <v>671000</v>
      </c>
      <c r="J1262">
        <v>1028000</v>
      </c>
      <c r="K1262">
        <v>751000</v>
      </c>
      <c r="L1262">
        <v>1008000</v>
      </c>
    </row>
    <row r="1263" spans="1:12" ht="15" customHeight="1">
      <c r="A1263" t="s">
        <v>6587</v>
      </c>
      <c r="B1263" t="s">
        <v>3120</v>
      </c>
      <c r="C1263" t="s">
        <v>12</v>
      </c>
      <c r="D1263" t="s">
        <v>3121</v>
      </c>
      <c r="E1263" t="s">
        <v>1579</v>
      </c>
      <c r="F1263" t="s">
        <v>14</v>
      </c>
      <c r="G1263" t="s">
        <v>18</v>
      </c>
      <c r="I1263">
        <v>4842000</v>
      </c>
      <c r="J1263">
        <v>5330000</v>
      </c>
      <c r="K1263">
        <v>4934000</v>
      </c>
      <c r="L1263">
        <v>5209000</v>
      </c>
    </row>
    <row r="1264" spans="1:12" ht="15" customHeight="1">
      <c r="A1264" t="s">
        <v>6588</v>
      </c>
      <c r="B1264" t="s">
        <v>3122</v>
      </c>
      <c r="C1264" t="s">
        <v>12</v>
      </c>
      <c r="D1264" t="s">
        <v>3123</v>
      </c>
      <c r="E1264" t="s">
        <v>1526</v>
      </c>
      <c r="F1264" t="s">
        <v>14</v>
      </c>
      <c r="G1264" t="s">
        <v>18</v>
      </c>
      <c r="I1264">
        <v>27604000</v>
      </c>
      <c r="J1264">
        <v>1516000</v>
      </c>
      <c r="K1264">
        <v>28159000</v>
      </c>
      <c r="L1264">
        <v>1294000</v>
      </c>
    </row>
    <row r="1265" spans="1:12" ht="15" customHeight="1">
      <c r="A1265" t="s">
        <v>6589</v>
      </c>
      <c r="B1265" t="s">
        <v>3124</v>
      </c>
      <c r="C1265" t="s">
        <v>12</v>
      </c>
      <c r="D1265" t="s">
        <v>3125</v>
      </c>
      <c r="E1265" t="s">
        <v>1547</v>
      </c>
      <c r="F1265" t="s">
        <v>25</v>
      </c>
      <c r="G1265" t="s">
        <v>18</v>
      </c>
    </row>
    <row r="1266" spans="1:12" ht="15" customHeight="1">
      <c r="A1266" t="s">
        <v>6590</v>
      </c>
      <c r="B1266" t="s">
        <v>3126</v>
      </c>
      <c r="C1266" t="s">
        <v>12</v>
      </c>
      <c r="D1266" t="s">
        <v>3127</v>
      </c>
      <c r="E1266" t="s">
        <v>2026</v>
      </c>
      <c r="F1266" t="s">
        <v>25</v>
      </c>
      <c r="G1266" t="s">
        <v>18</v>
      </c>
      <c r="I1266">
        <v>798270000</v>
      </c>
      <c r="J1266">
        <v>2247224000</v>
      </c>
      <c r="K1266">
        <v>790904000</v>
      </c>
      <c r="L1266">
        <v>755193000</v>
      </c>
    </row>
    <row r="1267" spans="1:12" ht="15" customHeight="1">
      <c r="A1267" t="s">
        <v>6591</v>
      </c>
      <c r="B1267" t="s">
        <v>3128</v>
      </c>
      <c r="C1267" t="s">
        <v>12</v>
      </c>
      <c r="D1267" t="s">
        <v>3129</v>
      </c>
      <c r="E1267" t="s">
        <v>1526</v>
      </c>
      <c r="F1267" t="s">
        <v>14</v>
      </c>
      <c r="G1267" t="s">
        <v>18</v>
      </c>
    </row>
    <row r="1268" spans="1:12" ht="15" customHeight="1">
      <c r="A1268" t="s">
        <v>6592</v>
      </c>
      <c r="B1268" t="s">
        <v>3130</v>
      </c>
      <c r="C1268" t="s">
        <v>12</v>
      </c>
      <c r="D1268" t="s">
        <v>3131</v>
      </c>
      <c r="E1268" t="s">
        <v>1560</v>
      </c>
      <c r="F1268" t="s">
        <v>25</v>
      </c>
      <c r="G1268" t="s">
        <v>18</v>
      </c>
    </row>
    <row r="1269" spans="1:12" ht="15" customHeight="1">
      <c r="A1269" t="s">
        <v>6593</v>
      </c>
      <c r="B1269" t="s">
        <v>3132</v>
      </c>
      <c r="C1269" t="s">
        <v>12</v>
      </c>
      <c r="D1269" t="s">
        <v>3133</v>
      </c>
      <c r="E1269" t="s">
        <v>1795</v>
      </c>
      <c r="F1269" t="s">
        <v>14</v>
      </c>
      <c r="G1269" t="s">
        <v>18</v>
      </c>
      <c r="I1269">
        <v>200000</v>
      </c>
      <c r="K1269">
        <v>5000</v>
      </c>
      <c r="L1269">
        <v>198000</v>
      </c>
    </row>
    <row r="1270" spans="1:12" ht="15" customHeight="1">
      <c r="A1270" t="s">
        <v>6594</v>
      </c>
      <c r="B1270" t="s">
        <v>3134</v>
      </c>
      <c r="C1270" t="s">
        <v>12</v>
      </c>
      <c r="D1270" t="s">
        <v>3135</v>
      </c>
      <c r="E1270" t="s">
        <v>1505</v>
      </c>
      <c r="F1270" t="s">
        <v>14</v>
      </c>
      <c r="G1270" t="s">
        <v>18</v>
      </c>
      <c r="I1270">
        <v>326000</v>
      </c>
      <c r="J1270">
        <v>276000</v>
      </c>
      <c r="K1270">
        <v>347000</v>
      </c>
      <c r="L1270">
        <v>282000</v>
      </c>
    </row>
    <row r="1271" spans="1:12" ht="15" customHeight="1">
      <c r="A1271" t="s">
        <v>6595</v>
      </c>
      <c r="B1271" t="s">
        <v>3136</v>
      </c>
      <c r="C1271" t="s">
        <v>12</v>
      </c>
      <c r="D1271" t="s">
        <v>3137</v>
      </c>
      <c r="E1271" t="s">
        <v>1532</v>
      </c>
      <c r="F1271" t="s">
        <v>14</v>
      </c>
      <c r="G1271" t="s">
        <v>18</v>
      </c>
      <c r="I1271">
        <v>6788000</v>
      </c>
      <c r="J1271">
        <v>7710000</v>
      </c>
      <c r="K1271">
        <v>6813000</v>
      </c>
      <c r="L1271">
        <v>7605000</v>
      </c>
    </row>
    <row r="1272" spans="1:12" ht="15" customHeight="1">
      <c r="A1272" t="s">
        <v>6596</v>
      </c>
      <c r="B1272" t="s">
        <v>3138</v>
      </c>
      <c r="C1272" t="s">
        <v>12</v>
      </c>
      <c r="D1272" t="s">
        <v>3139</v>
      </c>
      <c r="E1272" t="s">
        <v>1533</v>
      </c>
      <c r="F1272" t="s">
        <v>14</v>
      </c>
      <c r="G1272" t="s">
        <v>18</v>
      </c>
      <c r="I1272">
        <v>19555000</v>
      </c>
      <c r="J1272">
        <v>10891000</v>
      </c>
      <c r="K1272">
        <v>19578000</v>
      </c>
      <c r="L1272">
        <v>10884000</v>
      </c>
    </row>
    <row r="1273" spans="1:12" ht="15" customHeight="1">
      <c r="A1273" t="s">
        <v>6597</v>
      </c>
      <c r="B1273" t="s">
        <v>3140</v>
      </c>
      <c r="C1273" t="s">
        <v>12</v>
      </c>
      <c r="D1273" t="s">
        <v>3141</v>
      </c>
      <c r="E1273" t="s">
        <v>1619</v>
      </c>
      <c r="F1273" t="s">
        <v>14</v>
      </c>
      <c r="G1273" t="s">
        <v>18</v>
      </c>
      <c r="I1273">
        <v>2398000</v>
      </c>
      <c r="J1273">
        <v>3098000</v>
      </c>
      <c r="K1273">
        <v>2820000</v>
      </c>
      <c r="L1273">
        <v>3197000</v>
      </c>
    </row>
    <row r="1274" spans="1:12" ht="15" customHeight="1">
      <c r="A1274" t="s">
        <v>6598</v>
      </c>
      <c r="B1274" t="s">
        <v>3142</v>
      </c>
      <c r="C1274" t="s">
        <v>12</v>
      </c>
      <c r="D1274" t="s">
        <v>3143</v>
      </c>
      <c r="E1274" t="s">
        <v>1525</v>
      </c>
      <c r="F1274" t="s">
        <v>14</v>
      </c>
      <c r="G1274" t="s">
        <v>22</v>
      </c>
      <c r="J1274">
        <v>73216000</v>
      </c>
      <c r="L1274">
        <v>70301000</v>
      </c>
    </row>
    <row r="1275" spans="1:12" ht="15" customHeight="1">
      <c r="A1275" t="s">
        <v>6599</v>
      </c>
      <c r="B1275" t="s">
        <v>3144</v>
      </c>
      <c r="C1275" t="s">
        <v>12</v>
      </c>
      <c r="D1275" t="s">
        <v>3145</v>
      </c>
      <c r="E1275" t="s">
        <v>1511</v>
      </c>
      <c r="F1275" t="s">
        <v>25</v>
      </c>
      <c r="G1275" t="s">
        <v>18</v>
      </c>
      <c r="I1275">
        <v>393000</v>
      </c>
      <c r="J1275">
        <v>312000</v>
      </c>
      <c r="K1275">
        <v>466000</v>
      </c>
      <c r="L1275">
        <v>378000</v>
      </c>
    </row>
    <row r="1276" spans="1:12" ht="15" customHeight="1">
      <c r="A1276" t="s">
        <v>6600</v>
      </c>
      <c r="B1276" t="s">
        <v>3146</v>
      </c>
      <c r="C1276" t="s">
        <v>12</v>
      </c>
      <c r="D1276" t="s">
        <v>3147</v>
      </c>
      <c r="E1276" t="s">
        <v>1532</v>
      </c>
      <c r="F1276" t="s">
        <v>14</v>
      </c>
      <c r="G1276" t="s">
        <v>18</v>
      </c>
    </row>
    <row r="1277" spans="1:12" ht="15" customHeight="1">
      <c r="A1277" t="s">
        <v>6601</v>
      </c>
      <c r="B1277" t="s">
        <v>3148</v>
      </c>
      <c r="C1277" t="s">
        <v>12</v>
      </c>
      <c r="D1277" t="s">
        <v>3149</v>
      </c>
      <c r="E1277" t="s">
        <v>1532</v>
      </c>
      <c r="F1277" t="s">
        <v>14</v>
      </c>
      <c r="G1277" t="s">
        <v>18</v>
      </c>
      <c r="I1277">
        <v>359000</v>
      </c>
      <c r="J1277">
        <v>14240000</v>
      </c>
      <c r="K1277">
        <v>594000</v>
      </c>
      <c r="L1277">
        <v>7490000</v>
      </c>
    </row>
    <row r="1278" spans="1:12" ht="15" customHeight="1">
      <c r="A1278" t="s">
        <v>6602</v>
      </c>
      <c r="B1278" t="s">
        <v>3150</v>
      </c>
      <c r="C1278" t="s">
        <v>12</v>
      </c>
      <c r="D1278" t="s">
        <v>3151</v>
      </c>
      <c r="E1278" t="s">
        <v>1580</v>
      </c>
      <c r="F1278" t="s">
        <v>14</v>
      </c>
      <c r="G1278" t="s">
        <v>18</v>
      </c>
    </row>
    <row r="1279" spans="1:12" ht="15" customHeight="1">
      <c r="A1279" t="s">
        <v>6603</v>
      </c>
      <c r="B1279" t="s">
        <v>3152</v>
      </c>
      <c r="C1279" t="s">
        <v>12</v>
      </c>
      <c r="D1279" t="s">
        <v>3153</v>
      </c>
      <c r="E1279" t="s">
        <v>1781</v>
      </c>
      <c r="F1279" t="s">
        <v>14</v>
      </c>
      <c r="G1279" t="s">
        <v>18</v>
      </c>
      <c r="I1279">
        <v>1313000</v>
      </c>
      <c r="J1279">
        <v>1558000</v>
      </c>
      <c r="K1279">
        <v>1313000</v>
      </c>
      <c r="L1279">
        <v>1379000</v>
      </c>
    </row>
    <row r="1280" spans="1:12" ht="15" customHeight="1">
      <c r="A1280" t="s">
        <v>6604</v>
      </c>
      <c r="B1280" t="s">
        <v>3154</v>
      </c>
      <c r="C1280" t="s">
        <v>12</v>
      </c>
      <c r="D1280" t="s">
        <v>3155</v>
      </c>
      <c r="E1280" t="s">
        <v>1517</v>
      </c>
      <c r="F1280" t="s">
        <v>14</v>
      </c>
      <c r="G1280" t="s">
        <v>18</v>
      </c>
      <c r="J1280">
        <v>3704000</v>
      </c>
      <c r="L1280">
        <v>3476000</v>
      </c>
    </row>
    <row r="1281" spans="1:12" ht="15" customHeight="1">
      <c r="A1281" t="s">
        <v>6605</v>
      </c>
      <c r="B1281" t="s">
        <v>3156</v>
      </c>
      <c r="C1281" t="s">
        <v>12</v>
      </c>
      <c r="D1281" t="s">
        <v>3157</v>
      </c>
      <c r="E1281" t="s">
        <v>1513</v>
      </c>
      <c r="F1281" t="s">
        <v>14</v>
      </c>
      <c r="G1281" t="s">
        <v>18</v>
      </c>
      <c r="I1281">
        <v>947000</v>
      </c>
      <c r="J1281">
        <v>9039000</v>
      </c>
      <c r="K1281">
        <v>1105000</v>
      </c>
      <c r="L1281">
        <v>7987000</v>
      </c>
    </row>
    <row r="1282" spans="1:12" ht="15" customHeight="1">
      <c r="A1282" t="s">
        <v>6606</v>
      </c>
      <c r="B1282" t="s">
        <v>3158</v>
      </c>
      <c r="C1282" t="s">
        <v>12</v>
      </c>
      <c r="D1282" t="s">
        <v>3159</v>
      </c>
      <c r="E1282" t="s">
        <v>1512</v>
      </c>
      <c r="F1282" t="s">
        <v>14</v>
      </c>
      <c r="G1282" t="s">
        <v>22</v>
      </c>
      <c r="I1282">
        <v>8036000</v>
      </c>
      <c r="J1282">
        <v>9261000</v>
      </c>
      <c r="K1282">
        <v>8036000</v>
      </c>
      <c r="L1282">
        <v>9261000</v>
      </c>
    </row>
    <row r="1283" spans="1:12" ht="15" customHeight="1">
      <c r="A1283" t="s">
        <v>6607</v>
      </c>
      <c r="B1283" t="s">
        <v>3160</v>
      </c>
      <c r="C1283" t="s">
        <v>12</v>
      </c>
      <c r="D1283" t="s">
        <v>3161</v>
      </c>
      <c r="E1283" t="s">
        <v>1579</v>
      </c>
      <c r="F1283" t="s">
        <v>14</v>
      </c>
      <c r="G1283" t="s">
        <v>18</v>
      </c>
      <c r="I1283">
        <v>2640000</v>
      </c>
      <c r="J1283">
        <v>7263000</v>
      </c>
      <c r="K1283">
        <v>2425000</v>
      </c>
      <c r="L1283">
        <v>6156000</v>
      </c>
    </row>
    <row r="1284" spans="1:12" ht="15" customHeight="1">
      <c r="A1284" t="s">
        <v>6608</v>
      </c>
      <c r="B1284" t="s">
        <v>3162</v>
      </c>
      <c r="C1284" t="s">
        <v>12</v>
      </c>
      <c r="D1284" t="s">
        <v>3163</v>
      </c>
      <c r="E1284" t="s">
        <v>1629</v>
      </c>
      <c r="F1284" t="s">
        <v>14</v>
      </c>
      <c r="G1284" t="s">
        <v>77</v>
      </c>
      <c r="I1284">
        <v>4913000</v>
      </c>
      <c r="J1284">
        <v>6420000</v>
      </c>
      <c r="K1284">
        <v>3785000</v>
      </c>
      <c r="L1284">
        <v>5732000</v>
      </c>
    </row>
    <row r="1285" spans="1:12" ht="15" customHeight="1">
      <c r="A1285" t="s">
        <v>6609</v>
      </c>
      <c r="B1285" t="s">
        <v>3164</v>
      </c>
      <c r="C1285" t="s">
        <v>12</v>
      </c>
      <c r="D1285" t="s">
        <v>3165</v>
      </c>
      <c r="E1285" t="s">
        <v>1579</v>
      </c>
      <c r="F1285" t="s">
        <v>14</v>
      </c>
      <c r="G1285" t="s">
        <v>18</v>
      </c>
    </row>
    <row r="1286" spans="1:12" ht="15" customHeight="1">
      <c r="A1286" t="s">
        <v>6610</v>
      </c>
      <c r="B1286" t="s">
        <v>3166</v>
      </c>
      <c r="C1286" t="s">
        <v>12</v>
      </c>
      <c r="D1286" t="s">
        <v>3167</v>
      </c>
      <c r="E1286" t="s">
        <v>1560</v>
      </c>
      <c r="F1286" t="s">
        <v>25</v>
      </c>
      <c r="G1286" t="s">
        <v>18</v>
      </c>
      <c r="I1286">
        <v>624000</v>
      </c>
      <c r="J1286">
        <v>180000</v>
      </c>
      <c r="K1286">
        <v>8672000</v>
      </c>
      <c r="L1286">
        <v>3540000</v>
      </c>
    </row>
    <row r="1287" spans="1:12" ht="15" customHeight="1">
      <c r="A1287" t="s">
        <v>6611</v>
      </c>
      <c r="B1287" t="s">
        <v>3168</v>
      </c>
      <c r="C1287" t="s">
        <v>12</v>
      </c>
      <c r="D1287" t="s">
        <v>3169</v>
      </c>
      <c r="E1287" t="s">
        <v>1532</v>
      </c>
      <c r="F1287" t="s">
        <v>14</v>
      </c>
      <c r="G1287" t="s">
        <v>18</v>
      </c>
      <c r="I1287">
        <v>1534000</v>
      </c>
      <c r="J1287">
        <v>2546000</v>
      </c>
      <c r="K1287">
        <v>2039000</v>
      </c>
      <c r="L1287">
        <v>2307000</v>
      </c>
    </row>
    <row r="1288" spans="1:12" ht="15" customHeight="1">
      <c r="A1288" t="s">
        <v>6612</v>
      </c>
      <c r="B1288" t="s">
        <v>3170</v>
      </c>
      <c r="C1288" t="s">
        <v>12</v>
      </c>
      <c r="D1288" t="s">
        <v>3171</v>
      </c>
      <c r="E1288" t="s">
        <v>1508</v>
      </c>
      <c r="F1288" t="s">
        <v>14</v>
      </c>
      <c r="G1288" t="s">
        <v>18</v>
      </c>
    </row>
    <row r="1289" spans="1:12" ht="15" customHeight="1">
      <c r="A1289" t="s">
        <v>6613</v>
      </c>
      <c r="B1289" t="s">
        <v>3172</v>
      </c>
      <c r="C1289" t="s">
        <v>12</v>
      </c>
      <c r="D1289" t="s">
        <v>3173</v>
      </c>
      <c r="E1289" t="s">
        <v>1509</v>
      </c>
      <c r="F1289" t="s">
        <v>14</v>
      </c>
      <c r="G1289" t="s">
        <v>18</v>
      </c>
      <c r="I1289">
        <v>169000</v>
      </c>
      <c r="J1289">
        <v>152000</v>
      </c>
      <c r="K1289">
        <v>158000</v>
      </c>
      <c r="L1289">
        <v>162000</v>
      </c>
    </row>
    <row r="1290" spans="1:12" ht="15" customHeight="1">
      <c r="A1290" t="s">
        <v>6614</v>
      </c>
      <c r="B1290" t="s">
        <v>3174</v>
      </c>
      <c r="C1290" t="s">
        <v>12</v>
      </c>
      <c r="D1290" t="s">
        <v>3175</v>
      </c>
      <c r="E1290" t="s">
        <v>1532</v>
      </c>
      <c r="F1290" t="s">
        <v>14</v>
      </c>
      <c r="G1290" t="s">
        <v>18</v>
      </c>
      <c r="I1290">
        <v>871000</v>
      </c>
      <c r="J1290">
        <v>30000</v>
      </c>
      <c r="K1290">
        <v>1027000</v>
      </c>
      <c r="L1290">
        <v>62000</v>
      </c>
    </row>
    <row r="1291" spans="1:12" ht="15" customHeight="1">
      <c r="A1291" t="s">
        <v>6615</v>
      </c>
      <c r="B1291" t="s">
        <v>3176</v>
      </c>
      <c r="C1291" t="s">
        <v>12</v>
      </c>
      <c r="D1291" t="s">
        <v>3177</v>
      </c>
      <c r="E1291" t="s">
        <v>1798</v>
      </c>
      <c r="F1291" t="s">
        <v>14</v>
      </c>
      <c r="G1291" t="s">
        <v>18</v>
      </c>
    </row>
    <row r="1292" spans="1:12" ht="15" customHeight="1">
      <c r="A1292" t="s">
        <v>6616</v>
      </c>
      <c r="B1292" t="s">
        <v>3178</v>
      </c>
      <c r="C1292" t="s">
        <v>12</v>
      </c>
      <c r="D1292" t="s">
        <v>3179</v>
      </c>
      <c r="E1292" t="s">
        <v>1801</v>
      </c>
      <c r="F1292" t="s">
        <v>25</v>
      </c>
      <c r="G1292" t="s">
        <v>18</v>
      </c>
      <c r="I1292">
        <v>670000</v>
      </c>
      <c r="J1292">
        <v>953000</v>
      </c>
      <c r="K1292">
        <v>564000</v>
      </c>
      <c r="L1292">
        <v>767000</v>
      </c>
    </row>
    <row r="1293" spans="1:12" ht="15" customHeight="1">
      <c r="A1293" t="s">
        <v>6617</v>
      </c>
      <c r="B1293" t="s">
        <v>3180</v>
      </c>
      <c r="C1293" t="s">
        <v>12</v>
      </c>
      <c r="D1293" t="s">
        <v>3181</v>
      </c>
      <c r="E1293" t="s">
        <v>1620</v>
      </c>
      <c r="F1293" t="s">
        <v>14</v>
      </c>
      <c r="G1293" t="s">
        <v>18</v>
      </c>
      <c r="I1293">
        <v>904000</v>
      </c>
      <c r="K1293">
        <v>1265000</v>
      </c>
    </row>
    <row r="1294" spans="1:12" ht="15" customHeight="1">
      <c r="A1294" t="s">
        <v>6618</v>
      </c>
      <c r="B1294" t="s">
        <v>3182</v>
      </c>
      <c r="C1294" t="s">
        <v>12</v>
      </c>
      <c r="D1294" t="s">
        <v>3183</v>
      </c>
      <c r="E1294" t="s">
        <v>1532</v>
      </c>
      <c r="F1294" t="s">
        <v>14</v>
      </c>
      <c r="G1294" t="s">
        <v>18</v>
      </c>
    </row>
    <row r="1295" spans="1:12" ht="15" customHeight="1">
      <c r="A1295" t="s">
        <v>6619</v>
      </c>
      <c r="B1295" t="s">
        <v>3184</v>
      </c>
      <c r="C1295" t="s">
        <v>12</v>
      </c>
      <c r="D1295" t="s">
        <v>3185</v>
      </c>
      <c r="E1295" t="s">
        <v>1524</v>
      </c>
      <c r="F1295" t="s">
        <v>25</v>
      </c>
      <c r="G1295" t="s">
        <v>77</v>
      </c>
      <c r="I1295">
        <v>12400000</v>
      </c>
      <c r="J1295">
        <v>32290000</v>
      </c>
      <c r="K1295">
        <v>11183000</v>
      </c>
      <c r="L1295">
        <v>31676000</v>
      </c>
    </row>
    <row r="1296" spans="1:12" ht="15" customHeight="1">
      <c r="A1296" t="s">
        <v>6620</v>
      </c>
      <c r="B1296" t="s">
        <v>3186</v>
      </c>
      <c r="C1296" t="s">
        <v>12</v>
      </c>
      <c r="D1296" t="s">
        <v>3187</v>
      </c>
      <c r="E1296" t="s">
        <v>1661</v>
      </c>
      <c r="F1296" t="s">
        <v>14</v>
      </c>
      <c r="G1296" t="s">
        <v>77</v>
      </c>
      <c r="I1296">
        <v>900000</v>
      </c>
      <c r="J1296">
        <v>3118000</v>
      </c>
      <c r="K1296">
        <v>1257000</v>
      </c>
      <c r="L1296">
        <v>2433000</v>
      </c>
    </row>
    <row r="1297" spans="1:12" ht="15" customHeight="1">
      <c r="A1297" t="s">
        <v>6621</v>
      </c>
      <c r="B1297" t="s">
        <v>3188</v>
      </c>
      <c r="C1297" t="s">
        <v>12</v>
      </c>
      <c r="D1297" t="s">
        <v>3189</v>
      </c>
      <c r="E1297" t="s">
        <v>1516</v>
      </c>
      <c r="F1297" t="s">
        <v>25</v>
      </c>
      <c r="G1297" t="s">
        <v>18</v>
      </c>
      <c r="I1297">
        <v>345000</v>
      </c>
      <c r="J1297">
        <v>300000</v>
      </c>
      <c r="K1297">
        <v>345000</v>
      </c>
      <c r="L1297">
        <v>300000</v>
      </c>
    </row>
    <row r="1298" spans="1:12" ht="15" customHeight="1">
      <c r="A1298" t="s">
        <v>6622</v>
      </c>
      <c r="B1298" t="s">
        <v>3190</v>
      </c>
      <c r="C1298" t="s">
        <v>12</v>
      </c>
      <c r="D1298" t="s">
        <v>3191</v>
      </c>
      <c r="E1298" t="s">
        <v>1524</v>
      </c>
      <c r="F1298" t="s">
        <v>14</v>
      </c>
      <c r="G1298" t="s">
        <v>77</v>
      </c>
      <c r="I1298">
        <v>37020000</v>
      </c>
      <c r="J1298">
        <v>39645000</v>
      </c>
      <c r="K1298">
        <v>37016000</v>
      </c>
      <c r="L1298">
        <v>39594000</v>
      </c>
    </row>
    <row r="1299" spans="1:12" ht="15" customHeight="1">
      <c r="A1299" t="s">
        <v>6623</v>
      </c>
      <c r="B1299" t="s">
        <v>3192</v>
      </c>
      <c r="C1299" t="s">
        <v>12</v>
      </c>
      <c r="D1299" t="s">
        <v>3193</v>
      </c>
      <c r="E1299" t="s">
        <v>1532</v>
      </c>
      <c r="F1299" t="s">
        <v>25</v>
      </c>
      <c r="G1299" t="s">
        <v>18</v>
      </c>
      <c r="I1299">
        <v>478000</v>
      </c>
      <c r="J1299">
        <v>499000</v>
      </c>
      <c r="K1299">
        <v>541000</v>
      </c>
      <c r="L1299">
        <v>500000</v>
      </c>
    </row>
    <row r="1300" spans="1:12" ht="15" customHeight="1">
      <c r="A1300" t="s">
        <v>6624</v>
      </c>
      <c r="B1300" t="s">
        <v>3194</v>
      </c>
      <c r="C1300" t="s">
        <v>12</v>
      </c>
      <c r="D1300" t="s">
        <v>3195</v>
      </c>
      <c r="E1300" t="s">
        <v>1619</v>
      </c>
      <c r="F1300" t="s">
        <v>14</v>
      </c>
      <c r="G1300" t="s">
        <v>18</v>
      </c>
      <c r="I1300">
        <v>3452000</v>
      </c>
      <c r="J1300">
        <v>6826000</v>
      </c>
      <c r="K1300">
        <v>3449000</v>
      </c>
      <c r="L1300">
        <v>6800000</v>
      </c>
    </row>
    <row r="1301" spans="1:12" ht="15" customHeight="1">
      <c r="A1301" t="s">
        <v>6625</v>
      </c>
      <c r="B1301" t="s">
        <v>3196</v>
      </c>
      <c r="C1301" t="s">
        <v>12</v>
      </c>
      <c r="D1301" t="s">
        <v>3197</v>
      </c>
      <c r="E1301" t="s">
        <v>1620</v>
      </c>
      <c r="F1301" t="s">
        <v>14</v>
      </c>
      <c r="G1301" t="s">
        <v>18</v>
      </c>
      <c r="K1301">
        <v>61000</v>
      </c>
    </row>
    <row r="1302" spans="1:12" ht="15" customHeight="1">
      <c r="A1302" t="s">
        <v>6626</v>
      </c>
      <c r="B1302" t="s">
        <v>3198</v>
      </c>
      <c r="C1302" t="s">
        <v>12</v>
      </c>
      <c r="D1302" t="s">
        <v>3199</v>
      </c>
      <c r="E1302" t="s">
        <v>1532</v>
      </c>
      <c r="F1302" t="s">
        <v>14</v>
      </c>
      <c r="G1302" t="s">
        <v>22</v>
      </c>
      <c r="I1302">
        <v>9470000</v>
      </c>
      <c r="J1302">
        <v>12669000</v>
      </c>
      <c r="K1302">
        <v>9304000</v>
      </c>
      <c r="L1302">
        <v>13510000</v>
      </c>
    </row>
    <row r="1303" spans="1:12" ht="15" customHeight="1">
      <c r="A1303" t="s">
        <v>6627</v>
      </c>
      <c r="B1303" t="s">
        <v>3200</v>
      </c>
      <c r="C1303" t="s">
        <v>12</v>
      </c>
      <c r="D1303" t="s">
        <v>3201</v>
      </c>
      <c r="E1303" t="s">
        <v>1532</v>
      </c>
      <c r="F1303" t="s">
        <v>14</v>
      </c>
      <c r="G1303" t="s">
        <v>18</v>
      </c>
    </row>
    <row r="1304" spans="1:12" ht="15" customHeight="1">
      <c r="A1304" t="s">
        <v>6628</v>
      </c>
      <c r="B1304" t="s">
        <v>3202</v>
      </c>
      <c r="C1304" t="s">
        <v>12</v>
      </c>
      <c r="D1304" t="s">
        <v>3203</v>
      </c>
      <c r="E1304" t="s">
        <v>1658</v>
      </c>
      <c r="F1304" t="s">
        <v>14</v>
      </c>
      <c r="G1304" t="s">
        <v>18</v>
      </c>
    </row>
    <row r="1305" spans="1:12" ht="15" customHeight="1">
      <c r="A1305" t="s">
        <v>6629</v>
      </c>
      <c r="B1305" t="s">
        <v>3204</v>
      </c>
      <c r="C1305" t="s">
        <v>12</v>
      </c>
      <c r="D1305" t="s">
        <v>3205</v>
      </c>
      <c r="E1305" t="s">
        <v>1532</v>
      </c>
      <c r="F1305" t="s">
        <v>14</v>
      </c>
      <c r="G1305" t="s">
        <v>18</v>
      </c>
    </row>
    <row r="1306" spans="1:12" ht="15" customHeight="1">
      <c r="A1306" t="s">
        <v>6630</v>
      </c>
      <c r="B1306" t="s">
        <v>3206</v>
      </c>
      <c r="C1306" t="s">
        <v>12</v>
      </c>
      <c r="D1306" t="s">
        <v>3207</v>
      </c>
      <c r="E1306" t="s">
        <v>1604</v>
      </c>
      <c r="F1306" t="s">
        <v>14</v>
      </c>
      <c r="G1306" t="s">
        <v>18</v>
      </c>
      <c r="I1306">
        <v>90000</v>
      </c>
      <c r="J1306">
        <v>825000</v>
      </c>
      <c r="K1306">
        <v>90000</v>
      </c>
      <c r="L1306">
        <v>825000</v>
      </c>
    </row>
    <row r="1307" spans="1:12" ht="15" customHeight="1">
      <c r="A1307" t="s">
        <v>6631</v>
      </c>
      <c r="B1307" t="s">
        <v>3208</v>
      </c>
      <c r="C1307" t="s">
        <v>12</v>
      </c>
      <c r="D1307" t="s">
        <v>3209</v>
      </c>
      <c r="E1307" t="s">
        <v>1532</v>
      </c>
      <c r="F1307" t="s">
        <v>14</v>
      </c>
      <c r="G1307" t="s">
        <v>18</v>
      </c>
      <c r="I1307">
        <v>115108000</v>
      </c>
      <c r="J1307">
        <v>163829000</v>
      </c>
      <c r="K1307">
        <v>89695000</v>
      </c>
      <c r="L1307">
        <v>132740000</v>
      </c>
    </row>
    <row r="1308" spans="1:12" ht="15" customHeight="1">
      <c r="A1308" t="s">
        <v>6632</v>
      </c>
      <c r="B1308" t="s">
        <v>3210</v>
      </c>
      <c r="C1308" t="s">
        <v>12</v>
      </c>
      <c r="D1308" t="s">
        <v>3211</v>
      </c>
      <c r="E1308" t="s">
        <v>1532</v>
      </c>
      <c r="F1308" t="s">
        <v>14</v>
      </c>
      <c r="G1308" t="s">
        <v>18</v>
      </c>
    </row>
    <row r="1309" spans="1:12" ht="15" customHeight="1">
      <c r="A1309" t="s">
        <v>6633</v>
      </c>
      <c r="B1309" t="s">
        <v>3212</v>
      </c>
      <c r="C1309" t="s">
        <v>12</v>
      </c>
      <c r="D1309" t="s">
        <v>3213</v>
      </c>
      <c r="E1309" t="s">
        <v>1595</v>
      </c>
      <c r="F1309" t="s">
        <v>14</v>
      </c>
      <c r="G1309" t="s">
        <v>18</v>
      </c>
      <c r="I1309">
        <v>4494000</v>
      </c>
      <c r="J1309">
        <v>4285000</v>
      </c>
      <c r="K1309">
        <v>2542000</v>
      </c>
      <c r="L1309">
        <v>3519000</v>
      </c>
    </row>
    <row r="1310" spans="1:12" ht="15" customHeight="1">
      <c r="A1310" t="s">
        <v>6634</v>
      </c>
      <c r="B1310" t="s">
        <v>3214</v>
      </c>
      <c r="C1310" t="s">
        <v>12</v>
      </c>
      <c r="D1310" t="s">
        <v>3215</v>
      </c>
      <c r="E1310" t="s">
        <v>1584</v>
      </c>
      <c r="F1310" t="s">
        <v>14</v>
      </c>
      <c r="G1310" t="s">
        <v>18</v>
      </c>
    </row>
    <row r="1311" spans="1:12" ht="15" customHeight="1">
      <c r="A1311" t="s">
        <v>6635</v>
      </c>
      <c r="B1311" t="s">
        <v>3216</v>
      </c>
      <c r="C1311" t="s">
        <v>12</v>
      </c>
      <c r="D1311" t="s">
        <v>3217</v>
      </c>
      <c r="E1311" t="s">
        <v>1532</v>
      </c>
      <c r="F1311" t="s">
        <v>14</v>
      </c>
      <c r="G1311" t="s">
        <v>18</v>
      </c>
      <c r="I1311">
        <v>4798000</v>
      </c>
      <c r="K1311">
        <v>4766000</v>
      </c>
    </row>
    <row r="1312" spans="1:12" ht="15" customHeight="1">
      <c r="A1312" t="s">
        <v>6636</v>
      </c>
      <c r="B1312" t="s">
        <v>3218</v>
      </c>
      <c r="C1312" t="s">
        <v>12</v>
      </c>
      <c r="D1312" t="s">
        <v>3219</v>
      </c>
      <c r="E1312" t="s">
        <v>1575</v>
      </c>
      <c r="F1312" t="s">
        <v>14</v>
      </c>
      <c r="G1312" t="s">
        <v>18</v>
      </c>
    </row>
    <row r="1313" spans="1:12" ht="15" customHeight="1">
      <c r="A1313" t="s">
        <v>6637</v>
      </c>
      <c r="B1313" t="s">
        <v>3220</v>
      </c>
      <c r="C1313" t="s">
        <v>12</v>
      </c>
      <c r="D1313" t="s">
        <v>3221</v>
      </c>
      <c r="E1313" t="s">
        <v>1532</v>
      </c>
      <c r="F1313" t="s">
        <v>14</v>
      </c>
      <c r="G1313" t="s">
        <v>18</v>
      </c>
      <c r="I1313">
        <v>1286585000</v>
      </c>
      <c r="J1313">
        <v>654394000</v>
      </c>
      <c r="K1313">
        <v>1336140000</v>
      </c>
      <c r="L1313">
        <v>567220000</v>
      </c>
    </row>
    <row r="1314" spans="1:12" ht="15" customHeight="1">
      <c r="A1314" t="s">
        <v>6638</v>
      </c>
      <c r="B1314" t="s">
        <v>3222</v>
      </c>
      <c r="C1314" t="s">
        <v>12</v>
      </c>
      <c r="D1314" t="s">
        <v>3223</v>
      </c>
      <c r="E1314" t="s">
        <v>1629</v>
      </c>
      <c r="F1314" t="s">
        <v>14</v>
      </c>
      <c r="G1314" t="s">
        <v>18</v>
      </c>
      <c r="I1314">
        <v>5300000</v>
      </c>
      <c r="J1314">
        <v>1194000</v>
      </c>
      <c r="K1314">
        <v>5977000</v>
      </c>
      <c r="L1314">
        <v>1708000</v>
      </c>
    </row>
    <row r="1315" spans="1:12" ht="15" customHeight="1">
      <c r="A1315" t="s">
        <v>6639</v>
      </c>
      <c r="B1315" t="s">
        <v>3224</v>
      </c>
      <c r="C1315" t="s">
        <v>12</v>
      </c>
      <c r="D1315" t="s">
        <v>3225</v>
      </c>
      <c r="E1315" t="s">
        <v>1629</v>
      </c>
      <c r="F1315" t="s">
        <v>25</v>
      </c>
      <c r="G1315" t="s">
        <v>18</v>
      </c>
    </row>
    <row r="1316" spans="1:12" ht="15" customHeight="1">
      <c r="A1316" t="s">
        <v>6640</v>
      </c>
      <c r="B1316" t="s">
        <v>3226</v>
      </c>
      <c r="C1316" t="s">
        <v>12</v>
      </c>
      <c r="D1316" t="s">
        <v>3227</v>
      </c>
      <c r="E1316" t="s">
        <v>1595</v>
      </c>
      <c r="F1316" t="s">
        <v>14</v>
      </c>
      <c r="G1316" t="s">
        <v>18</v>
      </c>
      <c r="I1316">
        <v>1686000</v>
      </c>
      <c r="J1316">
        <v>2714000</v>
      </c>
      <c r="K1316">
        <v>1252000</v>
      </c>
      <c r="L1316">
        <v>2548000</v>
      </c>
    </row>
    <row r="1317" spans="1:12" ht="15" customHeight="1">
      <c r="A1317" t="s">
        <v>6641</v>
      </c>
      <c r="B1317" t="s">
        <v>3228</v>
      </c>
      <c r="C1317" t="s">
        <v>12</v>
      </c>
      <c r="D1317" t="s">
        <v>3229</v>
      </c>
      <c r="E1317" t="s">
        <v>1526</v>
      </c>
      <c r="F1317" t="s">
        <v>25</v>
      </c>
      <c r="G1317" t="s">
        <v>18</v>
      </c>
    </row>
    <row r="1318" spans="1:12" ht="15" customHeight="1">
      <c r="A1318" t="s">
        <v>6642</v>
      </c>
      <c r="B1318" t="s">
        <v>3230</v>
      </c>
      <c r="C1318" t="s">
        <v>12</v>
      </c>
      <c r="D1318" t="s">
        <v>3231</v>
      </c>
      <c r="E1318" t="s">
        <v>1519</v>
      </c>
      <c r="F1318" t="s">
        <v>14</v>
      </c>
      <c r="G1318" t="s">
        <v>18</v>
      </c>
      <c r="I1318">
        <v>271000</v>
      </c>
      <c r="J1318">
        <v>30790000</v>
      </c>
      <c r="K1318">
        <v>733000</v>
      </c>
      <c r="L1318">
        <v>30870000</v>
      </c>
    </row>
    <row r="1319" spans="1:12" ht="15" customHeight="1">
      <c r="A1319" t="s">
        <v>6643</v>
      </c>
      <c r="B1319" t="s">
        <v>3232</v>
      </c>
      <c r="C1319" t="s">
        <v>12</v>
      </c>
      <c r="D1319" t="s">
        <v>3233</v>
      </c>
      <c r="E1319" t="s">
        <v>1519</v>
      </c>
      <c r="F1319" t="s">
        <v>14</v>
      </c>
      <c r="G1319" t="s">
        <v>18</v>
      </c>
      <c r="L1319">
        <v>17000</v>
      </c>
    </row>
    <row r="1320" spans="1:12" ht="15" customHeight="1">
      <c r="A1320" t="s">
        <v>6644</v>
      </c>
      <c r="B1320" t="s">
        <v>3234</v>
      </c>
      <c r="C1320" t="s">
        <v>12</v>
      </c>
      <c r="D1320" t="s">
        <v>3235</v>
      </c>
      <c r="E1320" t="s">
        <v>1619</v>
      </c>
      <c r="F1320" t="s">
        <v>14</v>
      </c>
      <c r="G1320" t="s">
        <v>18</v>
      </c>
    </row>
    <row r="1321" spans="1:12" ht="15" customHeight="1">
      <c r="A1321" t="s">
        <v>6645</v>
      </c>
      <c r="B1321" t="s">
        <v>3236</v>
      </c>
      <c r="C1321" t="s">
        <v>12</v>
      </c>
      <c r="D1321" t="s">
        <v>3237</v>
      </c>
      <c r="E1321" t="s">
        <v>1589</v>
      </c>
      <c r="F1321" t="s">
        <v>14</v>
      </c>
      <c r="G1321" t="s">
        <v>18</v>
      </c>
      <c r="I1321">
        <v>10006000</v>
      </c>
      <c r="J1321">
        <v>20227000</v>
      </c>
      <c r="K1321">
        <v>10159000</v>
      </c>
      <c r="L1321">
        <v>19525000</v>
      </c>
    </row>
    <row r="1322" spans="1:12" ht="15" customHeight="1">
      <c r="A1322" t="s">
        <v>6646</v>
      </c>
      <c r="B1322" t="s">
        <v>3238</v>
      </c>
      <c r="C1322" t="s">
        <v>12</v>
      </c>
      <c r="D1322" t="s">
        <v>3239</v>
      </c>
      <c r="E1322" t="s">
        <v>1532</v>
      </c>
      <c r="F1322" t="s">
        <v>14</v>
      </c>
      <c r="G1322" t="s">
        <v>77</v>
      </c>
      <c r="I1322">
        <v>19750000</v>
      </c>
      <c r="J1322">
        <v>14929000</v>
      </c>
      <c r="K1322">
        <v>91155000</v>
      </c>
      <c r="L1322">
        <v>98609000</v>
      </c>
    </row>
    <row r="1323" spans="1:12" ht="15" customHeight="1">
      <c r="A1323" t="s">
        <v>6647</v>
      </c>
      <c r="B1323" t="s">
        <v>3240</v>
      </c>
      <c r="C1323" t="s">
        <v>12</v>
      </c>
      <c r="D1323" t="s">
        <v>3241</v>
      </c>
      <c r="E1323" t="s">
        <v>1649</v>
      </c>
      <c r="F1323" t="s">
        <v>14</v>
      </c>
      <c r="G1323" t="s">
        <v>18</v>
      </c>
      <c r="I1323">
        <v>1015000</v>
      </c>
      <c r="J1323">
        <v>814000</v>
      </c>
      <c r="K1323">
        <v>845000</v>
      </c>
      <c r="L1323">
        <v>952000</v>
      </c>
    </row>
    <row r="1324" spans="1:12" ht="15" customHeight="1">
      <c r="A1324" t="s">
        <v>6648</v>
      </c>
      <c r="B1324" t="s">
        <v>3242</v>
      </c>
      <c r="C1324" t="s">
        <v>12</v>
      </c>
      <c r="D1324" t="s">
        <v>3243</v>
      </c>
      <c r="E1324" t="s">
        <v>1868</v>
      </c>
      <c r="F1324" t="s">
        <v>14</v>
      </c>
      <c r="G1324" t="s">
        <v>18</v>
      </c>
      <c r="I1324">
        <v>48581000</v>
      </c>
      <c r="J1324">
        <v>72186000</v>
      </c>
      <c r="K1324">
        <v>48725000</v>
      </c>
      <c r="L1324">
        <v>71908000</v>
      </c>
    </row>
    <row r="1325" spans="1:12" ht="15" customHeight="1">
      <c r="A1325" t="s">
        <v>6649</v>
      </c>
      <c r="B1325" t="s">
        <v>3244</v>
      </c>
      <c r="C1325" t="s">
        <v>12</v>
      </c>
      <c r="D1325" t="s">
        <v>3245</v>
      </c>
      <c r="E1325" t="s">
        <v>1532</v>
      </c>
      <c r="F1325" t="s">
        <v>14</v>
      </c>
      <c r="G1325" t="s">
        <v>18</v>
      </c>
      <c r="I1325">
        <v>2003000</v>
      </c>
      <c r="K1325">
        <v>1860000</v>
      </c>
      <c r="L1325">
        <v>18000</v>
      </c>
    </row>
    <row r="1326" spans="1:12" ht="15" customHeight="1">
      <c r="A1326" t="s">
        <v>6650</v>
      </c>
      <c r="B1326" t="s">
        <v>3246</v>
      </c>
      <c r="C1326" t="s">
        <v>12</v>
      </c>
      <c r="D1326" t="s">
        <v>3247</v>
      </c>
      <c r="E1326" t="s">
        <v>1565</v>
      </c>
      <c r="F1326" t="s">
        <v>25</v>
      </c>
      <c r="G1326" t="s">
        <v>18</v>
      </c>
      <c r="I1326">
        <v>603000</v>
      </c>
      <c r="J1326">
        <v>211000</v>
      </c>
      <c r="K1326">
        <v>640000</v>
      </c>
      <c r="L1326">
        <v>198000</v>
      </c>
    </row>
    <row r="1327" spans="1:12" ht="15" customHeight="1">
      <c r="A1327" t="s">
        <v>6651</v>
      </c>
      <c r="B1327" t="s">
        <v>3248</v>
      </c>
      <c r="C1327" t="s">
        <v>12</v>
      </c>
      <c r="D1327" t="s">
        <v>3249</v>
      </c>
      <c r="E1327" t="s">
        <v>1620</v>
      </c>
      <c r="F1327" t="s">
        <v>14</v>
      </c>
      <c r="G1327" t="s">
        <v>18</v>
      </c>
      <c r="I1327">
        <v>2908000</v>
      </c>
      <c r="J1327">
        <v>2805000</v>
      </c>
      <c r="K1327">
        <v>2907000</v>
      </c>
      <c r="L1327">
        <v>2811000</v>
      </c>
    </row>
    <row r="1328" spans="1:12" ht="15" customHeight="1">
      <c r="A1328" t="s">
        <v>6652</v>
      </c>
      <c r="B1328" t="s">
        <v>3250</v>
      </c>
      <c r="C1328" t="s">
        <v>12</v>
      </c>
      <c r="D1328" t="s">
        <v>3251</v>
      </c>
      <c r="E1328" t="s">
        <v>1512</v>
      </c>
      <c r="F1328" t="s">
        <v>14</v>
      </c>
      <c r="G1328" t="s">
        <v>18</v>
      </c>
      <c r="I1328">
        <v>1812000</v>
      </c>
      <c r="J1328">
        <v>2326000</v>
      </c>
      <c r="K1328">
        <v>1601000</v>
      </c>
      <c r="L1328">
        <v>2066000</v>
      </c>
    </row>
    <row r="1329" spans="1:12" ht="15" customHeight="1">
      <c r="A1329" t="s">
        <v>6653</v>
      </c>
      <c r="B1329" t="s">
        <v>3252</v>
      </c>
      <c r="C1329" t="s">
        <v>12</v>
      </c>
      <c r="D1329" t="s">
        <v>3253</v>
      </c>
      <c r="E1329" t="s">
        <v>1510</v>
      </c>
      <c r="F1329" t="s">
        <v>14</v>
      </c>
      <c r="G1329" t="s">
        <v>18</v>
      </c>
      <c r="I1329">
        <v>2528000</v>
      </c>
      <c r="J1329">
        <v>1248000</v>
      </c>
      <c r="K1329">
        <v>4761000</v>
      </c>
      <c r="L1329">
        <v>1248000</v>
      </c>
    </row>
    <row r="1330" spans="1:12" ht="15" customHeight="1">
      <c r="A1330" t="s">
        <v>6654</v>
      </c>
      <c r="B1330" t="s">
        <v>3254</v>
      </c>
      <c r="C1330" t="s">
        <v>12</v>
      </c>
      <c r="D1330" t="s">
        <v>3255</v>
      </c>
      <c r="E1330" t="s">
        <v>1508</v>
      </c>
      <c r="F1330" t="s">
        <v>14</v>
      </c>
      <c r="G1330" t="s">
        <v>18</v>
      </c>
      <c r="I1330">
        <v>100000</v>
      </c>
      <c r="J1330">
        <v>100000</v>
      </c>
      <c r="K1330">
        <v>100000</v>
      </c>
      <c r="L1330">
        <v>100000</v>
      </c>
    </row>
    <row r="1331" spans="1:12" ht="15" customHeight="1">
      <c r="A1331" t="s">
        <v>6655</v>
      </c>
      <c r="B1331" t="s">
        <v>3256</v>
      </c>
      <c r="C1331" t="s">
        <v>12</v>
      </c>
      <c r="D1331" t="s">
        <v>3257</v>
      </c>
      <c r="E1331" t="s">
        <v>1533</v>
      </c>
      <c r="F1331" t="s">
        <v>14</v>
      </c>
      <c r="G1331" t="s">
        <v>18</v>
      </c>
      <c r="I1331">
        <v>890000</v>
      </c>
      <c r="J1331">
        <v>377000</v>
      </c>
      <c r="K1331">
        <v>970000</v>
      </c>
      <c r="L1331">
        <v>377000</v>
      </c>
    </row>
    <row r="1332" spans="1:12" ht="15" customHeight="1">
      <c r="A1332" t="s">
        <v>6656</v>
      </c>
      <c r="B1332" t="s">
        <v>3258</v>
      </c>
      <c r="C1332" t="s">
        <v>12</v>
      </c>
      <c r="D1332" t="s">
        <v>3259</v>
      </c>
      <c r="E1332" t="s">
        <v>1526</v>
      </c>
      <c r="F1332" t="s">
        <v>14</v>
      </c>
      <c r="G1332" t="s">
        <v>22</v>
      </c>
      <c r="I1332">
        <v>57865000</v>
      </c>
      <c r="K1332">
        <v>46818000</v>
      </c>
    </row>
    <row r="1333" spans="1:12" ht="15" customHeight="1">
      <c r="A1333" t="s">
        <v>6657</v>
      </c>
      <c r="B1333" t="s">
        <v>3260</v>
      </c>
      <c r="C1333" t="s">
        <v>12</v>
      </c>
      <c r="D1333" t="s">
        <v>3261</v>
      </c>
      <c r="E1333" t="s">
        <v>1524</v>
      </c>
      <c r="F1333" t="s">
        <v>14</v>
      </c>
      <c r="G1333" t="s">
        <v>18</v>
      </c>
      <c r="I1333">
        <v>3000</v>
      </c>
      <c r="J1333">
        <v>6000</v>
      </c>
      <c r="K1333">
        <v>49000</v>
      </c>
    </row>
    <row r="1334" spans="1:12" ht="15" customHeight="1">
      <c r="A1334" t="s">
        <v>6658</v>
      </c>
      <c r="B1334" t="s">
        <v>3262</v>
      </c>
      <c r="C1334" t="s">
        <v>12</v>
      </c>
      <c r="D1334" t="s">
        <v>3263</v>
      </c>
      <c r="E1334" t="s">
        <v>1516</v>
      </c>
      <c r="F1334" t="s">
        <v>25</v>
      </c>
      <c r="G1334" t="s">
        <v>18</v>
      </c>
    </row>
    <row r="1335" spans="1:12" ht="15" customHeight="1">
      <c r="A1335" t="s">
        <v>6659</v>
      </c>
      <c r="B1335" t="s">
        <v>3264</v>
      </c>
      <c r="C1335" t="s">
        <v>12</v>
      </c>
      <c r="D1335" t="s">
        <v>3265</v>
      </c>
      <c r="E1335" t="s">
        <v>1516</v>
      </c>
      <c r="F1335" t="s">
        <v>14</v>
      </c>
      <c r="G1335" t="s">
        <v>18</v>
      </c>
      <c r="I1335">
        <v>3288000</v>
      </c>
      <c r="J1335">
        <v>4290000</v>
      </c>
      <c r="K1335">
        <v>3639000</v>
      </c>
      <c r="L1335">
        <v>4444000</v>
      </c>
    </row>
    <row r="1336" spans="1:12" ht="15" customHeight="1">
      <c r="A1336" t="s">
        <v>6660</v>
      </c>
      <c r="B1336" t="s">
        <v>3266</v>
      </c>
      <c r="C1336" t="s">
        <v>12</v>
      </c>
      <c r="D1336" t="s">
        <v>3267</v>
      </c>
      <c r="E1336" t="s">
        <v>1516</v>
      </c>
      <c r="F1336" t="s">
        <v>25</v>
      </c>
      <c r="G1336" t="s">
        <v>18</v>
      </c>
      <c r="I1336">
        <v>302000</v>
      </c>
      <c r="J1336">
        <v>351000</v>
      </c>
      <c r="K1336">
        <v>302000</v>
      </c>
      <c r="L1336">
        <v>351000</v>
      </c>
    </row>
    <row r="1337" spans="1:12" ht="15" customHeight="1">
      <c r="A1337" t="s">
        <v>6661</v>
      </c>
      <c r="B1337" t="s">
        <v>3268</v>
      </c>
      <c r="C1337" t="s">
        <v>12</v>
      </c>
      <c r="D1337" t="s">
        <v>3269</v>
      </c>
      <c r="E1337" t="s">
        <v>1516</v>
      </c>
      <c r="F1337" t="s">
        <v>14</v>
      </c>
      <c r="G1337" t="s">
        <v>18</v>
      </c>
    </row>
    <row r="1338" spans="1:12" ht="15" customHeight="1">
      <c r="A1338" t="s">
        <v>6662</v>
      </c>
      <c r="B1338" t="s">
        <v>3270</v>
      </c>
      <c r="C1338" t="s">
        <v>12</v>
      </c>
      <c r="D1338" t="s">
        <v>3271</v>
      </c>
      <c r="E1338" t="s">
        <v>1532</v>
      </c>
      <c r="F1338" t="s">
        <v>14</v>
      </c>
      <c r="G1338" t="s">
        <v>18</v>
      </c>
      <c r="I1338">
        <v>166000</v>
      </c>
      <c r="K1338">
        <v>177000</v>
      </c>
      <c r="L1338">
        <v>8000</v>
      </c>
    </row>
    <row r="1339" spans="1:12" ht="15" customHeight="1">
      <c r="A1339" t="s">
        <v>6663</v>
      </c>
      <c r="B1339" t="s">
        <v>3272</v>
      </c>
      <c r="C1339" t="s">
        <v>12</v>
      </c>
      <c r="D1339" t="s">
        <v>3273</v>
      </c>
      <c r="E1339" t="s">
        <v>1584</v>
      </c>
      <c r="F1339" t="s">
        <v>25</v>
      </c>
      <c r="G1339" t="s">
        <v>18</v>
      </c>
      <c r="I1339">
        <v>2056000</v>
      </c>
      <c r="J1339">
        <v>1162000</v>
      </c>
      <c r="K1339">
        <v>2054000</v>
      </c>
      <c r="L1339">
        <v>1164000</v>
      </c>
    </row>
    <row r="1340" spans="1:12" ht="15" customHeight="1">
      <c r="A1340" t="s">
        <v>6664</v>
      </c>
      <c r="B1340" t="s">
        <v>3274</v>
      </c>
      <c r="C1340" t="s">
        <v>12</v>
      </c>
      <c r="D1340" t="s">
        <v>3275</v>
      </c>
      <c r="E1340" t="s">
        <v>1588</v>
      </c>
      <c r="F1340" t="s">
        <v>14</v>
      </c>
      <c r="G1340" t="s">
        <v>18</v>
      </c>
    </row>
    <row r="1341" spans="1:12" ht="15" customHeight="1">
      <c r="A1341" t="s">
        <v>6665</v>
      </c>
      <c r="B1341" t="s">
        <v>3276</v>
      </c>
      <c r="C1341" t="s">
        <v>12</v>
      </c>
      <c r="D1341" t="s">
        <v>3277</v>
      </c>
      <c r="E1341" t="s">
        <v>1513</v>
      </c>
      <c r="F1341" t="s">
        <v>14</v>
      </c>
      <c r="G1341" t="s">
        <v>77</v>
      </c>
      <c r="I1341">
        <v>10406000</v>
      </c>
      <c r="J1341">
        <v>11399000</v>
      </c>
      <c r="K1341">
        <v>10152000</v>
      </c>
      <c r="L1341">
        <v>11229000</v>
      </c>
    </row>
    <row r="1342" spans="1:12" ht="15" customHeight="1">
      <c r="A1342" t="s">
        <v>6666</v>
      </c>
      <c r="B1342" t="s">
        <v>3278</v>
      </c>
      <c r="C1342" t="s">
        <v>12</v>
      </c>
      <c r="D1342" t="s">
        <v>3279</v>
      </c>
      <c r="E1342" t="s">
        <v>1517</v>
      </c>
      <c r="F1342" t="s">
        <v>14</v>
      </c>
      <c r="G1342" t="s">
        <v>18</v>
      </c>
      <c r="I1342">
        <v>568000</v>
      </c>
      <c r="K1342">
        <v>552000</v>
      </c>
    </row>
    <row r="1343" spans="1:12" ht="15" customHeight="1">
      <c r="A1343" t="s">
        <v>6667</v>
      </c>
      <c r="B1343" t="s">
        <v>3280</v>
      </c>
      <c r="C1343" t="s">
        <v>12</v>
      </c>
      <c r="D1343" t="s">
        <v>3281</v>
      </c>
      <c r="E1343" t="s">
        <v>1517</v>
      </c>
      <c r="F1343" t="s">
        <v>14</v>
      </c>
      <c r="G1343" t="s">
        <v>302</v>
      </c>
      <c r="H1343" t="s">
        <v>302</v>
      </c>
      <c r="I1343">
        <v>417697000</v>
      </c>
      <c r="J1343">
        <v>409184000</v>
      </c>
      <c r="K1343">
        <v>420553000</v>
      </c>
      <c r="L1343">
        <v>381551000</v>
      </c>
    </row>
    <row r="1344" spans="1:12" ht="15" customHeight="1">
      <c r="A1344" t="s">
        <v>6668</v>
      </c>
      <c r="B1344" t="s">
        <v>3282</v>
      </c>
      <c r="C1344" t="s">
        <v>12</v>
      </c>
      <c r="D1344" t="s">
        <v>3283</v>
      </c>
      <c r="E1344" t="s">
        <v>1532</v>
      </c>
      <c r="F1344" t="s">
        <v>14</v>
      </c>
      <c r="G1344" t="s">
        <v>18</v>
      </c>
      <c r="I1344">
        <v>4054000</v>
      </c>
      <c r="J1344">
        <v>37558000</v>
      </c>
      <c r="K1344">
        <v>2939000</v>
      </c>
      <c r="L1344">
        <v>10286000</v>
      </c>
    </row>
    <row r="1345" spans="1:12" ht="15" customHeight="1">
      <c r="A1345" t="s">
        <v>6669</v>
      </c>
      <c r="B1345" t="s">
        <v>3284</v>
      </c>
      <c r="C1345" t="s">
        <v>12</v>
      </c>
      <c r="D1345" t="s">
        <v>3285</v>
      </c>
      <c r="E1345" t="s">
        <v>1526</v>
      </c>
      <c r="F1345" t="s">
        <v>25</v>
      </c>
      <c r="G1345" t="s">
        <v>18</v>
      </c>
      <c r="I1345">
        <v>178000</v>
      </c>
      <c r="K1345">
        <v>178000</v>
      </c>
    </row>
    <row r="1346" spans="1:12" ht="15" customHeight="1">
      <c r="A1346" t="s">
        <v>6670</v>
      </c>
      <c r="B1346" t="s">
        <v>3286</v>
      </c>
      <c r="C1346" t="s">
        <v>12</v>
      </c>
      <c r="D1346" t="s">
        <v>3287</v>
      </c>
      <c r="E1346" t="s">
        <v>1532</v>
      </c>
      <c r="F1346" t="s">
        <v>14</v>
      </c>
      <c r="G1346" t="s">
        <v>18</v>
      </c>
    </row>
    <row r="1347" spans="1:12" ht="15" customHeight="1">
      <c r="A1347" t="s">
        <v>6671</v>
      </c>
      <c r="B1347" t="s">
        <v>3288</v>
      </c>
      <c r="C1347" t="s">
        <v>12</v>
      </c>
      <c r="D1347" t="s">
        <v>3289</v>
      </c>
      <c r="E1347" t="s">
        <v>1881</v>
      </c>
      <c r="F1347" t="s">
        <v>25</v>
      </c>
      <c r="G1347" t="s">
        <v>18</v>
      </c>
    </row>
    <row r="1348" spans="1:12" ht="15" customHeight="1">
      <c r="A1348" t="s">
        <v>6672</v>
      </c>
      <c r="B1348" t="s">
        <v>3290</v>
      </c>
      <c r="C1348" t="s">
        <v>12</v>
      </c>
      <c r="D1348" t="s">
        <v>3291</v>
      </c>
      <c r="E1348" t="s">
        <v>1560</v>
      </c>
      <c r="F1348" t="s">
        <v>14</v>
      </c>
      <c r="G1348" t="s">
        <v>18</v>
      </c>
      <c r="J1348">
        <v>1383000</v>
      </c>
      <c r="L1348">
        <v>1287000</v>
      </c>
    </row>
    <row r="1349" spans="1:12" ht="15" customHeight="1">
      <c r="A1349" t="s">
        <v>6673</v>
      </c>
      <c r="B1349" t="s">
        <v>3292</v>
      </c>
      <c r="C1349" t="s">
        <v>12</v>
      </c>
      <c r="D1349" t="s">
        <v>3293</v>
      </c>
      <c r="E1349" t="s">
        <v>1532</v>
      </c>
      <c r="F1349" t="s">
        <v>14</v>
      </c>
      <c r="G1349" t="s">
        <v>18</v>
      </c>
    </row>
    <row r="1350" spans="1:12" ht="15" customHeight="1">
      <c r="A1350" t="s">
        <v>6674</v>
      </c>
      <c r="B1350" t="s">
        <v>3294</v>
      </c>
      <c r="C1350" t="s">
        <v>12</v>
      </c>
      <c r="D1350" t="s">
        <v>3295</v>
      </c>
      <c r="E1350" t="s">
        <v>1580</v>
      </c>
      <c r="F1350" t="s">
        <v>14</v>
      </c>
      <c r="G1350" t="s">
        <v>18</v>
      </c>
      <c r="L1350">
        <v>1000</v>
      </c>
    </row>
    <row r="1351" spans="1:12" ht="15" customHeight="1">
      <c r="A1351" t="s">
        <v>6675</v>
      </c>
      <c r="B1351" t="s">
        <v>3296</v>
      </c>
      <c r="C1351" t="s">
        <v>12</v>
      </c>
      <c r="D1351" t="s">
        <v>3297</v>
      </c>
      <c r="E1351" t="s">
        <v>1512</v>
      </c>
      <c r="F1351" t="s">
        <v>14</v>
      </c>
      <c r="G1351" t="s">
        <v>18</v>
      </c>
      <c r="J1351">
        <v>1922000</v>
      </c>
      <c r="L1351">
        <v>1892000</v>
      </c>
    </row>
    <row r="1352" spans="1:12" ht="15" customHeight="1">
      <c r="A1352" t="s">
        <v>6676</v>
      </c>
      <c r="B1352" t="s">
        <v>3298</v>
      </c>
      <c r="C1352" t="s">
        <v>12</v>
      </c>
      <c r="D1352" t="s">
        <v>3299</v>
      </c>
      <c r="E1352" t="s">
        <v>1517</v>
      </c>
      <c r="F1352" t="s">
        <v>25</v>
      </c>
      <c r="G1352" t="s">
        <v>18</v>
      </c>
      <c r="I1352">
        <v>813000</v>
      </c>
      <c r="J1352">
        <v>719000</v>
      </c>
      <c r="K1352">
        <v>854000</v>
      </c>
      <c r="L1352">
        <v>813000</v>
      </c>
    </row>
    <row r="1353" spans="1:12" ht="15" customHeight="1">
      <c r="A1353" t="s">
        <v>6677</v>
      </c>
      <c r="B1353" t="s">
        <v>3300</v>
      </c>
      <c r="C1353" t="s">
        <v>12</v>
      </c>
      <c r="D1353" t="s">
        <v>3301</v>
      </c>
      <c r="E1353" t="s">
        <v>1620</v>
      </c>
      <c r="F1353" t="s">
        <v>14</v>
      </c>
      <c r="G1353" t="s">
        <v>18</v>
      </c>
      <c r="I1353">
        <v>8932000</v>
      </c>
      <c r="J1353">
        <v>13906000</v>
      </c>
      <c r="K1353">
        <v>9229000</v>
      </c>
      <c r="L1353">
        <v>6756000</v>
      </c>
    </row>
    <row r="1354" spans="1:12" ht="15" customHeight="1">
      <c r="A1354" t="s">
        <v>6678</v>
      </c>
      <c r="B1354" t="s">
        <v>3302</v>
      </c>
      <c r="C1354" t="s">
        <v>12</v>
      </c>
      <c r="D1354" t="s">
        <v>3303</v>
      </c>
      <c r="E1354" t="s">
        <v>1558</v>
      </c>
      <c r="F1354" t="s">
        <v>14</v>
      </c>
      <c r="G1354" t="s">
        <v>18</v>
      </c>
      <c r="I1354">
        <v>200000</v>
      </c>
      <c r="J1354">
        <v>170000</v>
      </c>
      <c r="K1354">
        <v>200000</v>
      </c>
      <c r="L1354">
        <v>170000</v>
      </c>
    </row>
    <row r="1355" spans="1:12" ht="15" customHeight="1">
      <c r="A1355" t="s">
        <v>6679</v>
      </c>
      <c r="B1355" t="s">
        <v>3304</v>
      </c>
      <c r="C1355" t="s">
        <v>12</v>
      </c>
      <c r="D1355" t="s">
        <v>3305</v>
      </c>
      <c r="E1355" t="s">
        <v>1560</v>
      </c>
      <c r="F1355" t="s">
        <v>25</v>
      </c>
      <c r="G1355" t="s">
        <v>18</v>
      </c>
      <c r="I1355">
        <v>3756000</v>
      </c>
      <c r="J1355">
        <v>11392000</v>
      </c>
      <c r="K1355">
        <v>2104000</v>
      </c>
      <c r="L1355">
        <v>5992000</v>
      </c>
    </row>
    <row r="1356" spans="1:12" ht="15" customHeight="1">
      <c r="A1356" t="s">
        <v>6680</v>
      </c>
      <c r="B1356" t="s">
        <v>3306</v>
      </c>
      <c r="C1356" t="s">
        <v>12</v>
      </c>
      <c r="D1356" t="s">
        <v>3307</v>
      </c>
      <c r="E1356" t="s">
        <v>1737</v>
      </c>
      <c r="F1356" t="s">
        <v>25</v>
      </c>
      <c r="G1356" t="s">
        <v>18</v>
      </c>
      <c r="I1356">
        <v>3072000</v>
      </c>
      <c r="J1356">
        <v>9492000</v>
      </c>
      <c r="K1356">
        <v>3083000</v>
      </c>
      <c r="L1356">
        <v>7205000</v>
      </c>
    </row>
    <row r="1357" spans="1:12" ht="15" customHeight="1">
      <c r="A1357" t="s">
        <v>6681</v>
      </c>
      <c r="B1357" t="s">
        <v>3308</v>
      </c>
      <c r="C1357" t="s">
        <v>12</v>
      </c>
      <c r="D1357" t="s">
        <v>3309</v>
      </c>
      <c r="E1357" t="s">
        <v>1533</v>
      </c>
      <c r="F1357" t="s">
        <v>14</v>
      </c>
      <c r="G1357" t="s">
        <v>18</v>
      </c>
    </row>
    <row r="1358" spans="1:12" ht="15" customHeight="1">
      <c r="A1358" t="s">
        <v>6682</v>
      </c>
      <c r="B1358" t="s">
        <v>3310</v>
      </c>
      <c r="C1358" t="s">
        <v>12</v>
      </c>
      <c r="D1358" t="s">
        <v>3311</v>
      </c>
      <c r="E1358" t="s">
        <v>1532</v>
      </c>
      <c r="F1358" t="s">
        <v>14</v>
      </c>
      <c r="G1358" t="s">
        <v>18</v>
      </c>
      <c r="I1358">
        <v>163000</v>
      </c>
      <c r="J1358">
        <v>163000</v>
      </c>
      <c r="K1358">
        <v>45000</v>
      </c>
      <c r="L1358">
        <v>45000</v>
      </c>
    </row>
    <row r="1359" spans="1:12" ht="15" customHeight="1">
      <c r="A1359" t="s">
        <v>6683</v>
      </c>
      <c r="B1359" t="s">
        <v>3312</v>
      </c>
      <c r="C1359" t="s">
        <v>12</v>
      </c>
      <c r="D1359" t="s">
        <v>3313</v>
      </c>
      <c r="E1359" t="s">
        <v>1532</v>
      </c>
      <c r="F1359" t="s">
        <v>25</v>
      </c>
      <c r="G1359" t="s">
        <v>22</v>
      </c>
      <c r="I1359">
        <v>6115000</v>
      </c>
      <c r="J1359">
        <v>5232000</v>
      </c>
      <c r="K1359">
        <v>6443000</v>
      </c>
      <c r="L1359">
        <v>5150000</v>
      </c>
    </row>
    <row r="1360" spans="1:12" ht="15" customHeight="1">
      <c r="A1360" t="s">
        <v>6684</v>
      </c>
      <c r="B1360" t="s">
        <v>3314</v>
      </c>
      <c r="C1360" t="s">
        <v>12</v>
      </c>
      <c r="D1360" t="s">
        <v>3315</v>
      </c>
      <c r="E1360" t="s">
        <v>2139</v>
      </c>
      <c r="F1360" t="s">
        <v>25</v>
      </c>
      <c r="G1360" t="s">
        <v>18</v>
      </c>
      <c r="I1360">
        <v>173000</v>
      </c>
      <c r="J1360">
        <v>35000</v>
      </c>
      <c r="K1360">
        <v>194000</v>
      </c>
      <c r="L1360">
        <v>38000</v>
      </c>
    </row>
    <row r="1361" spans="1:12" ht="15" customHeight="1">
      <c r="A1361" t="s">
        <v>6685</v>
      </c>
      <c r="B1361" t="s">
        <v>3316</v>
      </c>
      <c r="C1361" t="s">
        <v>12</v>
      </c>
      <c r="D1361" t="s">
        <v>3317</v>
      </c>
      <c r="E1361" t="s">
        <v>1595</v>
      </c>
      <c r="F1361" t="s">
        <v>14</v>
      </c>
      <c r="G1361" t="s">
        <v>18</v>
      </c>
    </row>
    <row r="1362" spans="1:12" ht="15" customHeight="1">
      <c r="A1362" t="s">
        <v>6686</v>
      </c>
      <c r="B1362" t="s">
        <v>3318</v>
      </c>
      <c r="C1362" t="s">
        <v>12</v>
      </c>
      <c r="D1362" t="s">
        <v>3319</v>
      </c>
      <c r="E1362" t="s">
        <v>1661</v>
      </c>
      <c r="F1362" t="s">
        <v>14</v>
      </c>
      <c r="G1362" t="s">
        <v>18</v>
      </c>
      <c r="I1362">
        <v>992000</v>
      </c>
      <c r="K1362">
        <v>974000</v>
      </c>
    </row>
    <row r="1363" spans="1:12" ht="15" customHeight="1">
      <c r="A1363" t="s">
        <v>6687</v>
      </c>
      <c r="B1363" t="s">
        <v>3320</v>
      </c>
      <c r="C1363" t="s">
        <v>12</v>
      </c>
      <c r="D1363" t="s">
        <v>3321</v>
      </c>
      <c r="E1363" t="s">
        <v>1781</v>
      </c>
      <c r="F1363" t="s">
        <v>25</v>
      </c>
      <c r="H1363" t="s">
        <v>23</v>
      </c>
      <c r="I1363">
        <v>44530000</v>
      </c>
      <c r="J1363">
        <v>20904000</v>
      </c>
      <c r="K1363">
        <v>26204000</v>
      </c>
      <c r="L1363">
        <v>40169000</v>
      </c>
    </row>
    <row r="1364" spans="1:12" ht="15" customHeight="1">
      <c r="A1364" t="s">
        <v>6688</v>
      </c>
      <c r="B1364" t="s">
        <v>3322</v>
      </c>
      <c r="C1364" t="s">
        <v>12</v>
      </c>
      <c r="D1364" t="s">
        <v>3323</v>
      </c>
      <c r="E1364" t="s">
        <v>1798</v>
      </c>
      <c r="F1364" t="s">
        <v>25</v>
      </c>
      <c r="G1364" t="s">
        <v>18</v>
      </c>
      <c r="I1364">
        <v>20000</v>
      </c>
      <c r="K1364">
        <v>20000</v>
      </c>
    </row>
    <row r="1365" spans="1:12" ht="15" customHeight="1">
      <c r="A1365" t="s">
        <v>6689</v>
      </c>
      <c r="B1365" t="s">
        <v>3324</v>
      </c>
      <c r="C1365" t="s">
        <v>12</v>
      </c>
      <c r="D1365" t="s">
        <v>3325</v>
      </c>
      <c r="E1365" t="s">
        <v>1588</v>
      </c>
      <c r="F1365" t="s">
        <v>14</v>
      </c>
      <c r="G1365" t="s">
        <v>18</v>
      </c>
      <c r="I1365">
        <v>499000</v>
      </c>
      <c r="K1365">
        <v>743000</v>
      </c>
    </row>
    <row r="1366" spans="1:12" ht="15" customHeight="1">
      <c r="A1366" t="s">
        <v>6690</v>
      </c>
      <c r="B1366" t="s">
        <v>3326</v>
      </c>
      <c r="C1366" t="s">
        <v>12</v>
      </c>
      <c r="D1366" t="s">
        <v>3327</v>
      </c>
      <c r="E1366" t="s">
        <v>1532</v>
      </c>
      <c r="F1366" t="s">
        <v>14</v>
      </c>
      <c r="G1366" t="s">
        <v>18</v>
      </c>
      <c r="I1366">
        <v>280000</v>
      </c>
      <c r="J1366">
        <v>1015000</v>
      </c>
      <c r="K1366">
        <v>324000</v>
      </c>
      <c r="L1366">
        <v>707000</v>
      </c>
    </row>
    <row r="1367" spans="1:12" ht="15" customHeight="1">
      <c r="A1367" t="s">
        <v>6691</v>
      </c>
      <c r="B1367" t="s">
        <v>3328</v>
      </c>
      <c r="C1367" t="s">
        <v>12</v>
      </c>
      <c r="D1367" t="s">
        <v>3329</v>
      </c>
      <c r="E1367" t="s">
        <v>1544</v>
      </c>
      <c r="F1367" t="s">
        <v>14</v>
      </c>
      <c r="G1367" t="s">
        <v>18</v>
      </c>
      <c r="I1367">
        <v>5119000</v>
      </c>
      <c r="J1367">
        <v>4784000</v>
      </c>
      <c r="K1367">
        <v>4400000</v>
      </c>
      <c r="L1367">
        <v>5065000</v>
      </c>
    </row>
    <row r="1368" spans="1:12" ht="15" customHeight="1">
      <c r="A1368" t="s">
        <v>6692</v>
      </c>
      <c r="B1368" t="s">
        <v>3330</v>
      </c>
      <c r="C1368" t="s">
        <v>12</v>
      </c>
      <c r="D1368" t="s">
        <v>3331</v>
      </c>
      <c r="E1368" t="s">
        <v>1532</v>
      </c>
      <c r="F1368" t="s">
        <v>14</v>
      </c>
      <c r="G1368" t="s">
        <v>18</v>
      </c>
    </row>
    <row r="1369" spans="1:12" ht="15" customHeight="1">
      <c r="A1369" t="s">
        <v>6693</v>
      </c>
      <c r="B1369" t="s">
        <v>3332</v>
      </c>
      <c r="C1369" t="s">
        <v>12</v>
      </c>
      <c r="D1369" t="s">
        <v>3333</v>
      </c>
      <c r="E1369" t="s">
        <v>1532</v>
      </c>
      <c r="F1369" t="s">
        <v>14</v>
      </c>
      <c r="G1369" t="s">
        <v>18</v>
      </c>
      <c r="I1369">
        <v>538000</v>
      </c>
      <c r="J1369">
        <v>139000</v>
      </c>
      <c r="K1369">
        <v>646000</v>
      </c>
      <c r="L1369">
        <v>238000</v>
      </c>
    </row>
    <row r="1370" spans="1:12" ht="15" customHeight="1">
      <c r="A1370" t="s">
        <v>6694</v>
      </c>
      <c r="B1370" t="s">
        <v>3334</v>
      </c>
      <c r="C1370" t="s">
        <v>12</v>
      </c>
      <c r="D1370" t="s">
        <v>3335</v>
      </c>
      <c r="E1370" t="s">
        <v>1588</v>
      </c>
      <c r="F1370" t="s">
        <v>14</v>
      </c>
      <c r="G1370" t="s">
        <v>18</v>
      </c>
      <c r="I1370">
        <v>2363000</v>
      </c>
      <c r="J1370">
        <v>7243000</v>
      </c>
      <c r="K1370">
        <v>2448000</v>
      </c>
      <c r="L1370">
        <v>7404000</v>
      </c>
    </row>
    <row r="1371" spans="1:12" ht="15" customHeight="1">
      <c r="A1371" t="s">
        <v>6695</v>
      </c>
      <c r="B1371" t="s">
        <v>3336</v>
      </c>
      <c r="C1371" t="s">
        <v>12</v>
      </c>
      <c r="D1371" t="s">
        <v>3337</v>
      </c>
      <c r="E1371" t="s">
        <v>1511</v>
      </c>
      <c r="F1371" t="s">
        <v>14</v>
      </c>
      <c r="G1371" t="s">
        <v>18</v>
      </c>
      <c r="K1371">
        <v>1331000</v>
      </c>
      <c r="L1371">
        <v>76000</v>
      </c>
    </row>
    <row r="1372" spans="1:12" ht="15" customHeight="1">
      <c r="A1372" t="s">
        <v>6696</v>
      </c>
      <c r="B1372" t="s">
        <v>3338</v>
      </c>
      <c r="C1372" t="s">
        <v>12</v>
      </c>
      <c r="D1372" t="s">
        <v>3339</v>
      </c>
      <c r="E1372" t="s">
        <v>1504</v>
      </c>
      <c r="F1372" t="s">
        <v>14</v>
      </c>
      <c r="G1372" t="s">
        <v>18</v>
      </c>
      <c r="I1372">
        <v>17983000</v>
      </c>
      <c r="K1372">
        <v>18054000</v>
      </c>
    </row>
    <row r="1373" spans="1:12" ht="15" customHeight="1">
      <c r="A1373" t="s">
        <v>6697</v>
      </c>
      <c r="B1373" t="s">
        <v>3340</v>
      </c>
      <c r="C1373" t="s">
        <v>12</v>
      </c>
      <c r="D1373" t="s">
        <v>3341</v>
      </c>
      <c r="E1373" t="s">
        <v>1532</v>
      </c>
      <c r="F1373" t="s">
        <v>14</v>
      </c>
      <c r="G1373" t="s">
        <v>18</v>
      </c>
    </row>
    <row r="1374" spans="1:12" ht="15" customHeight="1">
      <c r="A1374" t="s">
        <v>6698</v>
      </c>
      <c r="B1374" t="s">
        <v>3342</v>
      </c>
      <c r="C1374" t="s">
        <v>12</v>
      </c>
      <c r="D1374" t="s">
        <v>3343</v>
      </c>
      <c r="E1374" t="s">
        <v>1525</v>
      </c>
      <c r="F1374" t="s">
        <v>14</v>
      </c>
      <c r="G1374" t="s">
        <v>18</v>
      </c>
      <c r="I1374">
        <v>738000</v>
      </c>
      <c r="J1374">
        <v>299000</v>
      </c>
      <c r="K1374">
        <v>448000</v>
      </c>
      <c r="L1374">
        <v>229000</v>
      </c>
    </row>
    <row r="1375" spans="1:12" ht="15" customHeight="1">
      <c r="A1375" t="s">
        <v>6699</v>
      </c>
      <c r="B1375" t="s">
        <v>3344</v>
      </c>
      <c r="C1375" t="s">
        <v>12</v>
      </c>
      <c r="D1375" t="s">
        <v>3345</v>
      </c>
      <c r="E1375" t="s">
        <v>1532</v>
      </c>
      <c r="F1375" t="s">
        <v>14</v>
      </c>
      <c r="G1375" t="s">
        <v>18</v>
      </c>
    </row>
    <row r="1376" spans="1:12" ht="15" customHeight="1">
      <c r="A1376" t="s">
        <v>6700</v>
      </c>
      <c r="B1376" t="s">
        <v>3346</v>
      </c>
      <c r="C1376" t="s">
        <v>12</v>
      </c>
      <c r="D1376" t="s">
        <v>3347</v>
      </c>
      <c r="E1376" t="s">
        <v>1524</v>
      </c>
      <c r="F1376" t="s">
        <v>14</v>
      </c>
      <c r="G1376" t="s">
        <v>18</v>
      </c>
      <c r="I1376">
        <v>12000</v>
      </c>
      <c r="J1376">
        <v>11000</v>
      </c>
      <c r="K1376">
        <v>12000</v>
      </c>
      <c r="L1376">
        <v>11000</v>
      </c>
    </row>
    <row r="1377" spans="1:12" ht="15" customHeight="1">
      <c r="A1377" t="s">
        <v>6701</v>
      </c>
      <c r="B1377" t="s">
        <v>3348</v>
      </c>
      <c r="C1377" t="s">
        <v>12</v>
      </c>
      <c r="D1377" t="s">
        <v>3349</v>
      </c>
      <c r="E1377" t="s">
        <v>1504</v>
      </c>
      <c r="F1377" t="s">
        <v>14</v>
      </c>
      <c r="G1377" t="s">
        <v>18</v>
      </c>
      <c r="I1377">
        <v>25277000</v>
      </c>
      <c r="J1377">
        <v>39649000</v>
      </c>
      <c r="K1377">
        <v>25244000</v>
      </c>
      <c r="L1377">
        <v>33377000</v>
      </c>
    </row>
    <row r="1378" spans="1:12" ht="15" customHeight="1">
      <c r="A1378" t="s">
        <v>6702</v>
      </c>
      <c r="B1378" t="s">
        <v>3350</v>
      </c>
      <c r="C1378" t="s">
        <v>12</v>
      </c>
      <c r="D1378" t="s">
        <v>3351</v>
      </c>
      <c r="E1378" t="s">
        <v>1618</v>
      </c>
      <c r="F1378" t="s">
        <v>14</v>
      </c>
      <c r="G1378" t="s">
        <v>18</v>
      </c>
    </row>
    <row r="1379" spans="1:12" ht="15" customHeight="1">
      <c r="A1379" t="s">
        <v>6703</v>
      </c>
      <c r="B1379" t="s">
        <v>3352</v>
      </c>
      <c r="C1379" t="s">
        <v>12</v>
      </c>
      <c r="D1379" t="s">
        <v>3353</v>
      </c>
      <c r="E1379" t="s">
        <v>1559</v>
      </c>
      <c r="F1379" t="s">
        <v>25</v>
      </c>
      <c r="G1379" t="s">
        <v>18</v>
      </c>
      <c r="I1379">
        <v>1030000</v>
      </c>
      <c r="J1379">
        <v>506000</v>
      </c>
      <c r="K1379">
        <v>924000</v>
      </c>
      <c r="L1379">
        <v>668000</v>
      </c>
    </row>
    <row r="1380" spans="1:12" ht="15" customHeight="1">
      <c r="A1380" t="s">
        <v>6704</v>
      </c>
      <c r="B1380" t="s">
        <v>3354</v>
      </c>
      <c r="C1380" t="s">
        <v>12</v>
      </c>
      <c r="D1380" t="s">
        <v>3355</v>
      </c>
      <c r="E1380" t="s">
        <v>1526</v>
      </c>
      <c r="F1380" t="s">
        <v>25</v>
      </c>
      <c r="G1380" t="s">
        <v>18</v>
      </c>
    </row>
    <row r="1381" spans="1:12" ht="15" customHeight="1">
      <c r="A1381" t="s">
        <v>6705</v>
      </c>
      <c r="B1381" t="s">
        <v>3356</v>
      </c>
      <c r="C1381" t="s">
        <v>12</v>
      </c>
      <c r="D1381" t="s">
        <v>3357</v>
      </c>
      <c r="E1381" t="s">
        <v>1532</v>
      </c>
      <c r="F1381" t="s">
        <v>14</v>
      </c>
      <c r="G1381" t="s">
        <v>18</v>
      </c>
      <c r="I1381">
        <v>538000</v>
      </c>
      <c r="J1381">
        <v>427000</v>
      </c>
      <c r="K1381">
        <v>534000</v>
      </c>
      <c r="L1381">
        <v>441000</v>
      </c>
    </row>
    <row r="1382" spans="1:12" ht="15" customHeight="1">
      <c r="A1382" t="s">
        <v>6706</v>
      </c>
      <c r="B1382" t="s">
        <v>3358</v>
      </c>
      <c r="C1382" t="s">
        <v>12</v>
      </c>
      <c r="D1382" t="s">
        <v>3359</v>
      </c>
      <c r="E1382" t="s">
        <v>1588</v>
      </c>
      <c r="F1382" t="s">
        <v>14</v>
      </c>
      <c r="G1382" t="s">
        <v>18</v>
      </c>
      <c r="I1382">
        <v>518000</v>
      </c>
      <c r="J1382">
        <v>469000</v>
      </c>
      <c r="K1382">
        <v>518000</v>
      </c>
      <c r="L1382">
        <v>469000</v>
      </c>
    </row>
    <row r="1383" spans="1:12" ht="15" customHeight="1">
      <c r="A1383" t="s">
        <v>6707</v>
      </c>
      <c r="B1383" t="s">
        <v>3360</v>
      </c>
      <c r="C1383" t="s">
        <v>12</v>
      </c>
      <c r="D1383" t="s">
        <v>3361</v>
      </c>
      <c r="E1383" t="s">
        <v>1781</v>
      </c>
      <c r="F1383" t="s">
        <v>25</v>
      </c>
      <c r="G1383" t="s">
        <v>18</v>
      </c>
      <c r="I1383">
        <v>2286000</v>
      </c>
      <c r="J1383">
        <v>2014000</v>
      </c>
      <c r="K1383">
        <v>2326000</v>
      </c>
      <c r="L1383">
        <v>2015000</v>
      </c>
    </row>
    <row r="1384" spans="1:12" ht="15" customHeight="1">
      <c r="A1384" t="s">
        <v>6708</v>
      </c>
      <c r="B1384" t="s">
        <v>3362</v>
      </c>
      <c r="C1384" t="s">
        <v>12</v>
      </c>
      <c r="D1384" t="s">
        <v>3363</v>
      </c>
      <c r="E1384" t="s">
        <v>1618</v>
      </c>
      <c r="F1384" t="s">
        <v>14</v>
      </c>
      <c r="G1384" t="s">
        <v>18</v>
      </c>
    </row>
    <row r="1385" spans="1:12" ht="15" customHeight="1">
      <c r="A1385" t="s">
        <v>6709</v>
      </c>
      <c r="B1385" t="s">
        <v>3364</v>
      </c>
      <c r="C1385" t="s">
        <v>12</v>
      </c>
      <c r="D1385" t="s">
        <v>3365</v>
      </c>
      <c r="E1385" t="s">
        <v>1524</v>
      </c>
      <c r="F1385" t="s">
        <v>25</v>
      </c>
      <c r="G1385" t="s">
        <v>18</v>
      </c>
      <c r="I1385">
        <v>2189000</v>
      </c>
      <c r="J1385">
        <v>2094000</v>
      </c>
      <c r="K1385">
        <v>1601000</v>
      </c>
      <c r="L1385">
        <v>2259000</v>
      </c>
    </row>
    <row r="1386" spans="1:12" ht="15" customHeight="1">
      <c r="A1386" t="s">
        <v>6710</v>
      </c>
      <c r="B1386" t="s">
        <v>3366</v>
      </c>
      <c r="C1386" t="s">
        <v>12</v>
      </c>
      <c r="D1386" t="s">
        <v>3367</v>
      </c>
      <c r="E1386" t="s">
        <v>1533</v>
      </c>
      <c r="F1386" t="s">
        <v>14</v>
      </c>
      <c r="G1386" t="s">
        <v>18</v>
      </c>
      <c r="I1386">
        <v>4998000</v>
      </c>
      <c r="K1386">
        <v>4990000</v>
      </c>
    </row>
    <row r="1387" spans="1:12" ht="15" customHeight="1">
      <c r="A1387" t="s">
        <v>6711</v>
      </c>
      <c r="B1387" t="s">
        <v>3368</v>
      </c>
      <c r="C1387" t="s">
        <v>12</v>
      </c>
      <c r="D1387" t="s">
        <v>3369</v>
      </c>
      <c r="E1387" t="s">
        <v>1588</v>
      </c>
      <c r="F1387" t="s">
        <v>14</v>
      </c>
      <c r="G1387" t="s">
        <v>18</v>
      </c>
      <c r="I1387">
        <v>482000</v>
      </c>
      <c r="J1387">
        <v>352000</v>
      </c>
      <c r="K1387">
        <v>477000</v>
      </c>
      <c r="L1387">
        <v>354000</v>
      </c>
    </row>
    <row r="1388" spans="1:12" ht="15" customHeight="1">
      <c r="A1388" t="s">
        <v>6712</v>
      </c>
      <c r="B1388" t="s">
        <v>3370</v>
      </c>
      <c r="C1388" t="s">
        <v>12</v>
      </c>
      <c r="D1388" t="s">
        <v>3371</v>
      </c>
      <c r="E1388" t="s">
        <v>1535</v>
      </c>
      <c r="F1388" t="s">
        <v>14</v>
      </c>
      <c r="G1388" t="s">
        <v>18</v>
      </c>
      <c r="I1388">
        <v>895000</v>
      </c>
      <c r="J1388">
        <v>603000</v>
      </c>
      <c r="K1388">
        <v>1171000</v>
      </c>
      <c r="L1388">
        <v>568000</v>
      </c>
    </row>
    <row r="1389" spans="1:12" ht="15" customHeight="1">
      <c r="A1389" t="s">
        <v>6713</v>
      </c>
      <c r="B1389" t="s">
        <v>3372</v>
      </c>
      <c r="C1389" t="s">
        <v>12</v>
      </c>
      <c r="D1389" t="s">
        <v>3373</v>
      </c>
      <c r="E1389" t="s">
        <v>1642</v>
      </c>
      <c r="F1389" t="s">
        <v>14</v>
      </c>
      <c r="G1389" t="s">
        <v>18</v>
      </c>
      <c r="I1389">
        <v>5427000</v>
      </c>
      <c r="J1389">
        <v>6028000</v>
      </c>
      <c r="K1389">
        <v>7271000</v>
      </c>
      <c r="L1389">
        <v>4634000</v>
      </c>
    </row>
    <row r="1390" spans="1:12" ht="15" customHeight="1">
      <c r="A1390" t="s">
        <v>6714</v>
      </c>
      <c r="B1390" t="s">
        <v>3374</v>
      </c>
      <c r="C1390" t="s">
        <v>12</v>
      </c>
      <c r="D1390" t="s">
        <v>3375</v>
      </c>
      <c r="E1390" t="s">
        <v>1533</v>
      </c>
      <c r="F1390" t="s">
        <v>14</v>
      </c>
      <c r="G1390" t="s">
        <v>18</v>
      </c>
      <c r="I1390">
        <v>696000</v>
      </c>
      <c r="J1390">
        <v>6829000</v>
      </c>
      <c r="L1390">
        <v>6829000</v>
      </c>
    </row>
    <row r="1391" spans="1:12" ht="15" customHeight="1">
      <c r="A1391" t="s">
        <v>6715</v>
      </c>
      <c r="B1391" t="s">
        <v>3376</v>
      </c>
      <c r="C1391" t="s">
        <v>12</v>
      </c>
      <c r="D1391" t="s">
        <v>3377</v>
      </c>
      <c r="E1391" t="s">
        <v>1544</v>
      </c>
      <c r="F1391" t="s">
        <v>14</v>
      </c>
      <c r="G1391" t="s">
        <v>18</v>
      </c>
      <c r="I1391">
        <v>9438000</v>
      </c>
      <c r="J1391">
        <v>8945000</v>
      </c>
      <c r="K1391">
        <v>7838000</v>
      </c>
      <c r="L1391">
        <v>9982000</v>
      </c>
    </row>
    <row r="1392" spans="1:12" ht="15" customHeight="1">
      <c r="A1392" t="s">
        <v>6716</v>
      </c>
      <c r="B1392" t="s">
        <v>3378</v>
      </c>
      <c r="C1392" t="s">
        <v>12</v>
      </c>
      <c r="D1392" t="s">
        <v>3379</v>
      </c>
      <c r="E1392" t="s">
        <v>1575</v>
      </c>
      <c r="F1392" t="s">
        <v>25</v>
      </c>
      <c r="G1392" t="s">
        <v>18</v>
      </c>
    </row>
    <row r="1393" spans="1:12" ht="15" customHeight="1">
      <c r="A1393" t="s">
        <v>6717</v>
      </c>
      <c r="B1393" t="s">
        <v>3380</v>
      </c>
      <c r="C1393" t="s">
        <v>12</v>
      </c>
      <c r="D1393" t="s">
        <v>3381</v>
      </c>
      <c r="E1393" t="s">
        <v>1560</v>
      </c>
      <c r="F1393" t="s">
        <v>25</v>
      </c>
      <c r="G1393" t="s">
        <v>18</v>
      </c>
    </row>
    <row r="1394" spans="1:12" ht="15" customHeight="1">
      <c r="A1394" t="s">
        <v>6718</v>
      </c>
      <c r="B1394" t="s">
        <v>3382</v>
      </c>
      <c r="C1394" t="s">
        <v>12</v>
      </c>
      <c r="D1394" t="s">
        <v>3383</v>
      </c>
      <c r="E1394" t="s">
        <v>1558</v>
      </c>
      <c r="F1394" t="s">
        <v>14</v>
      </c>
      <c r="G1394" t="s">
        <v>18</v>
      </c>
    </row>
    <row r="1395" spans="1:12" ht="15" customHeight="1">
      <c r="A1395" t="s">
        <v>6718</v>
      </c>
      <c r="B1395" t="s">
        <v>3384</v>
      </c>
      <c r="C1395" t="s">
        <v>12</v>
      </c>
      <c r="D1395" t="s">
        <v>3385</v>
      </c>
      <c r="E1395" t="s">
        <v>1532</v>
      </c>
      <c r="F1395" t="s">
        <v>14</v>
      </c>
      <c r="G1395" t="s">
        <v>18</v>
      </c>
    </row>
    <row r="1396" spans="1:12" ht="15" customHeight="1">
      <c r="A1396" t="s">
        <v>6719</v>
      </c>
      <c r="B1396" t="s">
        <v>3386</v>
      </c>
      <c r="C1396" t="s">
        <v>12</v>
      </c>
      <c r="D1396" t="s">
        <v>3387</v>
      </c>
      <c r="E1396" t="s">
        <v>1518</v>
      </c>
      <c r="F1396" t="s">
        <v>25</v>
      </c>
      <c r="G1396" t="s">
        <v>18</v>
      </c>
    </row>
    <row r="1397" spans="1:12" ht="15" customHeight="1">
      <c r="A1397" t="s">
        <v>6720</v>
      </c>
      <c r="B1397" t="s">
        <v>3388</v>
      </c>
      <c r="C1397" t="s">
        <v>12</v>
      </c>
      <c r="D1397" t="s">
        <v>3389</v>
      </c>
      <c r="E1397" t="s">
        <v>1526</v>
      </c>
      <c r="F1397" t="s">
        <v>14</v>
      </c>
      <c r="G1397" t="s">
        <v>18</v>
      </c>
      <c r="I1397">
        <v>315000</v>
      </c>
      <c r="K1397">
        <v>314000</v>
      </c>
    </row>
    <row r="1398" spans="1:12" ht="15" customHeight="1">
      <c r="A1398" t="s">
        <v>6721</v>
      </c>
      <c r="B1398" t="s">
        <v>3390</v>
      </c>
      <c r="C1398" t="s">
        <v>12</v>
      </c>
      <c r="D1398" t="s">
        <v>3391</v>
      </c>
      <c r="E1398" t="s">
        <v>1519</v>
      </c>
      <c r="F1398" t="s">
        <v>14</v>
      </c>
      <c r="G1398" t="s">
        <v>77</v>
      </c>
      <c r="J1398">
        <v>7269000</v>
      </c>
      <c r="L1398">
        <v>7084000</v>
      </c>
    </row>
    <row r="1399" spans="1:12" ht="15" customHeight="1">
      <c r="A1399" t="s">
        <v>6722</v>
      </c>
      <c r="B1399" t="s">
        <v>3392</v>
      </c>
      <c r="C1399" t="s">
        <v>12</v>
      </c>
      <c r="D1399" t="s">
        <v>3393</v>
      </c>
      <c r="E1399" t="s">
        <v>1559</v>
      </c>
      <c r="F1399" t="s">
        <v>25</v>
      </c>
      <c r="G1399" t="s">
        <v>18</v>
      </c>
      <c r="I1399">
        <v>186000</v>
      </c>
      <c r="J1399">
        <v>4330000</v>
      </c>
      <c r="K1399">
        <v>154000</v>
      </c>
      <c r="L1399">
        <v>4227000</v>
      </c>
    </row>
    <row r="1400" spans="1:12" ht="15" customHeight="1">
      <c r="A1400" t="s">
        <v>6723</v>
      </c>
      <c r="B1400" t="s">
        <v>3394</v>
      </c>
      <c r="C1400" t="s">
        <v>12</v>
      </c>
      <c r="D1400" t="s">
        <v>3395</v>
      </c>
      <c r="E1400" t="s">
        <v>1565</v>
      </c>
      <c r="F1400" t="s">
        <v>14</v>
      </c>
      <c r="G1400" t="s">
        <v>18</v>
      </c>
      <c r="I1400">
        <v>103466000</v>
      </c>
      <c r="J1400">
        <v>130966000</v>
      </c>
      <c r="K1400">
        <v>103426000</v>
      </c>
      <c r="L1400">
        <v>145898000</v>
      </c>
    </row>
    <row r="1401" spans="1:12" ht="15" customHeight="1">
      <c r="A1401" t="s">
        <v>6724</v>
      </c>
      <c r="B1401" t="s">
        <v>3396</v>
      </c>
      <c r="C1401" t="s">
        <v>12</v>
      </c>
      <c r="D1401" t="s">
        <v>3397</v>
      </c>
      <c r="E1401" t="s">
        <v>1519</v>
      </c>
      <c r="F1401" t="s">
        <v>14</v>
      </c>
      <c r="G1401" t="s">
        <v>18</v>
      </c>
      <c r="I1401">
        <v>6854000</v>
      </c>
      <c r="J1401">
        <v>1491000</v>
      </c>
      <c r="K1401">
        <v>6809000</v>
      </c>
      <c r="L1401">
        <v>1544000</v>
      </c>
    </row>
    <row r="1402" spans="1:12" ht="15" customHeight="1">
      <c r="A1402" t="s">
        <v>6725</v>
      </c>
      <c r="B1402" t="s">
        <v>3398</v>
      </c>
      <c r="C1402" t="s">
        <v>12</v>
      </c>
      <c r="D1402" t="s">
        <v>3399</v>
      </c>
      <c r="E1402" t="s">
        <v>1604</v>
      </c>
      <c r="F1402" t="s">
        <v>14</v>
      </c>
      <c r="G1402" t="s">
        <v>18</v>
      </c>
      <c r="I1402">
        <v>1875000</v>
      </c>
      <c r="J1402">
        <v>2254000</v>
      </c>
      <c r="K1402">
        <v>1891000</v>
      </c>
      <c r="L1402">
        <v>2035000</v>
      </c>
    </row>
    <row r="1403" spans="1:12" ht="15" customHeight="1">
      <c r="A1403" t="s">
        <v>6726</v>
      </c>
      <c r="B1403" t="s">
        <v>3400</v>
      </c>
      <c r="C1403" t="s">
        <v>12</v>
      </c>
      <c r="D1403" t="s">
        <v>3401</v>
      </c>
      <c r="E1403" t="s">
        <v>1508</v>
      </c>
      <c r="F1403" t="s">
        <v>25</v>
      </c>
      <c r="G1403" t="s">
        <v>18</v>
      </c>
      <c r="I1403">
        <v>4191000</v>
      </c>
      <c r="J1403">
        <v>5460000</v>
      </c>
      <c r="K1403">
        <v>4121000</v>
      </c>
      <c r="L1403">
        <v>4942000</v>
      </c>
    </row>
    <row r="1404" spans="1:12" ht="15" customHeight="1">
      <c r="A1404" t="s">
        <v>6727</v>
      </c>
      <c r="B1404" t="s">
        <v>3402</v>
      </c>
      <c r="C1404" t="s">
        <v>12</v>
      </c>
      <c r="D1404" t="s">
        <v>3403</v>
      </c>
      <c r="E1404" t="s">
        <v>2797</v>
      </c>
      <c r="F1404" t="s">
        <v>25</v>
      </c>
      <c r="G1404" t="s">
        <v>18</v>
      </c>
      <c r="I1404">
        <v>383000</v>
      </c>
      <c r="J1404">
        <v>894000</v>
      </c>
      <c r="K1404">
        <v>384000</v>
      </c>
      <c r="L1404">
        <v>839000</v>
      </c>
    </row>
    <row r="1405" spans="1:12" ht="15" customHeight="1">
      <c r="A1405" t="s">
        <v>6728</v>
      </c>
      <c r="B1405" t="s">
        <v>3404</v>
      </c>
      <c r="C1405" t="s">
        <v>12</v>
      </c>
      <c r="D1405" t="s">
        <v>3405</v>
      </c>
      <c r="E1405" t="s">
        <v>2797</v>
      </c>
      <c r="F1405" t="s">
        <v>25</v>
      </c>
      <c r="G1405" t="s">
        <v>18</v>
      </c>
      <c r="J1405">
        <v>615000</v>
      </c>
      <c r="L1405">
        <v>615000</v>
      </c>
    </row>
    <row r="1406" spans="1:12" ht="15" customHeight="1">
      <c r="A1406" t="s">
        <v>6729</v>
      </c>
      <c r="B1406" t="s">
        <v>3406</v>
      </c>
      <c r="C1406" t="s">
        <v>12</v>
      </c>
      <c r="D1406" t="s">
        <v>3407</v>
      </c>
      <c r="E1406" t="s">
        <v>1588</v>
      </c>
      <c r="F1406" t="s">
        <v>14</v>
      </c>
      <c r="G1406" t="s">
        <v>18</v>
      </c>
      <c r="I1406">
        <v>678000</v>
      </c>
      <c r="J1406">
        <v>971000</v>
      </c>
      <c r="K1406">
        <v>728000</v>
      </c>
      <c r="L1406">
        <v>1006000</v>
      </c>
    </row>
    <row r="1407" spans="1:12" ht="15" customHeight="1">
      <c r="A1407" t="s">
        <v>6730</v>
      </c>
      <c r="B1407" t="s">
        <v>3408</v>
      </c>
      <c r="C1407" t="s">
        <v>12</v>
      </c>
      <c r="D1407" t="s">
        <v>3409</v>
      </c>
      <c r="E1407" t="s">
        <v>1558</v>
      </c>
      <c r="F1407" t="s">
        <v>14</v>
      </c>
      <c r="G1407" t="s">
        <v>18</v>
      </c>
      <c r="I1407">
        <v>91000</v>
      </c>
      <c r="J1407">
        <v>11000</v>
      </c>
      <c r="K1407">
        <v>91000</v>
      </c>
      <c r="L1407">
        <v>11000</v>
      </c>
    </row>
    <row r="1408" spans="1:12" ht="15" customHeight="1">
      <c r="A1408" t="s">
        <v>6731</v>
      </c>
      <c r="B1408" t="s">
        <v>3410</v>
      </c>
      <c r="C1408" t="s">
        <v>12</v>
      </c>
      <c r="D1408" t="s">
        <v>3411</v>
      </c>
      <c r="E1408" t="s">
        <v>1532</v>
      </c>
      <c r="F1408" t="s">
        <v>14</v>
      </c>
      <c r="G1408" t="s">
        <v>18</v>
      </c>
      <c r="I1408">
        <v>341000</v>
      </c>
      <c r="J1408">
        <v>349000</v>
      </c>
      <c r="K1408">
        <v>342000</v>
      </c>
      <c r="L1408">
        <v>344000</v>
      </c>
    </row>
    <row r="1409" spans="1:12" ht="15" customHeight="1">
      <c r="A1409" t="s">
        <v>6732</v>
      </c>
      <c r="B1409" t="s">
        <v>3412</v>
      </c>
      <c r="C1409" t="s">
        <v>12</v>
      </c>
      <c r="D1409" t="s">
        <v>3413</v>
      </c>
      <c r="E1409" t="s">
        <v>1505</v>
      </c>
      <c r="F1409" t="s">
        <v>14</v>
      </c>
      <c r="G1409" t="s">
        <v>18</v>
      </c>
      <c r="J1409">
        <v>1260000</v>
      </c>
      <c r="L1409">
        <v>882000</v>
      </c>
    </row>
    <row r="1410" spans="1:12" ht="15" customHeight="1">
      <c r="A1410" t="s">
        <v>6733</v>
      </c>
      <c r="B1410" t="s">
        <v>3414</v>
      </c>
      <c r="C1410" t="s">
        <v>12</v>
      </c>
      <c r="D1410" t="s">
        <v>3415</v>
      </c>
      <c r="E1410" t="s">
        <v>1525</v>
      </c>
      <c r="F1410" t="s">
        <v>14</v>
      </c>
      <c r="G1410" t="s">
        <v>18</v>
      </c>
      <c r="I1410">
        <v>100000</v>
      </c>
      <c r="K1410">
        <v>100000</v>
      </c>
    </row>
    <row r="1411" spans="1:12" ht="15" customHeight="1">
      <c r="A1411" t="s">
        <v>6734</v>
      </c>
      <c r="B1411" t="s">
        <v>3416</v>
      </c>
      <c r="C1411" t="s">
        <v>12</v>
      </c>
      <c r="D1411" t="s">
        <v>3417</v>
      </c>
      <c r="E1411" t="s">
        <v>1646</v>
      </c>
      <c r="F1411" t="s">
        <v>14</v>
      </c>
      <c r="G1411" t="s">
        <v>18</v>
      </c>
      <c r="I1411">
        <v>234000</v>
      </c>
      <c r="J1411">
        <v>1076000</v>
      </c>
      <c r="K1411">
        <v>155000</v>
      </c>
      <c r="L1411">
        <v>749000</v>
      </c>
    </row>
    <row r="1412" spans="1:12" ht="15" customHeight="1">
      <c r="A1412" t="s">
        <v>6735</v>
      </c>
      <c r="B1412" t="s">
        <v>3418</v>
      </c>
      <c r="C1412" t="s">
        <v>12</v>
      </c>
      <c r="D1412" t="s">
        <v>3419</v>
      </c>
      <c r="E1412" t="s">
        <v>1680</v>
      </c>
      <c r="F1412" t="s">
        <v>14</v>
      </c>
      <c r="G1412" t="s">
        <v>18</v>
      </c>
      <c r="I1412">
        <v>209000</v>
      </c>
      <c r="J1412">
        <v>428000</v>
      </c>
      <c r="K1412">
        <v>206000</v>
      </c>
      <c r="L1412">
        <v>425000</v>
      </c>
    </row>
    <row r="1413" spans="1:12" ht="15" customHeight="1">
      <c r="A1413" t="s">
        <v>6736</v>
      </c>
      <c r="B1413" t="s">
        <v>3420</v>
      </c>
      <c r="C1413" t="s">
        <v>12</v>
      </c>
      <c r="D1413" t="s">
        <v>3421</v>
      </c>
      <c r="E1413" t="s">
        <v>1579</v>
      </c>
      <c r="F1413" t="s">
        <v>14</v>
      </c>
      <c r="G1413" t="s">
        <v>18</v>
      </c>
      <c r="J1413">
        <v>92000</v>
      </c>
      <c r="L1413">
        <v>91000</v>
      </c>
    </row>
    <row r="1414" spans="1:12" ht="15" customHeight="1">
      <c r="A1414" t="s">
        <v>6737</v>
      </c>
      <c r="B1414" t="s">
        <v>3422</v>
      </c>
      <c r="C1414" t="s">
        <v>12</v>
      </c>
      <c r="D1414" t="s">
        <v>3423</v>
      </c>
      <c r="E1414" t="s">
        <v>1532</v>
      </c>
      <c r="F1414" t="s">
        <v>14</v>
      </c>
      <c r="G1414" t="s">
        <v>18</v>
      </c>
    </row>
    <row r="1415" spans="1:12" ht="15" customHeight="1">
      <c r="A1415" t="s">
        <v>6738</v>
      </c>
      <c r="B1415" t="s">
        <v>3424</v>
      </c>
      <c r="C1415" t="s">
        <v>12</v>
      </c>
      <c r="D1415" t="s">
        <v>3425</v>
      </c>
      <c r="E1415" t="s">
        <v>1576</v>
      </c>
      <c r="F1415" t="s">
        <v>14</v>
      </c>
      <c r="G1415" t="s">
        <v>18</v>
      </c>
      <c r="K1415">
        <v>13000</v>
      </c>
    </row>
    <row r="1416" spans="1:12" ht="15" customHeight="1">
      <c r="A1416" t="s">
        <v>6739</v>
      </c>
      <c r="B1416" t="s">
        <v>3426</v>
      </c>
      <c r="C1416" t="s">
        <v>12</v>
      </c>
      <c r="D1416" t="s">
        <v>3427</v>
      </c>
      <c r="E1416" t="s">
        <v>1520</v>
      </c>
      <c r="F1416" t="s">
        <v>25</v>
      </c>
      <c r="G1416" t="s">
        <v>18</v>
      </c>
      <c r="I1416">
        <v>2824000</v>
      </c>
      <c r="J1416">
        <v>2854000</v>
      </c>
      <c r="K1416">
        <v>2847000</v>
      </c>
      <c r="L1416">
        <v>2820000</v>
      </c>
    </row>
    <row r="1417" spans="1:12" ht="15" customHeight="1">
      <c r="A1417" t="s">
        <v>6740</v>
      </c>
      <c r="B1417" t="s">
        <v>3428</v>
      </c>
      <c r="C1417" t="s">
        <v>12</v>
      </c>
      <c r="D1417" t="s">
        <v>3429</v>
      </c>
      <c r="E1417" t="s">
        <v>1979</v>
      </c>
      <c r="F1417" t="s">
        <v>14</v>
      </c>
      <c r="G1417" t="s">
        <v>18</v>
      </c>
      <c r="I1417">
        <v>189009000</v>
      </c>
      <c r="J1417">
        <v>1561000</v>
      </c>
      <c r="K1417">
        <v>599000</v>
      </c>
      <c r="L1417">
        <v>209485000</v>
      </c>
    </row>
    <row r="1418" spans="1:12" ht="15" customHeight="1">
      <c r="A1418" t="s">
        <v>6741</v>
      </c>
      <c r="B1418" t="s">
        <v>3430</v>
      </c>
      <c r="C1418" t="s">
        <v>12</v>
      </c>
      <c r="D1418" t="s">
        <v>3431</v>
      </c>
      <c r="E1418" t="s">
        <v>1524</v>
      </c>
      <c r="F1418" t="s">
        <v>14</v>
      </c>
      <c r="G1418" t="s">
        <v>18</v>
      </c>
      <c r="I1418">
        <v>201000</v>
      </c>
      <c r="J1418">
        <v>164000</v>
      </c>
      <c r="K1418">
        <v>203000</v>
      </c>
      <c r="L1418">
        <v>162000</v>
      </c>
    </row>
    <row r="1419" spans="1:12" ht="15" customHeight="1">
      <c r="A1419" t="s">
        <v>6742</v>
      </c>
      <c r="B1419" t="s">
        <v>3432</v>
      </c>
      <c r="C1419" t="s">
        <v>12</v>
      </c>
      <c r="D1419" t="s">
        <v>3433</v>
      </c>
      <c r="E1419" t="s">
        <v>1595</v>
      </c>
      <c r="F1419" t="s">
        <v>14</v>
      </c>
      <c r="G1419" t="s">
        <v>18</v>
      </c>
      <c r="I1419">
        <v>1062000</v>
      </c>
      <c r="J1419">
        <v>173000</v>
      </c>
      <c r="K1419">
        <v>1098000</v>
      </c>
      <c r="L1419">
        <v>163000</v>
      </c>
    </row>
    <row r="1420" spans="1:12" ht="15" customHeight="1">
      <c r="A1420" t="s">
        <v>6743</v>
      </c>
      <c r="B1420" t="s">
        <v>3434</v>
      </c>
      <c r="C1420" t="s">
        <v>12</v>
      </c>
      <c r="D1420" t="s">
        <v>3435</v>
      </c>
      <c r="E1420" t="s">
        <v>1566</v>
      </c>
      <c r="F1420" t="s">
        <v>14</v>
      </c>
      <c r="G1420" t="s">
        <v>18</v>
      </c>
    </row>
    <row r="1421" spans="1:12" ht="15" customHeight="1">
      <c r="A1421" t="s">
        <v>6744</v>
      </c>
      <c r="B1421" t="s">
        <v>3436</v>
      </c>
      <c r="C1421" t="s">
        <v>12</v>
      </c>
      <c r="D1421" t="s">
        <v>3437</v>
      </c>
      <c r="E1421" t="s">
        <v>2797</v>
      </c>
      <c r="F1421" t="s">
        <v>14</v>
      </c>
      <c r="G1421" t="s">
        <v>18</v>
      </c>
      <c r="J1421">
        <v>115000</v>
      </c>
      <c r="L1421">
        <v>77000</v>
      </c>
    </row>
    <row r="1422" spans="1:12" ht="15" customHeight="1">
      <c r="A1422" t="s">
        <v>6745</v>
      </c>
      <c r="B1422" t="s">
        <v>3438</v>
      </c>
      <c r="C1422" t="s">
        <v>12</v>
      </c>
      <c r="D1422" t="s">
        <v>3439</v>
      </c>
      <c r="E1422" t="s">
        <v>1642</v>
      </c>
      <c r="F1422" t="s">
        <v>14</v>
      </c>
      <c r="G1422" t="s">
        <v>18</v>
      </c>
      <c r="I1422">
        <v>327000</v>
      </c>
      <c r="J1422">
        <v>934000</v>
      </c>
      <c r="K1422">
        <v>375000</v>
      </c>
      <c r="L1422">
        <v>519000</v>
      </c>
    </row>
    <row r="1423" spans="1:12" ht="15" customHeight="1">
      <c r="A1423" t="s">
        <v>6746</v>
      </c>
      <c r="B1423" t="s">
        <v>3440</v>
      </c>
      <c r="C1423" t="s">
        <v>12</v>
      </c>
      <c r="D1423" t="s">
        <v>3441</v>
      </c>
      <c r="E1423" t="s">
        <v>1625</v>
      </c>
      <c r="F1423" t="s">
        <v>14</v>
      </c>
      <c r="G1423" t="s">
        <v>18</v>
      </c>
      <c r="I1423">
        <v>2013000</v>
      </c>
      <c r="J1423">
        <v>768000</v>
      </c>
      <c r="K1423">
        <v>2125000</v>
      </c>
      <c r="L1423">
        <v>759000</v>
      </c>
    </row>
    <row r="1424" spans="1:12" ht="15" customHeight="1">
      <c r="A1424" t="s">
        <v>6747</v>
      </c>
      <c r="B1424" t="s">
        <v>3442</v>
      </c>
      <c r="C1424" t="s">
        <v>12</v>
      </c>
      <c r="D1424" t="s">
        <v>3443</v>
      </c>
      <c r="E1424" t="s">
        <v>1649</v>
      </c>
      <c r="F1424" t="s">
        <v>14</v>
      </c>
      <c r="G1424" t="s">
        <v>18</v>
      </c>
      <c r="I1424">
        <v>8550000</v>
      </c>
      <c r="J1424">
        <v>18937000</v>
      </c>
      <c r="K1424">
        <v>8114000</v>
      </c>
      <c r="L1424">
        <v>15024000</v>
      </c>
    </row>
    <row r="1425" spans="1:12" ht="15" customHeight="1">
      <c r="A1425" t="s">
        <v>6748</v>
      </c>
      <c r="B1425" t="s">
        <v>3444</v>
      </c>
      <c r="C1425" t="s">
        <v>12</v>
      </c>
      <c r="D1425" t="s">
        <v>3445</v>
      </c>
      <c r="E1425" t="s">
        <v>1580</v>
      </c>
      <c r="F1425" t="s">
        <v>14</v>
      </c>
      <c r="G1425" t="s">
        <v>18</v>
      </c>
      <c r="I1425">
        <v>21000000</v>
      </c>
      <c r="J1425">
        <v>82700000</v>
      </c>
      <c r="K1425">
        <v>9026000</v>
      </c>
      <c r="L1425">
        <v>70648000</v>
      </c>
    </row>
    <row r="1426" spans="1:12" ht="15" customHeight="1">
      <c r="A1426" t="s">
        <v>6749</v>
      </c>
      <c r="B1426" t="s">
        <v>3446</v>
      </c>
      <c r="C1426" t="s">
        <v>12</v>
      </c>
      <c r="D1426" t="s">
        <v>3447</v>
      </c>
      <c r="E1426" t="s">
        <v>1518</v>
      </c>
      <c r="F1426" t="s">
        <v>14</v>
      </c>
      <c r="G1426" t="s">
        <v>22</v>
      </c>
      <c r="I1426">
        <v>22696000</v>
      </c>
      <c r="J1426">
        <v>23606000</v>
      </c>
      <c r="K1426">
        <v>32828000</v>
      </c>
      <c r="L1426">
        <v>25943000</v>
      </c>
    </row>
    <row r="1427" spans="1:12" ht="15" customHeight="1">
      <c r="A1427" t="s">
        <v>6750</v>
      </c>
      <c r="B1427" t="s">
        <v>3448</v>
      </c>
      <c r="C1427" t="s">
        <v>12</v>
      </c>
      <c r="D1427" t="s">
        <v>3449</v>
      </c>
      <c r="E1427" t="s">
        <v>1661</v>
      </c>
      <c r="F1427" t="s">
        <v>14</v>
      </c>
      <c r="G1427" t="s">
        <v>18</v>
      </c>
      <c r="I1427">
        <v>2072000</v>
      </c>
      <c r="J1427">
        <v>3194000</v>
      </c>
      <c r="K1427">
        <v>2050000</v>
      </c>
      <c r="L1427">
        <v>2074000</v>
      </c>
    </row>
    <row r="1428" spans="1:12" ht="15" customHeight="1">
      <c r="A1428" t="s">
        <v>6751</v>
      </c>
      <c r="B1428" t="s">
        <v>3450</v>
      </c>
      <c r="C1428" t="s">
        <v>12</v>
      </c>
      <c r="D1428" t="s">
        <v>3451</v>
      </c>
      <c r="E1428" t="s">
        <v>1580</v>
      </c>
      <c r="F1428" t="s">
        <v>14</v>
      </c>
      <c r="G1428" t="s">
        <v>18</v>
      </c>
    </row>
    <row r="1429" spans="1:12" ht="15" customHeight="1">
      <c r="A1429" t="s">
        <v>6752</v>
      </c>
      <c r="B1429" t="s">
        <v>3452</v>
      </c>
      <c r="C1429" t="s">
        <v>12</v>
      </c>
      <c r="D1429" t="s">
        <v>3453</v>
      </c>
      <c r="E1429" t="s">
        <v>1625</v>
      </c>
      <c r="F1429" t="s">
        <v>14</v>
      </c>
      <c r="G1429" t="s">
        <v>18</v>
      </c>
    </row>
    <row r="1430" spans="1:12" ht="15" customHeight="1">
      <c r="A1430" t="s">
        <v>6753</v>
      </c>
      <c r="B1430" t="s">
        <v>3454</v>
      </c>
      <c r="C1430" t="s">
        <v>12</v>
      </c>
      <c r="D1430" t="s">
        <v>3455</v>
      </c>
      <c r="E1430" t="s">
        <v>1579</v>
      </c>
      <c r="F1430" t="s">
        <v>25</v>
      </c>
      <c r="G1430" t="s">
        <v>18</v>
      </c>
      <c r="I1430">
        <v>115000</v>
      </c>
      <c r="J1430">
        <v>98000</v>
      </c>
      <c r="K1430">
        <v>73000</v>
      </c>
      <c r="L1430">
        <v>129000</v>
      </c>
    </row>
    <row r="1431" spans="1:12" ht="15" customHeight="1">
      <c r="A1431" t="s">
        <v>6754</v>
      </c>
      <c r="B1431" t="s">
        <v>3456</v>
      </c>
      <c r="C1431" t="s">
        <v>12</v>
      </c>
      <c r="D1431" t="s">
        <v>3457</v>
      </c>
      <c r="E1431" t="s">
        <v>1680</v>
      </c>
      <c r="F1431" t="s">
        <v>25</v>
      </c>
      <c r="G1431" t="s">
        <v>18</v>
      </c>
      <c r="I1431">
        <v>2697000</v>
      </c>
      <c r="J1431">
        <v>4207000</v>
      </c>
      <c r="K1431">
        <v>2697000</v>
      </c>
      <c r="L1431">
        <v>3418000</v>
      </c>
    </row>
    <row r="1432" spans="1:12" ht="15" customHeight="1">
      <c r="A1432" t="s">
        <v>6755</v>
      </c>
      <c r="B1432" t="s">
        <v>3458</v>
      </c>
      <c r="C1432" t="s">
        <v>12</v>
      </c>
      <c r="D1432" t="s">
        <v>3459</v>
      </c>
      <c r="E1432" t="s">
        <v>1532</v>
      </c>
      <c r="F1432" t="s">
        <v>14</v>
      </c>
      <c r="G1432" t="s">
        <v>18</v>
      </c>
    </row>
    <row r="1433" spans="1:12" ht="15" customHeight="1">
      <c r="A1433" t="s">
        <v>6756</v>
      </c>
      <c r="B1433" t="s">
        <v>3460</v>
      </c>
      <c r="C1433" t="s">
        <v>12</v>
      </c>
      <c r="D1433" t="s">
        <v>3461</v>
      </c>
      <c r="E1433" t="s">
        <v>1532</v>
      </c>
      <c r="F1433" t="s">
        <v>25</v>
      </c>
      <c r="G1433" t="s">
        <v>18</v>
      </c>
    </row>
    <row r="1434" spans="1:12" ht="15" customHeight="1">
      <c r="A1434" t="s">
        <v>6757</v>
      </c>
      <c r="B1434" t="s">
        <v>3462</v>
      </c>
      <c r="C1434" t="s">
        <v>12</v>
      </c>
      <c r="D1434" t="s">
        <v>3463</v>
      </c>
      <c r="E1434" t="s">
        <v>1508</v>
      </c>
      <c r="F1434" t="s">
        <v>14</v>
      </c>
      <c r="G1434" t="s">
        <v>18</v>
      </c>
      <c r="J1434">
        <v>1000</v>
      </c>
      <c r="L1434">
        <v>1000</v>
      </c>
    </row>
    <row r="1435" spans="1:12" ht="15" customHeight="1">
      <c r="A1435" t="s">
        <v>6758</v>
      </c>
      <c r="B1435" t="s">
        <v>3464</v>
      </c>
      <c r="C1435" t="s">
        <v>12</v>
      </c>
      <c r="D1435" t="s">
        <v>3465</v>
      </c>
      <c r="E1435" t="s">
        <v>1532</v>
      </c>
      <c r="F1435" t="s">
        <v>14</v>
      </c>
      <c r="G1435" t="s">
        <v>18</v>
      </c>
    </row>
    <row r="1436" spans="1:12" ht="15" customHeight="1">
      <c r="A1436" t="s">
        <v>6759</v>
      </c>
      <c r="B1436" t="s">
        <v>3466</v>
      </c>
      <c r="C1436" t="s">
        <v>12</v>
      </c>
      <c r="D1436" t="s">
        <v>3467</v>
      </c>
      <c r="E1436" t="s">
        <v>1820</v>
      </c>
      <c r="F1436" t="s">
        <v>25</v>
      </c>
      <c r="G1436" t="s">
        <v>18</v>
      </c>
      <c r="I1436">
        <v>2091000</v>
      </c>
      <c r="J1436">
        <v>2517000</v>
      </c>
      <c r="K1436">
        <v>2091000</v>
      </c>
      <c r="L1436">
        <v>2517000</v>
      </c>
    </row>
    <row r="1437" spans="1:12" ht="15" customHeight="1">
      <c r="A1437" t="s">
        <v>6760</v>
      </c>
      <c r="B1437" t="s">
        <v>3468</v>
      </c>
      <c r="C1437" t="s">
        <v>12</v>
      </c>
      <c r="D1437" t="s">
        <v>3469</v>
      </c>
      <c r="E1437" t="s">
        <v>1518</v>
      </c>
      <c r="F1437" t="s">
        <v>25</v>
      </c>
      <c r="G1437" t="s">
        <v>77</v>
      </c>
    </row>
    <row r="1438" spans="1:12" ht="15" customHeight="1">
      <c r="A1438" t="s">
        <v>6761</v>
      </c>
      <c r="B1438" t="s">
        <v>3470</v>
      </c>
      <c r="C1438" t="s">
        <v>12</v>
      </c>
      <c r="D1438" t="s">
        <v>3471</v>
      </c>
      <c r="E1438" t="s">
        <v>1504</v>
      </c>
      <c r="F1438" t="s">
        <v>14</v>
      </c>
      <c r="G1438" t="s">
        <v>18</v>
      </c>
      <c r="J1438">
        <v>893000</v>
      </c>
      <c r="L1438">
        <v>892000</v>
      </c>
    </row>
    <row r="1439" spans="1:12" ht="15" customHeight="1">
      <c r="A1439" t="s">
        <v>6762</v>
      </c>
      <c r="B1439" t="s">
        <v>3472</v>
      </c>
      <c r="C1439" t="s">
        <v>12</v>
      </c>
      <c r="D1439" t="s">
        <v>3473</v>
      </c>
      <c r="E1439" t="s">
        <v>1588</v>
      </c>
      <c r="F1439" t="s">
        <v>14</v>
      </c>
      <c r="G1439" t="s">
        <v>18</v>
      </c>
      <c r="I1439">
        <v>6347000</v>
      </c>
      <c r="J1439">
        <v>6690000</v>
      </c>
      <c r="K1439">
        <v>6708000</v>
      </c>
      <c r="L1439">
        <v>6228000</v>
      </c>
    </row>
    <row r="1440" spans="1:12" ht="15" customHeight="1">
      <c r="A1440" t="s">
        <v>6763</v>
      </c>
      <c r="B1440" t="s">
        <v>3474</v>
      </c>
      <c r="C1440" t="s">
        <v>12</v>
      </c>
      <c r="D1440" t="s">
        <v>3475</v>
      </c>
      <c r="E1440" t="s">
        <v>1592</v>
      </c>
      <c r="F1440" t="s">
        <v>25</v>
      </c>
      <c r="G1440" t="s">
        <v>18</v>
      </c>
      <c r="I1440">
        <v>230000</v>
      </c>
      <c r="J1440">
        <v>490000</v>
      </c>
      <c r="K1440">
        <v>232000</v>
      </c>
      <c r="L1440">
        <v>496000</v>
      </c>
    </row>
    <row r="1441" spans="1:12" ht="15" customHeight="1">
      <c r="A1441" t="s">
        <v>6764</v>
      </c>
      <c r="B1441" t="s">
        <v>3476</v>
      </c>
      <c r="C1441" t="s">
        <v>12</v>
      </c>
      <c r="D1441" t="s">
        <v>3477</v>
      </c>
      <c r="E1441" t="s">
        <v>1544</v>
      </c>
      <c r="F1441" t="s">
        <v>14</v>
      </c>
      <c r="G1441" t="s">
        <v>22</v>
      </c>
      <c r="I1441">
        <v>22575000</v>
      </c>
      <c r="J1441">
        <v>14226000</v>
      </c>
      <c r="K1441">
        <v>18246000</v>
      </c>
      <c r="L1441">
        <v>18700000</v>
      </c>
    </row>
    <row r="1442" spans="1:12" ht="15" customHeight="1">
      <c r="A1442" t="s">
        <v>6765</v>
      </c>
      <c r="B1442" t="s">
        <v>3478</v>
      </c>
      <c r="C1442" t="s">
        <v>12</v>
      </c>
      <c r="D1442" t="s">
        <v>3479</v>
      </c>
      <c r="E1442" t="s">
        <v>1579</v>
      </c>
      <c r="F1442" t="s">
        <v>14</v>
      </c>
      <c r="G1442" t="s">
        <v>22</v>
      </c>
      <c r="H1442" t="s">
        <v>23</v>
      </c>
      <c r="I1442">
        <v>648499000</v>
      </c>
      <c r="J1442">
        <v>699844000</v>
      </c>
      <c r="K1442">
        <v>652563000</v>
      </c>
      <c r="L1442">
        <v>700977000</v>
      </c>
    </row>
    <row r="1443" spans="1:12" ht="15" customHeight="1">
      <c r="A1443" t="s">
        <v>6766</v>
      </c>
      <c r="B1443" t="s">
        <v>3480</v>
      </c>
      <c r="C1443" t="s">
        <v>12</v>
      </c>
      <c r="D1443" t="s">
        <v>3481</v>
      </c>
      <c r="E1443" t="s">
        <v>1516</v>
      </c>
      <c r="F1443" t="s">
        <v>14</v>
      </c>
      <c r="G1443" t="s">
        <v>18</v>
      </c>
      <c r="I1443">
        <v>2943000</v>
      </c>
      <c r="J1443">
        <v>2841000</v>
      </c>
      <c r="K1443">
        <v>3043000</v>
      </c>
      <c r="L1443">
        <v>2610000</v>
      </c>
    </row>
    <row r="1444" spans="1:12" ht="15" customHeight="1">
      <c r="A1444" t="s">
        <v>6767</v>
      </c>
      <c r="B1444" t="s">
        <v>3482</v>
      </c>
      <c r="C1444" t="s">
        <v>12</v>
      </c>
      <c r="D1444" t="s">
        <v>3483</v>
      </c>
      <c r="E1444" t="s">
        <v>1532</v>
      </c>
      <c r="F1444" t="s">
        <v>14</v>
      </c>
      <c r="G1444" t="s">
        <v>18</v>
      </c>
    </row>
    <row r="1445" spans="1:12" ht="15" customHeight="1">
      <c r="A1445" t="s">
        <v>6768</v>
      </c>
      <c r="B1445" t="s">
        <v>3484</v>
      </c>
      <c r="C1445" t="s">
        <v>12</v>
      </c>
      <c r="D1445" t="s">
        <v>3485</v>
      </c>
      <c r="E1445" t="s">
        <v>1558</v>
      </c>
      <c r="F1445" t="s">
        <v>25</v>
      </c>
      <c r="G1445" t="s">
        <v>18</v>
      </c>
      <c r="I1445">
        <v>2000</v>
      </c>
    </row>
    <row r="1446" spans="1:12" ht="15" customHeight="1">
      <c r="A1446" t="s">
        <v>6769</v>
      </c>
      <c r="B1446" t="s">
        <v>3486</v>
      </c>
      <c r="C1446" t="s">
        <v>12</v>
      </c>
      <c r="D1446" t="s">
        <v>3487</v>
      </c>
      <c r="E1446" t="s">
        <v>1508</v>
      </c>
      <c r="F1446" t="s">
        <v>14</v>
      </c>
      <c r="G1446" t="s">
        <v>18</v>
      </c>
    </row>
    <row r="1447" spans="1:12" ht="15" customHeight="1">
      <c r="A1447" t="s">
        <v>6770</v>
      </c>
      <c r="B1447" t="s">
        <v>3488</v>
      </c>
      <c r="C1447" t="s">
        <v>12</v>
      </c>
      <c r="D1447" t="s">
        <v>3489</v>
      </c>
      <c r="E1447" t="s">
        <v>1558</v>
      </c>
      <c r="F1447" t="s">
        <v>14</v>
      </c>
      <c r="G1447" t="s">
        <v>18</v>
      </c>
      <c r="I1447">
        <v>10420000</v>
      </c>
      <c r="J1447">
        <v>5650000</v>
      </c>
      <c r="K1447">
        <v>10594000</v>
      </c>
      <c r="L1447">
        <v>5660000</v>
      </c>
    </row>
    <row r="1448" spans="1:12" ht="15" customHeight="1">
      <c r="A1448" t="s">
        <v>6771</v>
      </c>
      <c r="B1448" t="s">
        <v>3490</v>
      </c>
      <c r="C1448" t="s">
        <v>12</v>
      </c>
      <c r="D1448" t="s">
        <v>3491</v>
      </c>
      <c r="E1448" t="s">
        <v>1658</v>
      </c>
      <c r="F1448" t="s">
        <v>25</v>
      </c>
      <c r="G1448" t="s">
        <v>77</v>
      </c>
    </row>
    <row r="1449" spans="1:12" ht="15" customHeight="1">
      <c r="A1449" t="s">
        <v>6772</v>
      </c>
      <c r="B1449" t="s">
        <v>3492</v>
      </c>
      <c r="C1449" t="s">
        <v>12</v>
      </c>
      <c r="D1449" t="s">
        <v>3493</v>
      </c>
      <c r="E1449" t="s">
        <v>1526</v>
      </c>
      <c r="F1449" t="s">
        <v>14</v>
      </c>
      <c r="G1449" t="s">
        <v>18</v>
      </c>
      <c r="I1449">
        <v>284000</v>
      </c>
      <c r="J1449">
        <v>945000</v>
      </c>
      <c r="K1449">
        <v>264000</v>
      </c>
      <c r="L1449">
        <v>966000</v>
      </c>
    </row>
    <row r="1450" spans="1:12" ht="15" customHeight="1">
      <c r="A1450" t="s">
        <v>6773</v>
      </c>
      <c r="B1450" t="s">
        <v>3494</v>
      </c>
      <c r="C1450" t="s">
        <v>12</v>
      </c>
      <c r="D1450" t="s">
        <v>3495</v>
      </c>
      <c r="E1450" t="s">
        <v>1508</v>
      </c>
      <c r="F1450" t="s">
        <v>14</v>
      </c>
      <c r="G1450" t="s">
        <v>18</v>
      </c>
      <c r="I1450">
        <v>10000</v>
      </c>
      <c r="J1450">
        <v>745000</v>
      </c>
      <c r="K1450">
        <v>10000</v>
      </c>
      <c r="L1450">
        <v>149000</v>
      </c>
    </row>
    <row r="1451" spans="1:12" ht="15" customHeight="1">
      <c r="A1451" t="s">
        <v>6774</v>
      </c>
      <c r="B1451" t="s">
        <v>3496</v>
      </c>
      <c r="C1451" t="s">
        <v>12</v>
      </c>
      <c r="D1451" t="s">
        <v>3497</v>
      </c>
      <c r="E1451" t="s">
        <v>1532</v>
      </c>
      <c r="F1451" t="s">
        <v>14</v>
      </c>
      <c r="G1451" t="s">
        <v>18</v>
      </c>
      <c r="I1451">
        <v>11292000</v>
      </c>
      <c r="J1451">
        <v>19739000</v>
      </c>
      <c r="K1451">
        <v>11280000</v>
      </c>
      <c r="L1451">
        <v>17660000</v>
      </c>
    </row>
    <row r="1452" spans="1:12" ht="15" customHeight="1">
      <c r="A1452" t="s">
        <v>6775</v>
      </c>
      <c r="B1452" t="s">
        <v>3498</v>
      </c>
      <c r="C1452" t="s">
        <v>12</v>
      </c>
      <c r="D1452" t="s">
        <v>3499</v>
      </c>
      <c r="E1452" t="s">
        <v>1532</v>
      </c>
      <c r="F1452" t="s">
        <v>14</v>
      </c>
      <c r="G1452" t="s">
        <v>18</v>
      </c>
      <c r="I1452">
        <v>7389000</v>
      </c>
      <c r="J1452">
        <v>7370000</v>
      </c>
      <c r="K1452">
        <v>7309000</v>
      </c>
      <c r="L1452">
        <v>7415000</v>
      </c>
    </row>
    <row r="1453" spans="1:12" ht="15" customHeight="1">
      <c r="A1453" t="s">
        <v>6776</v>
      </c>
      <c r="B1453" t="s">
        <v>3500</v>
      </c>
      <c r="C1453" t="s">
        <v>12</v>
      </c>
      <c r="D1453" t="s">
        <v>3501</v>
      </c>
      <c r="E1453" t="s">
        <v>1520</v>
      </c>
      <c r="F1453" t="s">
        <v>14</v>
      </c>
      <c r="G1453" t="s">
        <v>18</v>
      </c>
      <c r="J1453">
        <v>99000</v>
      </c>
      <c r="L1453">
        <v>99000</v>
      </c>
    </row>
    <row r="1454" spans="1:12" ht="15" customHeight="1">
      <c r="A1454" t="s">
        <v>6777</v>
      </c>
      <c r="B1454" t="s">
        <v>3502</v>
      </c>
      <c r="C1454" t="s">
        <v>12</v>
      </c>
      <c r="D1454" t="s">
        <v>3503</v>
      </c>
      <c r="E1454" t="s">
        <v>1532</v>
      </c>
      <c r="F1454" t="s">
        <v>14</v>
      </c>
      <c r="G1454" t="s">
        <v>18</v>
      </c>
    </row>
    <row r="1455" spans="1:12" ht="15" customHeight="1">
      <c r="A1455" t="s">
        <v>6778</v>
      </c>
      <c r="B1455" t="s">
        <v>3504</v>
      </c>
      <c r="C1455" t="s">
        <v>12</v>
      </c>
      <c r="D1455" t="s">
        <v>3505</v>
      </c>
      <c r="E1455" t="s">
        <v>1532</v>
      </c>
      <c r="F1455" t="s">
        <v>14</v>
      </c>
      <c r="G1455" t="s">
        <v>18</v>
      </c>
      <c r="I1455">
        <v>1378000</v>
      </c>
      <c r="J1455">
        <v>700000</v>
      </c>
      <c r="K1455">
        <v>1651000</v>
      </c>
      <c r="L1455">
        <v>889000</v>
      </c>
    </row>
    <row r="1456" spans="1:12" ht="15" customHeight="1">
      <c r="A1456" t="s">
        <v>6779</v>
      </c>
      <c r="B1456" t="s">
        <v>3506</v>
      </c>
      <c r="C1456" t="s">
        <v>12</v>
      </c>
      <c r="D1456" t="s">
        <v>3507</v>
      </c>
      <c r="E1456" t="s">
        <v>1518</v>
      </c>
      <c r="F1456" t="s">
        <v>14</v>
      </c>
      <c r="G1456" t="s">
        <v>18</v>
      </c>
      <c r="I1456">
        <v>6234000</v>
      </c>
      <c r="J1456">
        <v>3579000</v>
      </c>
      <c r="K1456">
        <v>6132000</v>
      </c>
      <c r="L1456">
        <v>3485000</v>
      </c>
    </row>
    <row r="1457" spans="1:12" ht="15" customHeight="1">
      <c r="A1457" t="s">
        <v>6780</v>
      </c>
      <c r="B1457" t="s">
        <v>3508</v>
      </c>
      <c r="C1457" t="s">
        <v>12</v>
      </c>
      <c r="D1457" t="s">
        <v>3509</v>
      </c>
      <c r="E1457" t="s">
        <v>1781</v>
      </c>
      <c r="F1457" t="s">
        <v>14</v>
      </c>
      <c r="G1457" t="s">
        <v>18</v>
      </c>
      <c r="I1457">
        <v>195450000</v>
      </c>
      <c r="J1457">
        <v>138753000</v>
      </c>
      <c r="K1457">
        <v>178368000</v>
      </c>
      <c r="L1457">
        <v>141230000</v>
      </c>
    </row>
    <row r="1458" spans="1:12" ht="15" customHeight="1">
      <c r="A1458" t="s">
        <v>6781</v>
      </c>
      <c r="B1458" t="s">
        <v>3510</v>
      </c>
      <c r="C1458" t="s">
        <v>12</v>
      </c>
      <c r="D1458" t="s">
        <v>3511</v>
      </c>
      <c r="E1458" t="s">
        <v>1533</v>
      </c>
      <c r="F1458" t="s">
        <v>14</v>
      </c>
      <c r="G1458" t="s">
        <v>18</v>
      </c>
    </row>
    <row r="1459" spans="1:12" ht="15" customHeight="1">
      <c r="A1459" t="s">
        <v>6782</v>
      </c>
      <c r="B1459" t="s">
        <v>3512</v>
      </c>
      <c r="C1459" t="s">
        <v>12</v>
      </c>
      <c r="D1459" t="s">
        <v>3513</v>
      </c>
      <c r="E1459" t="s">
        <v>1776</v>
      </c>
      <c r="F1459" t="s">
        <v>14</v>
      </c>
      <c r="G1459" t="s">
        <v>18</v>
      </c>
      <c r="I1459">
        <v>1325000</v>
      </c>
      <c r="J1459">
        <v>846000</v>
      </c>
      <c r="K1459">
        <v>783000</v>
      </c>
      <c r="L1459">
        <v>1185000</v>
      </c>
    </row>
    <row r="1460" spans="1:12" ht="15" customHeight="1">
      <c r="A1460" t="s">
        <v>6783</v>
      </c>
      <c r="B1460" t="s">
        <v>3514</v>
      </c>
      <c r="C1460" t="s">
        <v>12</v>
      </c>
      <c r="D1460" t="s">
        <v>3515</v>
      </c>
      <c r="E1460" t="s">
        <v>1520</v>
      </c>
      <c r="F1460" t="s">
        <v>14</v>
      </c>
      <c r="G1460" t="s">
        <v>18</v>
      </c>
      <c r="I1460">
        <v>2695000</v>
      </c>
      <c r="J1460">
        <v>2629000</v>
      </c>
      <c r="K1460">
        <v>2213000</v>
      </c>
      <c r="L1460">
        <v>2225000</v>
      </c>
    </row>
    <row r="1461" spans="1:12" ht="15" customHeight="1">
      <c r="A1461" t="s">
        <v>6783</v>
      </c>
      <c r="B1461" t="s">
        <v>3516</v>
      </c>
      <c r="C1461" t="s">
        <v>12</v>
      </c>
      <c r="D1461" t="s">
        <v>3517</v>
      </c>
      <c r="E1461" t="s">
        <v>1504</v>
      </c>
      <c r="F1461" t="s">
        <v>14</v>
      </c>
      <c r="G1461" t="s">
        <v>18</v>
      </c>
      <c r="I1461">
        <v>2583000</v>
      </c>
      <c r="J1461">
        <v>9053000</v>
      </c>
      <c r="K1461">
        <v>2530000</v>
      </c>
      <c r="L1461">
        <v>9254000</v>
      </c>
    </row>
    <row r="1462" spans="1:12" ht="15" customHeight="1">
      <c r="A1462" t="s">
        <v>6783</v>
      </c>
      <c r="B1462" t="s">
        <v>3518</v>
      </c>
      <c r="C1462" t="s">
        <v>12</v>
      </c>
      <c r="D1462" t="s">
        <v>3519</v>
      </c>
      <c r="E1462" t="s">
        <v>1508</v>
      </c>
      <c r="F1462" t="s">
        <v>14</v>
      </c>
      <c r="G1462" t="s">
        <v>18</v>
      </c>
    </row>
    <row r="1463" spans="1:12" ht="15" customHeight="1">
      <c r="A1463" t="s">
        <v>6784</v>
      </c>
      <c r="B1463" t="s">
        <v>3520</v>
      </c>
      <c r="C1463" t="s">
        <v>12</v>
      </c>
      <c r="D1463" t="s">
        <v>3521</v>
      </c>
      <c r="E1463" t="s">
        <v>1565</v>
      </c>
      <c r="F1463" t="s">
        <v>14</v>
      </c>
      <c r="G1463" t="s">
        <v>18</v>
      </c>
      <c r="I1463">
        <v>20851000</v>
      </c>
      <c r="J1463">
        <v>22395000</v>
      </c>
      <c r="K1463">
        <v>20824000</v>
      </c>
      <c r="L1463">
        <v>22333000</v>
      </c>
    </row>
    <row r="1464" spans="1:12" ht="15" customHeight="1">
      <c r="A1464" t="s">
        <v>6785</v>
      </c>
      <c r="B1464" t="s">
        <v>3522</v>
      </c>
      <c r="C1464" t="s">
        <v>12</v>
      </c>
      <c r="D1464" t="s">
        <v>3523</v>
      </c>
      <c r="E1464" t="s">
        <v>1526</v>
      </c>
      <c r="F1464" t="s">
        <v>14</v>
      </c>
      <c r="G1464" t="s">
        <v>18</v>
      </c>
      <c r="I1464">
        <v>226000</v>
      </c>
      <c r="J1464">
        <v>63000</v>
      </c>
      <c r="K1464">
        <v>222000</v>
      </c>
      <c r="L1464">
        <v>71000</v>
      </c>
    </row>
    <row r="1465" spans="1:12" ht="15" customHeight="1">
      <c r="A1465" t="s">
        <v>6786</v>
      </c>
      <c r="B1465" t="s">
        <v>3524</v>
      </c>
      <c r="C1465" t="s">
        <v>12</v>
      </c>
      <c r="D1465" t="s">
        <v>3525</v>
      </c>
      <c r="E1465" t="s">
        <v>1559</v>
      </c>
      <c r="F1465" t="s">
        <v>14</v>
      </c>
      <c r="G1465" t="s">
        <v>18</v>
      </c>
      <c r="I1465">
        <v>239143000</v>
      </c>
      <c r="J1465">
        <v>186724000</v>
      </c>
      <c r="K1465">
        <v>260688000</v>
      </c>
      <c r="L1465">
        <v>213100000</v>
      </c>
    </row>
    <row r="1466" spans="1:12" ht="15" customHeight="1">
      <c r="A1466" t="s">
        <v>6787</v>
      </c>
      <c r="B1466" t="s">
        <v>3526</v>
      </c>
      <c r="C1466" t="s">
        <v>12</v>
      </c>
      <c r="D1466" t="s">
        <v>3527</v>
      </c>
      <c r="E1466" t="s">
        <v>1520</v>
      </c>
      <c r="F1466" t="s">
        <v>14</v>
      </c>
      <c r="G1466" t="s">
        <v>18</v>
      </c>
      <c r="K1466">
        <v>39000</v>
      </c>
      <c r="L1466">
        <v>14000</v>
      </c>
    </row>
    <row r="1467" spans="1:12" ht="15" customHeight="1">
      <c r="A1467" t="s">
        <v>6788</v>
      </c>
      <c r="B1467" t="s">
        <v>3528</v>
      </c>
      <c r="C1467" t="s">
        <v>12</v>
      </c>
      <c r="D1467" t="s">
        <v>3529</v>
      </c>
      <c r="E1467" t="s">
        <v>1509</v>
      </c>
      <c r="F1467" t="s">
        <v>14</v>
      </c>
      <c r="G1467" t="s">
        <v>18</v>
      </c>
    </row>
    <row r="1468" spans="1:12" ht="15" customHeight="1">
      <c r="A1468" t="s">
        <v>6789</v>
      </c>
      <c r="B1468" t="s">
        <v>3530</v>
      </c>
      <c r="C1468" t="s">
        <v>12</v>
      </c>
      <c r="D1468" t="s">
        <v>3531</v>
      </c>
      <c r="E1468" t="s">
        <v>1504</v>
      </c>
      <c r="F1468" t="s">
        <v>14</v>
      </c>
      <c r="G1468" t="s">
        <v>18</v>
      </c>
    </row>
    <row r="1469" spans="1:12" ht="15" customHeight="1">
      <c r="A1469" t="s">
        <v>6791</v>
      </c>
      <c r="B1469" t="s">
        <v>3532</v>
      </c>
      <c r="C1469" t="s">
        <v>12</v>
      </c>
      <c r="D1469" t="s">
        <v>3533</v>
      </c>
      <c r="E1469" t="s">
        <v>1533</v>
      </c>
      <c r="F1469" t="s">
        <v>14</v>
      </c>
      <c r="G1469" t="s">
        <v>18</v>
      </c>
      <c r="I1469">
        <v>1664000</v>
      </c>
      <c r="J1469">
        <v>1977000</v>
      </c>
      <c r="K1469">
        <v>1661000</v>
      </c>
      <c r="L1469">
        <v>2010000</v>
      </c>
    </row>
    <row r="1470" spans="1:12" ht="15" customHeight="1">
      <c r="A1470" t="s">
        <v>6790</v>
      </c>
      <c r="B1470" t="s">
        <v>3534</v>
      </c>
      <c r="C1470" t="s">
        <v>12</v>
      </c>
      <c r="D1470" t="s">
        <v>3535</v>
      </c>
      <c r="E1470" t="s">
        <v>1580</v>
      </c>
      <c r="F1470" t="s">
        <v>25</v>
      </c>
      <c r="G1470" t="s">
        <v>18</v>
      </c>
    </row>
    <row r="1471" spans="1:12" ht="15" customHeight="1">
      <c r="A1471" t="s">
        <v>6792</v>
      </c>
      <c r="B1471" t="s">
        <v>3536</v>
      </c>
      <c r="C1471" t="s">
        <v>12</v>
      </c>
      <c r="D1471" t="s">
        <v>3537</v>
      </c>
      <c r="E1471" t="s">
        <v>1504</v>
      </c>
      <c r="F1471" t="s">
        <v>25</v>
      </c>
      <c r="G1471" t="s">
        <v>18</v>
      </c>
      <c r="I1471">
        <v>3480000</v>
      </c>
      <c r="J1471">
        <v>4412000</v>
      </c>
      <c r="K1471">
        <v>4041000</v>
      </c>
      <c r="L1471">
        <v>3661000</v>
      </c>
    </row>
    <row r="1472" spans="1:12" ht="15" customHeight="1">
      <c r="A1472" t="s">
        <v>6793</v>
      </c>
      <c r="B1472" t="s">
        <v>3538</v>
      </c>
      <c r="C1472" t="s">
        <v>12</v>
      </c>
      <c r="D1472" t="s">
        <v>3539</v>
      </c>
      <c r="E1472" t="s">
        <v>1580</v>
      </c>
      <c r="F1472" t="s">
        <v>14</v>
      </c>
      <c r="G1472" t="s">
        <v>18</v>
      </c>
      <c r="I1472">
        <v>23500000</v>
      </c>
      <c r="J1472">
        <v>24000000</v>
      </c>
      <c r="K1472">
        <v>23315000</v>
      </c>
      <c r="L1472">
        <v>22721000</v>
      </c>
    </row>
    <row r="1473" spans="1:12" ht="15" customHeight="1">
      <c r="A1473" t="s">
        <v>6794</v>
      </c>
      <c r="B1473" t="s">
        <v>3540</v>
      </c>
      <c r="C1473" t="s">
        <v>12</v>
      </c>
      <c r="D1473" t="s">
        <v>3541</v>
      </c>
      <c r="E1473" t="s">
        <v>1829</v>
      </c>
      <c r="F1473" t="s">
        <v>25</v>
      </c>
      <c r="G1473" t="s">
        <v>18</v>
      </c>
      <c r="J1473">
        <v>1632000</v>
      </c>
      <c r="L1473">
        <v>1710000</v>
      </c>
    </row>
    <row r="1474" spans="1:12" ht="15" customHeight="1">
      <c r="A1474" t="s">
        <v>6795</v>
      </c>
      <c r="B1474" t="s">
        <v>3542</v>
      </c>
      <c r="C1474" t="s">
        <v>12</v>
      </c>
      <c r="D1474" t="s">
        <v>3543</v>
      </c>
      <c r="E1474" t="s">
        <v>1532</v>
      </c>
      <c r="F1474" t="s">
        <v>14</v>
      </c>
      <c r="G1474" t="s">
        <v>18</v>
      </c>
    </row>
    <row r="1475" spans="1:12" ht="15" customHeight="1">
      <c r="A1475" t="s">
        <v>6796</v>
      </c>
      <c r="B1475" t="s">
        <v>3544</v>
      </c>
      <c r="C1475" t="s">
        <v>12</v>
      </c>
      <c r="D1475" t="s">
        <v>3545</v>
      </c>
      <c r="E1475" t="s">
        <v>1580</v>
      </c>
      <c r="F1475" t="s">
        <v>14</v>
      </c>
      <c r="G1475" t="s">
        <v>18</v>
      </c>
      <c r="I1475">
        <v>107000</v>
      </c>
      <c r="J1475">
        <v>73000</v>
      </c>
      <c r="K1475">
        <v>116000</v>
      </c>
      <c r="L1475">
        <v>55000</v>
      </c>
    </row>
    <row r="1476" spans="1:12" ht="15" customHeight="1">
      <c r="A1476" t="s">
        <v>6797</v>
      </c>
      <c r="B1476" t="s">
        <v>3546</v>
      </c>
      <c r="C1476" t="s">
        <v>12</v>
      </c>
      <c r="D1476" t="s">
        <v>3547</v>
      </c>
      <c r="E1476" t="s">
        <v>1579</v>
      </c>
      <c r="F1476" t="s">
        <v>14</v>
      </c>
      <c r="G1476" t="s">
        <v>77</v>
      </c>
      <c r="I1476">
        <v>17848000</v>
      </c>
      <c r="J1476">
        <v>18138000</v>
      </c>
      <c r="K1476">
        <v>14538000</v>
      </c>
      <c r="L1476">
        <v>14191000</v>
      </c>
    </row>
    <row r="1477" spans="1:12" ht="15" customHeight="1">
      <c r="A1477" t="s">
        <v>6798</v>
      </c>
      <c r="B1477" t="s">
        <v>3548</v>
      </c>
      <c r="C1477" t="s">
        <v>12</v>
      </c>
      <c r="D1477" t="s">
        <v>3549</v>
      </c>
      <c r="E1477" t="s">
        <v>1513</v>
      </c>
      <c r="F1477" t="s">
        <v>25</v>
      </c>
      <c r="G1477" t="s">
        <v>18</v>
      </c>
      <c r="I1477">
        <v>290000</v>
      </c>
      <c r="J1477">
        <v>516000</v>
      </c>
      <c r="K1477">
        <v>269000</v>
      </c>
      <c r="L1477">
        <v>349000</v>
      </c>
    </row>
    <row r="1478" spans="1:12" ht="15" customHeight="1">
      <c r="A1478" t="s">
        <v>6799</v>
      </c>
      <c r="B1478" t="s">
        <v>3550</v>
      </c>
      <c r="C1478" t="s">
        <v>12</v>
      </c>
      <c r="D1478" t="s">
        <v>3551</v>
      </c>
      <c r="E1478" t="s">
        <v>1509</v>
      </c>
      <c r="F1478" t="s">
        <v>25</v>
      </c>
      <c r="G1478" t="s">
        <v>18</v>
      </c>
      <c r="K1478">
        <v>1000</v>
      </c>
      <c r="L1478">
        <v>5000</v>
      </c>
    </row>
    <row r="1479" spans="1:12" ht="15" customHeight="1">
      <c r="A1479" t="s">
        <v>6800</v>
      </c>
      <c r="B1479" t="s">
        <v>3552</v>
      </c>
      <c r="C1479" t="s">
        <v>12</v>
      </c>
      <c r="D1479" t="s">
        <v>3553</v>
      </c>
      <c r="E1479" t="s">
        <v>1532</v>
      </c>
      <c r="F1479" t="s">
        <v>249</v>
      </c>
      <c r="G1479" t="s">
        <v>18</v>
      </c>
    </row>
    <row r="1480" spans="1:12" ht="15" customHeight="1">
      <c r="A1480" t="s">
        <v>6801</v>
      </c>
      <c r="B1480" t="s">
        <v>3554</v>
      </c>
      <c r="C1480" t="s">
        <v>12</v>
      </c>
      <c r="D1480" t="s">
        <v>3555</v>
      </c>
      <c r="E1480" t="s">
        <v>1524</v>
      </c>
      <c r="F1480" t="s">
        <v>25</v>
      </c>
      <c r="G1480" t="s">
        <v>18</v>
      </c>
    </row>
    <row r="1481" spans="1:12" ht="15" customHeight="1">
      <c r="A1481" t="s">
        <v>6802</v>
      </c>
      <c r="B1481" t="s">
        <v>3556</v>
      </c>
      <c r="C1481" t="s">
        <v>12</v>
      </c>
      <c r="D1481" t="s">
        <v>3557</v>
      </c>
      <c r="E1481" t="s">
        <v>1628</v>
      </c>
      <c r="F1481" t="s">
        <v>25</v>
      </c>
      <c r="G1481" t="s">
        <v>18</v>
      </c>
    </row>
    <row r="1482" spans="1:12" ht="15" customHeight="1">
      <c r="A1482" t="s">
        <v>6803</v>
      </c>
      <c r="B1482" t="s">
        <v>3558</v>
      </c>
      <c r="C1482" t="s">
        <v>12</v>
      </c>
      <c r="D1482" t="s">
        <v>3559</v>
      </c>
      <c r="E1482" t="s">
        <v>1535</v>
      </c>
      <c r="F1482" t="s">
        <v>14</v>
      </c>
      <c r="G1482" t="s">
        <v>18</v>
      </c>
    </row>
    <row r="1483" spans="1:12" ht="15" customHeight="1">
      <c r="A1483" t="s">
        <v>6804</v>
      </c>
      <c r="B1483" t="s">
        <v>3560</v>
      </c>
      <c r="C1483" t="s">
        <v>12</v>
      </c>
      <c r="D1483" t="s">
        <v>3561</v>
      </c>
      <c r="E1483" t="s">
        <v>1544</v>
      </c>
      <c r="F1483" t="s">
        <v>25</v>
      </c>
      <c r="G1483" t="s">
        <v>18</v>
      </c>
    </row>
    <row r="1484" spans="1:12" ht="15" customHeight="1">
      <c r="A1484" t="s">
        <v>6805</v>
      </c>
      <c r="B1484" t="s">
        <v>3562</v>
      </c>
      <c r="C1484" t="s">
        <v>12</v>
      </c>
      <c r="D1484" t="s">
        <v>3563</v>
      </c>
      <c r="E1484" t="s">
        <v>1519</v>
      </c>
      <c r="F1484" t="s">
        <v>14</v>
      </c>
      <c r="G1484" t="s">
        <v>18</v>
      </c>
    </row>
    <row r="1485" spans="1:12" ht="15" customHeight="1">
      <c r="A1485" t="s">
        <v>6806</v>
      </c>
      <c r="B1485" t="s">
        <v>3564</v>
      </c>
      <c r="C1485" t="s">
        <v>12</v>
      </c>
      <c r="D1485" t="s">
        <v>3565</v>
      </c>
      <c r="E1485" t="s">
        <v>1680</v>
      </c>
      <c r="F1485" t="s">
        <v>14</v>
      </c>
      <c r="G1485" t="s">
        <v>18</v>
      </c>
      <c r="I1485">
        <v>168000</v>
      </c>
      <c r="J1485">
        <v>162000</v>
      </c>
      <c r="K1485">
        <v>166000</v>
      </c>
      <c r="L1485">
        <v>164000</v>
      </c>
    </row>
    <row r="1486" spans="1:12" ht="15" customHeight="1">
      <c r="A1486" t="s">
        <v>6807</v>
      </c>
      <c r="B1486" t="s">
        <v>3566</v>
      </c>
      <c r="C1486" t="s">
        <v>12</v>
      </c>
      <c r="D1486" t="s">
        <v>3567</v>
      </c>
      <c r="E1486" t="s">
        <v>1532</v>
      </c>
      <c r="F1486" t="s">
        <v>14</v>
      </c>
      <c r="G1486" t="s">
        <v>18</v>
      </c>
    </row>
    <row r="1487" spans="1:12" ht="15" customHeight="1">
      <c r="A1487" t="s">
        <v>6808</v>
      </c>
      <c r="B1487" t="s">
        <v>3568</v>
      </c>
      <c r="C1487" t="s">
        <v>12</v>
      </c>
      <c r="D1487" t="s">
        <v>3569</v>
      </c>
      <c r="E1487" t="s">
        <v>1524</v>
      </c>
      <c r="F1487" t="s">
        <v>25</v>
      </c>
      <c r="G1487" t="s">
        <v>18</v>
      </c>
      <c r="I1487">
        <v>480000</v>
      </c>
      <c r="J1487">
        <v>482000</v>
      </c>
      <c r="K1487">
        <v>1114000</v>
      </c>
      <c r="L1487">
        <v>934000</v>
      </c>
    </row>
    <row r="1488" spans="1:12" ht="15" customHeight="1">
      <c r="A1488" t="s">
        <v>6809</v>
      </c>
      <c r="B1488" t="s">
        <v>3570</v>
      </c>
      <c r="C1488" t="s">
        <v>12</v>
      </c>
      <c r="D1488" t="s">
        <v>3571</v>
      </c>
      <c r="E1488" t="s">
        <v>1798</v>
      </c>
      <c r="F1488" t="s">
        <v>14</v>
      </c>
      <c r="G1488" t="s">
        <v>18</v>
      </c>
    </row>
    <row r="1489" spans="1:12" ht="15" customHeight="1">
      <c r="A1489" t="s">
        <v>6810</v>
      </c>
      <c r="B1489" t="s">
        <v>3572</v>
      </c>
      <c r="C1489" t="s">
        <v>12</v>
      </c>
      <c r="D1489" t="s">
        <v>3573</v>
      </c>
      <c r="E1489" t="s">
        <v>1898</v>
      </c>
      <c r="F1489" t="s">
        <v>14</v>
      </c>
      <c r="G1489" t="s">
        <v>18</v>
      </c>
      <c r="I1489">
        <v>8580000</v>
      </c>
      <c r="J1489">
        <v>3920000</v>
      </c>
      <c r="K1489">
        <v>8622000</v>
      </c>
      <c r="L1489">
        <v>3350000</v>
      </c>
    </row>
    <row r="1490" spans="1:12" ht="15" customHeight="1">
      <c r="A1490" t="s">
        <v>6811</v>
      </c>
      <c r="B1490" t="s">
        <v>3574</v>
      </c>
      <c r="C1490" t="s">
        <v>12</v>
      </c>
      <c r="D1490" t="s">
        <v>3575</v>
      </c>
      <c r="E1490" t="s">
        <v>1532</v>
      </c>
      <c r="F1490" t="s">
        <v>14</v>
      </c>
      <c r="G1490" t="s">
        <v>18</v>
      </c>
    </row>
    <row r="1491" spans="1:12" ht="15" customHeight="1">
      <c r="A1491" t="s">
        <v>6812</v>
      </c>
      <c r="B1491" t="s">
        <v>3576</v>
      </c>
      <c r="C1491" t="s">
        <v>12</v>
      </c>
      <c r="D1491" t="s">
        <v>3577</v>
      </c>
      <c r="E1491" t="s">
        <v>2139</v>
      </c>
      <c r="F1491" t="s">
        <v>24</v>
      </c>
      <c r="G1491" t="s">
        <v>22</v>
      </c>
      <c r="I1491">
        <v>836770000</v>
      </c>
      <c r="J1491">
        <v>830499000</v>
      </c>
      <c r="K1491">
        <v>701581000</v>
      </c>
      <c r="L1491">
        <v>734177000</v>
      </c>
    </row>
    <row r="1492" spans="1:12" ht="15" customHeight="1">
      <c r="A1492" t="s">
        <v>6813</v>
      </c>
      <c r="B1492" t="s">
        <v>3578</v>
      </c>
      <c r="C1492" t="s">
        <v>12</v>
      </c>
      <c r="D1492" t="s">
        <v>3579</v>
      </c>
      <c r="E1492" t="s">
        <v>1533</v>
      </c>
      <c r="F1492" t="s">
        <v>14</v>
      </c>
      <c r="G1492" t="s">
        <v>18</v>
      </c>
      <c r="J1492">
        <v>486000</v>
      </c>
      <c r="L1492">
        <v>486000</v>
      </c>
    </row>
    <row r="1493" spans="1:12" ht="15" customHeight="1">
      <c r="A1493" t="s">
        <v>6814</v>
      </c>
      <c r="B1493" t="s">
        <v>3580</v>
      </c>
      <c r="C1493" t="s">
        <v>12</v>
      </c>
      <c r="D1493" t="s">
        <v>3581</v>
      </c>
      <c r="E1493" t="s">
        <v>1532</v>
      </c>
      <c r="F1493" t="s">
        <v>14</v>
      </c>
      <c r="G1493" t="s">
        <v>18</v>
      </c>
      <c r="J1493">
        <v>191000</v>
      </c>
      <c r="L1493">
        <v>191000</v>
      </c>
    </row>
    <row r="1494" spans="1:12" ht="15" customHeight="1">
      <c r="A1494" t="s">
        <v>6815</v>
      </c>
      <c r="B1494" t="s">
        <v>3582</v>
      </c>
      <c r="C1494" t="s">
        <v>12</v>
      </c>
      <c r="D1494" t="s">
        <v>3583</v>
      </c>
      <c r="E1494" t="s">
        <v>1820</v>
      </c>
      <c r="F1494" t="s">
        <v>25</v>
      </c>
      <c r="G1494" t="s">
        <v>18</v>
      </c>
      <c r="I1494">
        <v>75000</v>
      </c>
      <c r="K1494">
        <v>75000</v>
      </c>
    </row>
    <row r="1495" spans="1:12" ht="15" customHeight="1">
      <c r="A1495" t="s">
        <v>6816</v>
      </c>
      <c r="B1495" t="s">
        <v>3584</v>
      </c>
      <c r="C1495" t="s">
        <v>12</v>
      </c>
      <c r="D1495" t="s">
        <v>3585</v>
      </c>
      <c r="E1495" t="s">
        <v>1798</v>
      </c>
      <c r="F1495" t="s">
        <v>25</v>
      </c>
      <c r="G1495" t="s">
        <v>18</v>
      </c>
    </row>
    <row r="1496" spans="1:12" ht="15" customHeight="1">
      <c r="A1496" t="s">
        <v>6817</v>
      </c>
      <c r="B1496" t="s">
        <v>3586</v>
      </c>
      <c r="C1496" t="s">
        <v>12</v>
      </c>
      <c r="D1496" t="s">
        <v>3587</v>
      </c>
      <c r="E1496" t="s">
        <v>1532</v>
      </c>
      <c r="F1496" t="s">
        <v>14</v>
      </c>
      <c r="G1496" t="s">
        <v>18</v>
      </c>
      <c r="J1496">
        <v>5000</v>
      </c>
      <c r="K1496">
        <v>30000</v>
      </c>
      <c r="L1496">
        <v>5000</v>
      </c>
    </row>
    <row r="1497" spans="1:12" ht="15" customHeight="1">
      <c r="A1497" t="s">
        <v>6818</v>
      </c>
      <c r="B1497" t="s">
        <v>3588</v>
      </c>
      <c r="C1497" t="s">
        <v>12</v>
      </c>
      <c r="D1497" t="s">
        <v>3589</v>
      </c>
      <c r="E1497" t="s">
        <v>1518</v>
      </c>
      <c r="F1497" t="s">
        <v>25</v>
      </c>
      <c r="G1497" t="s">
        <v>77</v>
      </c>
      <c r="I1497">
        <v>2973000</v>
      </c>
      <c r="J1497">
        <v>3520000</v>
      </c>
      <c r="K1497">
        <v>2681000</v>
      </c>
      <c r="L1497">
        <v>3884000</v>
      </c>
    </row>
    <row r="1498" spans="1:12" ht="15" customHeight="1">
      <c r="A1498" t="s">
        <v>6819</v>
      </c>
      <c r="B1498" t="s">
        <v>3590</v>
      </c>
      <c r="C1498" t="s">
        <v>12</v>
      </c>
      <c r="D1498" t="s">
        <v>3591</v>
      </c>
      <c r="E1498" t="s">
        <v>1532</v>
      </c>
      <c r="F1498" t="s">
        <v>25</v>
      </c>
      <c r="G1498" t="s">
        <v>18</v>
      </c>
    </row>
    <row r="1499" spans="1:12" ht="15" customHeight="1">
      <c r="A1499" t="s">
        <v>6820</v>
      </c>
      <c r="B1499" t="s">
        <v>3592</v>
      </c>
      <c r="C1499" t="s">
        <v>12</v>
      </c>
      <c r="D1499" t="s">
        <v>3593</v>
      </c>
      <c r="E1499" t="s">
        <v>1504</v>
      </c>
      <c r="F1499" t="s">
        <v>25</v>
      </c>
      <c r="G1499" t="s">
        <v>18</v>
      </c>
      <c r="I1499">
        <v>3579000</v>
      </c>
      <c r="J1499">
        <v>2805000</v>
      </c>
      <c r="K1499">
        <v>4850000</v>
      </c>
      <c r="L1499">
        <v>2805000</v>
      </c>
    </row>
    <row r="1500" spans="1:12" ht="15" customHeight="1">
      <c r="A1500" t="s">
        <v>6821</v>
      </c>
      <c r="B1500" t="s">
        <v>3594</v>
      </c>
      <c r="C1500" t="s">
        <v>12</v>
      </c>
      <c r="D1500" t="s">
        <v>3595</v>
      </c>
      <c r="E1500" t="s">
        <v>1532</v>
      </c>
      <c r="F1500" t="s">
        <v>14</v>
      </c>
      <c r="G1500" t="s">
        <v>18</v>
      </c>
      <c r="J1500">
        <v>1230000</v>
      </c>
      <c r="L1500">
        <v>1243000</v>
      </c>
    </row>
    <row r="1501" spans="1:12" ht="15" customHeight="1">
      <c r="A1501" t="s">
        <v>6822</v>
      </c>
      <c r="B1501" t="s">
        <v>3596</v>
      </c>
      <c r="C1501" t="s">
        <v>12</v>
      </c>
      <c r="D1501" t="s">
        <v>3597</v>
      </c>
      <c r="E1501" t="s">
        <v>1532</v>
      </c>
      <c r="F1501" t="s">
        <v>25</v>
      </c>
      <c r="G1501" t="s">
        <v>18</v>
      </c>
    </row>
    <row r="1502" spans="1:12" ht="15" customHeight="1">
      <c r="A1502" t="s">
        <v>6823</v>
      </c>
      <c r="B1502" t="s">
        <v>3598</v>
      </c>
      <c r="C1502" t="s">
        <v>12</v>
      </c>
      <c r="D1502" t="s">
        <v>3599</v>
      </c>
      <c r="E1502" t="s">
        <v>1532</v>
      </c>
      <c r="F1502" t="s">
        <v>25</v>
      </c>
      <c r="G1502" t="s">
        <v>18</v>
      </c>
      <c r="I1502">
        <v>745000</v>
      </c>
      <c r="J1502">
        <v>1509000</v>
      </c>
      <c r="K1502">
        <v>11000</v>
      </c>
      <c r="L1502">
        <v>2094000</v>
      </c>
    </row>
    <row r="1503" spans="1:12" ht="15" customHeight="1">
      <c r="A1503" t="s">
        <v>6824</v>
      </c>
      <c r="B1503" t="s">
        <v>3600</v>
      </c>
      <c r="C1503" t="s">
        <v>12</v>
      </c>
      <c r="D1503" t="s">
        <v>3601</v>
      </c>
      <c r="E1503" t="s">
        <v>1532</v>
      </c>
      <c r="F1503" t="s">
        <v>25</v>
      </c>
      <c r="G1503" t="s">
        <v>18</v>
      </c>
      <c r="J1503">
        <v>3840000</v>
      </c>
      <c r="L1503">
        <v>5453000</v>
      </c>
    </row>
    <row r="1504" spans="1:12" ht="15" customHeight="1">
      <c r="A1504" t="s">
        <v>6825</v>
      </c>
      <c r="B1504" t="s">
        <v>3602</v>
      </c>
      <c r="C1504" t="s">
        <v>12</v>
      </c>
      <c r="D1504" t="s">
        <v>3603</v>
      </c>
      <c r="E1504" t="s">
        <v>1526</v>
      </c>
      <c r="F1504" t="s">
        <v>25</v>
      </c>
      <c r="G1504" t="s">
        <v>18</v>
      </c>
      <c r="I1504">
        <v>9044000</v>
      </c>
      <c r="J1504">
        <v>11186000</v>
      </c>
      <c r="K1504">
        <v>8954000</v>
      </c>
      <c r="L1504">
        <v>10997000</v>
      </c>
    </row>
    <row r="1505" spans="1:12" ht="15" customHeight="1">
      <c r="A1505" t="s">
        <v>6826</v>
      </c>
      <c r="B1505" t="s">
        <v>3604</v>
      </c>
      <c r="C1505" t="s">
        <v>12</v>
      </c>
      <c r="D1505" t="s">
        <v>3605</v>
      </c>
      <c r="E1505" t="s">
        <v>1505</v>
      </c>
      <c r="F1505" t="s">
        <v>14</v>
      </c>
      <c r="G1505" t="s">
        <v>18</v>
      </c>
      <c r="I1505">
        <v>5000</v>
      </c>
      <c r="K1505">
        <v>5000</v>
      </c>
    </row>
    <row r="1506" spans="1:12" ht="15" customHeight="1">
      <c r="A1506" t="s">
        <v>6827</v>
      </c>
      <c r="B1506" t="s">
        <v>3606</v>
      </c>
      <c r="C1506" t="s">
        <v>12</v>
      </c>
      <c r="D1506" t="s">
        <v>3607</v>
      </c>
      <c r="E1506" t="s">
        <v>1532</v>
      </c>
      <c r="F1506" t="s">
        <v>14</v>
      </c>
      <c r="G1506" t="s">
        <v>18</v>
      </c>
      <c r="J1506">
        <v>2675000</v>
      </c>
      <c r="L1506">
        <v>2499000</v>
      </c>
    </row>
    <row r="1507" spans="1:12" ht="15" customHeight="1">
      <c r="A1507" t="s">
        <v>6828</v>
      </c>
      <c r="B1507" t="s">
        <v>3608</v>
      </c>
      <c r="C1507" t="s">
        <v>12</v>
      </c>
      <c r="D1507" t="s">
        <v>3609</v>
      </c>
      <c r="E1507" t="s">
        <v>1532</v>
      </c>
      <c r="F1507" t="s">
        <v>25</v>
      </c>
      <c r="G1507" t="s">
        <v>18</v>
      </c>
    </row>
    <row r="1508" spans="1:12" ht="15" customHeight="1">
      <c r="A1508" t="s">
        <v>6829</v>
      </c>
      <c r="B1508" t="s">
        <v>3610</v>
      </c>
      <c r="C1508" t="s">
        <v>12</v>
      </c>
      <c r="D1508" t="s">
        <v>3611</v>
      </c>
      <c r="E1508" t="s">
        <v>1629</v>
      </c>
      <c r="F1508" t="s">
        <v>14</v>
      </c>
      <c r="G1508" t="s">
        <v>18</v>
      </c>
      <c r="I1508">
        <v>290000</v>
      </c>
      <c r="J1508">
        <v>6000</v>
      </c>
      <c r="K1508">
        <v>260000</v>
      </c>
      <c r="L1508">
        <v>4000</v>
      </c>
    </row>
    <row r="1509" spans="1:12" ht="15" customHeight="1">
      <c r="A1509" t="s">
        <v>6830</v>
      </c>
      <c r="B1509" t="s">
        <v>3612</v>
      </c>
      <c r="C1509" t="s">
        <v>12</v>
      </c>
      <c r="D1509" t="s">
        <v>3613</v>
      </c>
      <c r="E1509" t="s">
        <v>1512</v>
      </c>
      <c r="F1509" t="s">
        <v>14</v>
      </c>
      <c r="G1509" t="s">
        <v>18</v>
      </c>
      <c r="I1509">
        <v>1414000</v>
      </c>
      <c r="J1509">
        <v>1463000</v>
      </c>
      <c r="K1509">
        <v>1378000</v>
      </c>
      <c r="L1509">
        <v>1466000</v>
      </c>
    </row>
    <row r="1510" spans="1:12" ht="15" customHeight="1">
      <c r="A1510" t="s">
        <v>6831</v>
      </c>
      <c r="B1510" t="s">
        <v>3614</v>
      </c>
      <c r="C1510" t="s">
        <v>12</v>
      </c>
      <c r="D1510" t="s">
        <v>3615</v>
      </c>
      <c r="E1510" t="s">
        <v>1618</v>
      </c>
      <c r="F1510" t="s">
        <v>25</v>
      </c>
      <c r="G1510" t="s">
        <v>18</v>
      </c>
    </row>
    <row r="1511" spans="1:12" ht="15" customHeight="1">
      <c r="A1511" t="s">
        <v>6832</v>
      </c>
      <c r="B1511" t="s">
        <v>3616</v>
      </c>
      <c r="C1511" t="s">
        <v>12</v>
      </c>
      <c r="D1511" t="s">
        <v>3617</v>
      </c>
      <c r="E1511" t="s">
        <v>1618</v>
      </c>
      <c r="F1511" t="s">
        <v>25</v>
      </c>
      <c r="G1511" t="s">
        <v>18</v>
      </c>
      <c r="I1511">
        <v>46000</v>
      </c>
      <c r="K1511">
        <v>46000</v>
      </c>
    </row>
    <row r="1512" spans="1:12" ht="15" customHeight="1">
      <c r="A1512" t="s">
        <v>6833</v>
      </c>
      <c r="B1512" t="s">
        <v>3618</v>
      </c>
      <c r="C1512" t="s">
        <v>12</v>
      </c>
      <c r="D1512" t="s">
        <v>3619</v>
      </c>
      <c r="E1512" t="s">
        <v>1516</v>
      </c>
      <c r="F1512" t="s">
        <v>25</v>
      </c>
      <c r="G1512" t="s">
        <v>18</v>
      </c>
    </row>
    <row r="1513" spans="1:12" ht="15" customHeight="1">
      <c r="A1513" t="s">
        <v>6834</v>
      </c>
      <c r="B1513" t="s">
        <v>3620</v>
      </c>
      <c r="C1513" t="s">
        <v>12</v>
      </c>
      <c r="D1513" t="s">
        <v>3621</v>
      </c>
      <c r="E1513" t="s">
        <v>1580</v>
      </c>
      <c r="F1513" t="s">
        <v>25</v>
      </c>
      <c r="G1513" t="s">
        <v>18</v>
      </c>
    </row>
    <row r="1514" spans="1:12" ht="15" customHeight="1">
      <c r="A1514" t="s">
        <v>6835</v>
      </c>
      <c r="B1514" t="s">
        <v>3622</v>
      </c>
      <c r="C1514" t="s">
        <v>12</v>
      </c>
      <c r="D1514" t="s">
        <v>3623</v>
      </c>
      <c r="E1514" t="s">
        <v>1619</v>
      </c>
      <c r="F1514" t="s">
        <v>14</v>
      </c>
      <c r="G1514" t="s">
        <v>18</v>
      </c>
      <c r="I1514">
        <v>1467000</v>
      </c>
      <c r="J1514">
        <v>3778000</v>
      </c>
      <c r="K1514">
        <v>1399000</v>
      </c>
      <c r="L1514">
        <v>3803000</v>
      </c>
    </row>
    <row r="1515" spans="1:12" ht="15" customHeight="1">
      <c r="A1515" t="s">
        <v>6836</v>
      </c>
      <c r="B1515" t="s">
        <v>3624</v>
      </c>
      <c r="C1515" t="s">
        <v>12</v>
      </c>
      <c r="D1515" t="s">
        <v>3625</v>
      </c>
      <c r="E1515" t="s">
        <v>1520</v>
      </c>
      <c r="F1515" t="s">
        <v>14</v>
      </c>
      <c r="G1515" t="s">
        <v>18</v>
      </c>
      <c r="I1515">
        <v>200000</v>
      </c>
      <c r="J1515">
        <v>650000</v>
      </c>
      <c r="K1515">
        <v>239000</v>
      </c>
      <c r="L1515">
        <v>605000</v>
      </c>
    </row>
    <row r="1516" spans="1:12" ht="15" customHeight="1">
      <c r="A1516" t="s">
        <v>6837</v>
      </c>
      <c r="B1516" t="s">
        <v>3626</v>
      </c>
      <c r="C1516" t="s">
        <v>12</v>
      </c>
      <c r="D1516" t="s">
        <v>3627</v>
      </c>
      <c r="E1516" t="s">
        <v>1526</v>
      </c>
      <c r="F1516" t="s">
        <v>14</v>
      </c>
      <c r="G1516" t="s">
        <v>18</v>
      </c>
    </row>
    <row r="1517" spans="1:12" ht="15" customHeight="1">
      <c r="A1517" t="s">
        <v>6838</v>
      </c>
      <c r="B1517" t="s">
        <v>3628</v>
      </c>
      <c r="C1517" t="s">
        <v>12</v>
      </c>
      <c r="D1517" t="s">
        <v>3629</v>
      </c>
      <c r="E1517" t="s">
        <v>1533</v>
      </c>
      <c r="F1517" t="s">
        <v>25</v>
      </c>
      <c r="G1517" t="s">
        <v>18</v>
      </c>
      <c r="I1517">
        <v>898000</v>
      </c>
      <c r="J1517">
        <v>1449000</v>
      </c>
      <c r="K1517">
        <v>967000</v>
      </c>
      <c r="L1517">
        <v>1180000</v>
      </c>
    </row>
    <row r="1518" spans="1:12" ht="15" customHeight="1">
      <c r="A1518" t="s">
        <v>6839</v>
      </c>
      <c r="B1518" t="s">
        <v>3630</v>
      </c>
      <c r="C1518" t="s">
        <v>12</v>
      </c>
      <c r="D1518" t="s">
        <v>3631</v>
      </c>
      <c r="E1518" t="s">
        <v>1532</v>
      </c>
      <c r="F1518" t="s">
        <v>25</v>
      </c>
      <c r="G1518" t="s">
        <v>18</v>
      </c>
    </row>
    <row r="1519" spans="1:12" ht="15" customHeight="1">
      <c r="A1519" t="s">
        <v>6840</v>
      </c>
      <c r="B1519" t="s">
        <v>3632</v>
      </c>
      <c r="C1519" t="s">
        <v>12</v>
      </c>
      <c r="D1519" t="s">
        <v>3633</v>
      </c>
      <c r="E1519" t="s">
        <v>1532</v>
      </c>
      <c r="F1519" t="s">
        <v>14</v>
      </c>
      <c r="G1519" t="s">
        <v>18</v>
      </c>
      <c r="I1519">
        <v>800000</v>
      </c>
      <c r="J1519">
        <v>1452000</v>
      </c>
      <c r="K1519">
        <v>899000</v>
      </c>
      <c r="L1519">
        <v>1452000</v>
      </c>
    </row>
    <row r="1520" spans="1:12" ht="15" customHeight="1">
      <c r="A1520" t="s">
        <v>6841</v>
      </c>
      <c r="B1520" t="s">
        <v>3634</v>
      </c>
      <c r="C1520" t="s">
        <v>12</v>
      </c>
      <c r="D1520" t="s">
        <v>3635</v>
      </c>
      <c r="E1520" t="s">
        <v>1532</v>
      </c>
      <c r="F1520" t="s">
        <v>14</v>
      </c>
      <c r="G1520" t="s">
        <v>18</v>
      </c>
    </row>
    <row r="1521" spans="1:12" ht="15" customHeight="1">
      <c r="A1521" t="s">
        <v>6842</v>
      </c>
      <c r="B1521" t="s">
        <v>3636</v>
      </c>
      <c r="C1521" t="s">
        <v>12</v>
      </c>
      <c r="D1521" t="s">
        <v>3637</v>
      </c>
      <c r="E1521" t="s">
        <v>1519</v>
      </c>
      <c r="F1521" t="s">
        <v>25</v>
      </c>
      <c r="G1521" t="s">
        <v>18</v>
      </c>
      <c r="I1521">
        <v>14377000</v>
      </c>
      <c r="J1521">
        <v>12138000</v>
      </c>
      <c r="K1521">
        <v>13691000</v>
      </c>
      <c r="L1521">
        <v>13628000</v>
      </c>
    </row>
    <row r="1522" spans="1:12" ht="15" customHeight="1">
      <c r="A1522" t="s">
        <v>6843</v>
      </c>
      <c r="B1522" t="s">
        <v>3638</v>
      </c>
      <c r="C1522" t="s">
        <v>12</v>
      </c>
      <c r="D1522" t="s">
        <v>3639</v>
      </c>
      <c r="E1522" t="s">
        <v>1509</v>
      </c>
      <c r="F1522" t="s">
        <v>25</v>
      </c>
      <c r="G1522" t="s">
        <v>23</v>
      </c>
      <c r="H1522" t="s">
        <v>23</v>
      </c>
      <c r="I1522">
        <v>90832000</v>
      </c>
      <c r="J1522">
        <v>103150000</v>
      </c>
      <c r="K1522">
        <v>98283000</v>
      </c>
      <c r="L1522">
        <v>107313000</v>
      </c>
    </row>
    <row r="1523" spans="1:12" ht="15" customHeight="1">
      <c r="A1523" t="s">
        <v>6844</v>
      </c>
      <c r="B1523" t="s">
        <v>3640</v>
      </c>
      <c r="C1523" t="s">
        <v>12</v>
      </c>
      <c r="D1523" t="s">
        <v>3641</v>
      </c>
      <c r="E1523" t="s">
        <v>1560</v>
      </c>
      <c r="F1523" t="s">
        <v>25</v>
      </c>
      <c r="G1523" t="s">
        <v>18</v>
      </c>
      <c r="I1523">
        <v>588000</v>
      </c>
      <c r="J1523">
        <v>494000</v>
      </c>
      <c r="K1523">
        <v>630000</v>
      </c>
      <c r="L1523">
        <v>577000</v>
      </c>
    </row>
    <row r="1524" spans="1:12" ht="15" customHeight="1">
      <c r="A1524" t="s">
        <v>6845</v>
      </c>
      <c r="B1524" t="s">
        <v>3642</v>
      </c>
      <c r="C1524" t="s">
        <v>12</v>
      </c>
      <c r="D1524" t="s">
        <v>3643</v>
      </c>
      <c r="E1524" t="s">
        <v>1738</v>
      </c>
      <c r="F1524" t="s">
        <v>14</v>
      </c>
      <c r="G1524" t="s">
        <v>18</v>
      </c>
      <c r="I1524">
        <v>1284000</v>
      </c>
      <c r="J1524">
        <v>2308000</v>
      </c>
      <c r="K1524">
        <v>1319000</v>
      </c>
      <c r="L1524">
        <v>1955000</v>
      </c>
    </row>
    <row r="1525" spans="1:12" ht="15" customHeight="1">
      <c r="A1525" t="s">
        <v>6845</v>
      </c>
      <c r="B1525" t="s">
        <v>3644</v>
      </c>
      <c r="C1525" t="s">
        <v>12</v>
      </c>
      <c r="D1525" t="s">
        <v>3645</v>
      </c>
      <c r="E1525" t="s">
        <v>1532</v>
      </c>
      <c r="F1525" t="s">
        <v>14</v>
      </c>
      <c r="G1525" t="s">
        <v>18</v>
      </c>
    </row>
    <row r="1526" spans="1:12" ht="15" customHeight="1">
      <c r="A1526" t="s">
        <v>6846</v>
      </c>
      <c r="B1526" t="s">
        <v>3646</v>
      </c>
      <c r="C1526" t="s">
        <v>12</v>
      </c>
      <c r="D1526" t="s">
        <v>3647</v>
      </c>
      <c r="E1526" t="s">
        <v>1524</v>
      </c>
      <c r="F1526" t="s">
        <v>14</v>
      </c>
      <c r="G1526" t="s">
        <v>18</v>
      </c>
      <c r="I1526">
        <v>831000</v>
      </c>
      <c r="J1526">
        <v>762000</v>
      </c>
      <c r="K1526">
        <v>442000</v>
      </c>
      <c r="L1526">
        <v>842000</v>
      </c>
    </row>
    <row r="1527" spans="1:12" ht="15" customHeight="1">
      <c r="A1527" t="s">
        <v>6846</v>
      </c>
      <c r="B1527" t="s">
        <v>3648</v>
      </c>
      <c r="C1527" t="s">
        <v>12</v>
      </c>
      <c r="D1527" t="s">
        <v>3649</v>
      </c>
      <c r="E1527" t="s">
        <v>1509</v>
      </c>
      <c r="F1527" t="s">
        <v>14</v>
      </c>
      <c r="G1527" t="s">
        <v>18</v>
      </c>
      <c r="I1527">
        <v>38855000</v>
      </c>
      <c r="J1527">
        <v>23836000</v>
      </c>
      <c r="K1527">
        <v>32486000</v>
      </c>
      <c r="L1527">
        <v>29381000</v>
      </c>
    </row>
    <row r="1528" spans="1:12" ht="15" customHeight="1">
      <c r="A1528" t="s">
        <v>6847</v>
      </c>
      <c r="B1528" t="s">
        <v>3650</v>
      </c>
      <c r="C1528" t="s">
        <v>12</v>
      </c>
      <c r="D1528" t="s">
        <v>3651</v>
      </c>
      <c r="E1528" t="s">
        <v>1558</v>
      </c>
      <c r="F1528" t="s">
        <v>14</v>
      </c>
      <c r="G1528" t="s">
        <v>18</v>
      </c>
      <c r="I1528">
        <v>1258000</v>
      </c>
      <c r="J1528">
        <v>1996000</v>
      </c>
      <c r="K1528">
        <v>917000</v>
      </c>
      <c r="L1528">
        <v>1772000</v>
      </c>
    </row>
    <row r="1529" spans="1:12" ht="15" customHeight="1">
      <c r="A1529" t="s">
        <v>6848</v>
      </c>
      <c r="B1529" t="s">
        <v>3652</v>
      </c>
      <c r="C1529" t="s">
        <v>12</v>
      </c>
      <c r="D1529" t="s">
        <v>3653</v>
      </c>
      <c r="E1529" t="s">
        <v>1649</v>
      </c>
      <c r="F1529" t="s">
        <v>14</v>
      </c>
      <c r="G1529" t="s">
        <v>77</v>
      </c>
      <c r="I1529">
        <v>10927000</v>
      </c>
      <c r="J1529">
        <v>9932000</v>
      </c>
      <c r="K1529">
        <v>12422000</v>
      </c>
      <c r="L1529">
        <v>7923000</v>
      </c>
    </row>
    <row r="1530" spans="1:12" ht="15" customHeight="1">
      <c r="A1530" t="s">
        <v>6849</v>
      </c>
      <c r="B1530" t="s">
        <v>3654</v>
      </c>
      <c r="C1530" t="s">
        <v>12</v>
      </c>
      <c r="D1530" t="s">
        <v>3655</v>
      </c>
      <c r="E1530" t="s">
        <v>1628</v>
      </c>
      <c r="F1530" t="s">
        <v>25</v>
      </c>
      <c r="G1530" t="s">
        <v>18</v>
      </c>
      <c r="I1530">
        <v>5657000</v>
      </c>
      <c r="J1530">
        <v>3460000</v>
      </c>
      <c r="K1530">
        <v>5666000</v>
      </c>
      <c r="L1530">
        <v>3481000</v>
      </c>
    </row>
    <row r="1531" spans="1:12" ht="15" customHeight="1">
      <c r="A1531" t="s">
        <v>6850</v>
      </c>
      <c r="B1531" t="s">
        <v>3656</v>
      </c>
      <c r="C1531" t="s">
        <v>12</v>
      </c>
      <c r="D1531" t="s">
        <v>3657</v>
      </c>
      <c r="E1531" t="s">
        <v>1520</v>
      </c>
      <c r="F1531" t="s">
        <v>14</v>
      </c>
      <c r="G1531" t="s">
        <v>18</v>
      </c>
      <c r="I1531">
        <v>3862000</v>
      </c>
      <c r="J1531">
        <v>2332000</v>
      </c>
      <c r="K1531">
        <v>4425000</v>
      </c>
      <c r="L1531">
        <v>2849000</v>
      </c>
    </row>
    <row r="1532" spans="1:12" ht="15" customHeight="1">
      <c r="A1532" t="s">
        <v>6851</v>
      </c>
      <c r="B1532" t="s">
        <v>3658</v>
      </c>
      <c r="C1532" t="s">
        <v>12</v>
      </c>
      <c r="D1532" t="s">
        <v>3659</v>
      </c>
      <c r="E1532" t="s">
        <v>1579</v>
      </c>
      <c r="F1532" t="s">
        <v>14</v>
      </c>
      <c r="G1532" t="s">
        <v>18</v>
      </c>
      <c r="I1532">
        <v>564000</v>
      </c>
      <c r="J1532">
        <v>1739000</v>
      </c>
      <c r="K1532">
        <v>803000</v>
      </c>
      <c r="L1532">
        <v>1471000</v>
      </c>
    </row>
    <row r="1533" spans="1:12" ht="15" customHeight="1">
      <c r="A1533" t="s">
        <v>6852</v>
      </c>
      <c r="B1533" t="s">
        <v>3660</v>
      </c>
      <c r="C1533" t="s">
        <v>12</v>
      </c>
      <c r="D1533" t="s">
        <v>3661</v>
      </c>
      <c r="E1533" t="s">
        <v>1588</v>
      </c>
      <c r="F1533" t="s">
        <v>25</v>
      </c>
      <c r="G1533" t="s">
        <v>18</v>
      </c>
      <c r="I1533">
        <v>787000</v>
      </c>
      <c r="J1533">
        <v>926000</v>
      </c>
      <c r="K1533">
        <v>787000</v>
      </c>
      <c r="L1533">
        <v>926000</v>
      </c>
    </row>
    <row r="1534" spans="1:12" ht="15" customHeight="1">
      <c r="A1534" t="s">
        <v>6853</v>
      </c>
      <c r="B1534" t="s">
        <v>3662</v>
      </c>
      <c r="C1534" t="s">
        <v>12</v>
      </c>
      <c r="D1534" t="s">
        <v>3663</v>
      </c>
      <c r="E1534" t="s">
        <v>1526</v>
      </c>
      <c r="F1534" t="s">
        <v>14</v>
      </c>
      <c r="G1534" t="s">
        <v>18</v>
      </c>
      <c r="I1534">
        <v>43287000</v>
      </c>
      <c r="K1534">
        <v>45202000</v>
      </c>
    </row>
    <row r="1535" spans="1:12" ht="15" customHeight="1">
      <c r="A1535" t="s">
        <v>6854</v>
      </c>
      <c r="B1535" t="s">
        <v>3664</v>
      </c>
      <c r="C1535" t="s">
        <v>12</v>
      </c>
      <c r="D1535" t="s">
        <v>3665</v>
      </c>
      <c r="E1535" t="s">
        <v>1547</v>
      </c>
      <c r="F1535" t="s">
        <v>14</v>
      </c>
      <c r="G1535" t="s">
        <v>23</v>
      </c>
      <c r="I1535">
        <v>4216000</v>
      </c>
      <c r="J1535">
        <v>3184000</v>
      </c>
      <c r="K1535">
        <v>4486000</v>
      </c>
      <c r="L1535">
        <v>3222000</v>
      </c>
    </row>
    <row r="1536" spans="1:12" ht="15" customHeight="1">
      <c r="A1536" t="s">
        <v>6855</v>
      </c>
      <c r="B1536" t="s">
        <v>3666</v>
      </c>
      <c r="C1536" t="s">
        <v>12</v>
      </c>
      <c r="D1536" t="s">
        <v>3667</v>
      </c>
      <c r="E1536" t="s">
        <v>1524</v>
      </c>
      <c r="F1536" t="s">
        <v>14</v>
      </c>
      <c r="G1536" t="s">
        <v>18</v>
      </c>
      <c r="I1536">
        <v>2113000</v>
      </c>
      <c r="J1536">
        <v>2804000</v>
      </c>
      <c r="K1536">
        <v>2113000</v>
      </c>
      <c r="L1536">
        <v>2797000</v>
      </c>
    </row>
    <row r="1537" spans="1:12" ht="15" customHeight="1">
      <c r="A1537" t="s">
        <v>6856</v>
      </c>
      <c r="B1537" t="s">
        <v>3668</v>
      </c>
      <c r="C1537" t="s">
        <v>12</v>
      </c>
      <c r="D1537" t="s">
        <v>3669</v>
      </c>
      <c r="E1537" t="s">
        <v>1516</v>
      </c>
      <c r="F1537" t="s">
        <v>14</v>
      </c>
      <c r="G1537" t="s">
        <v>18</v>
      </c>
      <c r="I1537">
        <v>207000</v>
      </c>
      <c r="J1537">
        <v>343000</v>
      </c>
      <c r="K1537">
        <v>207000</v>
      </c>
      <c r="L1537">
        <v>343000</v>
      </c>
    </row>
    <row r="1538" spans="1:12" ht="15" customHeight="1">
      <c r="A1538" t="s">
        <v>6857</v>
      </c>
      <c r="B1538" t="s">
        <v>3670</v>
      </c>
      <c r="C1538" t="s">
        <v>12</v>
      </c>
      <c r="D1538" t="s">
        <v>3671</v>
      </c>
      <c r="E1538" t="s">
        <v>1524</v>
      </c>
      <c r="F1538" t="s">
        <v>14</v>
      </c>
      <c r="G1538" t="s">
        <v>18</v>
      </c>
      <c r="I1538">
        <v>3172000</v>
      </c>
      <c r="J1538">
        <v>2837000</v>
      </c>
      <c r="K1538">
        <v>3491000</v>
      </c>
      <c r="L1538">
        <v>2761000</v>
      </c>
    </row>
    <row r="1539" spans="1:12" ht="15" customHeight="1">
      <c r="A1539" t="s">
        <v>6858</v>
      </c>
      <c r="B1539" t="s">
        <v>3672</v>
      </c>
      <c r="C1539" t="s">
        <v>12</v>
      </c>
      <c r="D1539" t="s">
        <v>3673</v>
      </c>
      <c r="E1539" t="s">
        <v>1558</v>
      </c>
      <c r="F1539" t="s">
        <v>14</v>
      </c>
      <c r="G1539" t="s">
        <v>18</v>
      </c>
    </row>
    <row r="1540" spans="1:12" ht="15" customHeight="1">
      <c r="A1540" t="s">
        <v>6859</v>
      </c>
      <c r="B1540" t="s">
        <v>3674</v>
      </c>
      <c r="C1540" t="s">
        <v>12</v>
      </c>
      <c r="D1540" t="s">
        <v>3675</v>
      </c>
      <c r="E1540" t="s">
        <v>1508</v>
      </c>
      <c r="F1540" t="s">
        <v>14</v>
      </c>
      <c r="G1540" t="s">
        <v>18</v>
      </c>
      <c r="I1540">
        <v>9993000</v>
      </c>
      <c r="J1540">
        <v>25840000</v>
      </c>
      <c r="K1540">
        <v>9645000</v>
      </c>
      <c r="L1540">
        <v>26388000</v>
      </c>
    </row>
    <row r="1541" spans="1:12" ht="15" customHeight="1">
      <c r="A1541" t="s">
        <v>6860</v>
      </c>
      <c r="B1541" t="s">
        <v>3676</v>
      </c>
      <c r="C1541" t="s">
        <v>12</v>
      </c>
      <c r="D1541" t="s">
        <v>3677</v>
      </c>
      <c r="E1541" t="s">
        <v>1521</v>
      </c>
      <c r="F1541" t="s">
        <v>14</v>
      </c>
      <c r="G1541" t="s">
        <v>22</v>
      </c>
      <c r="I1541">
        <v>23522000</v>
      </c>
      <c r="J1541">
        <v>37731000</v>
      </c>
      <c r="K1541">
        <v>23765000</v>
      </c>
      <c r="L1541">
        <v>34043000</v>
      </c>
    </row>
    <row r="1542" spans="1:12" ht="15" customHeight="1">
      <c r="A1542" t="s">
        <v>6861</v>
      </c>
      <c r="B1542" t="s">
        <v>3678</v>
      </c>
      <c r="C1542" t="s">
        <v>12</v>
      </c>
      <c r="D1542" t="s">
        <v>3679</v>
      </c>
      <c r="E1542" t="s">
        <v>1532</v>
      </c>
      <c r="F1542" t="s">
        <v>14</v>
      </c>
      <c r="G1542" t="s">
        <v>18</v>
      </c>
      <c r="I1542">
        <v>1885000</v>
      </c>
      <c r="J1542">
        <v>4276000</v>
      </c>
      <c r="K1542">
        <v>2006000</v>
      </c>
      <c r="L1542">
        <v>4203000</v>
      </c>
    </row>
    <row r="1543" spans="1:12" ht="15" customHeight="1">
      <c r="A1543" t="s">
        <v>6862</v>
      </c>
      <c r="B1543" t="s">
        <v>3680</v>
      </c>
      <c r="C1543" t="s">
        <v>12</v>
      </c>
      <c r="D1543" t="s">
        <v>3681</v>
      </c>
      <c r="E1543" t="s">
        <v>1560</v>
      </c>
      <c r="F1543" t="s">
        <v>14</v>
      </c>
      <c r="G1543" t="s">
        <v>18</v>
      </c>
      <c r="I1543">
        <v>930000</v>
      </c>
      <c r="J1543">
        <v>1838000</v>
      </c>
      <c r="K1543">
        <v>1014000</v>
      </c>
      <c r="L1543">
        <v>703000</v>
      </c>
    </row>
    <row r="1544" spans="1:12" ht="15" customHeight="1">
      <c r="A1544" t="s">
        <v>6857</v>
      </c>
      <c r="B1544" t="s">
        <v>3682</v>
      </c>
      <c r="C1544" t="s">
        <v>12</v>
      </c>
      <c r="D1544" t="s">
        <v>3683</v>
      </c>
      <c r="E1544" t="s">
        <v>1558</v>
      </c>
      <c r="F1544" t="s">
        <v>14</v>
      </c>
      <c r="G1544" t="s">
        <v>18</v>
      </c>
      <c r="I1544">
        <v>344639000</v>
      </c>
      <c r="J1544">
        <v>254002000</v>
      </c>
      <c r="K1544">
        <v>304329000</v>
      </c>
      <c r="L1544">
        <v>273692000</v>
      </c>
    </row>
    <row r="1545" spans="1:12" ht="15" customHeight="1">
      <c r="A1545" t="s">
        <v>6857</v>
      </c>
      <c r="B1545" t="s">
        <v>3684</v>
      </c>
      <c r="C1545" t="s">
        <v>12</v>
      </c>
      <c r="D1545" t="s">
        <v>3685</v>
      </c>
      <c r="E1545" t="s">
        <v>1532</v>
      </c>
      <c r="F1545" t="s">
        <v>14</v>
      </c>
      <c r="G1545" t="s">
        <v>18</v>
      </c>
    </row>
    <row r="1546" spans="1:12" ht="15" customHeight="1">
      <c r="A1546" t="s">
        <v>6863</v>
      </c>
      <c r="B1546" t="s">
        <v>3686</v>
      </c>
      <c r="C1546" t="s">
        <v>12</v>
      </c>
      <c r="D1546" t="s">
        <v>3687</v>
      </c>
      <c r="E1546" t="s">
        <v>1565</v>
      </c>
      <c r="F1546" t="s">
        <v>14</v>
      </c>
      <c r="G1546" t="s">
        <v>18</v>
      </c>
      <c r="I1546">
        <v>1015000</v>
      </c>
      <c r="K1546">
        <v>1023000</v>
      </c>
    </row>
    <row r="1547" spans="1:12" ht="15" customHeight="1">
      <c r="A1547" t="s">
        <v>6863</v>
      </c>
      <c r="B1547" t="s">
        <v>3688</v>
      </c>
      <c r="C1547" t="s">
        <v>12</v>
      </c>
      <c r="D1547" t="s">
        <v>3689</v>
      </c>
      <c r="E1547" t="s">
        <v>1618</v>
      </c>
      <c r="F1547" t="s">
        <v>14</v>
      </c>
      <c r="G1547" t="s">
        <v>18</v>
      </c>
      <c r="I1547">
        <v>219000</v>
      </c>
      <c r="J1547">
        <v>466000</v>
      </c>
      <c r="K1547">
        <v>173000</v>
      </c>
      <c r="L1547">
        <v>570000</v>
      </c>
    </row>
    <row r="1548" spans="1:12" ht="15" customHeight="1">
      <c r="A1548" t="s">
        <v>6863</v>
      </c>
      <c r="B1548" t="s">
        <v>3690</v>
      </c>
      <c r="C1548" t="s">
        <v>12</v>
      </c>
      <c r="D1548" t="s">
        <v>3691</v>
      </c>
      <c r="E1548" t="s">
        <v>1532</v>
      </c>
      <c r="F1548" t="s">
        <v>14</v>
      </c>
      <c r="G1548" t="s">
        <v>18</v>
      </c>
      <c r="I1548">
        <v>15898000</v>
      </c>
      <c r="J1548">
        <v>4545000</v>
      </c>
      <c r="K1548">
        <v>15236000</v>
      </c>
      <c r="L1548">
        <v>4985000</v>
      </c>
    </row>
    <row r="1549" spans="1:12" ht="15" customHeight="1">
      <c r="A1549" t="s">
        <v>6863</v>
      </c>
      <c r="B1549" t="s">
        <v>3692</v>
      </c>
      <c r="C1549" t="s">
        <v>12</v>
      </c>
      <c r="D1549" t="s">
        <v>3693</v>
      </c>
      <c r="E1549" t="s">
        <v>1532</v>
      </c>
      <c r="F1549" t="s">
        <v>14</v>
      </c>
      <c r="G1549" t="s">
        <v>18</v>
      </c>
      <c r="I1549">
        <v>1980000</v>
      </c>
      <c r="J1549">
        <v>1004000</v>
      </c>
      <c r="K1549">
        <v>2093000</v>
      </c>
      <c r="L1549">
        <v>984000</v>
      </c>
    </row>
    <row r="1550" spans="1:12" ht="15" customHeight="1">
      <c r="A1550" t="s">
        <v>6864</v>
      </c>
      <c r="B1550" t="s">
        <v>3694</v>
      </c>
      <c r="C1550" t="s">
        <v>12</v>
      </c>
      <c r="D1550" t="s">
        <v>3695</v>
      </c>
      <c r="E1550" t="s">
        <v>1589</v>
      </c>
      <c r="F1550" t="s">
        <v>14</v>
      </c>
      <c r="G1550" t="s">
        <v>18</v>
      </c>
      <c r="I1550">
        <v>4664000</v>
      </c>
      <c r="J1550">
        <v>10770000</v>
      </c>
      <c r="K1550">
        <v>4487000</v>
      </c>
      <c r="L1550">
        <v>5695000</v>
      </c>
    </row>
    <row r="1551" spans="1:12" ht="15" customHeight="1">
      <c r="A1551" t="s">
        <v>6864</v>
      </c>
      <c r="B1551" t="s">
        <v>3696</v>
      </c>
      <c r="C1551" t="s">
        <v>12</v>
      </c>
      <c r="D1551" t="s">
        <v>3697</v>
      </c>
      <c r="E1551" t="s">
        <v>1588</v>
      </c>
      <c r="F1551" t="s">
        <v>14</v>
      </c>
      <c r="G1551" t="s">
        <v>18</v>
      </c>
      <c r="I1551">
        <v>43000</v>
      </c>
      <c r="J1551">
        <v>7003000</v>
      </c>
      <c r="K1551">
        <v>43000</v>
      </c>
      <c r="L1551">
        <v>7003000</v>
      </c>
    </row>
    <row r="1552" spans="1:12" ht="15" customHeight="1">
      <c r="A1552" t="s">
        <v>6863</v>
      </c>
      <c r="B1552" t="s">
        <v>3698</v>
      </c>
      <c r="C1552" t="s">
        <v>12</v>
      </c>
      <c r="D1552" t="s">
        <v>3699</v>
      </c>
      <c r="E1552" t="s">
        <v>1868</v>
      </c>
      <c r="F1552" t="s">
        <v>14</v>
      </c>
      <c r="G1552" t="s">
        <v>18</v>
      </c>
      <c r="I1552">
        <v>36401000</v>
      </c>
      <c r="J1552">
        <v>1759000</v>
      </c>
      <c r="K1552">
        <v>1053000</v>
      </c>
      <c r="L1552">
        <v>997000</v>
      </c>
    </row>
    <row r="1553" spans="1:12" ht="15" customHeight="1">
      <c r="A1553" t="s">
        <v>6864</v>
      </c>
      <c r="B1553" t="s">
        <v>3700</v>
      </c>
      <c r="C1553" t="s">
        <v>12</v>
      </c>
      <c r="D1553" t="s">
        <v>3701</v>
      </c>
      <c r="E1553" t="s">
        <v>1519</v>
      </c>
      <c r="F1553" t="s">
        <v>14</v>
      </c>
      <c r="G1553" t="s">
        <v>18</v>
      </c>
      <c r="J1553">
        <v>5166000</v>
      </c>
      <c r="L1553">
        <v>7763000</v>
      </c>
    </row>
    <row r="1554" spans="1:12" ht="15" customHeight="1">
      <c r="A1554" t="s">
        <v>6864</v>
      </c>
      <c r="B1554" t="s">
        <v>3702</v>
      </c>
      <c r="C1554" t="s">
        <v>12</v>
      </c>
      <c r="D1554" t="s">
        <v>3703</v>
      </c>
      <c r="E1554" t="s">
        <v>1525</v>
      </c>
      <c r="F1554" t="s">
        <v>14</v>
      </c>
      <c r="G1554" t="s">
        <v>18</v>
      </c>
      <c r="J1554">
        <v>47440000</v>
      </c>
      <c r="L1554">
        <v>49010000</v>
      </c>
    </row>
    <row r="1555" spans="1:12" ht="15" customHeight="1">
      <c r="A1555" t="s">
        <v>6864</v>
      </c>
      <c r="B1555" t="s">
        <v>3704</v>
      </c>
      <c r="C1555" t="s">
        <v>12</v>
      </c>
      <c r="D1555" t="s">
        <v>3705</v>
      </c>
      <c r="E1555" t="s">
        <v>1532</v>
      </c>
      <c r="F1555" t="s">
        <v>14</v>
      </c>
      <c r="G1555" t="s">
        <v>22</v>
      </c>
    </row>
    <row r="1556" spans="1:12" ht="15" customHeight="1">
      <c r="A1556" t="s">
        <v>6864</v>
      </c>
      <c r="B1556" t="s">
        <v>3706</v>
      </c>
      <c r="C1556" t="s">
        <v>12</v>
      </c>
      <c r="D1556" t="s">
        <v>3707</v>
      </c>
      <c r="E1556" t="s">
        <v>1595</v>
      </c>
      <c r="F1556" t="s">
        <v>14</v>
      </c>
      <c r="G1556" t="s">
        <v>22</v>
      </c>
      <c r="I1556">
        <v>10652000</v>
      </c>
      <c r="J1556">
        <v>15810000</v>
      </c>
      <c r="K1556">
        <v>13090000</v>
      </c>
      <c r="L1556">
        <v>16772000</v>
      </c>
    </row>
    <row r="1557" spans="1:12" ht="15" customHeight="1">
      <c r="A1557" t="s">
        <v>6865</v>
      </c>
      <c r="B1557" t="s">
        <v>3708</v>
      </c>
      <c r="C1557" t="s">
        <v>12</v>
      </c>
      <c r="D1557" t="s">
        <v>3709</v>
      </c>
      <c r="E1557" t="s">
        <v>1560</v>
      </c>
      <c r="F1557" t="s">
        <v>14</v>
      </c>
      <c r="G1557" t="s">
        <v>18</v>
      </c>
    </row>
    <row r="1558" spans="1:12" ht="15" customHeight="1">
      <c r="A1558" t="s">
        <v>6866</v>
      </c>
      <c r="B1558" t="s">
        <v>3710</v>
      </c>
      <c r="C1558" t="s">
        <v>12</v>
      </c>
      <c r="D1558" t="s">
        <v>3711</v>
      </c>
      <c r="E1558" t="s">
        <v>1504</v>
      </c>
      <c r="F1558" t="s">
        <v>25</v>
      </c>
      <c r="G1558" t="s">
        <v>18</v>
      </c>
      <c r="I1558">
        <v>504000</v>
      </c>
      <c r="J1558">
        <v>692000</v>
      </c>
      <c r="K1558">
        <v>564000</v>
      </c>
      <c r="L1558">
        <v>689000</v>
      </c>
    </row>
    <row r="1559" spans="1:12" ht="15" customHeight="1">
      <c r="A1559" t="s">
        <v>6867</v>
      </c>
      <c r="B1559" t="s">
        <v>3712</v>
      </c>
      <c r="C1559" t="s">
        <v>12</v>
      </c>
      <c r="D1559" t="s">
        <v>3713</v>
      </c>
      <c r="E1559" t="s">
        <v>1533</v>
      </c>
      <c r="F1559" t="s">
        <v>25</v>
      </c>
      <c r="G1559" t="s">
        <v>18</v>
      </c>
      <c r="I1559">
        <v>4182000</v>
      </c>
      <c r="J1559">
        <v>996000</v>
      </c>
      <c r="K1559">
        <v>2748000</v>
      </c>
      <c r="L1559">
        <v>1320000</v>
      </c>
    </row>
    <row r="1560" spans="1:12" ht="15" customHeight="1">
      <c r="A1560" t="s">
        <v>6868</v>
      </c>
      <c r="B1560" t="s">
        <v>3714</v>
      </c>
      <c r="C1560" t="s">
        <v>12</v>
      </c>
      <c r="D1560" t="s">
        <v>3715</v>
      </c>
      <c r="E1560" t="s">
        <v>1620</v>
      </c>
      <c r="F1560" t="s">
        <v>14</v>
      </c>
      <c r="G1560" t="s">
        <v>77</v>
      </c>
      <c r="J1560">
        <v>5329000</v>
      </c>
      <c r="L1560">
        <v>5268000</v>
      </c>
    </row>
    <row r="1561" spans="1:12" ht="15" customHeight="1">
      <c r="A1561" t="s">
        <v>6869</v>
      </c>
      <c r="B1561" t="s">
        <v>3716</v>
      </c>
      <c r="C1561" t="s">
        <v>12</v>
      </c>
      <c r="D1561" t="s">
        <v>3717</v>
      </c>
      <c r="E1561" t="s">
        <v>1585</v>
      </c>
      <c r="F1561" t="s">
        <v>25</v>
      </c>
      <c r="G1561" t="s">
        <v>18</v>
      </c>
      <c r="I1561">
        <v>579000</v>
      </c>
      <c r="J1561">
        <v>715000</v>
      </c>
      <c r="K1561">
        <v>564000</v>
      </c>
      <c r="L1561">
        <v>537000</v>
      </c>
    </row>
    <row r="1562" spans="1:12" ht="15" customHeight="1">
      <c r="A1562" t="s">
        <v>6870</v>
      </c>
      <c r="B1562" t="s">
        <v>3718</v>
      </c>
      <c r="C1562" t="s">
        <v>12</v>
      </c>
      <c r="D1562" t="s">
        <v>3719</v>
      </c>
      <c r="E1562" t="s">
        <v>1629</v>
      </c>
      <c r="F1562" t="s">
        <v>14</v>
      </c>
      <c r="G1562" t="s">
        <v>18</v>
      </c>
      <c r="I1562">
        <v>5171000</v>
      </c>
      <c r="J1562">
        <v>5111000</v>
      </c>
      <c r="K1562">
        <v>5300000</v>
      </c>
      <c r="L1562">
        <v>5385000</v>
      </c>
    </row>
    <row r="1563" spans="1:12" ht="15" customHeight="1">
      <c r="A1563" t="s">
        <v>6871</v>
      </c>
      <c r="B1563" t="s">
        <v>3720</v>
      </c>
      <c r="C1563" t="s">
        <v>12</v>
      </c>
      <c r="D1563" t="s">
        <v>3721</v>
      </c>
      <c r="E1563" t="s">
        <v>1595</v>
      </c>
      <c r="F1563" t="s">
        <v>14</v>
      </c>
      <c r="G1563" t="s">
        <v>18</v>
      </c>
    </row>
    <row r="1564" spans="1:12" ht="15" customHeight="1">
      <c r="A1564" t="s">
        <v>6872</v>
      </c>
      <c r="B1564" t="s">
        <v>3722</v>
      </c>
      <c r="C1564" t="s">
        <v>12</v>
      </c>
      <c r="D1564" t="s">
        <v>3723</v>
      </c>
      <c r="E1564" t="s">
        <v>1526</v>
      </c>
      <c r="F1564" t="s">
        <v>14</v>
      </c>
      <c r="G1564" t="s">
        <v>18</v>
      </c>
      <c r="I1564">
        <v>50000</v>
      </c>
      <c r="J1564">
        <v>205000</v>
      </c>
      <c r="K1564">
        <v>87000</v>
      </c>
      <c r="L1564">
        <v>531000</v>
      </c>
    </row>
    <row r="1565" spans="1:12" ht="15" customHeight="1">
      <c r="A1565" t="s">
        <v>6873</v>
      </c>
      <c r="B1565" t="s">
        <v>3724</v>
      </c>
      <c r="C1565" t="s">
        <v>12</v>
      </c>
      <c r="D1565" t="s">
        <v>3725</v>
      </c>
      <c r="E1565" t="s">
        <v>1579</v>
      </c>
      <c r="F1565" t="s">
        <v>14</v>
      </c>
      <c r="G1565" t="s">
        <v>18</v>
      </c>
      <c r="I1565">
        <v>102000</v>
      </c>
      <c r="J1565">
        <v>385000</v>
      </c>
      <c r="K1565">
        <v>102000</v>
      </c>
      <c r="L1565">
        <v>385000</v>
      </c>
    </row>
    <row r="1566" spans="1:12" ht="15" customHeight="1">
      <c r="A1566" t="s">
        <v>6874</v>
      </c>
      <c r="B1566" t="s">
        <v>3726</v>
      </c>
      <c r="C1566" t="s">
        <v>12</v>
      </c>
      <c r="D1566" t="s">
        <v>3727</v>
      </c>
      <c r="E1566" t="s">
        <v>1508</v>
      </c>
      <c r="F1566" t="s">
        <v>14</v>
      </c>
      <c r="G1566" t="s">
        <v>18</v>
      </c>
      <c r="J1566">
        <v>572000</v>
      </c>
      <c r="L1566">
        <v>535000</v>
      </c>
    </row>
    <row r="1567" spans="1:12" ht="15" customHeight="1">
      <c r="A1567" t="s">
        <v>6875</v>
      </c>
      <c r="B1567" t="s">
        <v>3728</v>
      </c>
      <c r="C1567" t="s">
        <v>12</v>
      </c>
      <c r="D1567" t="s">
        <v>3729</v>
      </c>
      <c r="E1567" t="s">
        <v>1738</v>
      </c>
      <c r="F1567" t="s">
        <v>14</v>
      </c>
      <c r="G1567" t="s">
        <v>18</v>
      </c>
    </row>
    <row r="1568" spans="1:12" ht="15" customHeight="1">
      <c r="A1568" t="s">
        <v>6876</v>
      </c>
      <c r="B1568" t="s">
        <v>3730</v>
      </c>
      <c r="C1568" t="s">
        <v>12</v>
      </c>
      <c r="D1568" t="s">
        <v>3731</v>
      </c>
      <c r="E1568" t="s">
        <v>1532</v>
      </c>
      <c r="F1568" t="s">
        <v>14</v>
      </c>
      <c r="G1568" t="s">
        <v>18</v>
      </c>
      <c r="I1568">
        <v>4920000</v>
      </c>
      <c r="J1568">
        <v>10447000</v>
      </c>
      <c r="K1568">
        <v>17519000</v>
      </c>
      <c r="L1568">
        <v>17428000</v>
      </c>
    </row>
    <row r="1569" spans="1:12" ht="15" customHeight="1">
      <c r="A1569" t="s">
        <v>6877</v>
      </c>
      <c r="B1569" t="s">
        <v>3732</v>
      </c>
      <c r="C1569" t="s">
        <v>12</v>
      </c>
      <c r="D1569" t="s">
        <v>3733</v>
      </c>
      <c r="E1569" t="s">
        <v>1533</v>
      </c>
      <c r="F1569" t="s">
        <v>14</v>
      </c>
      <c r="G1569" t="s">
        <v>18</v>
      </c>
      <c r="I1569">
        <v>2809000</v>
      </c>
      <c r="J1569">
        <v>3896000</v>
      </c>
      <c r="K1569">
        <v>2755000</v>
      </c>
      <c r="L1569">
        <v>3727000</v>
      </c>
    </row>
    <row r="1570" spans="1:12" ht="15" customHeight="1">
      <c r="A1570" t="s">
        <v>6878</v>
      </c>
      <c r="B1570" t="s">
        <v>3734</v>
      </c>
      <c r="C1570" t="s">
        <v>12</v>
      </c>
      <c r="D1570" t="s">
        <v>3735</v>
      </c>
      <c r="E1570" t="s">
        <v>1504</v>
      </c>
      <c r="F1570" t="s">
        <v>14</v>
      </c>
      <c r="G1570" t="s">
        <v>18</v>
      </c>
      <c r="I1570">
        <v>3805000</v>
      </c>
      <c r="J1570">
        <v>7069000</v>
      </c>
      <c r="K1570">
        <v>3099000</v>
      </c>
      <c r="L1570">
        <v>6529000</v>
      </c>
    </row>
    <row r="1571" spans="1:12" ht="15" customHeight="1">
      <c r="A1571" t="s">
        <v>6879</v>
      </c>
      <c r="B1571" t="s">
        <v>3736</v>
      </c>
      <c r="C1571" t="s">
        <v>12</v>
      </c>
      <c r="D1571" t="s">
        <v>3737</v>
      </c>
      <c r="E1571" t="s">
        <v>1532</v>
      </c>
      <c r="F1571" t="s">
        <v>14</v>
      </c>
      <c r="G1571" t="s">
        <v>77</v>
      </c>
    </row>
    <row r="1572" spans="1:12" ht="15" customHeight="1">
      <c r="A1572" t="s">
        <v>6880</v>
      </c>
      <c r="B1572" t="s">
        <v>3738</v>
      </c>
      <c r="C1572" t="s">
        <v>12</v>
      </c>
      <c r="D1572" t="s">
        <v>3739</v>
      </c>
      <c r="E1572" t="s">
        <v>1868</v>
      </c>
      <c r="F1572" t="s">
        <v>14</v>
      </c>
      <c r="G1572" t="s">
        <v>18</v>
      </c>
      <c r="I1572">
        <v>3957000</v>
      </c>
      <c r="J1572">
        <v>9057000</v>
      </c>
      <c r="K1572">
        <v>4383000</v>
      </c>
      <c r="L1572">
        <v>8911000</v>
      </c>
    </row>
    <row r="1573" spans="1:12" ht="15" customHeight="1">
      <c r="A1573" t="s">
        <v>6881</v>
      </c>
      <c r="B1573" t="s">
        <v>3740</v>
      </c>
      <c r="C1573" t="s">
        <v>12</v>
      </c>
      <c r="D1573" t="s">
        <v>3741</v>
      </c>
      <c r="E1573" t="s">
        <v>1580</v>
      </c>
      <c r="F1573" t="s">
        <v>14</v>
      </c>
      <c r="G1573" t="s">
        <v>18</v>
      </c>
      <c r="I1573">
        <v>2890000</v>
      </c>
      <c r="J1573">
        <v>8046000</v>
      </c>
      <c r="K1573">
        <v>3837000</v>
      </c>
      <c r="L1573">
        <v>7764000</v>
      </c>
    </row>
    <row r="1574" spans="1:12" ht="15" customHeight="1">
      <c r="A1574" t="s">
        <v>6882</v>
      </c>
      <c r="B1574" t="s">
        <v>3742</v>
      </c>
      <c r="C1574" t="s">
        <v>12</v>
      </c>
      <c r="D1574" t="s">
        <v>3743</v>
      </c>
      <c r="E1574" t="s">
        <v>1504</v>
      </c>
      <c r="F1574" t="s">
        <v>14</v>
      </c>
      <c r="G1574" t="s">
        <v>18</v>
      </c>
      <c r="I1574">
        <v>2585000</v>
      </c>
      <c r="J1574">
        <v>2343000</v>
      </c>
      <c r="K1574">
        <v>1805000</v>
      </c>
      <c r="L1574">
        <v>2005000</v>
      </c>
    </row>
    <row r="1575" spans="1:12" ht="15" customHeight="1">
      <c r="A1575" t="s">
        <v>6883</v>
      </c>
      <c r="B1575" t="s">
        <v>3744</v>
      </c>
      <c r="C1575" t="s">
        <v>12</v>
      </c>
      <c r="D1575" t="s">
        <v>3745</v>
      </c>
      <c r="E1575" t="s">
        <v>1532</v>
      </c>
      <c r="F1575" t="s">
        <v>14</v>
      </c>
      <c r="G1575" t="s">
        <v>18</v>
      </c>
      <c r="I1575">
        <v>95000</v>
      </c>
      <c r="J1575">
        <v>190000</v>
      </c>
      <c r="K1575">
        <v>163000</v>
      </c>
      <c r="L1575">
        <v>40000</v>
      </c>
    </row>
    <row r="1576" spans="1:12" ht="15" customHeight="1">
      <c r="A1576" t="s">
        <v>6884</v>
      </c>
      <c r="B1576" t="s">
        <v>3746</v>
      </c>
      <c r="C1576" t="s">
        <v>12</v>
      </c>
      <c r="D1576" t="s">
        <v>3747</v>
      </c>
      <c r="E1576" t="s">
        <v>1532</v>
      </c>
      <c r="F1576" t="s">
        <v>14</v>
      </c>
      <c r="G1576" t="s">
        <v>18</v>
      </c>
    </row>
    <row r="1577" spans="1:12" ht="15" customHeight="1">
      <c r="A1577" t="s">
        <v>6885</v>
      </c>
      <c r="B1577" t="s">
        <v>3748</v>
      </c>
      <c r="C1577" t="s">
        <v>12</v>
      </c>
      <c r="D1577" t="s">
        <v>3749</v>
      </c>
      <c r="E1577" t="s">
        <v>1521</v>
      </c>
      <c r="F1577" t="s">
        <v>14</v>
      </c>
      <c r="G1577" t="s">
        <v>18</v>
      </c>
      <c r="I1577">
        <v>2001000</v>
      </c>
      <c r="J1577">
        <v>5543000</v>
      </c>
      <c r="K1577">
        <v>2148000</v>
      </c>
      <c r="L1577">
        <v>4405000</v>
      </c>
    </row>
    <row r="1578" spans="1:12" ht="15" customHeight="1">
      <c r="A1578" t="s">
        <v>6886</v>
      </c>
      <c r="B1578" t="s">
        <v>3750</v>
      </c>
      <c r="C1578" t="s">
        <v>12</v>
      </c>
      <c r="D1578" t="s">
        <v>3751</v>
      </c>
      <c r="E1578" t="s">
        <v>1532</v>
      </c>
      <c r="F1578" t="s">
        <v>14</v>
      </c>
      <c r="G1578" t="s">
        <v>18</v>
      </c>
      <c r="I1578">
        <v>967000</v>
      </c>
      <c r="J1578">
        <v>1269000</v>
      </c>
      <c r="K1578">
        <v>1336000</v>
      </c>
      <c r="L1578">
        <v>1181000</v>
      </c>
    </row>
    <row r="1579" spans="1:12" ht="15" customHeight="1">
      <c r="A1579" t="s">
        <v>6887</v>
      </c>
      <c r="B1579" t="s">
        <v>3752</v>
      </c>
      <c r="C1579" t="s">
        <v>12</v>
      </c>
      <c r="D1579" t="s">
        <v>3753</v>
      </c>
      <c r="E1579" t="s">
        <v>1560</v>
      </c>
      <c r="F1579" t="s">
        <v>14</v>
      </c>
      <c r="G1579" t="s">
        <v>18</v>
      </c>
      <c r="I1579">
        <v>600000</v>
      </c>
      <c r="J1579">
        <v>600000</v>
      </c>
      <c r="K1579">
        <v>628000</v>
      </c>
      <c r="L1579">
        <v>614000</v>
      </c>
    </row>
    <row r="1580" spans="1:12" ht="15" customHeight="1">
      <c r="A1580" t="s">
        <v>6888</v>
      </c>
      <c r="B1580" t="s">
        <v>3754</v>
      </c>
      <c r="C1580" t="s">
        <v>12</v>
      </c>
      <c r="D1580" t="s">
        <v>3755</v>
      </c>
      <c r="E1580" t="s">
        <v>1532</v>
      </c>
      <c r="F1580" t="s">
        <v>14</v>
      </c>
      <c r="G1580" t="s">
        <v>18</v>
      </c>
      <c r="I1580">
        <v>6312000</v>
      </c>
      <c r="J1580">
        <v>8658000</v>
      </c>
      <c r="K1580">
        <v>6809000</v>
      </c>
      <c r="L1580">
        <v>7516000</v>
      </c>
    </row>
    <row r="1581" spans="1:12" ht="15" customHeight="1">
      <c r="A1581" t="s">
        <v>6889</v>
      </c>
      <c r="B1581" t="s">
        <v>3756</v>
      </c>
      <c r="C1581" t="s">
        <v>12</v>
      </c>
      <c r="D1581" t="s">
        <v>3757</v>
      </c>
      <c r="E1581" t="s">
        <v>1504</v>
      </c>
      <c r="F1581" t="s">
        <v>14</v>
      </c>
      <c r="G1581" t="s">
        <v>18</v>
      </c>
      <c r="I1581">
        <v>43000</v>
      </c>
      <c r="J1581">
        <v>1564000</v>
      </c>
      <c r="K1581">
        <v>214000</v>
      </c>
      <c r="L1581">
        <v>1487000</v>
      </c>
    </row>
    <row r="1582" spans="1:12" ht="15" customHeight="1">
      <c r="A1582" t="s">
        <v>6890</v>
      </c>
      <c r="B1582" t="s">
        <v>3758</v>
      </c>
      <c r="C1582" t="s">
        <v>12</v>
      </c>
      <c r="D1582" t="s">
        <v>3759</v>
      </c>
      <c r="E1582" t="s">
        <v>1776</v>
      </c>
      <c r="F1582" t="s">
        <v>14</v>
      </c>
      <c r="G1582" t="s">
        <v>18</v>
      </c>
    </row>
    <row r="1583" spans="1:12" ht="15" customHeight="1">
      <c r="A1583" t="s">
        <v>6891</v>
      </c>
      <c r="B1583" t="s">
        <v>3760</v>
      </c>
      <c r="C1583" t="s">
        <v>12</v>
      </c>
      <c r="D1583" t="s">
        <v>3761</v>
      </c>
      <c r="E1583" t="s">
        <v>1520</v>
      </c>
      <c r="F1583" t="s">
        <v>14</v>
      </c>
      <c r="G1583" t="s">
        <v>18</v>
      </c>
      <c r="I1583">
        <v>431000</v>
      </c>
      <c r="K1583">
        <v>609000</v>
      </c>
      <c r="L1583">
        <v>76000</v>
      </c>
    </row>
    <row r="1584" spans="1:12" ht="15" customHeight="1">
      <c r="A1584" t="s">
        <v>6892</v>
      </c>
      <c r="B1584" t="s">
        <v>3762</v>
      </c>
      <c r="C1584" t="s">
        <v>12</v>
      </c>
      <c r="D1584" t="s">
        <v>3763</v>
      </c>
      <c r="E1584" t="s">
        <v>1754</v>
      </c>
      <c r="F1584" t="s">
        <v>25</v>
      </c>
      <c r="G1584" t="s">
        <v>18</v>
      </c>
      <c r="J1584">
        <v>55000</v>
      </c>
      <c r="L1584">
        <v>55000</v>
      </c>
    </row>
    <row r="1585" spans="1:12" ht="15" customHeight="1">
      <c r="A1585" t="s">
        <v>6893</v>
      </c>
      <c r="B1585" t="s">
        <v>3764</v>
      </c>
      <c r="C1585" t="s">
        <v>12</v>
      </c>
      <c r="D1585" t="s">
        <v>3765</v>
      </c>
      <c r="E1585" t="s">
        <v>1524</v>
      </c>
      <c r="F1585" t="s">
        <v>14</v>
      </c>
      <c r="G1585" t="s">
        <v>18</v>
      </c>
      <c r="I1585">
        <v>1500000</v>
      </c>
      <c r="J1585">
        <v>1900000</v>
      </c>
      <c r="K1585">
        <v>1758000</v>
      </c>
      <c r="L1585">
        <v>1812000</v>
      </c>
    </row>
    <row r="1586" spans="1:12" ht="15" customHeight="1">
      <c r="A1586" t="s">
        <v>6894</v>
      </c>
      <c r="B1586" t="s">
        <v>3766</v>
      </c>
      <c r="C1586" t="s">
        <v>12</v>
      </c>
      <c r="D1586" t="s">
        <v>3767</v>
      </c>
      <c r="E1586" t="s">
        <v>1526</v>
      </c>
      <c r="F1586" t="s">
        <v>14</v>
      </c>
      <c r="G1586" t="s">
        <v>18</v>
      </c>
      <c r="I1586">
        <v>2118000</v>
      </c>
      <c r="J1586">
        <v>8065000</v>
      </c>
      <c r="K1586">
        <v>2118000</v>
      </c>
      <c r="L1586">
        <v>5912000</v>
      </c>
    </row>
    <row r="1587" spans="1:12" ht="15" customHeight="1">
      <c r="A1587" t="s">
        <v>6895</v>
      </c>
      <c r="B1587" t="s">
        <v>3768</v>
      </c>
      <c r="C1587" t="s">
        <v>12</v>
      </c>
      <c r="D1587" t="s">
        <v>3769</v>
      </c>
      <c r="E1587" t="s">
        <v>1518</v>
      </c>
      <c r="F1587" t="s">
        <v>14</v>
      </c>
      <c r="G1587" t="s">
        <v>18</v>
      </c>
      <c r="I1587">
        <v>3098000</v>
      </c>
      <c r="J1587">
        <v>2681000</v>
      </c>
      <c r="K1587">
        <v>3332000</v>
      </c>
      <c r="L1587">
        <v>2599000</v>
      </c>
    </row>
    <row r="1588" spans="1:12" ht="15" customHeight="1">
      <c r="A1588" t="s">
        <v>6896</v>
      </c>
      <c r="B1588" t="s">
        <v>3770</v>
      </c>
      <c r="C1588" t="s">
        <v>12</v>
      </c>
      <c r="D1588" t="s">
        <v>3771</v>
      </c>
      <c r="E1588" t="s">
        <v>1532</v>
      </c>
      <c r="F1588" t="s">
        <v>14</v>
      </c>
      <c r="G1588" t="s">
        <v>18</v>
      </c>
      <c r="I1588">
        <v>120000</v>
      </c>
      <c r="J1588">
        <v>313000</v>
      </c>
      <c r="K1588">
        <v>19000</v>
      </c>
      <c r="L1588">
        <v>1281000</v>
      </c>
    </row>
    <row r="1589" spans="1:12" ht="15" customHeight="1">
      <c r="A1589" t="s">
        <v>6897</v>
      </c>
      <c r="B1589" t="s">
        <v>3772</v>
      </c>
      <c r="C1589" t="s">
        <v>12</v>
      </c>
      <c r="D1589" t="s">
        <v>3773</v>
      </c>
      <c r="E1589" t="s">
        <v>1532</v>
      </c>
      <c r="F1589" t="s">
        <v>25</v>
      </c>
      <c r="G1589" t="s">
        <v>18</v>
      </c>
    </row>
    <row r="1590" spans="1:12" ht="15" customHeight="1">
      <c r="A1590" t="s">
        <v>6898</v>
      </c>
      <c r="B1590" t="s">
        <v>3774</v>
      </c>
      <c r="C1590" t="s">
        <v>12</v>
      </c>
      <c r="D1590" t="s">
        <v>3775</v>
      </c>
      <c r="E1590" t="s">
        <v>1511</v>
      </c>
      <c r="F1590" t="s">
        <v>25</v>
      </c>
      <c r="G1590" t="s">
        <v>18</v>
      </c>
      <c r="K1590">
        <v>425000</v>
      </c>
    </row>
    <row r="1591" spans="1:12" ht="15" customHeight="1">
      <c r="A1591" t="s">
        <v>6899</v>
      </c>
      <c r="B1591" t="s">
        <v>3776</v>
      </c>
      <c r="C1591" t="s">
        <v>12</v>
      </c>
      <c r="D1591" t="s">
        <v>3777</v>
      </c>
      <c r="E1591" t="s">
        <v>1588</v>
      </c>
      <c r="F1591" t="s">
        <v>14</v>
      </c>
      <c r="G1591" t="s">
        <v>18</v>
      </c>
      <c r="I1591">
        <v>6929000</v>
      </c>
      <c r="J1591">
        <v>6786000</v>
      </c>
      <c r="K1591">
        <v>6833000</v>
      </c>
      <c r="L1591">
        <v>6766000</v>
      </c>
    </row>
    <row r="1592" spans="1:12" ht="15" customHeight="1">
      <c r="A1592" t="s">
        <v>6900</v>
      </c>
      <c r="B1592" t="s">
        <v>3778</v>
      </c>
      <c r="C1592" t="s">
        <v>12</v>
      </c>
      <c r="D1592" t="s">
        <v>3779</v>
      </c>
      <c r="E1592" t="s">
        <v>1580</v>
      </c>
      <c r="F1592" t="s">
        <v>14</v>
      </c>
      <c r="G1592" t="s">
        <v>18</v>
      </c>
      <c r="J1592">
        <v>6965000</v>
      </c>
      <c r="L1592">
        <v>6687000</v>
      </c>
    </row>
    <row r="1593" spans="1:12" ht="15" customHeight="1">
      <c r="A1593" t="s">
        <v>6901</v>
      </c>
      <c r="B1593" t="s">
        <v>3780</v>
      </c>
      <c r="C1593" t="s">
        <v>12</v>
      </c>
      <c r="D1593" t="s">
        <v>3781</v>
      </c>
      <c r="E1593" t="s">
        <v>1544</v>
      </c>
      <c r="F1593" t="s">
        <v>14</v>
      </c>
      <c r="G1593" t="s">
        <v>18</v>
      </c>
      <c r="I1593">
        <v>2954000</v>
      </c>
      <c r="J1593">
        <v>5379000</v>
      </c>
      <c r="K1593">
        <v>340000</v>
      </c>
      <c r="L1593">
        <v>3041000</v>
      </c>
    </row>
    <row r="1594" spans="1:12" ht="15" customHeight="1">
      <c r="A1594" t="s">
        <v>6902</v>
      </c>
      <c r="B1594" t="s">
        <v>3782</v>
      </c>
      <c r="C1594" t="s">
        <v>12</v>
      </c>
      <c r="D1594" t="s">
        <v>3783</v>
      </c>
      <c r="E1594" t="s">
        <v>1532</v>
      </c>
      <c r="F1594" t="s">
        <v>14</v>
      </c>
      <c r="G1594" t="s">
        <v>18</v>
      </c>
    </row>
    <row r="1595" spans="1:12" ht="15" customHeight="1">
      <c r="A1595" t="s">
        <v>6903</v>
      </c>
      <c r="B1595" t="s">
        <v>3784</v>
      </c>
      <c r="C1595" t="s">
        <v>12</v>
      </c>
      <c r="D1595" t="s">
        <v>3785</v>
      </c>
      <c r="E1595" t="s">
        <v>1533</v>
      </c>
      <c r="F1595" t="s">
        <v>14</v>
      </c>
      <c r="G1595" t="s">
        <v>18</v>
      </c>
    </row>
    <row r="1596" spans="1:12" ht="15" customHeight="1">
      <c r="A1596" t="s">
        <v>6904</v>
      </c>
      <c r="B1596" t="s">
        <v>3786</v>
      </c>
      <c r="C1596" t="s">
        <v>12</v>
      </c>
      <c r="D1596" t="s">
        <v>3787</v>
      </c>
      <c r="E1596" t="s">
        <v>1517</v>
      </c>
      <c r="F1596" t="s">
        <v>14</v>
      </c>
      <c r="G1596" t="s">
        <v>18</v>
      </c>
      <c r="I1596">
        <v>18521000</v>
      </c>
      <c r="J1596">
        <v>133740000</v>
      </c>
      <c r="K1596">
        <v>73705000</v>
      </c>
      <c r="L1596">
        <v>54266000</v>
      </c>
    </row>
    <row r="1597" spans="1:12" ht="15" customHeight="1">
      <c r="A1597" t="s">
        <v>6904</v>
      </c>
      <c r="B1597" t="s">
        <v>3788</v>
      </c>
      <c r="C1597" t="s">
        <v>12</v>
      </c>
      <c r="D1597" t="s">
        <v>3789</v>
      </c>
      <c r="E1597" t="s">
        <v>1749</v>
      </c>
      <c r="F1597" t="s">
        <v>14</v>
      </c>
      <c r="G1597" t="s">
        <v>18</v>
      </c>
      <c r="I1597">
        <v>57000</v>
      </c>
      <c r="K1597">
        <v>52000</v>
      </c>
    </row>
    <row r="1598" spans="1:12" ht="15" customHeight="1">
      <c r="A1598" t="s">
        <v>6905</v>
      </c>
      <c r="B1598" t="s">
        <v>3790</v>
      </c>
      <c r="C1598" t="s">
        <v>12</v>
      </c>
      <c r="D1598" t="s">
        <v>3791</v>
      </c>
      <c r="E1598" t="s">
        <v>1898</v>
      </c>
      <c r="F1598" t="s">
        <v>14</v>
      </c>
      <c r="G1598" t="s">
        <v>18</v>
      </c>
      <c r="I1598">
        <v>2013000</v>
      </c>
      <c r="J1598">
        <v>1644000</v>
      </c>
      <c r="K1598">
        <v>2194000</v>
      </c>
      <c r="L1598">
        <v>1722000</v>
      </c>
    </row>
    <row r="1599" spans="1:12" ht="15" customHeight="1">
      <c r="A1599" t="s">
        <v>6906</v>
      </c>
      <c r="B1599" t="s">
        <v>3792</v>
      </c>
      <c r="C1599" t="s">
        <v>12</v>
      </c>
      <c r="D1599" t="s">
        <v>3793</v>
      </c>
      <c r="E1599" t="s">
        <v>1526</v>
      </c>
      <c r="F1599" t="s">
        <v>14</v>
      </c>
      <c r="G1599" t="s">
        <v>77</v>
      </c>
    </row>
    <row r="1600" spans="1:12" ht="15" customHeight="1">
      <c r="A1600" t="s">
        <v>6907</v>
      </c>
      <c r="B1600" t="s">
        <v>3794</v>
      </c>
      <c r="C1600" t="s">
        <v>12</v>
      </c>
      <c r="D1600" t="s">
        <v>3795</v>
      </c>
      <c r="E1600" t="s">
        <v>1881</v>
      </c>
      <c r="F1600" t="s">
        <v>14</v>
      </c>
      <c r="G1600" t="s">
        <v>18</v>
      </c>
    </row>
    <row r="1601" spans="1:12" ht="15" customHeight="1">
      <c r="A1601" t="s">
        <v>6908</v>
      </c>
      <c r="B1601" t="s">
        <v>3797</v>
      </c>
      <c r="C1601" t="s">
        <v>12</v>
      </c>
      <c r="D1601" t="s">
        <v>3798</v>
      </c>
      <c r="E1601" t="s">
        <v>1532</v>
      </c>
      <c r="F1601" t="s">
        <v>25</v>
      </c>
      <c r="G1601" t="s">
        <v>18</v>
      </c>
    </row>
    <row r="1602" spans="1:12" ht="15" customHeight="1">
      <c r="A1602" t="s">
        <v>6909</v>
      </c>
      <c r="B1602" t="s">
        <v>3799</v>
      </c>
      <c r="C1602" t="s">
        <v>12</v>
      </c>
      <c r="D1602" t="s">
        <v>3800</v>
      </c>
      <c r="E1602" t="s">
        <v>1749</v>
      </c>
      <c r="F1602" t="s">
        <v>14</v>
      </c>
      <c r="G1602" t="s">
        <v>18</v>
      </c>
      <c r="I1602">
        <v>2743000</v>
      </c>
      <c r="J1602">
        <v>2290000</v>
      </c>
      <c r="K1602">
        <v>2685000</v>
      </c>
      <c r="L1602">
        <v>2365000</v>
      </c>
    </row>
    <row r="1603" spans="1:12" ht="15" customHeight="1">
      <c r="A1603" t="s">
        <v>6910</v>
      </c>
      <c r="B1603" t="s">
        <v>3801</v>
      </c>
      <c r="C1603" t="s">
        <v>12</v>
      </c>
      <c r="D1603" t="s">
        <v>3802</v>
      </c>
      <c r="E1603" t="s">
        <v>1521</v>
      </c>
      <c r="F1603" t="s">
        <v>14</v>
      </c>
      <c r="G1603" t="s">
        <v>18</v>
      </c>
      <c r="I1603">
        <v>4159000</v>
      </c>
      <c r="J1603">
        <v>3780000</v>
      </c>
      <c r="K1603">
        <v>3919000</v>
      </c>
      <c r="L1603">
        <v>3837000</v>
      </c>
    </row>
    <row r="1604" spans="1:12" ht="15" customHeight="1">
      <c r="A1604" t="s">
        <v>6911</v>
      </c>
      <c r="B1604" t="s">
        <v>3803</v>
      </c>
      <c r="C1604" t="s">
        <v>12</v>
      </c>
      <c r="D1604" t="s">
        <v>3804</v>
      </c>
      <c r="E1604" t="s">
        <v>1580</v>
      </c>
      <c r="F1604" t="s">
        <v>14</v>
      </c>
      <c r="G1604" t="s">
        <v>18</v>
      </c>
      <c r="I1604">
        <v>94000</v>
      </c>
      <c r="J1604">
        <v>82000</v>
      </c>
      <c r="K1604">
        <v>100000</v>
      </c>
      <c r="L1604">
        <v>70000</v>
      </c>
    </row>
    <row r="1605" spans="1:12" ht="15" customHeight="1">
      <c r="A1605" t="s">
        <v>6912</v>
      </c>
      <c r="B1605" t="s">
        <v>3805</v>
      </c>
      <c r="C1605" t="s">
        <v>12</v>
      </c>
      <c r="D1605" t="s">
        <v>3806</v>
      </c>
      <c r="E1605" t="s">
        <v>1579</v>
      </c>
      <c r="F1605" t="s">
        <v>14</v>
      </c>
      <c r="G1605" t="s">
        <v>18</v>
      </c>
      <c r="I1605">
        <v>774000</v>
      </c>
      <c r="J1605">
        <v>885000</v>
      </c>
      <c r="K1605">
        <v>557000</v>
      </c>
      <c r="L1605">
        <v>1094000</v>
      </c>
    </row>
    <row r="1606" spans="1:12" ht="15" customHeight="1">
      <c r="A1606" t="s">
        <v>6912</v>
      </c>
      <c r="B1606" t="s">
        <v>3807</v>
      </c>
      <c r="C1606" t="s">
        <v>12</v>
      </c>
      <c r="D1606" t="s">
        <v>3808</v>
      </c>
      <c r="E1606" t="s">
        <v>1579</v>
      </c>
      <c r="F1606" t="s">
        <v>14</v>
      </c>
      <c r="G1606" t="s">
        <v>18</v>
      </c>
    </row>
    <row r="1607" spans="1:12" ht="15" customHeight="1">
      <c r="A1607" t="s">
        <v>6913</v>
      </c>
      <c r="B1607" t="s">
        <v>3809</v>
      </c>
      <c r="C1607" t="s">
        <v>12</v>
      </c>
      <c r="D1607" t="s">
        <v>3810</v>
      </c>
      <c r="E1607" t="s">
        <v>1629</v>
      </c>
      <c r="F1607" t="s">
        <v>14</v>
      </c>
      <c r="G1607" t="s">
        <v>18</v>
      </c>
      <c r="I1607">
        <v>506000</v>
      </c>
      <c r="J1607">
        <v>724000</v>
      </c>
      <c r="K1607">
        <v>467000</v>
      </c>
      <c r="L1607">
        <v>560000</v>
      </c>
    </row>
    <row r="1608" spans="1:12" ht="15" customHeight="1">
      <c r="A1608" t="s">
        <v>6912</v>
      </c>
      <c r="B1608" t="s">
        <v>3811</v>
      </c>
      <c r="C1608" t="s">
        <v>12</v>
      </c>
      <c r="D1608" t="s">
        <v>3812</v>
      </c>
      <c r="E1608" t="s">
        <v>1518</v>
      </c>
      <c r="F1608" t="s">
        <v>14</v>
      </c>
      <c r="G1608" t="s">
        <v>22</v>
      </c>
      <c r="I1608">
        <v>8329000</v>
      </c>
      <c r="J1608">
        <v>11979000</v>
      </c>
      <c r="K1608">
        <v>6900000</v>
      </c>
      <c r="L1608">
        <v>12805000</v>
      </c>
    </row>
    <row r="1609" spans="1:12" ht="15" customHeight="1">
      <c r="A1609" t="s">
        <v>6914</v>
      </c>
      <c r="B1609" t="s">
        <v>3813</v>
      </c>
      <c r="C1609" t="s">
        <v>12</v>
      </c>
      <c r="D1609" t="s">
        <v>3814</v>
      </c>
      <c r="E1609" t="s">
        <v>1532</v>
      </c>
      <c r="F1609" t="s">
        <v>14</v>
      </c>
      <c r="G1609" t="s">
        <v>18</v>
      </c>
    </row>
    <row r="1610" spans="1:12" ht="15" customHeight="1">
      <c r="A1610" t="s">
        <v>6915</v>
      </c>
      <c r="B1610" t="s">
        <v>3815</v>
      </c>
      <c r="C1610" t="s">
        <v>12</v>
      </c>
      <c r="D1610" t="s">
        <v>3816</v>
      </c>
      <c r="E1610" t="s">
        <v>1576</v>
      </c>
      <c r="F1610" t="s">
        <v>25</v>
      </c>
      <c r="G1610" t="s">
        <v>18</v>
      </c>
    </row>
    <row r="1611" spans="1:12" ht="15" customHeight="1">
      <c r="A1611" t="s">
        <v>6916</v>
      </c>
      <c r="B1611" t="s">
        <v>3817</v>
      </c>
      <c r="C1611" t="s">
        <v>12</v>
      </c>
      <c r="D1611" t="s">
        <v>3818</v>
      </c>
      <c r="E1611" t="s">
        <v>1516</v>
      </c>
      <c r="F1611" t="s">
        <v>14</v>
      </c>
      <c r="G1611" t="s">
        <v>18</v>
      </c>
      <c r="I1611">
        <v>127000</v>
      </c>
      <c r="K1611">
        <v>127000</v>
      </c>
    </row>
    <row r="1612" spans="1:12" ht="15" customHeight="1">
      <c r="A1612" t="s">
        <v>6917</v>
      </c>
      <c r="B1612" t="s">
        <v>3819</v>
      </c>
      <c r="C1612" t="s">
        <v>12</v>
      </c>
      <c r="D1612" t="s">
        <v>3820</v>
      </c>
      <c r="E1612" t="s">
        <v>1509</v>
      </c>
      <c r="F1612" t="s">
        <v>14</v>
      </c>
      <c r="G1612" t="s">
        <v>18</v>
      </c>
      <c r="J1612">
        <v>828000</v>
      </c>
      <c r="L1612">
        <v>966000</v>
      </c>
    </row>
    <row r="1613" spans="1:12" ht="15" customHeight="1">
      <c r="A1613" t="s">
        <v>6918</v>
      </c>
      <c r="B1613" t="s">
        <v>3821</v>
      </c>
      <c r="C1613" t="s">
        <v>12</v>
      </c>
      <c r="D1613" t="s">
        <v>3822</v>
      </c>
      <c r="E1613" t="s">
        <v>1532</v>
      </c>
      <c r="F1613" t="s">
        <v>14</v>
      </c>
      <c r="G1613" t="s">
        <v>18</v>
      </c>
    </row>
    <row r="1614" spans="1:12" ht="15" customHeight="1">
      <c r="A1614" t="s">
        <v>6919</v>
      </c>
      <c r="B1614" t="s">
        <v>3823</v>
      </c>
      <c r="C1614" t="s">
        <v>12</v>
      </c>
      <c r="D1614" t="s">
        <v>3824</v>
      </c>
      <c r="E1614" t="s">
        <v>1532</v>
      </c>
      <c r="F1614" t="s">
        <v>25</v>
      </c>
      <c r="G1614" t="s">
        <v>77</v>
      </c>
    </row>
    <row r="1615" spans="1:12" ht="15" customHeight="1">
      <c r="A1615" t="s">
        <v>6920</v>
      </c>
      <c r="B1615" t="s">
        <v>3825</v>
      </c>
      <c r="C1615" t="s">
        <v>12</v>
      </c>
      <c r="D1615" t="s">
        <v>3826</v>
      </c>
      <c r="E1615" t="s">
        <v>1532</v>
      </c>
      <c r="F1615" t="s">
        <v>25</v>
      </c>
      <c r="G1615" t="s">
        <v>18</v>
      </c>
    </row>
    <row r="1616" spans="1:12" ht="15" customHeight="1">
      <c r="A1616" t="s">
        <v>6921</v>
      </c>
      <c r="B1616" t="s">
        <v>3827</v>
      </c>
      <c r="C1616" t="s">
        <v>12</v>
      </c>
      <c r="D1616" t="s">
        <v>3828</v>
      </c>
      <c r="E1616" t="s">
        <v>1532</v>
      </c>
      <c r="F1616" t="s">
        <v>14</v>
      </c>
      <c r="G1616" t="s">
        <v>18</v>
      </c>
    </row>
    <row r="1617" spans="1:12" ht="15" customHeight="1">
      <c r="A1617" t="s">
        <v>6922</v>
      </c>
      <c r="B1617" t="s">
        <v>3830</v>
      </c>
      <c r="C1617" t="s">
        <v>12</v>
      </c>
      <c r="D1617" t="s">
        <v>3831</v>
      </c>
      <c r="E1617" t="s">
        <v>1533</v>
      </c>
      <c r="F1617" t="s">
        <v>14</v>
      </c>
      <c r="G1617" t="s">
        <v>18</v>
      </c>
    </row>
    <row r="1618" spans="1:12" ht="15" customHeight="1">
      <c r="A1618" t="s">
        <v>6923</v>
      </c>
      <c r="B1618" t="s">
        <v>3832</v>
      </c>
      <c r="C1618" t="s">
        <v>12</v>
      </c>
      <c r="D1618" t="s">
        <v>3833</v>
      </c>
      <c r="E1618" t="s">
        <v>1533</v>
      </c>
      <c r="F1618" t="s">
        <v>14</v>
      </c>
      <c r="G1618" t="s">
        <v>18</v>
      </c>
      <c r="I1618">
        <v>3233000</v>
      </c>
      <c r="J1618">
        <v>2854000</v>
      </c>
      <c r="K1618">
        <v>3024000</v>
      </c>
      <c r="L1618">
        <v>2878000</v>
      </c>
    </row>
    <row r="1619" spans="1:12" ht="15" customHeight="1">
      <c r="A1619" t="s">
        <v>6923</v>
      </c>
      <c r="B1619" t="s">
        <v>3834</v>
      </c>
      <c r="C1619" t="s">
        <v>12</v>
      </c>
      <c r="D1619" t="s">
        <v>3835</v>
      </c>
      <c r="E1619" t="s">
        <v>2139</v>
      </c>
      <c r="F1619" t="s">
        <v>14</v>
      </c>
      <c r="G1619" t="s">
        <v>18</v>
      </c>
      <c r="I1619">
        <v>8000</v>
      </c>
      <c r="J1619">
        <v>14000</v>
      </c>
      <c r="K1619">
        <v>12000</v>
      </c>
      <c r="L1619">
        <v>12000</v>
      </c>
    </row>
    <row r="1620" spans="1:12" ht="15" customHeight="1">
      <c r="A1620" t="s">
        <v>6923</v>
      </c>
      <c r="B1620" t="s">
        <v>3836</v>
      </c>
      <c r="C1620" t="s">
        <v>12</v>
      </c>
      <c r="D1620" t="s">
        <v>3837</v>
      </c>
      <c r="E1620" t="s">
        <v>1629</v>
      </c>
      <c r="F1620" t="s">
        <v>14</v>
      </c>
      <c r="G1620" t="s">
        <v>18</v>
      </c>
      <c r="I1620">
        <v>3275000</v>
      </c>
      <c r="J1620">
        <v>2375000</v>
      </c>
      <c r="K1620">
        <v>3122000</v>
      </c>
      <c r="L1620">
        <v>2442000</v>
      </c>
    </row>
    <row r="1621" spans="1:12" ht="15" customHeight="1">
      <c r="A1621" t="s">
        <v>6924</v>
      </c>
      <c r="B1621" t="s">
        <v>3838</v>
      </c>
      <c r="C1621" t="s">
        <v>12</v>
      </c>
      <c r="D1621" t="s">
        <v>3839</v>
      </c>
      <c r="E1621" t="s">
        <v>1509</v>
      </c>
      <c r="F1621" t="s">
        <v>14</v>
      </c>
      <c r="G1621" t="s">
        <v>18</v>
      </c>
      <c r="I1621">
        <v>563000</v>
      </c>
      <c r="J1621">
        <v>546000</v>
      </c>
      <c r="K1621">
        <v>575000</v>
      </c>
      <c r="L1621">
        <v>544000</v>
      </c>
    </row>
    <row r="1622" spans="1:12" ht="15" customHeight="1">
      <c r="A1622" t="s">
        <v>6925</v>
      </c>
      <c r="B1622" t="s">
        <v>3840</v>
      </c>
      <c r="C1622" t="s">
        <v>12</v>
      </c>
      <c r="D1622" t="s">
        <v>3841</v>
      </c>
      <c r="E1622" t="s">
        <v>1535</v>
      </c>
      <c r="F1622" t="s">
        <v>14</v>
      </c>
      <c r="G1622" t="s">
        <v>18</v>
      </c>
      <c r="I1622">
        <v>358000</v>
      </c>
      <c r="J1622">
        <v>413000</v>
      </c>
      <c r="K1622">
        <v>292000</v>
      </c>
      <c r="L1622">
        <v>385000</v>
      </c>
    </row>
    <row r="1623" spans="1:12" ht="15" customHeight="1">
      <c r="A1623" t="s">
        <v>6926</v>
      </c>
      <c r="B1623" t="s">
        <v>3842</v>
      </c>
      <c r="C1623" t="s">
        <v>12</v>
      </c>
      <c r="D1623" t="s">
        <v>3843</v>
      </c>
      <c r="E1623" t="s">
        <v>1767</v>
      </c>
      <c r="F1623" t="s">
        <v>14</v>
      </c>
      <c r="G1623" t="s">
        <v>77</v>
      </c>
      <c r="I1623">
        <v>29425000</v>
      </c>
      <c r="J1623">
        <v>28416000</v>
      </c>
      <c r="K1623">
        <v>34396000</v>
      </c>
      <c r="L1623">
        <v>25583000</v>
      </c>
    </row>
    <row r="1624" spans="1:12" ht="15" customHeight="1">
      <c r="A1624" t="s">
        <v>6927</v>
      </c>
      <c r="B1624" t="s">
        <v>3844</v>
      </c>
      <c r="C1624" t="s">
        <v>12</v>
      </c>
      <c r="D1624" t="s">
        <v>3845</v>
      </c>
      <c r="E1624" t="s">
        <v>1575</v>
      </c>
      <c r="F1624" t="s">
        <v>25</v>
      </c>
      <c r="G1624" t="s">
        <v>18</v>
      </c>
    </row>
    <row r="1625" spans="1:12" ht="15" customHeight="1">
      <c r="A1625" t="s">
        <v>6928</v>
      </c>
      <c r="B1625" t="s">
        <v>3846</v>
      </c>
      <c r="C1625" t="s">
        <v>12</v>
      </c>
      <c r="D1625" t="s">
        <v>3847</v>
      </c>
      <c r="E1625" t="s">
        <v>1534</v>
      </c>
      <c r="F1625" t="s">
        <v>14</v>
      </c>
      <c r="G1625" t="s">
        <v>18</v>
      </c>
    </row>
    <row r="1626" spans="1:12" ht="15" customHeight="1">
      <c r="A1626" t="s">
        <v>6929</v>
      </c>
      <c r="B1626" t="s">
        <v>3848</v>
      </c>
      <c r="C1626" t="s">
        <v>12</v>
      </c>
      <c r="D1626" t="s">
        <v>3849</v>
      </c>
      <c r="E1626" t="s">
        <v>1504</v>
      </c>
      <c r="F1626" t="s">
        <v>14</v>
      </c>
      <c r="G1626" t="s">
        <v>18</v>
      </c>
      <c r="J1626">
        <v>1255000</v>
      </c>
      <c r="L1626">
        <v>822000</v>
      </c>
    </row>
    <row r="1627" spans="1:12" ht="15" customHeight="1">
      <c r="A1627" t="s">
        <v>6929</v>
      </c>
      <c r="B1627" t="s">
        <v>3850</v>
      </c>
      <c r="C1627" t="s">
        <v>12</v>
      </c>
      <c r="D1627" t="s">
        <v>3851</v>
      </c>
      <c r="E1627" t="s">
        <v>1738</v>
      </c>
      <c r="F1627" t="s">
        <v>14</v>
      </c>
      <c r="G1627" t="s">
        <v>18</v>
      </c>
      <c r="I1627">
        <v>4307000</v>
      </c>
      <c r="J1627">
        <v>3408000</v>
      </c>
      <c r="K1627">
        <v>4304000</v>
      </c>
      <c r="L1627">
        <v>3409000</v>
      </c>
    </row>
    <row r="1628" spans="1:12" ht="15" customHeight="1">
      <c r="A1628" t="s">
        <v>6930</v>
      </c>
      <c r="B1628" t="s">
        <v>3852</v>
      </c>
      <c r="C1628" t="s">
        <v>12</v>
      </c>
      <c r="D1628" t="s">
        <v>3853</v>
      </c>
      <c r="E1628" t="s">
        <v>1754</v>
      </c>
      <c r="F1628" t="s">
        <v>14</v>
      </c>
      <c r="G1628" t="s">
        <v>18</v>
      </c>
      <c r="I1628">
        <v>58000</v>
      </c>
      <c r="J1628">
        <v>3000</v>
      </c>
      <c r="K1628">
        <v>56000</v>
      </c>
      <c r="L1628">
        <v>5000</v>
      </c>
    </row>
    <row r="1629" spans="1:12" ht="15" customHeight="1">
      <c r="A1629" t="s">
        <v>6931</v>
      </c>
      <c r="B1629" t="s">
        <v>3854</v>
      </c>
      <c r="C1629" t="s">
        <v>12</v>
      </c>
      <c r="D1629" t="s">
        <v>3855</v>
      </c>
      <c r="E1629" t="s">
        <v>1560</v>
      </c>
      <c r="F1629" t="s">
        <v>14</v>
      </c>
      <c r="G1629" t="s">
        <v>18</v>
      </c>
      <c r="I1629">
        <v>3120000</v>
      </c>
      <c r="J1629">
        <v>4509000</v>
      </c>
      <c r="K1629">
        <v>13335000</v>
      </c>
      <c r="L1629">
        <v>4780000</v>
      </c>
    </row>
    <row r="1630" spans="1:12" ht="15" customHeight="1">
      <c r="A1630" t="s">
        <v>6932</v>
      </c>
      <c r="B1630" t="s">
        <v>3856</v>
      </c>
      <c r="C1630" t="s">
        <v>12</v>
      </c>
      <c r="D1630" t="s">
        <v>3857</v>
      </c>
      <c r="E1630" t="s">
        <v>1560</v>
      </c>
      <c r="F1630" t="s">
        <v>14</v>
      </c>
      <c r="G1630" t="s">
        <v>18</v>
      </c>
      <c r="I1630">
        <v>13588000</v>
      </c>
      <c r="J1630">
        <v>13475000</v>
      </c>
      <c r="K1630">
        <v>12768000</v>
      </c>
      <c r="L1630">
        <v>13400000</v>
      </c>
    </row>
    <row r="1631" spans="1:12" ht="15" customHeight="1">
      <c r="A1631" t="s">
        <v>6933</v>
      </c>
      <c r="B1631" t="s">
        <v>3858</v>
      </c>
      <c r="C1631" t="s">
        <v>12</v>
      </c>
      <c r="D1631" t="s">
        <v>3859</v>
      </c>
      <c r="E1631" t="s">
        <v>1628</v>
      </c>
      <c r="F1631" t="s">
        <v>14</v>
      </c>
      <c r="G1631" t="s">
        <v>18</v>
      </c>
      <c r="I1631">
        <v>422000</v>
      </c>
      <c r="J1631">
        <v>3214000</v>
      </c>
      <c r="K1631">
        <v>455000</v>
      </c>
      <c r="L1631">
        <v>1682000</v>
      </c>
    </row>
    <row r="1632" spans="1:12" ht="15" customHeight="1">
      <c r="A1632" t="s">
        <v>6933</v>
      </c>
      <c r="B1632" t="s">
        <v>3860</v>
      </c>
      <c r="C1632" t="s">
        <v>12</v>
      </c>
      <c r="D1632" t="s">
        <v>3861</v>
      </c>
      <c r="E1632" t="s">
        <v>1509</v>
      </c>
      <c r="F1632" t="s">
        <v>14</v>
      </c>
      <c r="G1632" t="s">
        <v>18</v>
      </c>
      <c r="J1632">
        <v>171000</v>
      </c>
      <c r="L1632">
        <v>142000</v>
      </c>
    </row>
    <row r="1633" spans="1:12" ht="15" customHeight="1">
      <c r="A1633" t="s">
        <v>6934</v>
      </c>
      <c r="B1633" t="s">
        <v>3862</v>
      </c>
      <c r="C1633" t="s">
        <v>12</v>
      </c>
      <c r="D1633" t="s">
        <v>3863</v>
      </c>
      <c r="E1633" t="s">
        <v>1517</v>
      </c>
      <c r="F1633" t="s">
        <v>14</v>
      </c>
      <c r="G1633" t="s">
        <v>18</v>
      </c>
      <c r="I1633">
        <v>36875000</v>
      </c>
      <c r="J1633">
        <v>31293000</v>
      </c>
      <c r="K1633">
        <v>36471000</v>
      </c>
      <c r="L1633">
        <v>31026000</v>
      </c>
    </row>
    <row r="1634" spans="1:12" ht="15" customHeight="1">
      <c r="A1634" t="s">
        <v>6935</v>
      </c>
      <c r="B1634" t="s">
        <v>3864</v>
      </c>
      <c r="C1634" t="s">
        <v>12</v>
      </c>
      <c r="D1634" t="s">
        <v>3865</v>
      </c>
      <c r="E1634" t="s">
        <v>1565</v>
      </c>
      <c r="F1634" t="s">
        <v>14</v>
      </c>
      <c r="G1634" t="s">
        <v>18</v>
      </c>
    </row>
    <row r="1635" spans="1:12" ht="15" customHeight="1">
      <c r="A1635" t="s">
        <v>6936</v>
      </c>
      <c r="B1635" t="s">
        <v>3866</v>
      </c>
      <c r="C1635" t="s">
        <v>12</v>
      </c>
      <c r="D1635" t="s">
        <v>3867</v>
      </c>
      <c r="E1635" t="s">
        <v>1534</v>
      </c>
      <c r="F1635" t="s">
        <v>14</v>
      </c>
      <c r="G1635" t="s">
        <v>18</v>
      </c>
      <c r="I1635">
        <v>973000</v>
      </c>
      <c r="J1635">
        <v>3571000</v>
      </c>
      <c r="K1635">
        <v>270000</v>
      </c>
      <c r="L1635">
        <v>3079000</v>
      </c>
    </row>
    <row r="1636" spans="1:12" ht="15" customHeight="1">
      <c r="A1636" t="s">
        <v>6937</v>
      </c>
      <c r="B1636" t="s">
        <v>3868</v>
      </c>
      <c r="C1636" t="s">
        <v>12</v>
      </c>
      <c r="D1636" t="s">
        <v>3869</v>
      </c>
      <c r="E1636" t="s">
        <v>1565</v>
      </c>
      <c r="F1636" t="s">
        <v>25</v>
      </c>
      <c r="G1636" t="s">
        <v>18</v>
      </c>
      <c r="I1636">
        <v>187000</v>
      </c>
      <c r="J1636">
        <v>65000</v>
      </c>
      <c r="K1636">
        <v>321000</v>
      </c>
      <c r="L1636">
        <v>1641000</v>
      </c>
    </row>
    <row r="1637" spans="1:12" ht="15" customHeight="1">
      <c r="A1637" t="s">
        <v>6938</v>
      </c>
      <c r="B1637" t="s">
        <v>3870</v>
      </c>
      <c r="C1637" t="s">
        <v>12</v>
      </c>
      <c r="D1637" t="s">
        <v>3871</v>
      </c>
      <c r="E1637" t="s">
        <v>1776</v>
      </c>
      <c r="F1637" t="s">
        <v>25</v>
      </c>
      <c r="G1637" t="s">
        <v>18</v>
      </c>
    </row>
    <row r="1638" spans="1:12" ht="15" customHeight="1">
      <c r="A1638" t="s">
        <v>6939</v>
      </c>
      <c r="B1638" t="s">
        <v>3872</v>
      </c>
      <c r="C1638" t="s">
        <v>12</v>
      </c>
      <c r="D1638" t="s">
        <v>3873</v>
      </c>
      <c r="E1638" t="s">
        <v>1532</v>
      </c>
      <c r="F1638" t="s">
        <v>14</v>
      </c>
      <c r="G1638" t="s">
        <v>18</v>
      </c>
    </row>
    <row r="1639" spans="1:12" ht="15" customHeight="1">
      <c r="A1639" t="s">
        <v>6940</v>
      </c>
      <c r="B1639" t="s">
        <v>3874</v>
      </c>
      <c r="C1639" t="s">
        <v>12</v>
      </c>
      <c r="D1639" t="s">
        <v>3875</v>
      </c>
      <c r="E1639" t="s">
        <v>1595</v>
      </c>
      <c r="F1639" t="s">
        <v>14</v>
      </c>
      <c r="G1639" t="s">
        <v>18</v>
      </c>
      <c r="I1639">
        <v>915000</v>
      </c>
      <c r="J1639">
        <v>827000</v>
      </c>
      <c r="K1639">
        <v>861000</v>
      </c>
      <c r="L1639">
        <v>892000</v>
      </c>
    </row>
    <row r="1640" spans="1:12" ht="15" customHeight="1">
      <c r="A1640" t="s">
        <v>6940</v>
      </c>
      <c r="B1640" t="s">
        <v>3876</v>
      </c>
      <c r="C1640" t="s">
        <v>12</v>
      </c>
      <c r="D1640" t="s">
        <v>3877</v>
      </c>
      <c r="E1640" t="s">
        <v>1508</v>
      </c>
      <c r="F1640" t="s">
        <v>14</v>
      </c>
      <c r="G1640" t="s">
        <v>18</v>
      </c>
    </row>
    <row r="1641" spans="1:12" ht="15" customHeight="1">
      <c r="A1641" t="s">
        <v>6941</v>
      </c>
      <c r="B1641" t="s">
        <v>3878</v>
      </c>
      <c r="C1641" t="s">
        <v>12</v>
      </c>
      <c r="D1641" t="s">
        <v>3879</v>
      </c>
      <c r="E1641" t="s">
        <v>1532</v>
      </c>
      <c r="F1641" t="s">
        <v>14</v>
      </c>
      <c r="G1641" t="s">
        <v>22</v>
      </c>
      <c r="I1641">
        <v>4999000</v>
      </c>
      <c r="J1641">
        <v>10096000</v>
      </c>
      <c r="K1641">
        <v>11911000</v>
      </c>
      <c r="L1641">
        <v>11279000</v>
      </c>
    </row>
    <row r="1642" spans="1:12" ht="15" customHeight="1">
      <c r="A1642" t="s">
        <v>6942</v>
      </c>
      <c r="B1642" t="s">
        <v>3880</v>
      </c>
      <c r="C1642" t="s">
        <v>12</v>
      </c>
      <c r="D1642" t="s">
        <v>3881</v>
      </c>
      <c r="E1642" t="s">
        <v>1580</v>
      </c>
      <c r="F1642" t="s">
        <v>14</v>
      </c>
      <c r="G1642" t="s">
        <v>18</v>
      </c>
      <c r="I1642">
        <v>104000</v>
      </c>
      <c r="K1642">
        <v>106000</v>
      </c>
    </row>
    <row r="1643" spans="1:12" ht="15" customHeight="1">
      <c r="A1643" t="s">
        <v>6943</v>
      </c>
      <c r="B1643" t="s">
        <v>3882</v>
      </c>
      <c r="C1643" t="s">
        <v>12</v>
      </c>
      <c r="D1643" t="s">
        <v>3883</v>
      </c>
      <c r="E1643" t="s">
        <v>1533</v>
      </c>
      <c r="F1643" t="s">
        <v>14</v>
      </c>
      <c r="G1643" t="s">
        <v>18</v>
      </c>
    </row>
    <row r="1644" spans="1:12" ht="15" customHeight="1">
      <c r="A1644" t="s">
        <v>6944</v>
      </c>
      <c r="B1644" t="s">
        <v>3884</v>
      </c>
      <c r="C1644" t="s">
        <v>12</v>
      </c>
      <c r="D1644" t="s">
        <v>3885</v>
      </c>
      <c r="E1644" t="s">
        <v>1532</v>
      </c>
      <c r="F1644" t="s">
        <v>14</v>
      </c>
      <c r="G1644" t="s">
        <v>18</v>
      </c>
      <c r="I1644">
        <v>5000</v>
      </c>
      <c r="K1644">
        <v>4000</v>
      </c>
      <c r="L1644">
        <v>6000</v>
      </c>
    </row>
    <row r="1645" spans="1:12" ht="15" customHeight="1">
      <c r="A1645" t="s">
        <v>6945</v>
      </c>
      <c r="B1645" t="s">
        <v>3886</v>
      </c>
      <c r="C1645" t="s">
        <v>12</v>
      </c>
      <c r="D1645" t="s">
        <v>3887</v>
      </c>
      <c r="E1645" t="s">
        <v>1509</v>
      </c>
      <c r="F1645" t="s">
        <v>25</v>
      </c>
      <c r="G1645" t="s">
        <v>77</v>
      </c>
      <c r="I1645">
        <v>6422000</v>
      </c>
      <c r="J1645">
        <v>11445000</v>
      </c>
      <c r="K1645">
        <v>6838000</v>
      </c>
      <c r="L1645">
        <v>9909000</v>
      </c>
    </row>
    <row r="1646" spans="1:12" ht="15" customHeight="1">
      <c r="A1646" t="s">
        <v>6946</v>
      </c>
      <c r="B1646" t="s">
        <v>3888</v>
      </c>
      <c r="C1646" t="s">
        <v>12</v>
      </c>
      <c r="D1646" t="s">
        <v>3889</v>
      </c>
      <c r="E1646" t="s">
        <v>1521</v>
      </c>
      <c r="F1646" t="s">
        <v>14</v>
      </c>
      <c r="G1646" t="s">
        <v>18</v>
      </c>
      <c r="K1646">
        <v>22000</v>
      </c>
    </row>
    <row r="1647" spans="1:12" ht="15" customHeight="1">
      <c r="A1647" t="s">
        <v>6947</v>
      </c>
      <c r="B1647" t="s">
        <v>3890</v>
      </c>
      <c r="C1647" t="s">
        <v>12</v>
      </c>
      <c r="D1647" t="s">
        <v>3891</v>
      </c>
      <c r="E1647" t="s">
        <v>1524</v>
      </c>
      <c r="F1647" t="s">
        <v>25</v>
      </c>
      <c r="G1647" t="s">
        <v>18</v>
      </c>
      <c r="I1647">
        <v>730000</v>
      </c>
      <c r="J1647">
        <v>578000</v>
      </c>
      <c r="K1647">
        <v>682000</v>
      </c>
      <c r="L1647">
        <v>633000</v>
      </c>
    </row>
    <row r="1648" spans="1:12" ht="15" customHeight="1">
      <c r="A1648" t="s">
        <v>6948</v>
      </c>
      <c r="B1648" t="s">
        <v>3892</v>
      </c>
      <c r="C1648" t="s">
        <v>12</v>
      </c>
      <c r="D1648" t="s">
        <v>3893</v>
      </c>
      <c r="E1648" t="s">
        <v>1560</v>
      </c>
      <c r="F1648" t="s">
        <v>14</v>
      </c>
      <c r="G1648" t="s">
        <v>18</v>
      </c>
      <c r="I1648">
        <v>12220000</v>
      </c>
      <c r="J1648">
        <v>37418000</v>
      </c>
      <c r="K1648">
        <v>35258000</v>
      </c>
      <c r="L1648">
        <v>42999000</v>
      </c>
    </row>
    <row r="1649" spans="1:12" ht="15" customHeight="1">
      <c r="A1649" t="s">
        <v>6949</v>
      </c>
      <c r="B1649" t="s">
        <v>3894</v>
      </c>
      <c r="C1649" t="s">
        <v>12</v>
      </c>
      <c r="D1649" t="s">
        <v>3895</v>
      </c>
      <c r="E1649" t="s">
        <v>1580</v>
      </c>
      <c r="F1649" t="s">
        <v>14</v>
      </c>
      <c r="G1649" t="s">
        <v>18</v>
      </c>
      <c r="I1649">
        <v>14224000</v>
      </c>
      <c r="J1649">
        <v>6594000</v>
      </c>
      <c r="K1649">
        <v>15202000</v>
      </c>
      <c r="L1649">
        <v>6146000</v>
      </c>
    </row>
    <row r="1650" spans="1:12" ht="15" customHeight="1">
      <c r="A1650" t="s">
        <v>6950</v>
      </c>
      <c r="B1650" t="s">
        <v>3896</v>
      </c>
      <c r="C1650" t="s">
        <v>12</v>
      </c>
      <c r="D1650" t="s">
        <v>3897</v>
      </c>
      <c r="E1650" t="s">
        <v>1588</v>
      </c>
      <c r="F1650" t="s">
        <v>14</v>
      </c>
      <c r="G1650" t="s">
        <v>18</v>
      </c>
    </row>
    <row r="1651" spans="1:12" ht="15" customHeight="1">
      <c r="A1651" t="s">
        <v>6951</v>
      </c>
      <c r="B1651" t="s">
        <v>3898</v>
      </c>
      <c r="C1651" t="s">
        <v>12</v>
      </c>
      <c r="D1651" t="s">
        <v>3899</v>
      </c>
      <c r="E1651" t="s">
        <v>1580</v>
      </c>
      <c r="F1651" t="s">
        <v>14</v>
      </c>
      <c r="G1651" t="s">
        <v>18</v>
      </c>
      <c r="I1651">
        <v>6274000</v>
      </c>
      <c r="J1651">
        <v>7865000</v>
      </c>
      <c r="K1651">
        <v>8735000</v>
      </c>
      <c r="L1651">
        <v>9197000</v>
      </c>
    </row>
    <row r="1652" spans="1:12" ht="15" customHeight="1">
      <c r="A1652" t="s">
        <v>6952</v>
      </c>
      <c r="B1652" t="s">
        <v>3900</v>
      </c>
      <c r="C1652" t="s">
        <v>12</v>
      </c>
      <c r="D1652" t="s">
        <v>3901</v>
      </c>
      <c r="E1652" t="s">
        <v>1629</v>
      </c>
      <c r="F1652" t="s">
        <v>14</v>
      </c>
      <c r="G1652" t="s">
        <v>18</v>
      </c>
      <c r="I1652">
        <v>2394000</v>
      </c>
      <c r="J1652">
        <v>1923000</v>
      </c>
      <c r="K1652">
        <v>2450000</v>
      </c>
      <c r="L1652">
        <v>1997000</v>
      </c>
    </row>
    <row r="1653" spans="1:12" ht="15" customHeight="1">
      <c r="A1653" t="s">
        <v>6953</v>
      </c>
      <c r="B1653" t="s">
        <v>3902</v>
      </c>
      <c r="C1653" t="s">
        <v>12</v>
      </c>
      <c r="D1653" t="s">
        <v>3903</v>
      </c>
      <c r="E1653" t="s">
        <v>1526</v>
      </c>
      <c r="F1653" t="s">
        <v>14</v>
      </c>
      <c r="G1653" t="s">
        <v>77</v>
      </c>
      <c r="I1653">
        <v>115000</v>
      </c>
      <c r="J1653">
        <v>130000</v>
      </c>
      <c r="K1653">
        <v>96000</v>
      </c>
      <c r="L1653">
        <v>129000</v>
      </c>
    </row>
    <row r="1654" spans="1:12" ht="15" customHeight="1">
      <c r="A1654" t="s">
        <v>6954</v>
      </c>
      <c r="B1654" t="s">
        <v>3904</v>
      </c>
      <c r="C1654" t="s">
        <v>12</v>
      </c>
      <c r="D1654" t="s">
        <v>3905</v>
      </c>
      <c r="E1654" t="s">
        <v>1580</v>
      </c>
      <c r="F1654" t="s">
        <v>14</v>
      </c>
      <c r="G1654" t="s">
        <v>18</v>
      </c>
      <c r="I1654">
        <v>2415000</v>
      </c>
      <c r="J1654">
        <v>1898000</v>
      </c>
      <c r="K1654">
        <v>2846000</v>
      </c>
      <c r="L1654">
        <v>1637000</v>
      </c>
    </row>
    <row r="1655" spans="1:12" ht="15" customHeight="1">
      <c r="A1655" t="s">
        <v>6955</v>
      </c>
      <c r="B1655" t="s">
        <v>3906</v>
      </c>
      <c r="C1655" t="s">
        <v>12</v>
      </c>
      <c r="D1655" t="s">
        <v>3907</v>
      </c>
      <c r="E1655" t="s">
        <v>1560</v>
      </c>
      <c r="F1655" t="s">
        <v>25</v>
      </c>
      <c r="G1655" t="s">
        <v>18</v>
      </c>
      <c r="J1655">
        <v>30625000</v>
      </c>
      <c r="L1655">
        <v>31912000</v>
      </c>
    </row>
    <row r="1656" spans="1:12" ht="15" customHeight="1">
      <c r="A1656" t="s">
        <v>6956</v>
      </c>
      <c r="B1656" t="s">
        <v>3908</v>
      </c>
      <c r="C1656" t="s">
        <v>12</v>
      </c>
      <c r="D1656" t="s">
        <v>3909</v>
      </c>
      <c r="E1656" t="s">
        <v>1560</v>
      </c>
      <c r="F1656" t="s">
        <v>25</v>
      </c>
      <c r="G1656" t="s">
        <v>22</v>
      </c>
      <c r="I1656">
        <v>15407000</v>
      </c>
      <c r="J1656">
        <v>14981000</v>
      </c>
      <c r="K1656">
        <v>14014000</v>
      </c>
      <c r="L1656">
        <v>15601000</v>
      </c>
    </row>
    <row r="1657" spans="1:12" ht="15" customHeight="1">
      <c r="A1657" t="s">
        <v>6957</v>
      </c>
      <c r="B1657" t="s">
        <v>3910</v>
      </c>
      <c r="C1657" t="s">
        <v>12</v>
      </c>
      <c r="D1657" t="s">
        <v>3911</v>
      </c>
      <c r="E1657" t="s">
        <v>1519</v>
      </c>
      <c r="F1657" t="s">
        <v>25</v>
      </c>
      <c r="G1657" t="s">
        <v>18</v>
      </c>
      <c r="I1657">
        <v>110000</v>
      </c>
      <c r="J1657">
        <v>120000</v>
      </c>
      <c r="K1657">
        <v>110000</v>
      </c>
      <c r="L1657">
        <v>120000</v>
      </c>
    </row>
    <row r="1658" spans="1:12" ht="15" customHeight="1">
      <c r="A1658" t="s">
        <v>6958</v>
      </c>
      <c r="B1658" t="s">
        <v>3912</v>
      </c>
      <c r="C1658" t="s">
        <v>12</v>
      </c>
      <c r="D1658" t="s">
        <v>3913</v>
      </c>
      <c r="E1658" t="s">
        <v>1560</v>
      </c>
      <c r="F1658" t="s">
        <v>25</v>
      </c>
      <c r="G1658" t="s">
        <v>18</v>
      </c>
      <c r="I1658">
        <v>84320000</v>
      </c>
      <c r="J1658">
        <v>223784000</v>
      </c>
      <c r="K1658">
        <v>69595000</v>
      </c>
      <c r="L1658">
        <v>212458000</v>
      </c>
    </row>
    <row r="1659" spans="1:12" ht="15" customHeight="1">
      <c r="A1659" t="s">
        <v>6959</v>
      </c>
      <c r="B1659" t="s">
        <v>3914</v>
      </c>
      <c r="C1659" t="s">
        <v>12</v>
      </c>
      <c r="D1659" t="s">
        <v>3915</v>
      </c>
      <c r="E1659" t="s">
        <v>1629</v>
      </c>
      <c r="F1659" t="s">
        <v>14</v>
      </c>
      <c r="G1659" t="s">
        <v>18</v>
      </c>
      <c r="I1659">
        <v>820000</v>
      </c>
      <c r="J1659">
        <v>2097000</v>
      </c>
      <c r="K1659">
        <v>851000</v>
      </c>
      <c r="L1659">
        <v>2101000</v>
      </c>
    </row>
    <row r="1660" spans="1:12" ht="15" customHeight="1">
      <c r="A1660" t="s">
        <v>6960</v>
      </c>
      <c r="B1660" t="s">
        <v>3916</v>
      </c>
      <c r="C1660" t="s">
        <v>12</v>
      </c>
      <c r="D1660" t="s">
        <v>3917</v>
      </c>
      <c r="E1660" t="s">
        <v>1558</v>
      </c>
      <c r="F1660" t="s">
        <v>14</v>
      </c>
      <c r="G1660" t="s">
        <v>18</v>
      </c>
      <c r="I1660">
        <v>441000</v>
      </c>
      <c r="J1660">
        <v>523000</v>
      </c>
      <c r="K1660">
        <v>834000</v>
      </c>
      <c r="L1660">
        <v>853000</v>
      </c>
    </row>
    <row r="1661" spans="1:12" ht="15" customHeight="1">
      <c r="A1661" t="s">
        <v>6961</v>
      </c>
      <c r="B1661" t="s">
        <v>3918</v>
      </c>
      <c r="C1661" t="s">
        <v>12</v>
      </c>
      <c r="D1661" t="s">
        <v>3919</v>
      </c>
      <c r="E1661" t="s">
        <v>1533</v>
      </c>
      <c r="F1661" t="s">
        <v>14</v>
      </c>
      <c r="G1661" t="s">
        <v>18</v>
      </c>
    </row>
    <row r="1662" spans="1:12" ht="15" customHeight="1">
      <c r="A1662" t="s">
        <v>6962</v>
      </c>
      <c r="B1662" t="s">
        <v>3920</v>
      </c>
      <c r="C1662" t="s">
        <v>12</v>
      </c>
      <c r="D1662" t="s">
        <v>3921</v>
      </c>
      <c r="E1662" t="s">
        <v>1580</v>
      </c>
      <c r="F1662" t="s">
        <v>14</v>
      </c>
      <c r="G1662" t="s">
        <v>22</v>
      </c>
      <c r="I1662">
        <v>26979000</v>
      </c>
      <c r="J1662">
        <v>34580000</v>
      </c>
      <c r="K1662">
        <v>26484000</v>
      </c>
      <c r="L1662">
        <v>32053000</v>
      </c>
    </row>
    <row r="1663" spans="1:12" ht="15" customHeight="1">
      <c r="A1663" t="s">
        <v>6963</v>
      </c>
      <c r="B1663" t="s">
        <v>3922</v>
      </c>
      <c r="C1663" t="s">
        <v>12</v>
      </c>
      <c r="D1663" t="s">
        <v>3923</v>
      </c>
      <c r="E1663" t="s">
        <v>1738</v>
      </c>
      <c r="F1663" t="s">
        <v>25</v>
      </c>
      <c r="G1663" t="s">
        <v>18</v>
      </c>
      <c r="I1663">
        <v>3445000</v>
      </c>
      <c r="J1663">
        <v>2198000</v>
      </c>
      <c r="K1663">
        <v>3628000</v>
      </c>
      <c r="L1663">
        <v>2424000</v>
      </c>
    </row>
    <row r="1664" spans="1:12" ht="15" customHeight="1">
      <c r="A1664" t="s">
        <v>6964</v>
      </c>
      <c r="B1664" t="s">
        <v>3924</v>
      </c>
      <c r="C1664" t="s">
        <v>12</v>
      </c>
      <c r="D1664" t="s">
        <v>3925</v>
      </c>
      <c r="E1664" t="s">
        <v>1580</v>
      </c>
      <c r="F1664" t="s">
        <v>14</v>
      </c>
      <c r="G1664" t="s">
        <v>18</v>
      </c>
      <c r="I1664">
        <v>859000</v>
      </c>
      <c r="J1664">
        <v>938000</v>
      </c>
      <c r="K1664">
        <v>962000</v>
      </c>
      <c r="L1664">
        <v>1030000</v>
      </c>
    </row>
    <row r="1665" spans="1:12" ht="15" customHeight="1">
      <c r="A1665" t="s">
        <v>6965</v>
      </c>
      <c r="B1665" t="s">
        <v>3926</v>
      </c>
      <c r="C1665" t="s">
        <v>12</v>
      </c>
      <c r="D1665" t="s">
        <v>3927</v>
      </c>
      <c r="E1665" t="s">
        <v>1524</v>
      </c>
      <c r="F1665" t="s">
        <v>14</v>
      </c>
      <c r="G1665" t="s">
        <v>18</v>
      </c>
    </row>
    <row r="1666" spans="1:12" ht="15" customHeight="1">
      <c r="A1666" t="s">
        <v>6966</v>
      </c>
      <c r="B1666" t="s">
        <v>3928</v>
      </c>
      <c r="C1666" t="s">
        <v>12</v>
      </c>
      <c r="D1666" t="s">
        <v>3929</v>
      </c>
      <c r="E1666" t="s">
        <v>1767</v>
      </c>
      <c r="F1666" t="s">
        <v>14</v>
      </c>
      <c r="G1666" t="s">
        <v>18</v>
      </c>
      <c r="I1666">
        <v>138000</v>
      </c>
      <c r="J1666">
        <v>35000</v>
      </c>
      <c r="K1666">
        <v>177000</v>
      </c>
      <c r="L1666">
        <v>21000</v>
      </c>
    </row>
    <row r="1667" spans="1:12" ht="15" customHeight="1">
      <c r="A1667" t="s">
        <v>6967</v>
      </c>
      <c r="B1667" t="s">
        <v>3930</v>
      </c>
      <c r="C1667" t="s">
        <v>12</v>
      </c>
      <c r="D1667" t="s">
        <v>3931</v>
      </c>
      <c r="E1667" t="s">
        <v>1516</v>
      </c>
      <c r="F1667" t="s">
        <v>14</v>
      </c>
      <c r="G1667" t="s">
        <v>18</v>
      </c>
      <c r="I1667">
        <v>219000</v>
      </c>
      <c r="J1667">
        <v>323000</v>
      </c>
      <c r="K1667">
        <v>407000</v>
      </c>
      <c r="L1667">
        <v>353000</v>
      </c>
    </row>
    <row r="1668" spans="1:12" ht="15" customHeight="1">
      <c r="A1668" t="s">
        <v>6967</v>
      </c>
      <c r="B1668" t="s">
        <v>3932</v>
      </c>
      <c r="C1668" t="s">
        <v>12</v>
      </c>
      <c r="D1668" t="s">
        <v>3933</v>
      </c>
      <c r="E1668" t="s">
        <v>1532</v>
      </c>
      <c r="F1668" t="s">
        <v>14</v>
      </c>
      <c r="G1668" t="s">
        <v>18</v>
      </c>
    </row>
    <row r="1669" spans="1:12" ht="15" customHeight="1">
      <c r="A1669" t="s">
        <v>6968</v>
      </c>
      <c r="B1669" t="s">
        <v>3934</v>
      </c>
      <c r="C1669" t="s">
        <v>12</v>
      </c>
      <c r="D1669" t="s">
        <v>3935</v>
      </c>
      <c r="E1669" t="s">
        <v>1533</v>
      </c>
      <c r="F1669" t="s">
        <v>14</v>
      </c>
      <c r="G1669" t="s">
        <v>18</v>
      </c>
      <c r="I1669">
        <v>17000</v>
      </c>
      <c r="K1669">
        <v>8000</v>
      </c>
      <c r="L1669">
        <v>5000</v>
      </c>
    </row>
    <row r="1670" spans="1:12" ht="15" customHeight="1">
      <c r="A1670" t="s">
        <v>6969</v>
      </c>
      <c r="B1670" t="s">
        <v>3936</v>
      </c>
      <c r="C1670" t="s">
        <v>12</v>
      </c>
      <c r="D1670" t="s">
        <v>3937</v>
      </c>
      <c r="E1670" t="s">
        <v>1565</v>
      </c>
      <c r="F1670" t="s">
        <v>25</v>
      </c>
      <c r="G1670" t="s">
        <v>18</v>
      </c>
      <c r="L1670">
        <v>5000</v>
      </c>
    </row>
    <row r="1671" spans="1:12" ht="15" customHeight="1">
      <c r="A1671" t="s">
        <v>6970</v>
      </c>
      <c r="B1671" t="s">
        <v>3938</v>
      </c>
      <c r="C1671" t="s">
        <v>12</v>
      </c>
      <c r="D1671" t="s">
        <v>3939</v>
      </c>
      <c r="E1671" t="s">
        <v>1532</v>
      </c>
      <c r="F1671" t="s">
        <v>25</v>
      </c>
      <c r="G1671" t="s">
        <v>18</v>
      </c>
    </row>
    <row r="1672" spans="1:12" ht="15" customHeight="1">
      <c r="A1672" t="s">
        <v>6971</v>
      </c>
      <c r="B1672" t="s">
        <v>3940</v>
      </c>
      <c r="C1672" t="s">
        <v>12</v>
      </c>
      <c r="D1672" t="s">
        <v>3941</v>
      </c>
      <c r="E1672" t="s">
        <v>1589</v>
      </c>
      <c r="F1672" t="s">
        <v>14</v>
      </c>
      <c r="G1672" t="s">
        <v>18</v>
      </c>
    </row>
    <row r="1673" spans="1:12" ht="15" customHeight="1">
      <c r="A1673" t="s">
        <v>6972</v>
      </c>
      <c r="B1673" t="s">
        <v>3942</v>
      </c>
      <c r="C1673" t="s">
        <v>12</v>
      </c>
      <c r="D1673" t="s">
        <v>3943</v>
      </c>
      <c r="E1673" t="s">
        <v>1534</v>
      </c>
      <c r="F1673" t="s">
        <v>14</v>
      </c>
      <c r="G1673" t="s">
        <v>18</v>
      </c>
      <c r="I1673">
        <v>1980000</v>
      </c>
      <c r="J1673">
        <v>1455000</v>
      </c>
      <c r="K1673">
        <v>1925000</v>
      </c>
      <c r="L1673">
        <v>1524000</v>
      </c>
    </row>
    <row r="1674" spans="1:12" ht="15" customHeight="1">
      <c r="A1674" t="s">
        <v>6973</v>
      </c>
      <c r="B1674" t="s">
        <v>3944</v>
      </c>
      <c r="C1674" t="s">
        <v>12</v>
      </c>
      <c r="D1674" t="s">
        <v>3945</v>
      </c>
      <c r="E1674" t="s">
        <v>1588</v>
      </c>
      <c r="F1674" t="s">
        <v>14</v>
      </c>
      <c r="G1674" t="s">
        <v>18</v>
      </c>
      <c r="I1674">
        <v>2123000</v>
      </c>
      <c r="J1674">
        <v>2090000</v>
      </c>
      <c r="K1674">
        <v>2020000</v>
      </c>
      <c r="L1674">
        <v>2019000</v>
      </c>
    </row>
    <row r="1675" spans="1:12" ht="15" customHeight="1">
      <c r="A1675" t="s">
        <v>6974</v>
      </c>
      <c r="B1675" t="s">
        <v>3946</v>
      </c>
      <c r="C1675" t="s">
        <v>12</v>
      </c>
      <c r="D1675" t="s">
        <v>3947</v>
      </c>
      <c r="E1675" t="s">
        <v>1532</v>
      </c>
      <c r="F1675" t="s">
        <v>14</v>
      </c>
      <c r="G1675" t="s">
        <v>18</v>
      </c>
      <c r="I1675">
        <v>494000</v>
      </c>
      <c r="K1675">
        <v>492000</v>
      </c>
    </row>
    <row r="1676" spans="1:12" ht="15" customHeight="1">
      <c r="A1676" t="s">
        <v>6975</v>
      </c>
      <c r="B1676" t="s">
        <v>3948</v>
      </c>
      <c r="C1676" t="s">
        <v>12</v>
      </c>
      <c r="D1676" t="s">
        <v>3949</v>
      </c>
      <c r="E1676" t="s">
        <v>1532</v>
      </c>
      <c r="F1676" t="s">
        <v>14</v>
      </c>
      <c r="G1676" t="s">
        <v>18</v>
      </c>
    </row>
    <row r="1677" spans="1:12" ht="15" customHeight="1">
      <c r="A1677" t="s">
        <v>6976</v>
      </c>
      <c r="B1677" t="s">
        <v>3950</v>
      </c>
      <c r="C1677" t="s">
        <v>12</v>
      </c>
      <c r="D1677" t="s">
        <v>3951</v>
      </c>
      <c r="E1677" t="s">
        <v>1580</v>
      </c>
      <c r="F1677" t="s">
        <v>25</v>
      </c>
      <c r="G1677" t="s">
        <v>18</v>
      </c>
      <c r="I1677">
        <v>443000</v>
      </c>
      <c r="J1677">
        <v>985000</v>
      </c>
      <c r="K1677">
        <v>379000</v>
      </c>
      <c r="L1677">
        <v>635000</v>
      </c>
    </row>
    <row r="1678" spans="1:12" ht="15" customHeight="1">
      <c r="A1678" t="s">
        <v>6977</v>
      </c>
      <c r="B1678" t="s">
        <v>3952</v>
      </c>
      <c r="C1678" t="s">
        <v>3829</v>
      </c>
      <c r="D1678" t="s">
        <v>3953</v>
      </c>
      <c r="E1678" t="s">
        <v>1516</v>
      </c>
      <c r="F1678" t="s">
        <v>24</v>
      </c>
      <c r="G1678" t="s">
        <v>18</v>
      </c>
    </row>
    <row r="1679" spans="1:12" ht="15" customHeight="1">
      <c r="A1679" t="s">
        <v>6978</v>
      </c>
      <c r="B1679" t="s">
        <v>3954</v>
      </c>
      <c r="C1679" t="s">
        <v>12</v>
      </c>
      <c r="D1679" t="s">
        <v>3955</v>
      </c>
      <c r="E1679" t="s">
        <v>1801</v>
      </c>
      <c r="F1679" t="s">
        <v>25</v>
      </c>
      <c r="G1679" t="s">
        <v>18</v>
      </c>
      <c r="I1679">
        <v>686000</v>
      </c>
      <c r="J1679">
        <v>520000</v>
      </c>
      <c r="K1679">
        <v>663000</v>
      </c>
      <c r="L1679">
        <v>520000</v>
      </c>
    </row>
    <row r="1680" spans="1:12" ht="15" customHeight="1">
      <c r="A1680" t="s">
        <v>6979</v>
      </c>
      <c r="B1680" t="s">
        <v>3956</v>
      </c>
      <c r="C1680" t="s">
        <v>12</v>
      </c>
      <c r="D1680" t="s">
        <v>3957</v>
      </c>
      <c r="E1680" t="s">
        <v>1511</v>
      </c>
      <c r="F1680" t="s">
        <v>14</v>
      </c>
      <c r="G1680" t="s">
        <v>18</v>
      </c>
      <c r="I1680">
        <v>425000</v>
      </c>
      <c r="J1680">
        <v>521000</v>
      </c>
      <c r="K1680">
        <v>424000</v>
      </c>
      <c r="L1680">
        <v>388000</v>
      </c>
    </row>
    <row r="1681" spans="1:12" ht="15" customHeight="1">
      <c r="A1681" t="s">
        <v>6980</v>
      </c>
      <c r="B1681" t="s">
        <v>3958</v>
      </c>
      <c r="C1681" t="s">
        <v>12</v>
      </c>
      <c r="D1681" t="s">
        <v>3959</v>
      </c>
      <c r="E1681" t="s">
        <v>1532</v>
      </c>
      <c r="F1681" t="s">
        <v>25</v>
      </c>
      <c r="G1681" t="s">
        <v>18</v>
      </c>
      <c r="I1681">
        <v>7000</v>
      </c>
      <c r="K1681">
        <v>7000</v>
      </c>
    </row>
    <row r="1682" spans="1:12" ht="15" customHeight="1">
      <c r="A1682" t="s">
        <v>6981</v>
      </c>
      <c r="B1682" t="s">
        <v>3960</v>
      </c>
      <c r="C1682" t="s">
        <v>12</v>
      </c>
      <c r="D1682" t="s">
        <v>3961</v>
      </c>
      <c r="E1682" t="s">
        <v>1532</v>
      </c>
      <c r="F1682" t="s">
        <v>25</v>
      </c>
      <c r="G1682" t="s">
        <v>18</v>
      </c>
      <c r="I1682">
        <v>3000</v>
      </c>
    </row>
    <row r="1683" spans="1:12" ht="15" customHeight="1">
      <c r="A1683" t="s">
        <v>6982</v>
      </c>
      <c r="B1683" t="s">
        <v>3962</v>
      </c>
      <c r="C1683" t="s">
        <v>12</v>
      </c>
      <c r="D1683" t="s">
        <v>3963</v>
      </c>
      <c r="E1683" t="s">
        <v>1532</v>
      </c>
      <c r="F1683" t="s">
        <v>14</v>
      </c>
      <c r="G1683" t="s">
        <v>18</v>
      </c>
      <c r="J1683">
        <v>1100000</v>
      </c>
      <c r="L1683">
        <v>346000</v>
      </c>
    </row>
    <row r="1684" spans="1:12" ht="15" customHeight="1">
      <c r="A1684" t="s">
        <v>6983</v>
      </c>
      <c r="B1684" t="s">
        <v>3964</v>
      </c>
      <c r="C1684" t="s">
        <v>12</v>
      </c>
      <c r="D1684" t="s">
        <v>3965</v>
      </c>
      <c r="E1684" t="s">
        <v>1505</v>
      </c>
      <c r="F1684" t="s">
        <v>25</v>
      </c>
      <c r="G1684" t="s">
        <v>18</v>
      </c>
      <c r="I1684">
        <v>1603000</v>
      </c>
      <c r="J1684">
        <v>2240000</v>
      </c>
      <c r="K1684">
        <v>1218000</v>
      </c>
      <c r="L1684">
        <v>2625000</v>
      </c>
    </row>
    <row r="1685" spans="1:12" ht="15" customHeight="1">
      <c r="A1685" t="s">
        <v>6984</v>
      </c>
      <c r="B1685" t="s">
        <v>3966</v>
      </c>
      <c r="C1685" t="s">
        <v>12</v>
      </c>
      <c r="D1685" t="s">
        <v>3967</v>
      </c>
      <c r="E1685" t="s">
        <v>1565</v>
      </c>
      <c r="F1685" t="s">
        <v>25</v>
      </c>
      <c r="G1685" t="s">
        <v>18</v>
      </c>
    </row>
    <row r="1686" spans="1:12" ht="15" customHeight="1">
      <c r="A1686" t="s">
        <v>6985</v>
      </c>
      <c r="B1686" t="s">
        <v>3968</v>
      </c>
      <c r="C1686" t="s">
        <v>12</v>
      </c>
      <c r="D1686" t="s">
        <v>3969</v>
      </c>
      <c r="E1686" t="s">
        <v>1508</v>
      </c>
      <c r="F1686" t="s">
        <v>25</v>
      </c>
      <c r="G1686" t="s">
        <v>18</v>
      </c>
      <c r="I1686">
        <v>13615000</v>
      </c>
      <c r="J1686">
        <v>7525000</v>
      </c>
      <c r="K1686">
        <v>10249000</v>
      </c>
      <c r="L1686">
        <v>7840000</v>
      </c>
    </row>
    <row r="1687" spans="1:12" ht="15" customHeight="1">
      <c r="A1687" t="s">
        <v>6986</v>
      </c>
      <c r="B1687" t="s">
        <v>3970</v>
      </c>
      <c r="C1687" t="s">
        <v>12</v>
      </c>
      <c r="D1687" t="s">
        <v>3971</v>
      </c>
      <c r="E1687" t="s">
        <v>1524</v>
      </c>
      <c r="F1687" t="s">
        <v>25</v>
      </c>
      <c r="G1687" t="s">
        <v>18</v>
      </c>
      <c r="I1687">
        <v>1036000</v>
      </c>
      <c r="J1687">
        <v>665000</v>
      </c>
      <c r="K1687">
        <v>1036000</v>
      </c>
      <c r="L1687">
        <v>665000</v>
      </c>
    </row>
    <row r="1688" spans="1:12" ht="15" customHeight="1">
      <c r="A1688" t="s">
        <v>6987</v>
      </c>
      <c r="B1688" t="s">
        <v>3972</v>
      </c>
      <c r="C1688" t="s">
        <v>12</v>
      </c>
      <c r="D1688" t="s">
        <v>3973</v>
      </c>
      <c r="E1688" t="s">
        <v>1509</v>
      </c>
      <c r="F1688" t="s">
        <v>25</v>
      </c>
      <c r="G1688" t="s">
        <v>18</v>
      </c>
      <c r="I1688">
        <v>242000</v>
      </c>
      <c r="J1688">
        <v>223000</v>
      </c>
      <c r="K1688">
        <v>265000</v>
      </c>
      <c r="L1688">
        <v>222000</v>
      </c>
    </row>
    <row r="1689" spans="1:12" ht="15" customHeight="1">
      <c r="A1689" t="s">
        <v>6988</v>
      </c>
      <c r="B1689" t="s">
        <v>3974</v>
      </c>
      <c r="C1689" t="s">
        <v>12</v>
      </c>
      <c r="D1689" t="s">
        <v>3975</v>
      </c>
      <c r="E1689" t="s">
        <v>1579</v>
      </c>
      <c r="F1689" t="s">
        <v>25</v>
      </c>
      <c r="G1689" t="s">
        <v>22</v>
      </c>
      <c r="J1689">
        <v>10478000</v>
      </c>
      <c r="L1689">
        <v>14948000</v>
      </c>
    </row>
    <row r="1690" spans="1:12" ht="15" customHeight="1">
      <c r="A1690" t="s">
        <v>6989</v>
      </c>
      <c r="B1690" t="s">
        <v>3976</v>
      </c>
      <c r="C1690" t="s">
        <v>12</v>
      </c>
      <c r="D1690" t="s">
        <v>3977</v>
      </c>
      <c r="E1690" t="s">
        <v>1527</v>
      </c>
      <c r="F1690" t="s">
        <v>25</v>
      </c>
      <c r="G1690" t="s">
        <v>18</v>
      </c>
      <c r="I1690">
        <v>4105000</v>
      </c>
      <c r="J1690">
        <v>5206000</v>
      </c>
      <c r="K1690">
        <v>4123000</v>
      </c>
      <c r="L1690">
        <v>4908000</v>
      </c>
    </row>
    <row r="1691" spans="1:12" ht="15" customHeight="1">
      <c r="A1691" t="s">
        <v>6990</v>
      </c>
      <c r="B1691" t="s">
        <v>3978</v>
      </c>
      <c r="C1691" t="s">
        <v>12</v>
      </c>
      <c r="D1691" t="s">
        <v>3979</v>
      </c>
      <c r="E1691" t="s">
        <v>1532</v>
      </c>
      <c r="F1691" t="s">
        <v>14</v>
      </c>
      <c r="G1691" t="s">
        <v>18</v>
      </c>
      <c r="I1691">
        <v>60000</v>
      </c>
      <c r="J1691">
        <v>72000</v>
      </c>
      <c r="K1691">
        <v>60000</v>
      </c>
      <c r="L1691">
        <v>72000</v>
      </c>
    </row>
    <row r="1692" spans="1:12" ht="15" customHeight="1">
      <c r="A1692" t="s">
        <v>6991</v>
      </c>
      <c r="B1692" t="s">
        <v>3980</v>
      </c>
      <c r="C1692" t="s">
        <v>12</v>
      </c>
      <c r="D1692" t="s">
        <v>3981</v>
      </c>
      <c r="E1692" t="s">
        <v>1588</v>
      </c>
      <c r="F1692" t="s">
        <v>25</v>
      </c>
      <c r="G1692" t="s">
        <v>18</v>
      </c>
      <c r="I1692">
        <v>3374000</v>
      </c>
      <c r="J1692">
        <v>3659000</v>
      </c>
      <c r="K1692">
        <v>2686000</v>
      </c>
      <c r="L1692">
        <v>3213000</v>
      </c>
    </row>
    <row r="1693" spans="1:12" ht="15" customHeight="1">
      <c r="A1693" t="s">
        <v>6992</v>
      </c>
      <c r="B1693" t="s">
        <v>3982</v>
      </c>
      <c r="C1693" t="s">
        <v>12</v>
      </c>
      <c r="D1693" t="s">
        <v>3983</v>
      </c>
      <c r="E1693" t="s">
        <v>1505</v>
      </c>
      <c r="F1693" t="s">
        <v>14</v>
      </c>
      <c r="G1693" t="s">
        <v>18</v>
      </c>
      <c r="I1693">
        <v>2995000</v>
      </c>
      <c r="J1693">
        <v>2121000</v>
      </c>
      <c r="K1693">
        <v>2844000</v>
      </c>
      <c r="L1693">
        <v>3137000</v>
      </c>
    </row>
    <row r="1694" spans="1:12" ht="15" customHeight="1">
      <c r="A1694" t="s">
        <v>6993</v>
      </c>
      <c r="B1694" t="s">
        <v>3984</v>
      </c>
      <c r="C1694" t="s">
        <v>12</v>
      </c>
      <c r="D1694" t="s">
        <v>3985</v>
      </c>
      <c r="E1694" t="s">
        <v>1519</v>
      </c>
      <c r="F1694" t="s">
        <v>14</v>
      </c>
      <c r="G1694" t="s">
        <v>18</v>
      </c>
      <c r="K1694">
        <v>668000</v>
      </c>
    </row>
    <row r="1695" spans="1:12" ht="15" customHeight="1">
      <c r="A1695" t="s">
        <v>6994</v>
      </c>
      <c r="B1695" t="s">
        <v>3986</v>
      </c>
      <c r="C1695" t="s">
        <v>12</v>
      </c>
      <c r="D1695" t="s">
        <v>3987</v>
      </c>
      <c r="E1695" t="s">
        <v>1532</v>
      </c>
      <c r="F1695" t="s">
        <v>14</v>
      </c>
      <c r="G1695" t="s">
        <v>18</v>
      </c>
      <c r="I1695">
        <v>177000</v>
      </c>
      <c r="J1695">
        <v>348000</v>
      </c>
      <c r="K1695">
        <v>148000</v>
      </c>
      <c r="L1695">
        <v>326000</v>
      </c>
    </row>
    <row r="1696" spans="1:12" ht="15" customHeight="1">
      <c r="A1696" t="s">
        <v>6995</v>
      </c>
      <c r="B1696" t="s">
        <v>3988</v>
      </c>
      <c r="C1696" t="s">
        <v>12</v>
      </c>
      <c r="D1696" t="s">
        <v>3989</v>
      </c>
      <c r="E1696" t="s">
        <v>1767</v>
      </c>
      <c r="F1696" t="s">
        <v>14</v>
      </c>
      <c r="G1696" t="s">
        <v>22</v>
      </c>
      <c r="I1696">
        <v>10276000</v>
      </c>
      <c r="J1696">
        <v>14687000</v>
      </c>
      <c r="K1696">
        <v>13324000</v>
      </c>
      <c r="L1696">
        <v>12274000</v>
      </c>
    </row>
    <row r="1697" spans="1:12" ht="15" customHeight="1">
      <c r="A1697" t="s">
        <v>6996</v>
      </c>
      <c r="B1697" t="s">
        <v>3990</v>
      </c>
      <c r="C1697" t="s">
        <v>12</v>
      </c>
      <c r="D1697" t="s">
        <v>3991</v>
      </c>
      <c r="E1697" t="s">
        <v>1781</v>
      </c>
      <c r="F1697" t="s">
        <v>14</v>
      </c>
      <c r="G1697" t="s">
        <v>18</v>
      </c>
      <c r="I1697">
        <v>963000</v>
      </c>
      <c r="J1697">
        <v>652000</v>
      </c>
      <c r="K1697">
        <v>851000</v>
      </c>
      <c r="L1697">
        <v>652000</v>
      </c>
    </row>
    <row r="1698" spans="1:12" ht="15" customHeight="1">
      <c r="A1698" t="s">
        <v>6997</v>
      </c>
      <c r="B1698" t="s">
        <v>3992</v>
      </c>
      <c r="C1698" t="s">
        <v>12</v>
      </c>
      <c r="D1698" t="s">
        <v>3993</v>
      </c>
      <c r="E1698" t="s">
        <v>1558</v>
      </c>
      <c r="F1698" t="s">
        <v>14</v>
      </c>
      <c r="G1698" t="s">
        <v>18</v>
      </c>
      <c r="I1698">
        <v>675000</v>
      </c>
      <c r="J1698">
        <v>465000</v>
      </c>
      <c r="K1698">
        <v>677000</v>
      </c>
      <c r="L1698">
        <v>464000</v>
      </c>
    </row>
    <row r="1699" spans="1:12" ht="15" customHeight="1">
      <c r="A1699" t="s">
        <v>6998</v>
      </c>
      <c r="B1699" t="s">
        <v>3994</v>
      </c>
      <c r="C1699" t="s">
        <v>12</v>
      </c>
      <c r="D1699" t="s">
        <v>3995</v>
      </c>
      <c r="E1699" t="s">
        <v>1558</v>
      </c>
      <c r="F1699" t="s">
        <v>14</v>
      </c>
      <c r="G1699" t="s">
        <v>18</v>
      </c>
      <c r="I1699">
        <v>481000</v>
      </c>
      <c r="J1699">
        <v>533000</v>
      </c>
      <c r="K1699">
        <v>482000</v>
      </c>
      <c r="L1699">
        <v>530000</v>
      </c>
    </row>
    <row r="1700" spans="1:12" ht="15" customHeight="1">
      <c r="A1700" t="s">
        <v>6999</v>
      </c>
      <c r="B1700" t="s">
        <v>3996</v>
      </c>
      <c r="C1700" t="s">
        <v>12</v>
      </c>
      <c r="D1700" t="s">
        <v>3997</v>
      </c>
      <c r="E1700" t="s">
        <v>1532</v>
      </c>
      <c r="F1700" t="s">
        <v>14</v>
      </c>
      <c r="G1700" t="s">
        <v>18</v>
      </c>
    </row>
    <row r="1701" spans="1:12" ht="15" customHeight="1">
      <c r="A1701" t="s">
        <v>7000</v>
      </c>
      <c r="B1701" t="s">
        <v>3998</v>
      </c>
      <c r="C1701" t="s">
        <v>12</v>
      </c>
      <c r="D1701" t="s">
        <v>3999</v>
      </c>
      <c r="E1701" t="s">
        <v>1620</v>
      </c>
      <c r="F1701" t="s">
        <v>14</v>
      </c>
      <c r="G1701" t="s">
        <v>18</v>
      </c>
    </row>
    <row r="1702" spans="1:12" ht="15" customHeight="1">
      <c r="A1702" t="s">
        <v>7001</v>
      </c>
      <c r="B1702" t="s">
        <v>4000</v>
      </c>
      <c r="C1702" t="s">
        <v>12</v>
      </c>
      <c r="D1702" t="s">
        <v>4001</v>
      </c>
      <c r="E1702" t="s">
        <v>1737</v>
      </c>
      <c r="F1702" t="s">
        <v>14</v>
      </c>
      <c r="G1702" t="s">
        <v>18</v>
      </c>
    </row>
    <row r="1703" spans="1:12" ht="15" customHeight="1">
      <c r="A1703" t="s">
        <v>7002</v>
      </c>
      <c r="B1703" t="s">
        <v>4002</v>
      </c>
      <c r="C1703" t="s">
        <v>12</v>
      </c>
      <c r="D1703" t="s">
        <v>4003</v>
      </c>
      <c r="E1703" t="s">
        <v>1508</v>
      </c>
      <c r="F1703" t="s">
        <v>14</v>
      </c>
      <c r="G1703" t="s">
        <v>18</v>
      </c>
      <c r="J1703">
        <v>1364000</v>
      </c>
      <c r="L1703">
        <v>728000</v>
      </c>
    </row>
    <row r="1704" spans="1:12" ht="15" customHeight="1">
      <c r="A1704" t="s">
        <v>7003</v>
      </c>
      <c r="B1704" t="s">
        <v>4004</v>
      </c>
      <c r="C1704" t="s">
        <v>12</v>
      </c>
      <c r="D1704" t="s">
        <v>4005</v>
      </c>
      <c r="E1704" t="s">
        <v>1504</v>
      </c>
      <c r="F1704" t="s">
        <v>25</v>
      </c>
      <c r="G1704" t="s">
        <v>18</v>
      </c>
      <c r="I1704">
        <v>425000</v>
      </c>
      <c r="J1704">
        <v>2061000</v>
      </c>
      <c r="K1704">
        <v>333000</v>
      </c>
      <c r="L1704">
        <v>2143000</v>
      </c>
    </row>
    <row r="1705" spans="1:12" ht="15" customHeight="1">
      <c r="A1705" t="s">
        <v>7004</v>
      </c>
      <c r="B1705" t="s">
        <v>4006</v>
      </c>
      <c r="C1705" t="s">
        <v>12</v>
      </c>
      <c r="D1705" t="s">
        <v>4007</v>
      </c>
      <c r="E1705" t="s">
        <v>1579</v>
      </c>
      <c r="F1705" t="s">
        <v>14</v>
      </c>
      <c r="G1705" t="s">
        <v>18</v>
      </c>
      <c r="I1705">
        <v>7515000</v>
      </c>
      <c r="J1705">
        <v>7199000</v>
      </c>
      <c r="K1705">
        <v>5784000</v>
      </c>
      <c r="L1705">
        <v>8693000</v>
      </c>
    </row>
    <row r="1706" spans="1:12" ht="15" customHeight="1">
      <c r="A1706" t="s">
        <v>7005</v>
      </c>
      <c r="B1706" t="s">
        <v>4008</v>
      </c>
      <c r="C1706" t="s">
        <v>12</v>
      </c>
      <c r="D1706" t="s">
        <v>4009</v>
      </c>
      <c r="E1706" t="s">
        <v>1738</v>
      </c>
      <c r="F1706" t="s">
        <v>14</v>
      </c>
      <c r="G1706" t="s">
        <v>18</v>
      </c>
    </row>
    <row r="1707" spans="1:12" ht="15" customHeight="1">
      <c r="A1707" t="s">
        <v>7006</v>
      </c>
      <c r="B1707" t="s">
        <v>4010</v>
      </c>
      <c r="C1707" t="s">
        <v>12</v>
      </c>
      <c r="D1707" t="s">
        <v>4011</v>
      </c>
      <c r="E1707" t="s">
        <v>1504</v>
      </c>
      <c r="F1707" t="s">
        <v>14</v>
      </c>
      <c r="G1707" t="s">
        <v>18</v>
      </c>
      <c r="I1707">
        <v>343000</v>
      </c>
      <c r="J1707">
        <v>936000</v>
      </c>
      <c r="K1707">
        <v>337000</v>
      </c>
      <c r="L1707">
        <v>652000</v>
      </c>
    </row>
    <row r="1708" spans="1:12" ht="15" customHeight="1">
      <c r="A1708" t="s">
        <v>7007</v>
      </c>
      <c r="B1708" t="s">
        <v>4012</v>
      </c>
      <c r="C1708" t="s">
        <v>12</v>
      </c>
      <c r="D1708" t="s">
        <v>4013</v>
      </c>
      <c r="E1708" t="s">
        <v>1504</v>
      </c>
      <c r="F1708" t="s">
        <v>14</v>
      </c>
      <c r="G1708" t="s">
        <v>18</v>
      </c>
      <c r="I1708">
        <v>5904000</v>
      </c>
      <c r="J1708">
        <v>1064000</v>
      </c>
      <c r="K1708">
        <v>6098000</v>
      </c>
      <c r="L1708">
        <v>399000</v>
      </c>
    </row>
    <row r="1709" spans="1:12" ht="15" customHeight="1">
      <c r="A1709" t="s">
        <v>7008</v>
      </c>
      <c r="B1709" t="s">
        <v>4014</v>
      </c>
      <c r="C1709" t="s">
        <v>12</v>
      </c>
      <c r="D1709" t="s">
        <v>4015</v>
      </c>
      <c r="E1709" t="s">
        <v>1533</v>
      </c>
      <c r="F1709" t="s">
        <v>14</v>
      </c>
      <c r="G1709" t="s">
        <v>18</v>
      </c>
      <c r="I1709">
        <v>15137000</v>
      </c>
      <c r="J1709">
        <v>14659000</v>
      </c>
      <c r="K1709">
        <v>15135000</v>
      </c>
      <c r="L1709">
        <v>14661000</v>
      </c>
    </row>
    <row r="1710" spans="1:12" ht="15" customHeight="1">
      <c r="A1710" t="s">
        <v>7009</v>
      </c>
      <c r="B1710" t="s">
        <v>4016</v>
      </c>
      <c r="C1710" t="s">
        <v>12</v>
      </c>
      <c r="D1710" t="s">
        <v>4017</v>
      </c>
      <c r="E1710" t="s">
        <v>1544</v>
      </c>
      <c r="F1710" t="s">
        <v>14</v>
      </c>
      <c r="G1710" t="s">
        <v>18</v>
      </c>
      <c r="I1710">
        <v>2527000</v>
      </c>
      <c r="J1710">
        <v>2168000</v>
      </c>
      <c r="K1710">
        <v>2395000</v>
      </c>
      <c r="L1710">
        <v>2178000</v>
      </c>
    </row>
    <row r="1711" spans="1:12" ht="15" customHeight="1">
      <c r="A1711" t="s">
        <v>7010</v>
      </c>
      <c r="B1711" t="s">
        <v>4018</v>
      </c>
      <c r="C1711" t="s">
        <v>12</v>
      </c>
      <c r="D1711" t="s">
        <v>4019</v>
      </c>
      <c r="E1711" t="s">
        <v>1535</v>
      </c>
      <c r="F1711" t="s">
        <v>14</v>
      </c>
      <c r="G1711" t="s">
        <v>18</v>
      </c>
    </row>
    <row r="1712" spans="1:12" ht="15" customHeight="1">
      <c r="A1712" t="s">
        <v>7011</v>
      </c>
      <c r="B1712" t="s">
        <v>4020</v>
      </c>
      <c r="C1712" t="s">
        <v>12</v>
      </c>
      <c r="D1712" t="s">
        <v>4021</v>
      </c>
      <c r="E1712" t="s">
        <v>1532</v>
      </c>
      <c r="F1712" t="s">
        <v>14</v>
      </c>
      <c r="G1712" t="s">
        <v>18</v>
      </c>
      <c r="I1712">
        <v>793000</v>
      </c>
      <c r="J1712">
        <v>3668000</v>
      </c>
      <c r="K1712">
        <v>1014000</v>
      </c>
      <c r="L1712">
        <v>2686000</v>
      </c>
    </row>
    <row r="1713" spans="1:12" ht="15" customHeight="1">
      <c r="A1713" t="s">
        <v>7012</v>
      </c>
      <c r="B1713" t="s">
        <v>4022</v>
      </c>
      <c r="C1713" t="s">
        <v>12</v>
      </c>
      <c r="D1713" t="s">
        <v>4023</v>
      </c>
      <c r="E1713" t="s">
        <v>1532</v>
      </c>
      <c r="F1713" t="s">
        <v>25</v>
      </c>
      <c r="G1713" t="s">
        <v>18</v>
      </c>
    </row>
    <row r="1714" spans="1:12" ht="15" customHeight="1">
      <c r="A1714" t="s">
        <v>7013</v>
      </c>
      <c r="B1714" t="s">
        <v>4024</v>
      </c>
      <c r="C1714" t="s">
        <v>12</v>
      </c>
      <c r="D1714" t="s">
        <v>4025</v>
      </c>
      <c r="E1714" t="s">
        <v>1619</v>
      </c>
      <c r="F1714" t="s">
        <v>14</v>
      </c>
      <c r="G1714" t="s">
        <v>18</v>
      </c>
      <c r="I1714">
        <v>392000</v>
      </c>
      <c r="J1714">
        <v>402000</v>
      </c>
      <c r="K1714">
        <v>415000</v>
      </c>
      <c r="L1714">
        <v>442000</v>
      </c>
    </row>
    <row r="1715" spans="1:12" ht="15" customHeight="1">
      <c r="A1715" t="s">
        <v>7014</v>
      </c>
      <c r="B1715" t="s">
        <v>4026</v>
      </c>
      <c r="C1715" t="s">
        <v>12</v>
      </c>
      <c r="D1715" t="s">
        <v>4027</v>
      </c>
      <c r="E1715" t="s">
        <v>1558</v>
      </c>
      <c r="F1715" t="s">
        <v>14</v>
      </c>
      <c r="G1715" t="s">
        <v>18</v>
      </c>
      <c r="I1715">
        <v>658000</v>
      </c>
      <c r="J1715">
        <v>592000</v>
      </c>
      <c r="K1715">
        <v>654000</v>
      </c>
      <c r="L1715">
        <v>550000</v>
      </c>
    </row>
    <row r="1716" spans="1:12" ht="15" customHeight="1">
      <c r="A1716" t="s">
        <v>7015</v>
      </c>
      <c r="B1716" t="s">
        <v>4028</v>
      </c>
      <c r="C1716" t="s">
        <v>12</v>
      </c>
      <c r="D1716" t="s">
        <v>4029</v>
      </c>
      <c r="E1716" t="s">
        <v>1558</v>
      </c>
      <c r="F1716" t="s">
        <v>14</v>
      </c>
      <c r="G1716" t="s">
        <v>18</v>
      </c>
      <c r="I1716">
        <v>798000</v>
      </c>
      <c r="J1716">
        <v>947000</v>
      </c>
      <c r="K1716">
        <v>798000</v>
      </c>
      <c r="L1716">
        <v>947000</v>
      </c>
    </row>
    <row r="1717" spans="1:12" ht="15" customHeight="1">
      <c r="A1717" t="s">
        <v>7016</v>
      </c>
      <c r="B1717" t="s">
        <v>4030</v>
      </c>
      <c r="C1717" t="s">
        <v>12</v>
      </c>
      <c r="D1717" t="s">
        <v>4031</v>
      </c>
      <c r="E1717" t="s">
        <v>1558</v>
      </c>
      <c r="F1717" t="s">
        <v>14</v>
      </c>
      <c r="G1717" t="s">
        <v>18</v>
      </c>
      <c r="I1717">
        <v>1402000</v>
      </c>
      <c r="J1717">
        <v>1668000</v>
      </c>
      <c r="K1717">
        <v>1432000</v>
      </c>
      <c r="L1717">
        <v>1743000</v>
      </c>
    </row>
    <row r="1718" spans="1:12" ht="15" customHeight="1">
      <c r="A1718" t="s">
        <v>7017</v>
      </c>
      <c r="B1718" t="s">
        <v>4032</v>
      </c>
      <c r="C1718" t="s">
        <v>12</v>
      </c>
      <c r="D1718" t="s">
        <v>4033</v>
      </c>
      <c r="E1718" t="s">
        <v>1558</v>
      </c>
      <c r="F1718" t="s">
        <v>25</v>
      </c>
      <c r="G1718" t="s">
        <v>18</v>
      </c>
      <c r="J1718">
        <v>1924000</v>
      </c>
      <c r="L1718">
        <v>1884000</v>
      </c>
    </row>
    <row r="1719" spans="1:12" ht="15" customHeight="1">
      <c r="A1719" t="s">
        <v>7018</v>
      </c>
      <c r="B1719" t="s">
        <v>4034</v>
      </c>
      <c r="C1719" t="s">
        <v>12</v>
      </c>
      <c r="D1719" t="s">
        <v>4035</v>
      </c>
      <c r="E1719" t="s">
        <v>1558</v>
      </c>
      <c r="F1719" t="s">
        <v>14</v>
      </c>
      <c r="G1719" t="s">
        <v>18</v>
      </c>
      <c r="I1719">
        <v>3160000</v>
      </c>
      <c r="J1719">
        <v>1437000</v>
      </c>
      <c r="K1719">
        <v>2484000</v>
      </c>
      <c r="L1719">
        <v>1846000</v>
      </c>
    </row>
    <row r="1720" spans="1:12" ht="15" customHeight="1">
      <c r="A1720" t="s">
        <v>7019</v>
      </c>
      <c r="B1720" t="s">
        <v>4036</v>
      </c>
      <c r="C1720" t="s">
        <v>12</v>
      </c>
      <c r="D1720" t="s">
        <v>4037</v>
      </c>
      <c r="E1720" t="s">
        <v>1619</v>
      </c>
      <c r="F1720" t="s">
        <v>14</v>
      </c>
      <c r="G1720" t="s">
        <v>22</v>
      </c>
      <c r="I1720">
        <v>9550000</v>
      </c>
      <c r="J1720">
        <v>8614000</v>
      </c>
      <c r="K1720">
        <v>10436000</v>
      </c>
      <c r="L1720">
        <v>9070000</v>
      </c>
    </row>
    <row r="1721" spans="1:12" ht="15" customHeight="1">
      <c r="A1721" t="s">
        <v>7020</v>
      </c>
      <c r="B1721" t="s">
        <v>4038</v>
      </c>
      <c r="C1721" t="s">
        <v>12</v>
      </c>
      <c r="D1721" t="s">
        <v>4039</v>
      </c>
      <c r="E1721" t="s">
        <v>1738</v>
      </c>
      <c r="F1721" t="s">
        <v>14</v>
      </c>
      <c r="G1721" t="s">
        <v>18</v>
      </c>
      <c r="I1721">
        <v>28000</v>
      </c>
      <c r="J1721">
        <v>28000</v>
      </c>
      <c r="K1721">
        <v>26000</v>
      </c>
      <c r="L1721">
        <v>28000</v>
      </c>
    </row>
    <row r="1722" spans="1:12" ht="15" customHeight="1">
      <c r="A1722" t="s">
        <v>7021</v>
      </c>
      <c r="B1722" t="s">
        <v>4040</v>
      </c>
      <c r="C1722" t="s">
        <v>12</v>
      </c>
      <c r="D1722" t="s">
        <v>4041</v>
      </c>
      <c r="E1722" t="s">
        <v>1579</v>
      </c>
      <c r="F1722" t="s">
        <v>14</v>
      </c>
      <c r="G1722" t="s">
        <v>18</v>
      </c>
      <c r="I1722">
        <v>3137000</v>
      </c>
      <c r="J1722">
        <v>2495000</v>
      </c>
      <c r="K1722">
        <v>3088000</v>
      </c>
      <c r="L1722">
        <v>2211000</v>
      </c>
    </row>
    <row r="1723" spans="1:12" ht="15" customHeight="1">
      <c r="A1723" t="s">
        <v>7022</v>
      </c>
      <c r="B1723" t="s">
        <v>4042</v>
      </c>
      <c r="C1723" t="s">
        <v>12</v>
      </c>
      <c r="D1723" t="s">
        <v>4043</v>
      </c>
      <c r="E1723" t="s">
        <v>1558</v>
      </c>
      <c r="F1723" t="s">
        <v>14</v>
      </c>
      <c r="G1723" t="s">
        <v>18</v>
      </c>
      <c r="I1723">
        <v>100000</v>
      </c>
      <c r="K1723">
        <v>175000</v>
      </c>
      <c r="L1723">
        <v>1000</v>
      </c>
    </row>
    <row r="1724" spans="1:12" ht="15" customHeight="1">
      <c r="A1724" t="s">
        <v>7023</v>
      </c>
      <c r="B1724" t="s">
        <v>4044</v>
      </c>
      <c r="C1724" t="s">
        <v>12</v>
      </c>
      <c r="D1724" t="s">
        <v>4045</v>
      </c>
      <c r="E1724" t="s">
        <v>1618</v>
      </c>
      <c r="F1724" t="s">
        <v>14</v>
      </c>
      <c r="G1724" t="s">
        <v>18</v>
      </c>
      <c r="I1724">
        <v>5184000</v>
      </c>
      <c r="J1724">
        <v>1924000</v>
      </c>
      <c r="K1724">
        <v>839000</v>
      </c>
      <c r="L1724">
        <v>614000</v>
      </c>
    </row>
    <row r="1725" spans="1:12" ht="15" customHeight="1">
      <c r="A1725" t="s">
        <v>7024</v>
      </c>
      <c r="B1725" t="s">
        <v>4046</v>
      </c>
      <c r="C1725" t="s">
        <v>12</v>
      </c>
      <c r="D1725" t="s">
        <v>4047</v>
      </c>
      <c r="E1725" t="s">
        <v>1526</v>
      </c>
      <c r="F1725" t="s">
        <v>14</v>
      </c>
      <c r="G1725" t="s">
        <v>18</v>
      </c>
      <c r="I1725">
        <v>2551000</v>
      </c>
      <c r="J1725">
        <v>1617000</v>
      </c>
      <c r="K1725">
        <v>2623000</v>
      </c>
      <c r="L1725">
        <v>1641000</v>
      </c>
    </row>
    <row r="1726" spans="1:12" ht="15" customHeight="1">
      <c r="A1726" t="s">
        <v>7025</v>
      </c>
      <c r="B1726" t="s">
        <v>4048</v>
      </c>
      <c r="C1726" t="s">
        <v>12</v>
      </c>
      <c r="D1726" t="s">
        <v>4049</v>
      </c>
      <c r="E1726" t="s">
        <v>1526</v>
      </c>
      <c r="F1726" t="s">
        <v>14</v>
      </c>
      <c r="G1726" t="s">
        <v>18</v>
      </c>
      <c r="I1726">
        <v>3321000</v>
      </c>
      <c r="J1726">
        <v>3364000</v>
      </c>
      <c r="K1726">
        <v>3218000</v>
      </c>
      <c r="L1726">
        <v>3574000</v>
      </c>
    </row>
    <row r="1727" spans="1:12" ht="15" customHeight="1">
      <c r="A1727" t="s">
        <v>7026</v>
      </c>
      <c r="B1727" t="s">
        <v>4050</v>
      </c>
      <c r="C1727" t="s">
        <v>12</v>
      </c>
      <c r="D1727" t="s">
        <v>4051</v>
      </c>
      <c r="E1727" t="s">
        <v>1749</v>
      </c>
      <c r="F1727" t="s">
        <v>14</v>
      </c>
      <c r="G1727" t="s">
        <v>18</v>
      </c>
      <c r="I1727">
        <v>5202000</v>
      </c>
      <c r="K1727">
        <v>5161000</v>
      </c>
    </row>
    <row r="1728" spans="1:12" ht="15" customHeight="1">
      <c r="A1728" t="s">
        <v>7027</v>
      </c>
      <c r="B1728" t="s">
        <v>4052</v>
      </c>
      <c r="C1728" t="s">
        <v>12</v>
      </c>
      <c r="D1728" t="s">
        <v>4053</v>
      </c>
      <c r="E1728" t="s">
        <v>1533</v>
      </c>
      <c r="F1728" t="s">
        <v>14</v>
      </c>
      <c r="G1728" t="s">
        <v>18</v>
      </c>
      <c r="I1728">
        <v>7438000</v>
      </c>
      <c r="K1728">
        <v>7196000</v>
      </c>
    </row>
    <row r="1729" spans="1:12" ht="15" customHeight="1">
      <c r="A1729" t="s">
        <v>7028</v>
      </c>
      <c r="B1729" t="s">
        <v>4054</v>
      </c>
      <c r="C1729" t="s">
        <v>12</v>
      </c>
      <c r="D1729" t="s">
        <v>4055</v>
      </c>
      <c r="E1729" t="s">
        <v>1519</v>
      </c>
      <c r="F1729" t="s">
        <v>14</v>
      </c>
      <c r="G1729" t="s">
        <v>18</v>
      </c>
    </row>
    <row r="1730" spans="1:12" ht="15" customHeight="1">
      <c r="A1730" t="s">
        <v>7029</v>
      </c>
      <c r="B1730" t="s">
        <v>4056</v>
      </c>
      <c r="C1730" t="s">
        <v>12</v>
      </c>
      <c r="D1730" t="s">
        <v>4057</v>
      </c>
      <c r="E1730" t="s">
        <v>1560</v>
      </c>
      <c r="F1730" t="s">
        <v>14</v>
      </c>
      <c r="G1730" t="s">
        <v>77</v>
      </c>
      <c r="J1730">
        <v>23286000</v>
      </c>
      <c r="L1730">
        <v>23286000</v>
      </c>
    </row>
    <row r="1731" spans="1:12" ht="15" customHeight="1">
      <c r="A1731" t="s">
        <v>7030</v>
      </c>
      <c r="B1731" t="s">
        <v>4058</v>
      </c>
      <c r="C1731" t="s">
        <v>12</v>
      </c>
      <c r="D1731" t="s">
        <v>4059</v>
      </c>
      <c r="E1731" t="s">
        <v>1532</v>
      </c>
      <c r="F1731" t="s">
        <v>25</v>
      </c>
      <c r="G1731" t="s">
        <v>18</v>
      </c>
    </row>
    <row r="1732" spans="1:12" ht="15" customHeight="1">
      <c r="A1732" t="s">
        <v>7031</v>
      </c>
      <c r="B1732" t="s">
        <v>4060</v>
      </c>
      <c r="C1732" t="s">
        <v>12</v>
      </c>
      <c r="D1732" t="s">
        <v>4061</v>
      </c>
      <c r="E1732" t="s">
        <v>1534</v>
      </c>
      <c r="F1732" t="s">
        <v>25</v>
      </c>
      <c r="G1732" t="s">
        <v>18</v>
      </c>
      <c r="I1732">
        <v>1305000</v>
      </c>
      <c r="J1732">
        <v>7348000</v>
      </c>
      <c r="K1732">
        <v>1182000</v>
      </c>
      <c r="L1732">
        <v>7298000</v>
      </c>
    </row>
    <row r="1733" spans="1:12" ht="15" customHeight="1">
      <c r="A1733" t="s">
        <v>7032</v>
      </c>
      <c r="B1733" t="s">
        <v>4062</v>
      </c>
      <c r="C1733" t="s">
        <v>12</v>
      </c>
      <c r="D1733" t="s">
        <v>4063</v>
      </c>
      <c r="E1733" t="s">
        <v>1517</v>
      </c>
      <c r="F1733" t="s">
        <v>25</v>
      </c>
      <c r="G1733" t="s">
        <v>18</v>
      </c>
    </row>
    <row r="1734" spans="1:12" ht="15" customHeight="1">
      <c r="A1734" t="s">
        <v>7033</v>
      </c>
      <c r="B1734" t="s">
        <v>4064</v>
      </c>
      <c r="C1734" t="s">
        <v>12</v>
      </c>
      <c r="D1734" t="s">
        <v>4065</v>
      </c>
      <c r="E1734" t="s">
        <v>1558</v>
      </c>
      <c r="F1734" t="s">
        <v>25</v>
      </c>
      <c r="G1734" t="s">
        <v>18</v>
      </c>
    </row>
    <row r="1735" spans="1:12" ht="15" customHeight="1">
      <c r="A1735" t="s">
        <v>7034</v>
      </c>
      <c r="B1735" t="s">
        <v>4066</v>
      </c>
      <c r="C1735" t="s">
        <v>12</v>
      </c>
      <c r="D1735" t="s">
        <v>4067</v>
      </c>
      <c r="E1735" t="s">
        <v>1558</v>
      </c>
      <c r="F1735" t="s">
        <v>25</v>
      </c>
      <c r="G1735" t="s">
        <v>18</v>
      </c>
      <c r="I1735">
        <v>11000</v>
      </c>
      <c r="J1735">
        <v>10000</v>
      </c>
      <c r="K1735">
        <v>12000</v>
      </c>
      <c r="L1735">
        <v>10000</v>
      </c>
    </row>
    <row r="1736" spans="1:12" ht="15" customHeight="1">
      <c r="A1736" t="s">
        <v>7035</v>
      </c>
      <c r="B1736" t="s">
        <v>4068</v>
      </c>
      <c r="C1736" t="s">
        <v>12</v>
      </c>
      <c r="D1736" t="s">
        <v>4069</v>
      </c>
      <c r="E1736" t="s">
        <v>1737</v>
      </c>
      <c r="F1736" t="s">
        <v>25</v>
      </c>
      <c r="G1736" t="s">
        <v>18</v>
      </c>
      <c r="J1736">
        <v>10000000</v>
      </c>
      <c r="K1736">
        <v>2000</v>
      </c>
      <c r="L1736">
        <v>9977000</v>
      </c>
    </row>
    <row r="1737" spans="1:12" ht="15" customHeight="1">
      <c r="A1737" t="s">
        <v>7036</v>
      </c>
      <c r="B1737" t="s">
        <v>4070</v>
      </c>
      <c r="C1737" t="s">
        <v>12</v>
      </c>
      <c r="D1737" t="s">
        <v>4071</v>
      </c>
      <c r="E1737" t="s">
        <v>1558</v>
      </c>
      <c r="F1737" t="s">
        <v>25</v>
      </c>
      <c r="G1737" t="s">
        <v>18</v>
      </c>
      <c r="I1737">
        <v>6664000</v>
      </c>
      <c r="J1737">
        <v>7076000</v>
      </c>
      <c r="K1737">
        <v>6425000</v>
      </c>
      <c r="L1737">
        <v>7174000</v>
      </c>
    </row>
    <row r="1738" spans="1:12" ht="15" customHeight="1">
      <c r="A1738" t="s">
        <v>7037</v>
      </c>
      <c r="B1738" t="s">
        <v>4072</v>
      </c>
      <c r="C1738" t="s">
        <v>12</v>
      </c>
      <c r="D1738" t="s">
        <v>4073</v>
      </c>
      <c r="E1738" t="s">
        <v>1661</v>
      </c>
      <c r="F1738" t="s">
        <v>14</v>
      </c>
      <c r="G1738" t="s">
        <v>18</v>
      </c>
      <c r="J1738">
        <v>3905000</v>
      </c>
      <c r="L1738">
        <v>3913000</v>
      </c>
    </row>
    <row r="1739" spans="1:12" ht="15" customHeight="1">
      <c r="A1739" t="s">
        <v>7038</v>
      </c>
      <c r="B1739" t="s">
        <v>4074</v>
      </c>
      <c r="C1739" t="s">
        <v>12</v>
      </c>
      <c r="D1739" t="s">
        <v>4075</v>
      </c>
      <c r="E1739" t="s">
        <v>1518</v>
      </c>
      <c r="F1739" t="s">
        <v>14</v>
      </c>
      <c r="G1739" t="s">
        <v>18</v>
      </c>
      <c r="I1739">
        <v>4064000</v>
      </c>
      <c r="J1739">
        <v>5041000</v>
      </c>
      <c r="K1739">
        <v>3568000</v>
      </c>
      <c r="L1739">
        <v>5765000</v>
      </c>
    </row>
    <row r="1740" spans="1:12" ht="15" customHeight="1">
      <c r="A1740" t="s">
        <v>7039</v>
      </c>
      <c r="B1740" t="s">
        <v>4076</v>
      </c>
      <c r="C1740" t="s">
        <v>12</v>
      </c>
      <c r="D1740" t="s">
        <v>4077</v>
      </c>
      <c r="E1740" t="s">
        <v>1532</v>
      </c>
      <c r="F1740" t="s">
        <v>14</v>
      </c>
      <c r="G1740" t="s">
        <v>18</v>
      </c>
    </row>
    <row r="1741" spans="1:12" ht="15" customHeight="1">
      <c r="A1741" t="s">
        <v>7040</v>
      </c>
      <c r="B1741" t="s">
        <v>4078</v>
      </c>
      <c r="C1741" t="s">
        <v>12</v>
      </c>
      <c r="D1741" t="s">
        <v>4079</v>
      </c>
      <c r="E1741" t="s">
        <v>1532</v>
      </c>
      <c r="F1741" t="s">
        <v>14</v>
      </c>
      <c r="G1741" t="s">
        <v>18</v>
      </c>
      <c r="I1741">
        <v>1218000</v>
      </c>
      <c r="J1741">
        <v>1336000</v>
      </c>
      <c r="K1741">
        <v>1270000</v>
      </c>
      <c r="L1741">
        <v>1214000</v>
      </c>
    </row>
    <row r="1742" spans="1:12" ht="15" customHeight="1">
      <c r="A1742" t="s">
        <v>7041</v>
      </c>
      <c r="B1742" t="s">
        <v>4080</v>
      </c>
      <c r="C1742" t="s">
        <v>12</v>
      </c>
      <c r="D1742" t="s">
        <v>4081</v>
      </c>
      <c r="E1742" t="s">
        <v>1532</v>
      </c>
      <c r="F1742" t="s">
        <v>14</v>
      </c>
      <c r="G1742" t="s">
        <v>18</v>
      </c>
      <c r="I1742">
        <v>422000</v>
      </c>
      <c r="J1742">
        <v>317000</v>
      </c>
      <c r="K1742">
        <v>414000</v>
      </c>
      <c r="L1742">
        <v>332000</v>
      </c>
    </row>
    <row r="1743" spans="1:12" ht="15" customHeight="1">
      <c r="A1743" t="s">
        <v>7042</v>
      </c>
      <c r="B1743" t="s">
        <v>4082</v>
      </c>
      <c r="C1743" t="s">
        <v>12</v>
      </c>
      <c r="D1743" t="s">
        <v>4083</v>
      </c>
      <c r="E1743" t="s">
        <v>1619</v>
      </c>
      <c r="F1743" t="s">
        <v>14</v>
      </c>
      <c r="G1743" t="s">
        <v>18</v>
      </c>
      <c r="I1743">
        <v>1420000</v>
      </c>
      <c r="J1743">
        <v>1480000</v>
      </c>
      <c r="K1743">
        <v>1622000</v>
      </c>
      <c r="L1743">
        <v>1358000</v>
      </c>
    </row>
    <row r="1744" spans="1:12" ht="15" customHeight="1">
      <c r="A1744" t="s">
        <v>7043</v>
      </c>
      <c r="B1744" t="s">
        <v>4084</v>
      </c>
      <c r="C1744" t="s">
        <v>12</v>
      </c>
      <c r="D1744" t="s">
        <v>4085</v>
      </c>
      <c r="E1744" t="s">
        <v>1532</v>
      </c>
      <c r="F1744" t="s">
        <v>14</v>
      </c>
      <c r="G1744" t="s">
        <v>22</v>
      </c>
      <c r="I1744">
        <v>30299000</v>
      </c>
      <c r="J1744">
        <v>32573000</v>
      </c>
      <c r="K1744">
        <v>32148000</v>
      </c>
      <c r="L1744">
        <v>31022000</v>
      </c>
    </row>
    <row r="1745" spans="1:12" ht="15" customHeight="1">
      <c r="A1745" t="s">
        <v>7044</v>
      </c>
      <c r="B1745" t="s">
        <v>4086</v>
      </c>
      <c r="C1745" t="s">
        <v>12</v>
      </c>
      <c r="D1745" t="s">
        <v>4087</v>
      </c>
      <c r="E1745" t="s">
        <v>1588</v>
      </c>
      <c r="F1745" t="s">
        <v>14</v>
      </c>
      <c r="G1745" t="s">
        <v>18</v>
      </c>
    </row>
    <row r="1746" spans="1:12" ht="15" customHeight="1">
      <c r="A1746" t="s">
        <v>7045</v>
      </c>
      <c r="B1746" t="s">
        <v>4088</v>
      </c>
      <c r="C1746" t="s">
        <v>12</v>
      </c>
      <c r="D1746" t="s">
        <v>4089</v>
      </c>
      <c r="E1746" t="s">
        <v>1620</v>
      </c>
      <c r="F1746" t="s">
        <v>14</v>
      </c>
      <c r="G1746" t="s">
        <v>18</v>
      </c>
    </row>
    <row r="1747" spans="1:12" ht="15" customHeight="1">
      <c r="A1747" t="s">
        <v>7045</v>
      </c>
      <c r="B1747" t="s">
        <v>4090</v>
      </c>
      <c r="C1747" t="s">
        <v>12</v>
      </c>
      <c r="D1747" t="s">
        <v>4091</v>
      </c>
      <c r="E1747" t="s">
        <v>1516</v>
      </c>
      <c r="F1747" t="s">
        <v>14</v>
      </c>
      <c r="G1747" t="s">
        <v>18</v>
      </c>
      <c r="J1747">
        <v>5075000</v>
      </c>
      <c r="L1747">
        <v>5989000</v>
      </c>
    </row>
    <row r="1748" spans="1:12" ht="15" customHeight="1">
      <c r="A1748" t="s">
        <v>7046</v>
      </c>
      <c r="B1748" t="s">
        <v>4092</v>
      </c>
      <c r="C1748" t="s">
        <v>12</v>
      </c>
      <c r="D1748" t="s">
        <v>4093</v>
      </c>
      <c r="E1748" t="s">
        <v>1579</v>
      </c>
      <c r="F1748" t="s">
        <v>14</v>
      </c>
      <c r="G1748" t="s">
        <v>18</v>
      </c>
      <c r="I1748">
        <v>527000</v>
      </c>
      <c r="J1748">
        <v>2105000</v>
      </c>
      <c r="K1748">
        <v>527000</v>
      </c>
      <c r="L1748">
        <v>1885000</v>
      </c>
    </row>
    <row r="1749" spans="1:12" ht="15" customHeight="1">
      <c r="A1749" t="s">
        <v>7047</v>
      </c>
      <c r="B1749" t="s">
        <v>4094</v>
      </c>
      <c r="C1749" t="s">
        <v>12</v>
      </c>
      <c r="D1749" t="s">
        <v>4095</v>
      </c>
      <c r="E1749" t="s">
        <v>1646</v>
      </c>
      <c r="F1749" t="s">
        <v>25</v>
      </c>
      <c r="G1749" t="s">
        <v>18</v>
      </c>
      <c r="I1749">
        <v>345000</v>
      </c>
      <c r="J1749">
        <v>425000</v>
      </c>
      <c r="K1749">
        <v>331000</v>
      </c>
      <c r="L1749">
        <v>428000</v>
      </c>
    </row>
    <row r="1750" spans="1:12" ht="15" customHeight="1">
      <c r="A1750" t="s">
        <v>7048</v>
      </c>
      <c r="B1750" t="s">
        <v>4096</v>
      </c>
      <c r="C1750" t="s">
        <v>12</v>
      </c>
      <c r="D1750" t="s">
        <v>4097</v>
      </c>
      <c r="E1750" t="s">
        <v>1518</v>
      </c>
      <c r="F1750" t="s">
        <v>14</v>
      </c>
      <c r="G1750" t="s">
        <v>18</v>
      </c>
      <c r="I1750">
        <v>750000</v>
      </c>
      <c r="J1750">
        <v>450000</v>
      </c>
      <c r="K1750">
        <v>649000</v>
      </c>
      <c r="L1750">
        <v>530000</v>
      </c>
    </row>
    <row r="1751" spans="1:12" ht="15" customHeight="1">
      <c r="A1751" t="s">
        <v>7048</v>
      </c>
      <c r="B1751" t="s">
        <v>4098</v>
      </c>
      <c r="C1751" t="s">
        <v>12</v>
      </c>
      <c r="D1751" t="s">
        <v>4099</v>
      </c>
      <c r="E1751" t="s">
        <v>1580</v>
      </c>
      <c r="F1751" t="s">
        <v>14</v>
      </c>
      <c r="G1751" t="s">
        <v>18</v>
      </c>
      <c r="J1751">
        <v>3012000</v>
      </c>
      <c r="L1751">
        <v>2273000</v>
      </c>
    </row>
    <row r="1752" spans="1:12" ht="15" customHeight="1">
      <c r="A1752" t="s">
        <v>7049</v>
      </c>
      <c r="B1752" t="s">
        <v>4100</v>
      </c>
      <c r="C1752" t="s">
        <v>12</v>
      </c>
      <c r="D1752" t="s">
        <v>4101</v>
      </c>
      <c r="E1752" t="s">
        <v>1579</v>
      </c>
      <c r="F1752" t="s">
        <v>14</v>
      </c>
      <c r="G1752" t="s">
        <v>18</v>
      </c>
      <c r="I1752">
        <v>838000</v>
      </c>
      <c r="J1752">
        <v>1412000</v>
      </c>
      <c r="K1752">
        <v>893000</v>
      </c>
      <c r="L1752">
        <v>1482000</v>
      </c>
    </row>
    <row r="1753" spans="1:12" ht="15" customHeight="1">
      <c r="A1753" t="s">
        <v>7050</v>
      </c>
      <c r="B1753" t="s">
        <v>4102</v>
      </c>
      <c r="C1753" t="s">
        <v>12</v>
      </c>
      <c r="D1753" t="s">
        <v>4103</v>
      </c>
      <c r="E1753" t="s">
        <v>1532</v>
      </c>
      <c r="F1753" t="s">
        <v>14</v>
      </c>
      <c r="G1753" t="s">
        <v>18</v>
      </c>
      <c r="I1753">
        <v>2200000</v>
      </c>
      <c r="J1753">
        <v>2014000</v>
      </c>
      <c r="K1753">
        <v>2038000</v>
      </c>
      <c r="L1753">
        <v>1937000</v>
      </c>
    </row>
    <row r="1754" spans="1:12" ht="15" customHeight="1">
      <c r="A1754" t="s">
        <v>7051</v>
      </c>
      <c r="B1754" t="s">
        <v>4104</v>
      </c>
      <c r="C1754" t="s">
        <v>12</v>
      </c>
      <c r="D1754" t="s">
        <v>4105</v>
      </c>
      <c r="E1754" t="s">
        <v>1560</v>
      </c>
      <c r="F1754" t="s">
        <v>25</v>
      </c>
      <c r="G1754" t="s">
        <v>18</v>
      </c>
      <c r="I1754">
        <v>1078000</v>
      </c>
      <c r="J1754">
        <v>601000</v>
      </c>
      <c r="K1754">
        <v>1053000</v>
      </c>
      <c r="L1754">
        <v>612000</v>
      </c>
    </row>
    <row r="1755" spans="1:12" ht="15" customHeight="1">
      <c r="A1755" t="s">
        <v>7052</v>
      </c>
      <c r="B1755" t="s">
        <v>4106</v>
      </c>
      <c r="C1755" t="s">
        <v>12</v>
      </c>
      <c r="D1755" t="s">
        <v>4107</v>
      </c>
      <c r="E1755" t="s">
        <v>1532</v>
      </c>
      <c r="F1755" t="s">
        <v>14</v>
      </c>
      <c r="G1755" t="s">
        <v>18</v>
      </c>
      <c r="I1755">
        <v>1480000</v>
      </c>
      <c r="J1755">
        <v>1062000</v>
      </c>
      <c r="K1755">
        <v>1915000</v>
      </c>
      <c r="L1755">
        <v>1264000</v>
      </c>
    </row>
    <row r="1756" spans="1:12" ht="15" customHeight="1">
      <c r="A1756" t="s">
        <v>7053</v>
      </c>
      <c r="B1756" t="s">
        <v>4108</v>
      </c>
      <c r="C1756" t="s">
        <v>12</v>
      </c>
      <c r="D1756" t="s">
        <v>4109</v>
      </c>
      <c r="E1756" t="s">
        <v>1532</v>
      </c>
      <c r="F1756" t="s">
        <v>14</v>
      </c>
      <c r="G1756" t="s">
        <v>18</v>
      </c>
    </row>
    <row r="1757" spans="1:12" ht="15" customHeight="1">
      <c r="A1757" t="s">
        <v>7053</v>
      </c>
      <c r="B1757" t="s">
        <v>4110</v>
      </c>
      <c r="C1757" t="s">
        <v>12</v>
      </c>
      <c r="D1757" t="s">
        <v>4111</v>
      </c>
      <c r="E1757" t="s">
        <v>1643</v>
      </c>
      <c r="F1757" t="s">
        <v>25</v>
      </c>
      <c r="G1757" t="s">
        <v>18</v>
      </c>
      <c r="I1757">
        <v>1972000</v>
      </c>
      <c r="J1757">
        <v>1988000</v>
      </c>
      <c r="K1757">
        <v>1715000</v>
      </c>
      <c r="L1757">
        <v>2065000</v>
      </c>
    </row>
    <row r="1758" spans="1:12" ht="15" customHeight="1">
      <c r="A1758" t="s">
        <v>7054</v>
      </c>
      <c r="B1758" t="s">
        <v>4112</v>
      </c>
      <c r="C1758" t="s">
        <v>12</v>
      </c>
      <c r="D1758" t="s">
        <v>4113</v>
      </c>
      <c r="E1758" t="s">
        <v>1532</v>
      </c>
      <c r="F1758" t="s">
        <v>25</v>
      </c>
      <c r="G1758" t="s">
        <v>18</v>
      </c>
      <c r="I1758">
        <v>1267000</v>
      </c>
      <c r="J1758">
        <v>1502000</v>
      </c>
      <c r="K1758">
        <v>1265000</v>
      </c>
      <c r="L1758">
        <v>1456000</v>
      </c>
    </row>
    <row r="1759" spans="1:12" ht="15" customHeight="1">
      <c r="A1759" t="s">
        <v>7055</v>
      </c>
      <c r="B1759" t="s">
        <v>4114</v>
      </c>
      <c r="C1759" t="s">
        <v>12</v>
      </c>
      <c r="D1759" t="s">
        <v>4115</v>
      </c>
      <c r="E1759" t="s">
        <v>1516</v>
      </c>
      <c r="F1759" t="s">
        <v>14</v>
      </c>
      <c r="G1759" t="s">
        <v>18</v>
      </c>
      <c r="I1759">
        <v>2850000</v>
      </c>
      <c r="J1759">
        <v>7200000</v>
      </c>
      <c r="K1759">
        <v>2509000</v>
      </c>
      <c r="L1759">
        <v>7012000</v>
      </c>
    </row>
    <row r="1760" spans="1:12" ht="15" customHeight="1">
      <c r="A1760" t="s">
        <v>7056</v>
      </c>
      <c r="B1760" t="s">
        <v>4116</v>
      </c>
      <c r="C1760" t="s">
        <v>12</v>
      </c>
      <c r="D1760" t="s">
        <v>4117</v>
      </c>
      <c r="E1760" t="s">
        <v>2797</v>
      </c>
      <c r="F1760" t="s">
        <v>14</v>
      </c>
      <c r="G1760" t="s">
        <v>18</v>
      </c>
    </row>
    <row r="1761" spans="1:12" ht="15" customHeight="1">
      <c r="A1761" t="s">
        <v>7057</v>
      </c>
      <c r="B1761" t="s">
        <v>4118</v>
      </c>
      <c r="C1761" t="s">
        <v>12</v>
      </c>
      <c r="D1761" t="s">
        <v>4119</v>
      </c>
      <c r="E1761" t="s">
        <v>1560</v>
      </c>
      <c r="F1761" t="s">
        <v>25</v>
      </c>
      <c r="G1761" t="s">
        <v>18</v>
      </c>
      <c r="I1761">
        <v>1690000</v>
      </c>
      <c r="K1761">
        <v>2252000</v>
      </c>
    </row>
    <row r="1762" spans="1:12" ht="15" customHeight="1">
      <c r="A1762" t="s">
        <v>7058</v>
      </c>
      <c r="B1762" t="s">
        <v>4120</v>
      </c>
      <c r="C1762" t="s">
        <v>12</v>
      </c>
      <c r="D1762" t="s">
        <v>4121</v>
      </c>
      <c r="E1762" t="s">
        <v>1798</v>
      </c>
      <c r="F1762" t="s">
        <v>25</v>
      </c>
      <c r="G1762" t="s">
        <v>18</v>
      </c>
    </row>
    <row r="1763" spans="1:12" ht="15" customHeight="1">
      <c r="A1763" t="s">
        <v>7059</v>
      </c>
      <c r="B1763" t="s">
        <v>4122</v>
      </c>
      <c r="C1763" t="s">
        <v>12</v>
      </c>
      <c r="D1763" t="s">
        <v>4123</v>
      </c>
      <c r="E1763" t="s">
        <v>1575</v>
      </c>
      <c r="F1763" t="s">
        <v>14</v>
      </c>
      <c r="G1763" t="s">
        <v>18</v>
      </c>
      <c r="I1763">
        <v>650000</v>
      </c>
      <c r="J1763">
        <v>481000</v>
      </c>
      <c r="K1763">
        <v>617000</v>
      </c>
      <c r="L1763">
        <v>466000</v>
      </c>
    </row>
    <row r="1764" spans="1:12" ht="15" customHeight="1">
      <c r="A1764" t="s">
        <v>7060</v>
      </c>
      <c r="B1764" t="s">
        <v>4124</v>
      </c>
      <c r="C1764" t="s">
        <v>12</v>
      </c>
      <c r="D1764" t="s">
        <v>4125</v>
      </c>
      <c r="E1764" t="s">
        <v>1524</v>
      </c>
      <c r="F1764" t="s">
        <v>25</v>
      </c>
      <c r="G1764" t="s">
        <v>18</v>
      </c>
      <c r="I1764">
        <v>1872000</v>
      </c>
      <c r="J1764">
        <v>1717000</v>
      </c>
      <c r="K1764">
        <v>1824000</v>
      </c>
      <c r="L1764">
        <v>1708000</v>
      </c>
    </row>
    <row r="1765" spans="1:12" ht="15" customHeight="1">
      <c r="A1765" t="s">
        <v>7061</v>
      </c>
      <c r="B1765" t="s">
        <v>4126</v>
      </c>
      <c r="C1765" t="s">
        <v>12</v>
      </c>
      <c r="D1765" t="s">
        <v>4127</v>
      </c>
      <c r="E1765" t="s">
        <v>1532</v>
      </c>
      <c r="F1765" t="s">
        <v>25</v>
      </c>
      <c r="G1765" t="s">
        <v>18</v>
      </c>
    </row>
    <row r="1766" spans="1:12" ht="15" customHeight="1">
      <c r="A1766" t="s">
        <v>7062</v>
      </c>
      <c r="B1766" t="s">
        <v>4128</v>
      </c>
      <c r="C1766" t="s">
        <v>12</v>
      </c>
      <c r="D1766" t="s">
        <v>4129</v>
      </c>
      <c r="E1766" t="s">
        <v>1588</v>
      </c>
      <c r="F1766" t="s">
        <v>14</v>
      </c>
      <c r="G1766" t="s">
        <v>18</v>
      </c>
      <c r="I1766">
        <v>688000</v>
      </c>
      <c r="J1766">
        <v>580000</v>
      </c>
      <c r="K1766">
        <v>835000</v>
      </c>
      <c r="L1766">
        <v>797000</v>
      </c>
    </row>
    <row r="1767" spans="1:12" ht="15" customHeight="1">
      <c r="A1767" t="s">
        <v>7063</v>
      </c>
      <c r="B1767" t="s">
        <v>4130</v>
      </c>
      <c r="C1767" t="s">
        <v>12</v>
      </c>
      <c r="D1767" t="s">
        <v>4131</v>
      </c>
      <c r="E1767" t="s">
        <v>1524</v>
      </c>
      <c r="F1767" t="s">
        <v>14</v>
      </c>
      <c r="G1767" t="s">
        <v>18</v>
      </c>
      <c r="I1767">
        <v>1373000</v>
      </c>
      <c r="J1767">
        <v>2244000</v>
      </c>
      <c r="K1767">
        <v>1100000</v>
      </c>
      <c r="L1767">
        <v>2607000</v>
      </c>
    </row>
    <row r="1768" spans="1:12" ht="15" customHeight="1">
      <c r="A1768" t="s">
        <v>7064</v>
      </c>
      <c r="B1768" t="s">
        <v>4132</v>
      </c>
      <c r="C1768" t="s">
        <v>12</v>
      </c>
      <c r="D1768" t="s">
        <v>4133</v>
      </c>
      <c r="E1768" t="s">
        <v>1560</v>
      </c>
      <c r="F1768" t="s">
        <v>25</v>
      </c>
      <c r="G1768" t="s">
        <v>18</v>
      </c>
      <c r="I1768">
        <v>506000</v>
      </c>
      <c r="J1768">
        <v>1588000</v>
      </c>
      <c r="K1768">
        <v>457000</v>
      </c>
      <c r="L1768">
        <v>651000</v>
      </c>
    </row>
    <row r="1769" spans="1:12" ht="15" customHeight="1">
      <c r="A1769" t="s">
        <v>7065</v>
      </c>
      <c r="B1769" t="s">
        <v>4134</v>
      </c>
      <c r="C1769" t="s">
        <v>12</v>
      </c>
      <c r="D1769" t="s">
        <v>4135</v>
      </c>
      <c r="E1769" t="s">
        <v>1532</v>
      </c>
      <c r="F1769" t="s">
        <v>14</v>
      </c>
      <c r="G1769" t="s">
        <v>18</v>
      </c>
    </row>
    <row r="1770" spans="1:12" ht="15" customHeight="1">
      <c r="A1770" t="s">
        <v>7066</v>
      </c>
      <c r="B1770" t="s">
        <v>4136</v>
      </c>
      <c r="C1770" t="s">
        <v>12</v>
      </c>
      <c r="D1770" t="s">
        <v>4137</v>
      </c>
      <c r="E1770" t="s">
        <v>1881</v>
      </c>
      <c r="F1770" t="s">
        <v>14</v>
      </c>
      <c r="G1770" t="s">
        <v>18</v>
      </c>
      <c r="J1770">
        <v>130000</v>
      </c>
      <c r="L1770">
        <v>136000</v>
      </c>
    </row>
    <row r="1771" spans="1:12" ht="15" customHeight="1">
      <c r="A1771" t="s">
        <v>7067</v>
      </c>
      <c r="B1771" t="s">
        <v>4138</v>
      </c>
      <c r="C1771" t="s">
        <v>12</v>
      </c>
      <c r="D1771" t="s">
        <v>4139</v>
      </c>
      <c r="E1771" t="s">
        <v>1547</v>
      </c>
      <c r="F1771" t="s">
        <v>14</v>
      </c>
      <c r="G1771" t="s">
        <v>18</v>
      </c>
      <c r="I1771">
        <v>362195000</v>
      </c>
      <c r="J1771">
        <v>844866000</v>
      </c>
      <c r="K1771">
        <v>351349000</v>
      </c>
      <c r="L1771">
        <v>486537000</v>
      </c>
    </row>
    <row r="1772" spans="1:12" ht="15" customHeight="1">
      <c r="A1772" t="s">
        <v>7068</v>
      </c>
      <c r="B1772" t="s">
        <v>4140</v>
      </c>
      <c r="C1772" t="s">
        <v>12</v>
      </c>
      <c r="D1772" t="s">
        <v>4141</v>
      </c>
      <c r="E1772" t="s">
        <v>1532</v>
      </c>
      <c r="F1772" t="s">
        <v>14</v>
      </c>
      <c r="G1772" t="s">
        <v>18</v>
      </c>
      <c r="I1772">
        <v>20000</v>
      </c>
      <c r="K1772">
        <v>25000</v>
      </c>
    </row>
    <row r="1773" spans="1:12" ht="15" customHeight="1">
      <c r="A1773" t="s">
        <v>7069</v>
      </c>
      <c r="B1773" t="s">
        <v>4142</v>
      </c>
      <c r="C1773" t="s">
        <v>12</v>
      </c>
      <c r="D1773" t="s">
        <v>4143</v>
      </c>
      <c r="E1773" t="s">
        <v>1516</v>
      </c>
      <c r="F1773" t="s">
        <v>25</v>
      </c>
      <c r="G1773" t="s">
        <v>18</v>
      </c>
      <c r="I1773">
        <v>90000</v>
      </c>
      <c r="J1773">
        <v>644</v>
      </c>
      <c r="K1773">
        <v>90000</v>
      </c>
      <c r="L1773">
        <v>644</v>
      </c>
    </row>
    <row r="1774" spans="1:12" ht="15" customHeight="1">
      <c r="A1774" t="s">
        <v>7070</v>
      </c>
      <c r="B1774" t="s">
        <v>4144</v>
      </c>
      <c r="C1774" t="s">
        <v>12</v>
      </c>
      <c r="D1774" t="s">
        <v>4145</v>
      </c>
      <c r="E1774" t="s">
        <v>1508</v>
      </c>
      <c r="F1774" t="s">
        <v>14</v>
      </c>
      <c r="G1774" t="s">
        <v>18</v>
      </c>
      <c r="I1774">
        <v>602000</v>
      </c>
      <c r="J1774">
        <v>365000</v>
      </c>
      <c r="K1774">
        <v>427000</v>
      </c>
      <c r="L1774">
        <v>424000</v>
      </c>
    </row>
    <row r="1775" spans="1:12" ht="15" customHeight="1">
      <c r="A1775" t="s">
        <v>7071</v>
      </c>
      <c r="B1775" t="s">
        <v>4146</v>
      </c>
      <c r="C1775" t="s">
        <v>12</v>
      </c>
      <c r="D1775" t="s">
        <v>4147</v>
      </c>
      <c r="E1775" t="s">
        <v>1519</v>
      </c>
      <c r="F1775" t="s">
        <v>14</v>
      </c>
      <c r="G1775" t="s">
        <v>18</v>
      </c>
      <c r="I1775">
        <v>730000</v>
      </c>
      <c r="K1775">
        <v>621000</v>
      </c>
    </row>
    <row r="1776" spans="1:12" ht="15" customHeight="1">
      <c r="A1776" t="s">
        <v>7072</v>
      </c>
      <c r="B1776" t="s">
        <v>4148</v>
      </c>
      <c r="C1776" t="s">
        <v>12</v>
      </c>
      <c r="D1776" t="s">
        <v>4149</v>
      </c>
      <c r="E1776" t="s">
        <v>1580</v>
      </c>
      <c r="F1776" t="s">
        <v>25</v>
      </c>
      <c r="G1776" t="s">
        <v>18</v>
      </c>
    </row>
    <row r="1777" spans="1:12" ht="15" customHeight="1">
      <c r="A1777" t="s">
        <v>7072</v>
      </c>
      <c r="B1777" t="s">
        <v>4150</v>
      </c>
      <c r="C1777" t="s">
        <v>12</v>
      </c>
      <c r="D1777" t="s">
        <v>4151</v>
      </c>
      <c r="E1777" t="s">
        <v>1524</v>
      </c>
      <c r="F1777" t="s">
        <v>14</v>
      </c>
      <c r="G1777" t="s">
        <v>18</v>
      </c>
    </row>
    <row r="1778" spans="1:12" ht="15" customHeight="1">
      <c r="A1778" t="s">
        <v>7073</v>
      </c>
      <c r="B1778" t="s">
        <v>4152</v>
      </c>
      <c r="C1778" t="s">
        <v>12</v>
      </c>
      <c r="D1778" t="s">
        <v>4153</v>
      </c>
      <c r="E1778" t="s">
        <v>1526</v>
      </c>
      <c r="F1778" t="s">
        <v>14</v>
      </c>
      <c r="G1778" t="s">
        <v>18</v>
      </c>
      <c r="I1778">
        <v>377000</v>
      </c>
      <c r="J1778">
        <v>811000</v>
      </c>
      <c r="K1778">
        <v>118000</v>
      </c>
      <c r="L1778">
        <v>632000</v>
      </c>
    </row>
    <row r="1779" spans="1:12" ht="15" customHeight="1">
      <c r="A1779" t="s">
        <v>7074</v>
      </c>
      <c r="B1779" t="s">
        <v>4154</v>
      </c>
      <c r="C1779" t="s">
        <v>12</v>
      </c>
      <c r="D1779" t="s">
        <v>4155</v>
      </c>
      <c r="E1779" t="s">
        <v>1532</v>
      </c>
      <c r="F1779" t="s">
        <v>14</v>
      </c>
      <c r="G1779" t="s">
        <v>18</v>
      </c>
      <c r="L1779">
        <v>9000</v>
      </c>
    </row>
    <row r="1780" spans="1:12" ht="15" customHeight="1">
      <c r="A1780" t="s">
        <v>7075</v>
      </c>
      <c r="B1780" t="s">
        <v>4156</v>
      </c>
      <c r="C1780" t="s">
        <v>12</v>
      </c>
      <c r="D1780" t="s">
        <v>4157</v>
      </c>
      <c r="E1780" t="s">
        <v>1579</v>
      </c>
      <c r="F1780" t="s">
        <v>14</v>
      </c>
      <c r="G1780" t="s">
        <v>18</v>
      </c>
    </row>
    <row r="1781" spans="1:12" ht="15" customHeight="1">
      <c r="A1781" t="s">
        <v>7076</v>
      </c>
      <c r="B1781" t="s">
        <v>4158</v>
      </c>
      <c r="C1781" t="s">
        <v>12</v>
      </c>
      <c r="D1781" t="s">
        <v>4159</v>
      </c>
      <c r="E1781" t="s">
        <v>1532</v>
      </c>
      <c r="F1781" t="s">
        <v>14</v>
      </c>
      <c r="G1781" t="s">
        <v>18</v>
      </c>
    </row>
    <row r="1782" spans="1:12" ht="15" customHeight="1">
      <c r="A1782" t="s">
        <v>7077</v>
      </c>
      <c r="B1782" t="s">
        <v>4160</v>
      </c>
      <c r="C1782" t="s">
        <v>12</v>
      </c>
      <c r="D1782" t="s">
        <v>4161</v>
      </c>
      <c r="E1782" t="s">
        <v>1801</v>
      </c>
      <c r="F1782" t="s">
        <v>14</v>
      </c>
      <c r="G1782" t="s">
        <v>18</v>
      </c>
      <c r="I1782">
        <v>4094000</v>
      </c>
      <c r="J1782">
        <v>9669000</v>
      </c>
      <c r="K1782">
        <v>4360000</v>
      </c>
      <c r="L1782">
        <v>8635000</v>
      </c>
    </row>
    <row r="1783" spans="1:12" ht="15" customHeight="1">
      <c r="A1783" t="s">
        <v>7078</v>
      </c>
      <c r="B1783" t="s">
        <v>4162</v>
      </c>
      <c r="C1783" t="s">
        <v>12</v>
      </c>
      <c r="D1783" t="s">
        <v>4163</v>
      </c>
      <c r="E1783" t="s">
        <v>1516</v>
      </c>
      <c r="F1783" t="s">
        <v>14</v>
      </c>
      <c r="G1783" t="s">
        <v>18</v>
      </c>
      <c r="I1783">
        <v>5540000</v>
      </c>
      <c r="J1783">
        <v>5867000</v>
      </c>
      <c r="K1783">
        <v>5345000</v>
      </c>
      <c r="L1783">
        <v>5812000</v>
      </c>
    </row>
    <row r="1784" spans="1:12" ht="15" customHeight="1">
      <c r="A1784" t="s">
        <v>7079</v>
      </c>
      <c r="B1784" t="s">
        <v>4164</v>
      </c>
      <c r="C1784" t="s">
        <v>12</v>
      </c>
      <c r="D1784" t="s">
        <v>4165</v>
      </c>
      <c r="E1784" t="s">
        <v>1524</v>
      </c>
      <c r="F1784" t="s">
        <v>14</v>
      </c>
      <c r="G1784" t="s">
        <v>18</v>
      </c>
      <c r="I1784">
        <v>1897000</v>
      </c>
      <c r="J1784">
        <v>1872000</v>
      </c>
      <c r="K1784">
        <v>1701000</v>
      </c>
      <c r="L1784">
        <v>2104000</v>
      </c>
    </row>
    <row r="1785" spans="1:12" ht="15" customHeight="1">
      <c r="A1785" t="s">
        <v>7080</v>
      </c>
      <c r="B1785" t="s">
        <v>4166</v>
      </c>
      <c r="C1785" t="s">
        <v>12</v>
      </c>
      <c r="D1785" t="s">
        <v>4167</v>
      </c>
      <c r="E1785" t="s">
        <v>1509</v>
      </c>
      <c r="F1785" t="s">
        <v>14</v>
      </c>
      <c r="G1785" t="s">
        <v>18</v>
      </c>
      <c r="I1785">
        <v>6926000</v>
      </c>
      <c r="J1785">
        <v>4848000</v>
      </c>
      <c r="K1785">
        <v>7250000</v>
      </c>
      <c r="L1785">
        <v>6652000</v>
      </c>
    </row>
    <row r="1786" spans="1:12" ht="15" customHeight="1">
      <c r="A1786" t="s">
        <v>7081</v>
      </c>
      <c r="B1786" t="s">
        <v>4168</v>
      </c>
      <c r="C1786" t="s">
        <v>12</v>
      </c>
      <c r="D1786" t="s">
        <v>4169</v>
      </c>
      <c r="E1786" t="s">
        <v>1794</v>
      </c>
      <c r="F1786" t="s">
        <v>14</v>
      </c>
      <c r="G1786" t="s">
        <v>18</v>
      </c>
      <c r="I1786">
        <v>9924000</v>
      </c>
      <c r="J1786">
        <v>10092000</v>
      </c>
      <c r="K1786">
        <v>9974000</v>
      </c>
      <c r="L1786">
        <v>9972000</v>
      </c>
    </row>
    <row r="1787" spans="1:12" ht="15" customHeight="1">
      <c r="A1787" t="s">
        <v>7082</v>
      </c>
      <c r="B1787" t="s">
        <v>4170</v>
      </c>
      <c r="C1787" t="s">
        <v>12</v>
      </c>
      <c r="D1787" t="s">
        <v>4171</v>
      </c>
      <c r="E1787" t="s">
        <v>1517</v>
      </c>
      <c r="F1787" t="s">
        <v>25</v>
      </c>
      <c r="G1787" t="s">
        <v>18</v>
      </c>
    </row>
    <row r="1788" spans="1:12" ht="15" customHeight="1">
      <c r="A1788" t="s">
        <v>7083</v>
      </c>
      <c r="B1788" t="s">
        <v>4172</v>
      </c>
      <c r="C1788" t="s">
        <v>12</v>
      </c>
      <c r="D1788" t="s">
        <v>4173</v>
      </c>
      <c r="E1788" t="s">
        <v>1629</v>
      </c>
      <c r="F1788" t="s">
        <v>14</v>
      </c>
      <c r="G1788" t="s">
        <v>18</v>
      </c>
      <c r="I1788">
        <v>1466000</v>
      </c>
      <c r="J1788">
        <v>1462000</v>
      </c>
      <c r="K1788">
        <v>1483000</v>
      </c>
      <c r="L1788">
        <v>1462000</v>
      </c>
    </row>
    <row r="1789" spans="1:12" ht="15" customHeight="1">
      <c r="A1789" t="s">
        <v>7084</v>
      </c>
      <c r="B1789" t="s">
        <v>4174</v>
      </c>
      <c r="C1789" t="s">
        <v>12</v>
      </c>
      <c r="D1789" t="s">
        <v>4175</v>
      </c>
      <c r="E1789" t="s">
        <v>1559</v>
      </c>
      <c r="F1789" t="s">
        <v>14</v>
      </c>
      <c r="G1789" t="s">
        <v>18</v>
      </c>
      <c r="I1789">
        <v>22895000</v>
      </c>
      <c r="J1789">
        <v>25807000</v>
      </c>
      <c r="K1789">
        <v>22895000</v>
      </c>
      <c r="L1789">
        <v>25794000</v>
      </c>
    </row>
    <row r="1790" spans="1:12" ht="15" customHeight="1">
      <c r="A1790" t="s">
        <v>7085</v>
      </c>
      <c r="B1790" t="s">
        <v>4176</v>
      </c>
      <c r="C1790" t="s">
        <v>12</v>
      </c>
      <c r="D1790" t="s">
        <v>4177</v>
      </c>
      <c r="E1790" t="s">
        <v>1532</v>
      </c>
      <c r="F1790" t="s">
        <v>14</v>
      </c>
      <c r="G1790" t="s">
        <v>18</v>
      </c>
    </row>
    <row r="1791" spans="1:12" ht="15" customHeight="1">
      <c r="A1791" t="s">
        <v>7086</v>
      </c>
      <c r="B1791" t="s">
        <v>4178</v>
      </c>
      <c r="C1791" t="s">
        <v>12</v>
      </c>
      <c r="D1791" t="s">
        <v>4179</v>
      </c>
      <c r="E1791" t="s">
        <v>1533</v>
      </c>
      <c r="F1791" t="s">
        <v>14</v>
      </c>
      <c r="G1791" t="s">
        <v>18</v>
      </c>
      <c r="I1791">
        <v>52000</v>
      </c>
      <c r="K1791">
        <v>249000</v>
      </c>
    </row>
    <row r="1792" spans="1:12" ht="15" customHeight="1">
      <c r="A1792" t="s">
        <v>7087</v>
      </c>
      <c r="B1792" t="s">
        <v>4180</v>
      </c>
      <c r="C1792" t="s">
        <v>12</v>
      </c>
      <c r="D1792" t="s">
        <v>4181</v>
      </c>
      <c r="E1792" t="s">
        <v>1580</v>
      </c>
      <c r="F1792" t="s">
        <v>14</v>
      </c>
      <c r="G1792" t="s">
        <v>18</v>
      </c>
      <c r="I1792">
        <v>461000</v>
      </c>
      <c r="K1792">
        <v>345000</v>
      </c>
    </row>
    <row r="1793" spans="1:12" ht="15" customHeight="1">
      <c r="A1793" t="s">
        <v>7088</v>
      </c>
      <c r="B1793" t="s">
        <v>4182</v>
      </c>
      <c r="C1793" t="s">
        <v>12</v>
      </c>
      <c r="D1793" t="s">
        <v>4183</v>
      </c>
      <c r="E1793" t="s">
        <v>1524</v>
      </c>
      <c r="F1793" t="s">
        <v>14</v>
      </c>
      <c r="G1793" t="s">
        <v>18</v>
      </c>
      <c r="I1793">
        <v>7484000</v>
      </c>
      <c r="J1793">
        <v>6953000</v>
      </c>
      <c r="K1793">
        <v>7410000</v>
      </c>
      <c r="L1793">
        <v>6651000</v>
      </c>
    </row>
    <row r="1794" spans="1:12" ht="15" customHeight="1">
      <c r="A1794" t="s">
        <v>7089</v>
      </c>
      <c r="B1794" t="s">
        <v>4184</v>
      </c>
      <c r="C1794" t="s">
        <v>12</v>
      </c>
      <c r="D1794" t="s">
        <v>4185</v>
      </c>
      <c r="E1794" t="s">
        <v>1558</v>
      </c>
      <c r="F1794" t="s">
        <v>14</v>
      </c>
      <c r="G1794" t="s">
        <v>18</v>
      </c>
      <c r="I1794">
        <v>1623000</v>
      </c>
      <c r="J1794">
        <v>1524000</v>
      </c>
      <c r="K1794">
        <v>1667000</v>
      </c>
      <c r="L1794">
        <v>1479000</v>
      </c>
    </row>
    <row r="1795" spans="1:12" ht="15" customHeight="1">
      <c r="A1795" t="s">
        <v>7090</v>
      </c>
      <c r="B1795" t="s">
        <v>4186</v>
      </c>
      <c r="C1795" t="s">
        <v>12</v>
      </c>
      <c r="D1795" t="s">
        <v>4187</v>
      </c>
      <c r="E1795" t="s">
        <v>1754</v>
      </c>
      <c r="F1795" t="s">
        <v>25</v>
      </c>
      <c r="G1795" t="s">
        <v>18</v>
      </c>
      <c r="I1795">
        <v>1735000</v>
      </c>
      <c r="K1795">
        <v>1735000</v>
      </c>
    </row>
    <row r="1796" spans="1:12" ht="15" customHeight="1">
      <c r="A1796" t="s">
        <v>7091</v>
      </c>
      <c r="B1796" t="s">
        <v>4188</v>
      </c>
      <c r="C1796" t="s">
        <v>12</v>
      </c>
      <c r="D1796" t="s">
        <v>4189</v>
      </c>
      <c r="E1796" t="s">
        <v>1532</v>
      </c>
      <c r="F1796" t="s">
        <v>25</v>
      </c>
      <c r="G1796" t="s">
        <v>18</v>
      </c>
      <c r="I1796">
        <v>1377000</v>
      </c>
      <c r="J1796">
        <v>138000</v>
      </c>
      <c r="K1796">
        <v>282000</v>
      </c>
      <c r="L1796">
        <v>1289000</v>
      </c>
    </row>
    <row r="1797" spans="1:12" ht="15" customHeight="1">
      <c r="A1797" t="s">
        <v>7092</v>
      </c>
      <c r="B1797" t="s">
        <v>4190</v>
      </c>
      <c r="C1797" t="s">
        <v>12</v>
      </c>
      <c r="D1797" t="s">
        <v>4191</v>
      </c>
      <c r="E1797" t="s">
        <v>1524</v>
      </c>
      <c r="F1797" t="s">
        <v>25</v>
      </c>
      <c r="G1797" t="s">
        <v>18</v>
      </c>
      <c r="I1797">
        <v>2555000</v>
      </c>
      <c r="J1797">
        <v>2861000</v>
      </c>
      <c r="K1797">
        <v>3492000</v>
      </c>
      <c r="L1797">
        <v>2057000</v>
      </c>
    </row>
    <row r="1798" spans="1:12" ht="15" customHeight="1">
      <c r="A1798" t="s">
        <v>7093</v>
      </c>
      <c r="B1798" t="s">
        <v>4192</v>
      </c>
      <c r="C1798" t="s">
        <v>12</v>
      </c>
      <c r="D1798" t="s">
        <v>4193</v>
      </c>
      <c r="E1798" t="s">
        <v>1532</v>
      </c>
      <c r="F1798" t="s">
        <v>14</v>
      </c>
      <c r="G1798" t="s">
        <v>18</v>
      </c>
      <c r="J1798">
        <v>675000</v>
      </c>
      <c r="L1798">
        <v>604000</v>
      </c>
    </row>
    <row r="1799" spans="1:12" ht="15" customHeight="1">
      <c r="A1799" t="s">
        <v>7094</v>
      </c>
      <c r="B1799" t="s">
        <v>4194</v>
      </c>
      <c r="C1799" t="s">
        <v>12</v>
      </c>
      <c r="D1799" t="s">
        <v>4195</v>
      </c>
      <c r="E1799" t="s">
        <v>1532</v>
      </c>
      <c r="F1799" t="s">
        <v>25</v>
      </c>
      <c r="G1799" t="s">
        <v>18</v>
      </c>
    </row>
    <row r="1800" spans="1:12" ht="15" customHeight="1">
      <c r="A1800" t="s">
        <v>7095</v>
      </c>
      <c r="B1800" t="s">
        <v>4196</v>
      </c>
      <c r="C1800" t="s">
        <v>12</v>
      </c>
      <c r="D1800" t="s">
        <v>4197</v>
      </c>
      <c r="E1800" t="s">
        <v>1532</v>
      </c>
      <c r="F1800" t="s">
        <v>25</v>
      </c>
      <c r="G1800" t="s">
        <v>18</v>
      </c>
      <c r="I1800">
        <v>20230000</v>
      </c>
      <c r="J1800">
        <v>11854000</v>
      </c>
      <c r="K1800">
        <v>20074000</v>
      </c>
      <c r="L1800">
        <v>11968000</v>
      </c>
    </row>
    <row r="1801" spans="1:12" ht="15" customHeight="1">
      <c r="A1801" t="s">
        <v>7096</v>
      </c>
      <c r="B1801" t="s">
        <v>4198</v>
      </c>
      <c r="C1801" t="s">
        <v>12</v>
      </c>
      <c r="D1801" t="s">
        <v>4199</v>
      </c>
      <c r="E1801" t="s">
        <v>1526</v>
      </c>
      <c r="F1801" t="s">
        <v>14</v>
      </c>
      <c r="G1801" t="s">
        <v>18</v>
      </c>
    </row>
    <row r="1802" spans="1:12" ht="15" customHeight="1">
      <c r="A1802" t="s">
        <v>7097</v>
      </c>
      <c r="B1802" t="s">
        <v>4200</v>
      </c>
      <c r="C1802" t="s">
        <v>12</v>
      </c>
      <c r="D1802" t="s">
        <v>4201</v>
      </c>
      <c r="E1802" t="s">
        <v>1588</v>
      </c>
      <c r="F1802" t="s">
        <v>14</v>
      </c>
      <c r="G1802" t="s">
        <v>18</v>
      </c>
      <c r="I1802">
        <v>131000</v>
      </c>
      <c r="K1802">
        <v>89000</v>
      </c>
      <c r="L1802">
        <v>32000</v>
      </c>
    </row>
    <row r="1803" spans="1:12" ht="15" customHeight="1">
      <c r="A1803" t="s">
        <v>7098</v>
      </c>
      <c r="B1803" t="s">
        <v>4202</v>
      </c>
      <c r="C1803" t="s">
        <v>12</v>
      </c>
      <c r="D1803" t="s">
        <v>4203</v>
      </c>
      <c r="E1803" t="s">
        <v>1661</v>
      </c>
      <c r="F1803" t="s">
        <v>25</v>
      </c>
      <c r="G1803" t="s">
        <v>18</v>
      </c>
      <c r="I1803">
        <v>215000</v>
      </c>
      <c r="J1803">
        <v>2746000</v>
      </c>
      <c r="K1803">
        <v>205000</v>
      </c>
      <c r="L1803">
        <v>2216000</v>
      </c>
    </row>
    <row r="1804" spans="1:12" ht="15" customHeight="1">
      <c r="A1804" t="s">
        <v>7099</v>
      </c>
      <c r="B1804" t="s">
        <v>4204</v>
      </c>
      <c r="C1804" t="s">
        <v>12</v>
      </c>
      <c r="D1804" t="s">
        <v>4205</v>
      </c>
      <c r="E1804" t="s">
        <v>1533</v>
      </c>
      <c r="F1804" t="s">
        <v>25</v>
      </c>
      <c r="G1804" t="s">
        <v>77</v>
      </c>
      <c r="I1804">
        <v>340903000</v>
      </c>
      <c r="J1804">
        <v>72351000</v>
      </c>
      <c r="K1804">
        <v>311511000</v>
      </c>
      <c r="L1804">
        <v>101373000</v>
      </c>
    </row>
    <row r="1805" spans="1:12" ht="15" customHeight="1">
      <c r="A1805" t="s">
        <v>7100</v>
      </c>
      <c r="B1805" t="s">
        <v>4206</v>
      </c>
      <c r="C1805" t="s">
        <v>12</v>
      </c>
      <c r="D1805" t="s">
        <v>4207</v>
      </c>
      <c r="E1805" t="s">
        <v>1559</v>
      </c>
      <c r="F1805" t="s">
        <v>25</v>
      </c>
      <c r="G1805" t="s">
        <v>18</v>
      </c>
      <c r="I1805">
        <v>2666000</v>
      </c>
      <c r="J1805">
        <v>3260000</v>
      </c>
      <c r="K1805">
        <v>2345000</v>
      </c>
      <c r="L1805">
        <v>3003000</v>
      </c>
    </row>
    <row r="1806" spans="1:12" ht="15" customHeight="1">
      <c r="A1806" t="s">
        <v>7101</v>
      </c>
      <c r="B1806" t="s">
        <v>4208</v>
      </c>
      <c r="C1806" t="s">
        <v>12</v>
      </c>
      <c r="D1806" t="s">
        <v>4209</v>
      </c>
      <c r="E1806" t="s">
        <v>1532</v>
      </c>
      <c r="F1806" t="s">
        <v>14</v>
      </c>
      <c r="G1806" t="s">
        <v>18</v>
      </c>
      <c r="I1806">
        <v>600000</v>
      </c>
      <c r="J1806">
        <v>1210000</v>
      </c>
      <c r="K1806">
        <v>1494000</v>
      </c>
      <c r="L1806">
        <v>842000</v>
      </c>
    </row>
    <row r="1807" spans="1:12" ht="15" customHeight="1">
      <c r="A1807" t="s">
        <v>7102</v>
      </c>
      <c r="B1807" t="s">
        <v>4210</v>
      </c>
      <c r="C1807" t="s">
        <v>12</v>
      </c>
      <c r="D1807" t="s">
        <v>4211</v>
      </c>
      <c r="E1807" t="s">
        <v>1532</v>
      </c>
      <c r="F1807" t="s">
        <v>14</v>
      </c>
      <c r="G1807" t="s">
        <v>18</v>
      </c>
    </row>
    <row r="1808" spans="1:12" ht="15" customHeight="1">
      <c r="A1808" t="s">
        <v>7103</v>
      </c>
      <c r="B1808" t="s">
        <v>4212</v>
      </c>
      <c r="C1808" t="s">
        <v>12</v>
      </c>
      <c r="D1808" t="s">
        <v>4213</v>
      </c>
      <c r="E1808" t="s">
        <v>1532</v>
      </c>
      <c r="F1808" t="s">
        <v>14</v>
      </c>
      <c r="G1808" t="s">
        <v>18</v>
      </c>
      <c r="I1808">
        <v>694000</v>
      </c>
      <c r="J1808">
        <v>912000</v>
      </c>
      <c r="K1808">
        <v>775000</v>
      </c>
      <c r="L1808">
        <v>924000</v>
      </c>
    </row>
    <row r="1809" spans="1:12" ht="15" customHeight="1">
      <c r="A1809" t="s">
        <v>7104</v>
      </c>
      <c r="B1809" t="s">
        <v>4214</v>
      </c>
      <c r="C1809" t="s">
        <v>12</v>
      </c>
      <c r="D1809" t="s">
        <v>4215</v>
      </c>
      <c r="E1809" t="s">
        <v>1508</v>
      </c>
      <c r="F1809" t="s">
        <v>14</v>
      </c>
      <c r="G1809" t="s">
        <v>23</v>
      </c>
      <c r="H1809" t="s">
        <v>23</v>
      </c>
      <c r="I1809">
        <v>31375000</v>
      </c>
      <c r="J1809">
        <v>18164000</v>
      </c>
      <c r="K1809">
        <v>7635000</v>
      </c>
      <c r="L1809">
        <v>42059000</v>
      </c>
    </row>
    <row r="1810" spans="1:12" ht="15" customHeight="1">
      <c r="A1810" t="s">
        <v>7105</v>
      </c>
      <c r="B1810" t="s">
        <v>4216</v>
      </c>
      <c r="C1810" t="s">
        <v>12</v>
      </c>
      <c r="D1810" t="s">
        <v>4217</v>
      </c>
      <c r="E1810" t="s">
        <v>1754</v>
      </c>
      <c r="F1810" t="s">
        <v>14</v>
      </c>
      <c r="G1810" t="s">
        <v>18</v>
      </c>
      <c r="J1810">
        <v>20000</v>
      </c>
      <c r="K1810">
        <v>10000</v>
      </c>
      <c r="L1810">
        <v>20000</v>
      </c>
    </row>
    <row r="1811" spans="1:12" ht="15" customHeight="1">
      <c r="A1811" t="s">
        <v>7106</v>
      </c>
      <c r="B1811" t="s">
        <v>4218</v>
      </c>
      <c r="C1811" t="s">
        <v>12</v>
      </c>
      <c r="D1811" t="s">
        <v>4219</v>
      </c>
      <c r="E1811" t="s">
        <v>1642</v>
      </c>
      <c r="F1811" t="s">
        <v>25</v>
      </c>
      <c r="G1811" t="s">
        <v>18</v>
      </c>
      <c r="I1811">
        <v>2993000</v>
      </c>
      <c r="J1811">
        <v>3833000</v>
      </c>
      <c r="K1811">
        <v>1903000</v>
      </c>
      <c r="L1811">
        <v>4605000</v>
      </c>
    </row>
    <row r="1812" spans="1:12" ht="15" customHeight="1">
      <c r="A1812" t="s">
        <v>7107</v>
      </c>
      <c r="B1812" t="s">
        <v>4220</v>
      </c>
      <c r="C1812" t="s">
        <v>12</v>
      </c>
      <c r="D1812" t="s">
        <v>4221</v>
      </c>
      <c r="E1812" t="s">
        <v>1532</v>
      </c>
      <c r="F1812" t="s">
        <v>14</v>
      </c>
      <c r="G1812" t="s">
        <v>18</v>
      </c>
    </row>
    <row r="1813" spans="1:12" ht="15" customHeight="1">
      <c r="A1813" t="s">
        <v>7107</v>
      </c>
      <c r="B1813" t="s">
        <v>4222</v>
      </c>
      <c r="C1813" t="s">
        <v>12</v>
      </c>
      <c r="D1813" t="s">
        <v>4223</v>
      </c>
      <c r="E1813" t="s">
        <v>1580</v>
      </c>
      <c r="F1813" t="s">
        <v>14</v>
      </c>
      <c r="G1813" t="s">
        <v>18</v>
      </c>
      <c r="I1813">
        <v>34000</v>
      </c>
      <c r="K1813">
        <v>25000</v>
      </c>
      <c r="L1813">
        <v>9000</v>
      </c>
    </row>
    <row r="1814" spans="1:12" ht="15" customHeight="1">
      <c r="A1814" t="s">
        <v>7108</v>
      </c>
      <c r="B1814" t="s">
        <v>4224</v>
      </c>
      <c r="C1814" t="s">
        <v>12</v>
      </c>
      <c r="D1814" t="s">
        <v>4225</v>
      </c>
      <c r="E1814" t="s">
        <v>1524</v>
      </c>
      <c r="F1814" t="s">
        <v>14</v>
      </c>
      <c r="G1814" t="s">
        <v>18</v>
      </c>
      <c r="I1814">
        <v>1740000</v>
      </c>
      <c r="J1814">
        <v>1460000</v>
      </c>
      <c r="K1814">
        <v>3819000</v>
      </c>
      <c r="L1814">
        <v>1459000</v>
      </c>
    </row>
    <row r="1815" spans="1:12" ht="15" customHeight="1">
      <c r="A1815" t="s">
        <v>7109</v>
      </c>
      <c r="B1815" t="s">
        <v>4226</v>
      </c>
      <c r="C1815" t="s">
        <v>12</v>
      </c>
      <c r="D1815" t="s">
        <v>4227</v>
      </c>
      <c r="E1815" t="s">
        <v>1532</v>
      </c>
      <c r="F1815" t="s">
        <v>14</v>
      </c>
      <c r="G1815" t="s">
        <v>18</v>
      </c>
      <c r="I1815">
        <v>10000</v>
      </c>
      <c r="J1815">
        <v>4000</v>
      </c>
      <c r="K1815">
        <v>10000</v>
      </c>
      <c r="L1815">
        <v>4000</v>
      </c>
    </row>
    <row r="1816" spans="1:12" ht="15" customHeight="1">
      <c r="A1816" t="s">
        <v>7110</v>
      </c>
      <c r="B1816" t="s">
        <v>4228</v>
      </c>
      <c r="C1816" t="s">
        <v>12</v>
      </c>
      <c r="D1816" t="s">
        <v>4229</v>
      </c>
      <c r="E1816" t="s">
        <v>1504</v>
      </c>
      <c r="F1816" t="s">
        <v>14</v>
      </c>
      <c r="G1816" t="s">
        <v>18</v>
      </c>
      <c r="I1816">
        <v>155000</v>
      </c>
      <c r="J1816">
        <v>178000</v>
      </c>
      <c r="K1816">
        <v>197000</v>
      </c>
      <c r="L1816">
        <v>196000</v>
      </c>
    </row>
    <row r="1817" spans="1:12" ht="15" customHeight="1">
      <c r="A1817" t="s">
        <v>7111</v>
      </c>
      <c r="B1817" t="s">
        <v>4230</v>
      </c>
      <c r="C1817" t="s">
        <v>12</v>
      </c>
      <c r="D1817" t="s">
        <v>4231</v>
      </c>
      <c r="E1817" t="s">
        <v>1532</v>
      </c>
      <c r="F1817" t="s">
        <v>25</v>
      </c>
      <c r="G1817" t="s">
        <v>18</v>
      </c>
      <c r="J1817">
        <v>350000</v>
      </c>
      <c r="L1817">
        <v>347000</v>
      </c>
    </row>
    <row r="1818" spans="1:12" ht="15" customHeight="1">
      <c r="A1818" t="s">
        <v>7112</v>
      </c>
      <c r="B1818" t="s">
        <v>4232</v>
      </c>
      <c r="C1818" t="s">
        <v>12</v>
      </c>
      <c r="D1818" t="s">
        <v>4233</v>
      </c>
      <c r="E1818" t="s">
        <v>1595</v>
      </c>
      <c r="F1818" t="s">
        <v>14</v>
      </c>
      <c r="G1818" t="s">
        <v>18</v>
      </c>
    </row>
    <row r="1819" spans="1:12" ht="15" customHeight="1">
      <c r="A1819" t="s">
        <v>7113</v>
      </c>
      <c r="B1819" t="s">
        <v>4234</v>
      </c>
      <c r="C1819" t="s">
        <v>12</v>
      </c>
      <c r="D1819" t="s">
        <v>4235</v>
      </c>
      <c r="E1819" t="s">
        <v>1565</v>
      </c>
      <c r="F1819" t="s">
        <v>14</v>
      </c>
      <c r="G1819" t="s">
        <v>18</v>
      </c>
      <c r="I1819">
        <v>926000</v>
      </c>
      <c r="J1819">
        <v>3178000</v>
      </c>
      <c r="K1819">
        <v>894000</v>
      </c>
      <c r="L1819">
        <v>3210000</v>
      </c>
    </row>
    <row r="1820" spans="1:12" ht="15" customHeight="1">
      <c r="A1820" t="s">
        <v>7114</v>
      </c>
      <c r="B1820" t="s">
        <v>4236</v>
      </c>
      <c r="C1820" t="s">
        <v>12</v>
      </c>
      <c r="D1820" t="s">
        <v>4237</v>
      </c>
      <c r="E1820" t="s">
        <v>1532</v>
      </c>
      <c r="F1820" t="s">
        <v>14</v>
      </c>
      <c r="G1820" t="s">
        <v>18</v>
      </c>
    </row>
    <row r="1821" spans="1:12" ht="15" customHeight="1">
      <c r="A1821" t="s">
        <v>7115</v>
      </c>
      <c r="B1821" t="s">
        <v>4238</v>
      </c>
      <c r="C1821" t="s">
        <v>12</v>
      </c>
      <c r="D1821" t="s">
        <v>4239</v>
      </c>
      <c r="E1821" t="s">
        <v>1680</v>
      </c>
      <c r="F1821" t="s">
        <v>14</v>
      </c>
      <c r="G1821" t="s">
        <v>18</v>
      </c>
      <c r="I1821">
        <v>418000</v>
      </c>
      <c r="J1821">
        <v>237000</v>
      </c>
      <c r="K1821">
        <v>392000</v>
      </c>
      <c r="L1821">
        <v>292000</v>
      </c>
    </row>
    <row r="1822" spans="1:12" ht="15" customHeight="1">
      <c r="A1822" t="s">
        <v>7116</v>
      </c>
      <c r="B1822" t="s">
        <v>4240</v>
      </c>
      <c r="C1822" t="s">
        <v>12</v>
      </c>
      <c r="D1822" t="s">
        <v>4241</v>
      </c>
      <c r="E1822" t="s">
        <v>1560</v>
      </c>
      <c r="F1822" t="s">
        <v>25</v>
      </c>
      <c r="G1822" t="s">
        <v>18</v>
      </c>
      <c r="I1822">
        <v>584000</v>
      </c>
      <c r="J1822">
        <v>328000</v>
      </c>
      <c r="K1822">
        <v>578000</v>
      </c>
      <c r="L1822">
        <v>296000</v>
      </c>
    </row>
    <row r="1823" spans="1:12" ht="15" customHeight="1">
      <c r="A1823" t="s">
        <v>7117</v>
      </c>
      <c r="B1823" t="s">
        <v>4242</v>
      </c>
      <c r="C1823" t="s">
        <v>12</v>
      </c>
      <c r="D1823" t="s">
        <v>4243</v>
      </c>
      <c r="E1823" t="s">
        <v>1776</v>
      </c>
      <c r="F1823" t="s">
        <v>14</v>
      </c>
      <c r="G1823" t="s">
        <v>18</v>
      </c>
      <c r="I1823">
        <v>41000</v>
      </c>
      <c r="K1823">
        <v>73000</v>
      </c>
    </row>
    <row r="1824" spans="1:12" ht="15" customHeight="1">
      <c r="A1824" t="s">
        <v>7118</v>
      </c>
      <c r="B1824" t="s">
        <v>4244</v>
      </c>
      <c r="C1824" t="s">
        <v>12</v>
      </c>
      <c r="D1824" t="s">
        <v>4245</v>
      </c>
      <c r="E1824" t="s">
        <v>1881</v>
      </c>
      <c r="F1824" t="s">
        <v>14</v>
      </c>
      <c r="G1824" t="s">
        <v>18</v>
      </c>
      <c r="I1824">
        <v>785000</v>
      </c>
      <c r="J1824">
        <v>121000</v>
      </c>
      <c r="K1824">
        <v>778000</v>
      </c>
      <c r="L1824">
        <v>118000</v>
      </c>
    </row>
    <row r="1825" spans="1:12" ht="15" customHeight="1">
      <c r="A1825" t="s">
        <v>7119</v>
      </c>
      <c r="B1825" t="s">
        <v>4246</v>
      </c>
      <c r="C1825" t="s">
        <v>12</v>
      </c>
      <c r="D1825" t="s">
        <v>4247</v>
      </c>
      <c r="E1825" t="s">
        <v>1535</v>
      </c>
      <c r="F1825" t="s">
        <v>14</v>
      </c>
      <c r="G1825" t="s">
        <v>18</v>
      </c>
      <c r="I1825">
        <v>6440000</v>
      </c>
      <c r="J1825">
        <v>5765000</v>
      </c>
      <c r="K1825">
        <v>3747000</v>
      </c>
      <c r="L1825">
        <v>7212000</v>
      </c>
    </row>
    <row r="1826" spans="1:12" ht="15" customHeight="1">
      <c r="A1826" t="s">
        <v>7120</v>
      </c>
      <c r="B1826" t="s">
        <v>4248</v>
      </c>
      <c r="C1826" t="s">
        <v>12</v>
      </c>
      <c r="D1826" t="s">
        <v>4249</v>
      </c>
      <c r="E1826" t="s">
        <v>1504</v>
      </c>
      <c r="F1826" t="s">
        <v>14</v>
      </c>
      <c r="G1826" t="s">
        <v>18</v>
      </c>
      <c r="I1826">
        <v>2497000</v>
      </c>
      <c r="J1826">
        <v>4527000</v>
      </c>
      <c r="K1826">
        <v>1698000</v>
      </c>
      <c r="L1826">
        <v>4504000</v>
      </c>
    </row>
    <row r="1827" spans="1:12" ht="15" customHeight="1">
      <c r="A1827" t="s">
        <v>7121</v>
      </c>
      <c r="B1827" t="s">
        <v>4250</v>
      </c>
      <c r="C1827" t="s">
        <v>12</v>
      </c>
      <c r="D1827" t="s">
        <v>4251</v>
      </c>
      <c r="E1827" t="s">
        <v>1526</v>
      </c>
      <c r="F1827" t="s">
        <v>14</v>
      </c>
      <c r="G1827" t="s">
        <v>77</v>
      </c>
    </row>
    <row r="1828" spans="1:12" ht="15" customHeight="1">
      <c r="A1828" t="s">
        <v>7122</v>
      </c>
      <c r="B1828" t="s">
        <v>4252</v>
      </c>
      <c r="C1828" t="s">
        <v>12</v>
      </c>
      <c r="D1828" t="s">
        <v>4253</v>
      </c>
      <c r="E1828" t="s">
        <v>1532</v>
      </c>
      <c r="F1828" t="s">
        <v>14</v>
      </c>
      <c r="G1828" t="s">
        <v>18</v>
      </c>
      <c r="I1828">
        <v>1022000</v>
      </c>
      <c r="J1828">
        <v>1552000</v>
      </c>
      <c r="K1828">
        <v>929000</v>
      </c>
      <c r="L1828">
        <v>1696000</v>
      </c>
    </row>
    <row r="1829" spans="1:12" ht="15" customHeight="1">
      <c r="A1829" t="s">
        <v>7123</v>
      </c>
      <c r="B1829" t="s">
        <v>4254</v>
      </c>
      <c r="C1829" t="s">
        <v>12</v>
      </c>
      <c r="D1829" t="s">
        <v>4255</v>
      </c>
      <c r="E1829" t="s">
        <v>1754</v>
      </c>
      <c r="F1829" t="s">
        <v>14</v>
      </c>
      <c r="G1829" t="s">
        <v>18</v>
      </c>
      <c r="I1829">
        <v>1936000</v>
      </c>
      <c r="J1829">
        <v>1728000</v>
      </c>
      <c r="K1829">
        <v>1919000</v>
      </c>
      <c r="L1829">
        <v>1694000</v>
      </c>
    </row>
    <row r="1830" spans="1:12" ht="15" customHeight="1">
      <c r="A1830" t="s">
        <v>7124</v>
      </c>
      <c r="B1830" t="s">
        <v>4256</v>
      </c>
      <c r="C1830" t="s">
        <v>12</v>
      </c>
      <c r="D1830" t="s">
        <v>4257</v>
      </c>
      <c r="E1830" t="s">
        <v>1532</v>
      </c>
      <c r="F1830" t="s">
        <v>14</v>
      </c>
      <c r="G1830" t="s">
        <v>18</v>
      </c>
      <c r="I1830">
        <v>463287</v>
      </c>
      <c r="J1830">
        <v>3125000</v>
      </c>
      <c r="K1830">
        <v>299175</v>
      </c>
      <c r="L1830">
        <v>2323000</v>
      </c>
    </row>
    <row r="1831" spans="1:12" ht="15" customHeight="1">
      <c r="A1831" t="s">
        <v>7125</v>
      </c>
      <c r="B1831" t="s">
        <v>4258</v>
      </c>
      <c r="C1831" t="s">
        <v>12</v>
      </c>
      <c r="D1831" t="s">
        <v>4259</v>
      </c>
      <c r="E1831" t="s">
        <v>1526</v>
      </c>
      <c r="F1831" t="s">
        <v>14</v>
      </c>
      <c r="G1831" t="s">
        <v>18</v>
      </c>
      <c r="I1831">
        <v>1177000</v>
      </c>
      <c r="J1831">
        <v>2381000</v>
      </c>
      <c r="K1831">
        <v>1191000</v>
      </c>
      <c r="L1831">
        <v>2365000</v>
      </c>
    </row>
    <row r="1832" spans="1:12" ht="15" customHeight="1">
      <c r="A1832" t="s">
        <v>7126</v>
      </c>
      <c r="B1832" t="s">
        <v>4260</v>
      </c>
      <c r="C1832" t="s">
        <v>12</v>
      </c>
      <c r="D1832" t="s">
        <v>4261</v>
      </c>
      <c r="E1832" t="s">
        <v>1646</v>
      </c>
      <c r="F1832" t="s">
        <v>25</v>
      </c>
      <c r="G1832" t="s">
        <v>18</v>
      </c>
    </row>
    <row r="1833" spans="1:12" ht="15" customHeight="1">
      <c r="A1833" t="s">
        <v>7127</v>
      </c>
      <c r="B1833" t="s">
        <v>4262</v>
      </c>
      <c r="C1833" t="s">
        <v>12</v>
      </c>
      <c r="D1833" t="s">
        <v>4263</v>
      </c>
      <c r="E1833" t="s">
        <v>1605</v>
      </c>
      <c r="F1833" t="s">
        <v>14</v>
      </c>
      <c r="G1833" t="s">
        <v>18</v>
      </c>
      <c r="I1833">
        <v>1638000</v>
      </c>
      <c r="J1833">
        <v>2080000</v>
      </c>
      <c r="K1833">
        <v>1638000</v>
      </c>
      <c r="L1833">
        <v>1810000</v>
      </c>
    </row>
    <row r="1834" spans="1:12" ht="15" customHeight="1">
      <c r="A1834" t="s">
        <v>7128</v>
      </c>
      <c r="B1834" t="s">
        <v>4264</v>
      </c>
      <c r="C1834" t="s">
        <v>12</v>
      </c>
      <c r="D1834" t="s">
        <v>4265</v>
      </c>
      <c r="E1834" t="s">
        <v>1520</v>
      </c>
      <c r="F1834" t="s">
        <v>14</v>
      </c>
      <c r="G1834" t="s">
        <v>18</v>
      </c>
      <c r="I1834">
        <v>138000</v>
      </c>
      <c r="J1834">
        <v>82000</v>
      </c>
      <c r="K1834">
        <v>89000</v>
      </c>
      <c r="L1834">
        <v>82000</v>
      </c>
    </row>
    <row r="1835" spans="1:12" ht="15" customHeight="1">
      <c r="A1835" t="s">
        <v>7129</v>
      </c>
      <c r="B1835" t="s">
        <v>4266</v>
      </c>
      <c r="C1835" t="s">
        <v>12</v>
      </c>
      <c r="D1835" t="s">
        <v>4267</v>
      </c>
      <c r="E1835" t="s">
        <v>1532</v>
      </c>
      <c r="F1835" t="s">
        <v>25</v>
      </c>
      <c r="G1835" t="s">
        <v>18</v>
      </c>
      <c r="J1835">
        <v>48000</v>
      </c>
    </row>
    <row r="1836" spans="1:12" ht="15" customHeight="1">
      <c r="A1836" t="s">
        <v>7130</v>
      </c>
      <c r="B1836" t="s">
        <v>4268</v>
      </c>
      <c r="C1836" t="s">
        <v>12</v>
      </c>
      <c r="D1836" t="s">
        <v>4269</v>
      </c>
      <c r="E1836" t="s">
        <v>1520</v>
      </c>
      <c r="F1836" t="s">
        <v>14</v>
      </c>
      <c r="G1836" t="s">
        <v>18</v>
      </c>
      <c r="I1836">
        <v>2327000</v>
      </c>
      <c r="J1836">
        <v>1595000</v>
      </c>
      <c r="K1836">
        <v>995000</v>
      </c>
      <c r="L1836">
        <v>1302000</v>
      </c>
    </row>
    <row r="1837" spans="1:12" ht="15" customHeight="1">
      <c r="A1837" t="s">
        <v>7131</v>
      </c>
      <c r="B1837" t="s">
        <v>4270</v>
      </c>
      <c r="C1837" t="s">
        <v>12</v>
      </c>
      <c r="D1837" t="s">
        <v>4271</v>
      </c>
      <c r="E1837" t="s">
        <v>1532</v>
      </c>
      <c r="F1837" t="s">
        <v>14</v>
      </c>
      <c r="G1837" t="s">
        <v>18</v>
      </c>
      <c r="J1837">
        <v>3465000</v>
      </c>
      <c r="L1837">
        <v>3471000</v>
      </c>
    </row>
    <row r="1838" spans="1:12" ht="15" customHeight="1">
      <c r="A1838" t="s">
        <v>7132</v>
      </c>
      <c r="B1838" t="s">
        <v>4272</v>
      </c>
      <c r="C1838" t="s">
        <v>12</v>
      </c>
      <c r="D1838" t="s">
        <v>4273</v>
      </c>
      <c r="E1838" t="s">
        <v>1521</v>
      </c>
      <c r="F1838" t="s">
        <v>14</v>
      </c>
      <c r="G1838" t="s">
        <v>18</v>
      </c>
    </row>
    <row r="1839" spans="1:12" ht="15" customHeight="1">
      <c r="A1839" t="s">
        <v>7133</v>
      </c>
      <c r="B1839" t="s">
        <v>4274</v>
      </c>
      <c r="C1839" t="s">
        <v>12</v>
      </c>
      <c r="D1839" t="s">
        <v>4275</v>
      </c>
      <c r="E1839" t="s">
        <v>1519</v>
      </c>
      <c r="F1839" t="s">
        <v>14</v>
      </c>
      <c r="G1839" t="s">
        <v>18</v>
      </c>
      <c r="L1839">
        <v>29000</v>
      </c>
    </row>
    <row r="1840" spans="1:12" ht="15" customHeight="1">
      <c r="A1840" t="s">
        <v>7133</v>
      </c>
      <c r="B1840" t="s">
        <v>4276</v>
      </c>
      <c r="C1840" t="s">
        <v>12</v>
      </c>
      <c r="D1840" t="s">
        <v>4277</v>
      </c>
      <c r="E1840" t="s">
        <v>1868</v>
      </c>
      <c r="F1840" t="s">
        <v>14</v>
      </c>
      <c r="G1840" t="s">
        <v>18</v>
      </c>
      <c r="I1840">
        <v>6351000</v>
      </c>
      <c r="J1840">
        <v>4189000</v>
      </c>
      <c r="K1840">
        <v>6385000</v>
      </c>
      <c r="L1840">
        <v>4177000</v>
      </c>
    </row>
    <row r="1841" spans="1:12" ht="15" customHeight="1">
      <c r="A1841" t="s">
        <v>7134</v>
      </c>
      <c r="B1841" t="s">
        <v>4278</v>
      </c>
      <c r="C1841" t="s">
        <v>12</v>
      </c>
      <c r="D1841" t="s">
        <v>4279</v>
      </c>
      <c r="E1841" t="s">
        <v>1629</v>
      </c>
      <c r="F1841" t="s">
        <v>14</v>
      </c>
      <c r="G1841" t="s">
        <v>18</v>
      </c>
      <c r="I1841">
        <v>576000</v>
      </c>
      <c r="J1841">
        <v>735000</v>
      </c>
      <c r="K1841">
        <v>687000</v>
      </c>
      <c r="L1841">
        <v>716000</v>
      </c>
    </row>
    <row r="1842" spans="1:12" ht="15" customHeight="1">
      <c r="A1842" t="s">
        <v>7135</v>
      </c>
      <c r="B1842" t="s">
        <v>4280</v>
      </c>
      <c r="C1842" t="s">
        <v>12</v>
      </c>
      <c r="D1842" t="s">
        <v>4281</v>
      </c>
      <c r="E1842" t="s">
        <v>1525</v>
      </c>
      <c r="F1842" t="s">
        <v>14</v>
      </c>
      <c r="G1842" t="s">
        <v>18</v>
      </c>
    </row>
    <row r="1843" spans="1:12" ht="15" customHeight="1">
      <c r="A1843" t="s">
        <v>7136</v>
      </c>
      <c r="B1843" t="s">
        <v>4282</v>
      </c>
      <c r="C1843" t="s">
        <v>12</v>
      </c>
      <c r="D1843" t="s">
        <v>4283</v>
      </c>
      <c r="E1843" t="s">
        <v>1508</v>
      </c>
      <c r="F1843" t="s">
        <v>14</v>
      </c>
      <c r="G1843" t="s">
        <v>18</v>
      </c>
      <c r="K1843">
        <v>1000</v>
      </c>
      <c r="L1843">
        <v>1000</v>
      </c>
    </row>
    <row r="1844" spans="1:12" ht="15" customHeight="1">
      <c r="A1844" t="s">
        <v>7137</v>
      </c>
      <c r="B1844" t="s">
        <v>4284</v>
      </c>
      <c r="C1844" t="s">
        <v>12</v>
      </c>
      <c r="D1844" t="s">
        <v>4285</v>
      </c>
      <c r="E1844" t="s">
        <v>1532</v>
      </c>
      <c r="F1844" t="s">
        <v>14</v>
      </c>
      <c r="G1844" t="s">
        <v>18</v>
      </c>
    </row>
    <row r="1845" spans="1:12" ht="15" customHeight="1">
      <c r="A1845" t="s">
        <v>7138</v>
      </c>
      <c r="B1845" t="s">
        <v>4286</v>
      </c>
      <c r="C1845" t="s">
        <v>12</v>
      </c>
      <c r="D1845" t="s">
        <v>4287</v>
      </c>
      <c r="E1845" t="s">
        <v>1532</v>
      </c>
      <c r="F1845" t="s">
        <v>25</v>
      </c>
      <c r="G1845" t="s">
        <v>18</v>
      </c>
    </row>
    <row r="1846" spans="1:12" ht="15" customHeight="1">
      <c r="A1846" t="s">
        <v>7139</v>
      </c>
      <c r="B1846" t="s">
        <v>4288</v>
      </c>
      <c r="C1846" t="s">
        <v>12</v>
      </c>
      <c r="D1846" t="s">
        <v>4289</v>
      </c>
      <c r="E1846" t="s">
        <v>1620</v>
      </c>
      <c r="F1846" t="s">
        <v>25</v>
      </c>
      <c r="G1846" t="s">
        <v>18</v>
      </c>
      <c r="J1846">
        <v>40000</v>
      </c>
      <c r="K1846">
        <v>37000</v>
      </c>
      <c r="L1846">
        <v>34000</v>
      </c>
    </row>
    <row r="1847" spans="1:12" ht="15" customHeight="1">
      <c r="A1847" t="s">
        <v>7140</v>
      </c>
      <c r="B1847" t="s">
        <v>4290</v>
      </c>
      <c r="C1847" t="s">
        <v>12</v>
      </c>
      <c r="D1847" t="s">
        <v>4291</v>
      </c>
      <c r="E1847" t="s">
        <v>1509</v>
      </c>
      <c r="F1847" t="s">
        <v>14</v>
      </c>
      <c r="G1847" t="s">
        <v>18</v>
      </c>
      <c r="I1847">
        <v>1962000</v>
      </c>
      <c r="J1847">
        <v>1140000</v>
      </c>
      <c r="K1847">
        <v>1796000</v>
      </c>
      <c r="L1847">
        <v>1093000</v>
      </c>
    </row>
    <row r="1848" spans="1:12" ht="15" customHeight="1">
      <c r="A1848" t="s">
        <v>7141</v>
      </c>
      <c r="B1848" t="s">
        <v>4292</v>
      </c>
      <c r="C1848" t="s">
        <v>12</v>
      </c>
      <c r="D1848" t="s">
        <v>4293</v>
      </c>
      <c r="E1848" t="s">
        <v>1580</v>
      </c>
      <c r="F1848" t="s">
        <v>14</v>
      </c>
      <c r="G1848" t="s">
        <v>18</v>
      </c>
    </row>
    <row r="1849" spans="1:12" ht="15" customHeight="1">
      <c r="A1849" t="s">
        <v>7142</v>
      </c>
      <c r="B1849" t="s">
        <v>4294</v>
      </c>
      <c r="C1849" t="s">
        <v>12</v>
      </c>
      <c r="D1849" t="s">
        <v>4295</v>
      </c>
      <c r="E1849" t="s">
        <v>1508</v>
      </c>
      <c r="F1849" t="s">
        <v>14</v>
      </c>
      <c r="G1849" t="s">
        <v>18</v>
      </c>
    </row>
    <row r="1850" spans="1:12" ht="15" customHeight="1">
      <c r="A1850" t="s">
        <v>7143</v>
      </c>
      <c r="B1850" t="s">
        <v>4296</v>
      </c>
      <c r="C1850" t="s">
        <v>12</v>
      </c>
      <c r="D1850" t="s">
        <v>4297</v>
      </c>
      <c r="E1850" t="s">
        <v>1524</v>
      </c>
      <c r="F1850" t="s">
        <v>14</v>
      </c>
      <c r="G1850" t="s">
        <v>18</v>
      </c>
      <c r="I1850">
        <v>941000</v>
      </c>
      <c r="J1850">
        <v>1017000</v>
      </c>
      <c r="K1850">
        <v>1112000</v>
      </c>
      <c r="L1850">
        <v>453000</v>
      </c>
    </row>
    <row r="1851" spans="1:12" ht="15" customHeight="1">
      <c r="A1851" t="s">
        <v>7144</v>
      </c>
      <c r="B1851" t="s">
        <v>4298</v>
      </c>
      <c r="C1851" t="s">
        <v>12</v>
      </c>
      <c r="D1851" t="s">
        <v>4299</v>
      </c>
      <c r="E1851" t="s">
        <v>1560</v>
      </c>
      <c r="F1851" t="s">
        <v>25</v>
      </c>
      <c r="G1851" t="s">
        <v>18</v>
      </c>
    </row>
    <row r="1852" spans="1:12" ht="15" customHeight="1">
      <c r="A1852" t="s">
        <v>7145</v>
      </c>
      <c r="B1852" t="s">
        <v>4300</v>
      </c>
      <c r="C1852" t="s">
        <v>12</v>
      </c>
      <c r="D1852" t="s">
        <v>4301</v>
      </c>
      <c r="E1852" t="s">
        <v>1781</v>
      </c>
      <c r="F1852" t="s">
        <v>25</v>
      </c>
      <c r="G1852" t="s">
        <v>18</v>
      </c>
      <c r="I1852">
        <v>870000</v>
      </c>
      <c r="J1852">
        <v>2220000</v>
      </c>
      <c r="K1852">
        <v>532000</v>
      </c>
      <c r="L1852">
        <v>2184000</v>
      </c>
    </row>
    <row r="1853" spans="1:12" ht="15" customHeight="1">
      <c r="A1853" t="s">
        <v>7146</v>
      </c>
      <c r="B1853" t="s">
        <v>4302</v>
      </c>
      <c r="C1853" t="s">
        <v>12</v>
      </c>
      <c r="D1853" t="s">
        <v>4303</v>
      </c>
      <c r="E1853" t="s">
        <v>1508</v>
      </c>
      <c r="F1853" t="s">
        <v>25</v>
      </c>
      <c r="G1853" t="s">
        <v>18</v>
      </c>
      <c r="I1853">
        <v>300000</v>
      </c>
      <c r="J1853">
        <v>650000</v>
      </c>
      <c r="K1853">
        <v>175000</v>
      </c>
      <c r="L1853">
        <v>353000</v>
      </c>
    </row>
    <row r="1854" spans="1:12" ht="15" customHeight="1">
      <c r="A1854" t="s">
        <v>7147</v>
      </c>
      <c r="B1854" t="s">
        <v>4304</v>
      </c>
      <c r="C1854" t="s">
        <v>12</v>
      </c>
      <c r="D1854" t="s">
        <v>4305</v>
      </c>
      <c r="E1854" t="s">
        <v>1646</v>
      </c>
      <c r="F1854" t="s">
        <v>14</v>
      </c>
      <c r="G1854" t="s">
        <v>18</v>
      </c>
      <c r="I1854">
        <v>1190000</v>
      </c>
      <c r="J1854">
        <v>928000</v>
      </c>
      <c r="K1854">
        <v>752000</v>
      </c>
      <c r="L1854">
        <v>695000</v>
      </c>
    </row>
    <row r="1855" spans="1:12" ht="15" customHeight="1">
      <c r="A1855" t="s">
        <v>7148</v>
      </c>
      <c r="B1855" t="s">
        <v>4306</v>
      </c>
      <c r="C1855" t="s">
        <v>12</v>
      </c>
      <c r="D1855" t="s">
        <v>4307</v>
      </c>
      <c r="E1855" t="s">
        <v>1820</v>
      </c>
      <c r="F1855" t="s">
        <v>14</v>
      </c>
      <c r="G1855" t="s">
        <v>18</v>
      </c>
      <c r="I1855">
        <v>2300000</v>
      </c>
      <c r="J1855">
        <v>2300000</v>
      </c>
      <c r="K1855">
        <v>2249000</v>
      </c>
      <c r="L1855">
        <v>2249000</v>
      </c>
    </row>
    <row r="1856" spans="1:12" ht="15" customHeight="1">
      <c r="A1856" t="s">
        <v>7149</v>
      </c>
      <c r="B1856" t="s">
        <v>4308</v>
      </c>
      <c r="C1856" t="s">
        <v>12</v>
      </c>
      <c r="D1856" t="s">
        <v>4309</v>
      </c>
      <c r="E1856" t="s">
        <v>1532</v>
      </c>
      <c r="F1856" t="s">
        <v>14</v>
      </c>
      <c r="G1856" t="s">
        <v>18</v>
      </c>
      <c r="J1856">
        <v>387000</v>
      </c>
      <c r="L1856">
        <v>385000</v>
      </c>
    </row>
    <row r="1857" spans="1:12" ht="15" customHeight="1">
      <c r="A1857" t="s">
        <v>7150</v>
      </c>
      <c r="B1857" t="s">
        <v>4310</v>
      </c>
      <c r="C1857" t="s">
        <v>12</v>
      </c>
      <c r="D1857" t="s">
        <v>4311</v>
      </c>
      <c r="E1857" t="s">
        <v>1512</v>
      </c>
      <c r="F1857" t="s">
        <v>14</v>
      </c>
      <c r="G1857" t="s">
        <v>18</v>
      </c>
      <c r="I1857">
        <v>845000</v>
      </c>
      <c r="J1857">
        <v>805000</v>
      </c>
      <c r="K1857">
        <v>845000</v>
      </c>
      <c r="L1857">
        <v>805000</v>
      </c>
    </row>
    <row r="1858" spans="1:12" ht="15" customHeight="1">
      <c r="A1858" t="s">
        <v>7152</v>
      </c>
      <c r="B1858" t="s">
        <v>4312</v>
      </c>
      <c r="C1858" t="s">
        <v>12</v>
      </c>
      <c r="D1858" t="s">
        <v>4313</v>
      </c>
      <c r="E1858" t="s">
        <v>1737</v>
      </c>
      <c r="F1858" t="s">
        <v>14</v>
      </c>
      <c r="G1858" t="s">
        <v>18</v>
      </c>
      <c r="I1858">
        <v>3511000</v>
      </c>
      <c r="J1858">
        <v>1903000</v>
      </c>
      <c r="K1858">
        <v>3511000</v>
      </c>
      <c r="L1858">
        <v>1903000</v>
      </c>
    </row>
    <row r="1859" spans="1:12" ht="15" customHeight="1">
      <c r="A1859" t="s">
        <v>7151</v>
      </c>
      <c r="B1859" t="s">
        <v>4314</v>
      </c>
      <c r="C1859" t="s">
        <v>12</v>
      </c>
      <c r="D1859" t="s">
        <v>4315</v>
      </c>
      <c r="E1859" t="s">
        <v>1801</v>
      </c>
      <c r="F1859" t="s">
        <v>14</v>
      </c>
      <c r="G1859" t="s">
        <v>18</v>
      </c>
      <c r="I1859">
        <v>22450000</v>
      </c>
      <c r="J1859">
        <v>2772000</v>
      </c>
      <c r="K1859">
        <v>280593000</v>
      </c>
      <c r="L1859">
        <v>12301000</v>
      </c>
    </row>
    <row r="1860" spans="1:12" ht="15" customHeight="1">
      <c r="A1860" t="s">
        <v>7153</v>
      </c>
      <c r="B1860" t="s">
        <v>4316</v>
      </c>
      <c r="C1860" t="s">
        <v>12</v>
      </c>
      <c r="D1860" t="s">
        <v>4317</v>
      </c>
      <c r="E1860" t="s">
        <v>1505</v>
      </c>
      <c r="F1860" t="s">
        <v>14</v>
      </c>
      <c r="G1860" t="s">
        <v>18</v>
      </c>
      <c r="I1860">
        <v>425000</v>
      </c>
      <c r="J1860">
        <v>672000</v>
      </c>
      <c r="K1860">
        <v>440000</v>
      </c>
      <c r="L1860">
        <v>672000</v>
      </c>
    </row>
    <row r="1861" spans="1:12" ht="15" customHeight="1">
      <c r="A1861" t="s">
        <v>7154</v>
      </c>
      <c r="B1861" t="s">
        <v>4318</v>
      </c>
      <c r="C1861" t="s">
        <v>12</v>
      </c>
      <c r="D1861" t="s">
        <v>4319</v>
      </c>
      <c r="E1861" t="s">
        <v>1532</v>
      </c>
      <c r="F1861" t="s">
        <v>14</v>
      </c>
      <c r="G1861" t="s">
        <v>18</v>
      </c>
    </row>
    <row r="1862" spans="1:12" ht="15" customHeight="1">
      <c r="A1862" t="s">
        <v>7155</v>
      </c>
      <c r="B1862" t="s">
        <v>4320</v>
      </c>
      <c r="C1862" t="s">
        <v>12</v>
      </c>
      <c r="D1862" t="s">
        <v>4321</v>
      </c>
      <c r="E1862" t="s">
        <v>1642</v>
      </c>
      <c r="F1862" t="s">
        <v>14</v>
      </c>
      <c r="G1862" t="s">
        <v>18</v>
      </c>
      <c r="I1862">
        <v>723000</v>
      </c>
      <c r="J1862">
        <v>537000</v>
      </c>
      <c r="K1862">
        <v>723000</v>
      </c>
      <c r="L1862">
        <v>563000</v>
      </c>
    </row>
    <row r="1863" spans="1:12" ht="15" customHeight="1">
      <c r="A1863" t="s">
        <v>7156</v>
      </c>
      <c r="B1863" t="s">
        <v>4322</v>
      </c>
      <c r="C1863" t="s">
        <v>12</v>
      </c>
      <c r="D1863" t="s">
        <v>4323</v>
      </c>
      <c r="E1863" t="s">
        <v>1532</v>
      </c>
      <c r="F1863" t="s">
        <v>14</v>
      </c>
      <c r="G1863" t="s">
        <v>18</v>
      </c>
    </row>
    <row r="1864" spans="1:12" ht="15" customHeight="1">
      <c r="A1864" t="s">
        <v>7157</v>
      </c>
      <c r="B1864" t="s">
        <v>4324</v>
      </c>
      <c r="C1864" t="s">
        <v>12</v>
      </c>
      <c r="D1864" t="s">
        <v>4325</v>
      </c>
      <c r="E1864" t="s">
        <v>1533</v>
      </c>
      <c r="F1864" t="s">
        <v>14</v>
      </c>
      <c r="G1864" t="s">
        <v>18</v>
      </c>
      <c r="I1864">
        <v>5010000</v>
      </c>
      <c r="J1864">
        <v>6891000</v>
      </c>
      <c r="K1864">
        <v>4917000</v>
      </c>
      <c r="L1864">
        <v>6337000</v>
      </c>
    </row>
    <row r="1865" spans="1:12" ht="15" customHeight="1">
      <c r="A1865" t="s">
        <v>7158</v>
      </c>
      <c r="B1865" t="s">
        <v>4326</v>
      </c>
      <c r="C1865" t="s">
        <v>12</v>
      </c>
      <c r="D1865" t="s">
        <v>4327</v>
      </c>
      <c r="E1865" t="s">
        <v>1532</v>
      </c>
      <c r="F1865" t="s">
        <v>14</v>
      </c>
      <c r="G1865" t="s">
        <v>18</v>
      </c>
    </row>
    <row r="1866" spans="1:12" ht="15" customHeight="1">
      <c r="A1866" t="s">
        <v>7159</v>
      </c>
      <c r="B1866" t="s">
        <v>4328</v>
      </c>
      <c r="C1866" t="s">
        <v>12</v>
      </c>
      <c r="D1866" t="s">
        <v>4329</v>
      </c>
      <c r="E1866" t="s">
        <v>1532</v>
      </c>
      <c r="F1866" t="s">
        <v>14</v>
      </c>
      <c r="G1866" t="s">
        <v>18</v>
      </c>
      <c r="J1866">
        <v>771000</v>
      </c>
      <c r="L1866">
        <v>615000</v>
      </c>
    </row>
    <row r="1867" spans="1:12" ht="15" customHeight="1">
      <c r="A1867" t="s">
        <v>7160</v>
      </c>
      <c r="B1867" t="s">
        <v>4330</v>
      </c>
      <c r="C1867" t="s">
        <v>12</v>
      </c>
      <c r="D1867" t="s">
        <v>4331</v>
      </c>
      <c r="E1867" t="s">
        <v>2430</v>
      </c>
      <c r="F1867" t="s">
        <v>25</v>
      </c>
      <c r="G1867" t="s">
        <v>18</v>
      </c>
      <c r="I1867">
        <v>82166000</v>
      </c>
      <c r="J1867">
        <v>100887000</v>
      </c>
      <c r="K1867">
        <v>82857000</v>
      </c>
      <c r="L1867">
        <v>101619000</v>
      </c>
    </row>
    <row r="1868" spans="1:12" ht="15" customHeight="1">
      <c r="A1868" t="s">
        <v>7161</v>
      </c>
      <c r="B1868" t="s">
        <v>4332</v>
      </c>
      <c r="C1868" t="s">
        <v>12</v>
      </c>
      <c r="D1868" t="s">
        <v>4333</v>
      </c>
      <c r="E1868" t="s">
        <v>1534</v>
      </c>
      <c r="F1868" t="s">
        <v>14</v>
      </c>
      <c r="G1868" t="s">
        <v>18</v>
      </c>
      <c r="I1868">
        <v>2018000</v>
      </c>
      <c r="J1868">
        <v>2099000</v>
      </c>
      <c r="K1868">
        <v>1942000</v>
      </c>
      <c r="L1868">
        <v>2104000</v>
      </c>
    </row>
    <row r="1869" spans="1:12" ht="15" customHeight="1">
      <c r="A1869" t="s">
        <v>7162</v>
      </c>
      <c r="B1869" t="s">
        <v>4334</v>
      </c>
      <c r="C1869" t="s">
        <v>12</v>
      </c>
      <c r="D1869" t="s">
        <v>4335</v>
      </c>
      <c r="E1869" t="s">
        <v>1512</v>
      </c>
      <c r="F1869" t="s">
        <v>14</v>
      </c>
      <c r="G1869" t="s">
        <v>18</v>
      </c>
      <c r="I1869">
        <v>1072000</v>
      </c>
      <c r="J1869">
        <v>835000</v>
      </c>
      <c r="K1869">
        <v>1072000</v>
      </c>
      <c r="L1869">
        <v>835000</v>
      </c>
    </row>
    <row r="1870" spans="1:12" ht="15" customHeight="1">
      <c r="A1870" t="s">
        <v>7163</v>
      </c>
      <c r="B1870" t="s">
        <v>4336</v>
      </c>
      <c r="C1870" t="s">
        <v>12</v>
      </c>
      <c r="D1870" t="s">
        <v>4337</v>
      </c>
      <c r="E1870" t="s">
        <v>1618</v>
      </c>
      <c r="F1870" t="s">
        <v>14</v>
      </c>
      <c r="G1870" t="s">
        <v>18</v>
      </c>
    </row>
    <row r="1871" spans="1:12" ht="15" customHeight="1">
      <c r="A1871" t="s">
        <v>7164</v>
      </c>
      <c r="B1871" t="s">
        <v>4338</v>
      </c>
      <c r="C1871" t="s">
        <v>12</v>
      </c>
      <c r="D1871" t="s">
        <v>4339</v>
      </c>
      <c r="E1871" t="s">
        <v>1575</v>
      </c>
      <c r="F1871" t="s">
        <v>14</v>
      </c>
      <c r="G1871" t="s">
        <v>18</v>
      </c>
    </row>
    <row r="1872" spans="1:12" ht="15" customHeight="1">
      <c r="A1872" t="s">
        <v>7165</v>
      </c>
      <c r="B1872" t="s">
        <v>4340</v>
      </c>
      <c r="C1872" t="s">
        <v>12</v>
      </c>
      <c r="D1872" t="s">
        <v>4341</v>
      </c>
      <c r="E1872" t="s">
        <v>1585</v>
      </c>
      <c r="F1872" t="s">
        <v>14</v>
      </c>
      <c r="G1872" t="s">
        <v>18</v>
      </c>
    </row>
    <row r="1873" spans="1:12" ht="15" customHeight="1">
      <c r="A1873" t="s">
        <v>7166</v>
      </c>
      <c r="B1873" t="s">
        <v>4342</v>
      </c>
      <c r="C1873" t="s">
        <v>12</v>
      </c>
      <c r="D1873" t="s">
        <v>4343</v>
      </c>
      <c r="E1873" t="s">
        <v>1754</v>
      </c>
      <c r="F1873" t="s">
        <v>14</v>
      </c>
      <c r="G1873" t="s">
        <v>18</v>
      </c>
      <c r="I1873">
        <v>50000</v>
      </c>
      <c r="J1873">
        <v>73000</v>
      </c>
      <c r="K1873">
        <v>43000</v>
      </c>
      <c r="L1873">
        <v>83000</v>
      </c>
    </row>
    <row r="1874" spans="1:12" ht="15" customHeight="1">
      <c r="A1874" t="s">
        <v>7167</v>
      </c>
      <c r="B1874" t="s">
        <v>4344</v>
      </c>
      <c r="C1874" t="s">
        <v>12</v>
      </c>
      <c r="D1874" t="s">
        <v>4345</v>
      </c>
      <c r="E1874" t="s">
        <v>1532</v>
      </c>
      <c r="F1874" t="s">
        <v>14</v>
      </c>
      <c r="G1874" t="s">
        <v>18</v>
      </c>
      <c r="I1874">
        <v>11435000</v>
      </c>
      <c r="J1874">
        <v>11736000</v>
      </c>
      <c r="K1874">
        <v>11255000</v>
      </c>
      <c r="L1874">
        <v>12720000</v>
      </c>
    </row>
    <row r="1875" spans="1:12" ht="15" customHeight="1">
      <c r="A1875" t="s">
        <v>7168</v>
      </c>
      <c r="B1875" t="s">
        <v>4346</v>
      </c>
      <c r="C1875" t="s">
        <v>12</v>
      </c>
      <c r="D1875" t="s">
        <v>4347</v>
      </c>
      <c r="E1875" t="s">
        <v>1532</v>
      </c>
      <c r="F1875" t="s">
        <v>14</v>
      </c>
      <c r="G1875" t="s">
        <v>18</v>
      </c>
      <c r="I1875">
        <v>2310000</v>
      </c>
      <c r="J1875">
        <v>4250000</v>
      </c>
      <c r="K1875">
        <v>2254000</v>
      </c>
      <c r="L1875">
        <v>3308000</v>
      </c>
    </row>
    <row r="1876" spans="1:12" ht="15" customHeight="1">
      <c r="A1876" t="s">
        <v>7169</v>
      </c>
      <c r="B1876" t="s">
        <v>4348</v>
      </c>
      <c r="C1876" t="s">
        <v>12</v>
      </c>
      <c r="D1876" t="s">
        <v>4349</v>
      </c>
      <c r="E1876" t="s">
        <v>1588</v>
      </c>
      <c r="F1876" t="s">
        <v>14</v>
      </c>
      <c r="G1876" t="s">
        <v>18</v>
      </c>
    </row>
    <row r="1877" spans="1:12" ht="15" customHeight="1">
      <c r="A1877" t="s">
        <v>7170</v>
      </c>
      <c r="B1877" t="s">
        <v>4350</v>
      </c>
      <c r="C1877" t="s">
        <v>12</v>
      </c>
      <c r="D1877" t="s">
        <v>4351</v>
      </c>
      <c r="E1877" t="s">
        <v>1525</v>
      </c>
      <c r="F1877" t="s">
        <v>14</v>
      </c>
      <c r="G1877" t="s">
        <v>18</v>
      </c>
    </row>
    <row r="1878" spans="1:12" ht="15" customHeight="1">
      <c r="A1878" t="s">
        <v>7171</v>
      </c>
      <c r="B1878" t="s">
        <v>4352</v>
      </c>
      <c r="C1878" t="s">
        <v>12</v>
      </c>
      <c r="D1878" t="s">
        <v>4353</v>
      </c>
      <c r="E1878" t="s">
        <v>1625</v>
      </c>
      <c r="F1878" t="s">
        <v>14</v>
      </c>
      <c r="G1878" t="s">
        <v>18</v>
      </c>
    </row>
    <row r="1879" spans="1:12" ht="15" customHeight="1">
      <c r="A1879" t="s">
        <v>7172</v>
      </c>
      <c r="B1879" t="s">
        <v>4354</v>
      </c>
      <c r="C1879" t="s">
        <v>12</v>
      </c>
      <c r="D1879" t="s">
        <v>4355</v>
      </c>
      <c r="E1879" t="s">
        <v>1504</v>
      </c>
      <c r="F1879" t="s">
        <v>14</v>
      </c>
      <c r="G1879" t="s">
        <v>18</v>
      </c>
      <c r="I1879">
        <v>1308000</v>
      </c>
      <c r="J1879">
        <v>3062000</v>
      </c>
      <c r="K1879">
        <v>1312000</v>
      </c>
      <c r="L1879">
        <v>2279000</v>
      </c>
    </row>
    <row r="1880" spans="1:12" ht="15" customHeight="1">
      <c r="A1880" t="s">
        <v>7173</v>
      </c>
      <c r="B1880" t="s">
        <v>4356</v>
      </c>
      <c r="C1880" t="s">
        <v>12</v>
      </c>
      <c r="D1880" t="s">
        <v>4357</v>
      </c>
      <c r="E1880" t="s">
        <v>1662</v>
      </c>
      <c r="F1880" t="s">
        <v>14</v>
      </c>
      <c r="G1880" t="s">
        <v>18</v>
      </c>
      <c r="I1880">
        <v>2747000</v>
      </c>
      <c r="K1880">
        <v>2703000</v>
      </c>
    </row>
    <row r="1881" spans="1:12" ht="15" customHeight="1">
      <c r="A1881" t="s">
        <v>7174</v>
      </c>
      <c r="B1881" t="s">
        <v>4358</v>
      </c>
      <c r="C1881" t="s">
        <v>12</v>
      </c>
      <c r="D1881" t="s">
        <v>4359</v>
      </c>
      <c r="E1881" t="s">
        <v>1524</v>
      </c>
      <c r="F1881" t="s">
        <v>25</v>
      </c>
      <c r="G1881" t="s">
        <v>18</v>
      </c>
      <c r="I1881">
        <v>960000</v>
      </c>
      <c r="J1881">
        <v>861000</v>
      </c>
      <c r="K1881">
        <v>960000</v>
      </c>
      <c r="L1881">
        <v>861000</v>
      </c>
    </row>
    <row r="1882" spans="1:12" ht="15" customHeight="1">
      <c r="A1882" t="s">
        <v>7175</v>
      </c>
      <c r="B1882" t="s">
        <v>4360</v>
      </c>
      <c r="C1882" t="s">
        <v>12</v>
      </c>
      <c r="D1882" t="s">
        <v>4361</v>
      </c>
      <c r="E1882" t="s">
        <v>1524</v>
      </c>
      <c r="F1882" t="s">
        <v>25</v>
      </c>
      <c r="G1882" t="s">
        <v>18</v>
      </c>
      <c r="I1882">
        <v>1125000</v>
      </c>
      <c r="J1882">
        <v>1212000</v>
      </c>
      <c r="K1882">
        <v>1270000</v>
      </c>
      <c r="L1882">
        <v>1140000</v>
      </c>
    </row>
    <row r="1883" spans="1:12" ht="15" customHeight="1">
      <c r="A1883" t="s">
        <v>7176</v>
      </c>
      <c r="B1883" t="s">
        <v>4362</v>
      </c>
      <c r="C1883" t="s">
        <v>12</v>
      </c>
      <c r="D1883" t="s">
        <v>4363</v>
      </c>
      <c r="E1883" t="s">
        <v>1524</v>
      </c>
      <c r="F1883" t="s">
        <v>14</v>
      </c>
      <c r="G1883" t="s">
        <v>18</v>
      </c>
      <c r="I1883">
        <v>1615000</v>
      </c>
      <c r="J1883">
        <v>1899000</v>
      </c>
      <c r="K1883">
        <v>2240000</v>
      </c>
      <c r="L1883">
        <v>1672000</v>
      </c>
    </row>
    <row r="1884" spans="1:12" ht="15" customHeight="1">
      <c r="A1884" t="s">
        <v>7177</v>
      </c>
      <c r="B1884" t="s">
        <v>4364</v>
      </c>
      <c r="C1884" t="s">
        <v>12</v>
      </c>
      <c r="D1884" t="s">
        <v>4365</v>
      </c>
      <c r="E1884" t="s">
        <v>1662</v>
      </c>
      <c r="F1884" t="s">
        <v>14</v>
      </c>
      <c r="G1884" t="s">
        <v>18</v>
      </c>
      <c r="I1884">
        <v>1417000</v>
      </c>
      <c r="J1884">
        <v>1225000</v>
      </c>
      <c r="K1884">
        <v>1613000</v>
      </c>
      <c r="L1884">
        <v>1339000</v>
      </c>
    </row>
    <row r="1885" spans="1:12" ht="15" customHeight="1">
      <c r="A1885" t="s">
        <v>7178</v>
      </c>
      <c r="B1885" t="s">
        <v>4366</v>
      </c>
      <c r="C1885" t="s">
        <v>12</v>
      </c>
      <c r="D1885" t="s">
        <v>4367</v>
      </c>
      <c r="E1885" t="s">
        <v>1532</v>
      </c>
      <c r="F1885" t="s">
        <v>14</v>
      </c>
      <c r="G1885" t="s">
        <v>18</v>
      </c>
      <c r="I1885">
        <v>10083000</v>
      </c>
      <c r="J1885">
        <v>11016000</v>
      </c>
      <c r="K1885">
        <v>8877000</v>
      </c>
      <c r="L1885">
        <v>10934000</v>
      </c>
    </row>
    <row r="1886" spans="1:12" ht="15" customHeight="1">
      <c r="A1886" t="s">
        <v>7179</v>
      </c>
      <c r="B1886" t="s">
        <v>4368</v>
      </c>
      <c r="C1886" t="s">
        <v>12</v>
      </c>
      <c r="D1886" t="s">
        <v>4369</v>
      </c>
      <c r="E1886" t="s">
        <v>1580</v>
      </c>
      <c r="F1886" t="s">
        <v>14</v>
      </c>
      <c r="G1886" t="s">
        <v>18</v>
      </c>
    </row>
    <row r="1887" spans="1:12" ht="15" customHeight="1">
      <c r="A1887" t="s">
        <v>7180</v>
      </c>
      <c r="B1887" t="s">
        <v>4370</v>
      </c>
      <c r="C1887" t="s">
        <v>12</v>
      </c>
      <c r="D1887" t="s">
        <v>4371</v>
      </c>
      <c r="E1887" t="s">
        <v>1532</v>
      </c>
      <c r="F1887" t="s">
        <v>14</v>
      </c>
      <c r="G1887" t="s">
        <v>18</v>
      </c>
      <c r="K1887">
        <v>14000</v>
      </c>
      <c r="L1887">
        <v>116000</v>
      </c>
    </row>
    <row r="1888" spans="1:12" ht="15" customHeight="1">
      <c r="A1888" t="s">
        <v>7181</v>
      </c>
      <c r="B1888" t="s">
        <v>4372</v>
      </c>
      <c r="C1888" t="s">
        <v>12</v>
      </c>
      <c r="D1888" t="s">
        <v>4373</v>
      </c>
      <c r="E1888" t="s">
        <v>1518</v>
      </c>
      <c r="F1888" t="s">
        <v>14</v>
      </c>
      <c r="G1888" t="s">
        <v>18</v>
      </c>
      <c r="J1888">
        <v>10046000</v>
      </c>
      <c r="L1888">
        <v>9837000</v>
      </c>
    </row>
    <row r="1889" spans="1:12" ht="15" customHeight="1">
      <c r="A1889" t="s">
        <v>7182</v>
      </c>
      <c r="B1889" t="s">
        <v>4374</v>
      </c>
      <c r="C1889" t="s">
        <v>12</v>
      </c>
      <c r="D1889" t="s">
        <v>4375</v>
      </c>
      <c r="E1889" t="s">
        <v>1519</v>
      </c>
      <c r="F1889" t="s">
        <v>14</v>
      </c>
      <c r="G1889" t="s">
        <v>18</v>
      </c>
    </row>
    <row r="1890" spans="1:12" ht="15" customHeight="1">
      <c r="A1890" t="s">
        <v>7183</v>
      </c>
      <c r="B1890" t="s">
        <v>4376</v>
      </c>
      <c r="C1890" t="s">
        <v>12</v>
      </c>
      <c r="D1890" t="s">
        <v>4377</v>
      </c>
      <c r="E1890" t="s">
        <v>1801</v>
      </c>
      <c r="F1890" t="s">
        <v>25</v>
      </c>
      <c r="G1890" t="s">
        <v>18</v>
      </c>
      <c r="I1890">
        <v>114000</v>
      </c>
      <c r="J1890">
        <v>1628000</v>
      </c>
      <c r="K1890">
        <v>115000</v>
      </c>
      <c r="L1890">
        <v>1628000</v>
      </c>
    </row>
    <row r="1891" spans="1:12" ht="15" customHeight="1">
      <c r="A1891" t="s">
        <v>7184</v>
      </c>
      <c r="B1891" t="s">
        <v>4378</v>
      </c>
      <c r="C1891" t="s">
        <v>12</v>
      </c>
      <c r="D1891" t="s">
        <v>4379</v>
      </c>
      <c r="E1891" t="s">
        <v>1560</v>
      </c>
      <c r="F1891" t="s">
        <v>14</v>
      </c>
      <c r="G1891" t="s">
        <v>18</v>
      </c>
      <c r="I1891">
        <v>3106000</v>
      </c>
      <c r="J1891">
        <v>3050000</v>
      </c>
      <c r="K1891">
        <v>2920000</v>
      </c>
      <c r="L1891">
        <v>2915000</v>
      </c>
    </row>
    <row r="1892" spans="1:12" ht="15" customHeight="1">
      <c r="A1892" t="s">
        <v>7185</v>
      </c>
      <c r="B1892" t="s">
        <v>4380</v>
      </c>
      <c r="C1892" t="s">
        <v>12</v>
      </c>
      <c r="D1892" t="s">
        <v>4381</v>
      </c>
      <c r="E1892" t="s">
        <v>1767</v>
      </c>
      <c r="F1892" t="s">
        <v>14</v>
      </c>
      <c r="G1892" t="s">
        <v>18</v>
      </c>
      <c r="I1892">
        <v>4798000</v>
      </c>
      <c r="J1892">
        <v>7340000</v>
      </c>
      <c r="K1892">
        <v>4516000</v>
      </c>
      <c r="L1892">
        <v>6242000</v>
      </c>
    </row>
    <row r="1893" spans="1:12" ht="15" customHeight="1">
      <c r="A1893" t="s">
        <v>7186</v>
      </c>
      <c r="B1893" t="s">
        <v>4382</v>
      </c>
      <c r="C1893" t="s">
        <v>12</v>
      </c>
      <c r="D1893" t="s">
        <v>4383</v>
      </c>
      <c r="E1893" t="s">
        <v>1738</v>
      </c>
      <c r="F1893" t="s">
        <v>14</v>
      </c>
      <c r="G1893" t="s">
        <v>18</v>
      </c>
      <c r="J1893">
        <v>3096000</v>
      </c>
      <c r="L1893">
        <v>3191000</v>
      </c>
    </row>
    <row r="1894" spans="1:12" ht="15" customHeight="1">
      <c r="A1894" t="s">
        <v>7186</v>
      </c>
      <c r="B1894" t="s">
        <v>4384</v>
      </c>
      <c r="C1894" t="s">
        <v>12</v>
      </c>
      <c r="D1894" t="s">
        <v>4385</v>
      </c>
      <c r="E1894" t="s">
        <v>1580</v>
      </c>
      <c r="F1894" t="s">
        <v>14</v>
      </c>
      <c r="G1894" t="s">
        <v>18</v>
      </c>
    </row>
    <row r="1895" spans="1:12" ht="15" customHeight="1">
      <c r="A1895" t="s">
        <v>7187</v>
      </c>
      <c r="B1895" t="s">
        <v>4386</v>
      </c>
      <c r="C1895" t="s">
        <v>12</v>
      </c>
      <c r="D1895" t="s">
        <v>4387</v>
      </c>
      <c r="E1895" t="s">
        <v>1560</v>
      </c>
      <c r="F1895" t="s">
        <v>25</v>
      </c>
      <c r="G1895" t="s">
        <v>18</v>
      </c>
    </row>
    <row r="1896" spans="1:12" ht="15" customHeight="1">
      <c r="A1896" t="s">
        <v>7188</v>
      </c>
      <c r="B1896" t="s">
        <v>4388</v>
      </c>
      <c r="C1896" t="s">
        <v>12</v>
      </c>
      <c r="D1896" t="s">
        <v>4389</v>
      </c>
      <c r="E1896" t="s">
        <v>1532</v>
      </c>
      <c r="F1896" t="s">
        <v>14</v>
      </c>
      <c r="G1896" t="s">
        <v>18</v>
      </c>
    </row>
    <row r="1897" spans="1:12" ht="15" customHeight="1">
      <c r="A1897" t="s">
        <v>7189</v>
      </c>
      <c r="B1897" t="s">
        <v>4390</v>
      </c>
      <c r="C1897" t="s">
        <v>12</v>
      </c>
      <c r="D1897" t="s">
        <v>4391</v>
      </c>
      <c r="E1897" t="s">
        <v>1642</v>
      </c>
      <c r="F1897" t="s">
        <v>25</v>
      </c>
      <c r="G1897" t="s">
        <v>18</v>
      </c>
      <c r="I1897">
        <v>2212000</v>
      </c>
      <c r="J1897">
        <v>1566000</v>
      </c>
      <c r="K1897">
        <v>2043000</v>
      </c>
      <c r="L1897">
        <v>1824000</v>
      </c>
    </row>
    <row r="1898" spans="1:12" ht="15" customHeight="1">
      <c r="A1898" t="s">
        <v>7190</v>
      </c>
      <c r="B1898" t="s">
        <v>4392</v>
      </c>
      <c r="C1898" t="s">
        <v>12</v>
      </c>
      <c r="D1898" t="s">
        <v>4393</v>
      </c>
      <c r="E1898" t="s">
        <v>1560</v>
      </c>
      <c r="F1898" t="s">
        <v>25</v>
      </c>
      <c r="G1898" t="s">
        <v>18</v>
      </c>
    </row>
    <row r="1899" spans="1:12" ht="15" customHeight="1">
      <c r="A1899" t="s">
        <v>7191</v>
      </c>
      <c r="B1899" t="s">
        <v>4394</v>
      </c>
      <c r="C1899" t="s">
        <v>12</v>
      </c>
      <c r="D1899" t="s">
        <v>4395</v>
      </c>
      <c r="E1899" t="s">
        <v>1801</v>
      </c>
      <c r="F1899" t="s">
        <v>25</v>
      </c>
      <c r="G1899" t="s">
        <v>18</v>
      </c>
      <c r="I1899">
        <v>1998000</v>
      </c>
      <c r="J1899">
        <v>330000</v>
      </c>
      <c r="K1899">
        <v>2067000</v>
      </c>
      <c r="L1899">
        <v>368000</v>
      </c>
    </row>
    <row r="1900" spans="1:12" ht="15" customHeight="1">
      <c r="A1900" t="s">
        <v>7192</v>
      </c>
      <c r="B1900" t="s">
        <v>4396</v>
      </c>
      <c r="C1900" t="s">
        <v>12</v>
      </c>
      <c r="D1900" t="s">
        <v>4397</v>
      </c>
      <c r="E1900" t="s">
        <v>1532</v>
      </c>
      <c r="F1900" t="s">
        <v>14</v>
      </c>
      <c r="G1900" t="s">
        <v>18</v>
      </c>
      <c r="I1900">
        <v>356000</v>
      </c>
      <c r="J1900">
        <v>190000</v>
      </c>
      <c r="K1900">
        <v>194000</v>
      </c>
      <c r="L1900">
        <v>354000</v>
      </c>
    </row>
    <row r="1901" spans="1:12" ht="15" customHeight="1">
      <c r="A1901" t="s">
        <v>7193</v>
      </c>
      <c r="B1901" t="s">
        <v>4398</v>
      </c>
      <c r="C1901" t="s">
        <v>12</v>
      </c>
      <c r="D1901" t="s">
        <v>4399</v>
      </c>
      <c r="E1901" t="s">
        <v>1519</v>
      </c>
      <c r="F1901" t="s">
        <v>14</v>
      </c>
      <c r="G1901" t="s">
        <v>18</v>
      </c>
      <c r="I1901">
        <v>27921000</v>
      </c>
      <c r="J1901">
        <v>1916000</v>
      </c>
      <c r="K1901">
        <v>38075000</v>
      </c>
      <c r="L1901">
        <v>2445000</v>
      </c>
    </row>
    <row r="1902" spans="1:12" ht="15" customHeight="1">
      <c r="A1902" t="s">
        <v>7194</v>
      </c>
      <c r="B1902" t="s">
        <v>4400</v>
      </c>
      <c r="C1902" t="s">
        <v>12</v>
      </c>
      <c r="D1902" t="s">
        <v>4401</v>
      </c>
      <c r="E1902" t="s">
        <v>1532</v>
      </c>
      <c r="F1902" t="s">
        <v>14</v>
      </c>
      <c r="G1902" t="s">
        <v>18</v>
      </c>
    </row>
    <row r="1903" spans="1:12" ht="15" customHeight="1">
      <c r="A1903" t="s">
        <v>7195</v>
      </c>
      <c r="B1903" t="s">
        <v>4402</v>
      </c>
      <c r="C1903" t="s">
        <v>12</v>
      </c>
      <c r="D1903" t="s">
        <v>4403</v>
      </c>
      <c r="E1903" t="s">
        <v>1642</v>
      </c>
      <c r="F1903" t="s">
        <v>14</v>
      </c>
      <c r="G1903" t="s">
        <v>18</v>
      </c>
      <c r="I1903">
        <v>1202000</v>
      </c>
      <c r="K1903">
        <v>1121000</v>
      </c>
      <c r="L1903">
        <v>59000</v>
      </c>
    </row>
    <row r="1904" spans="1:12" ht="15" customHeight="1">
      <c r="A1904" t="s">
        <v>7196</v>
      </c>
      <c r="B1904" t="s">
        <v>4404</v>
      </c>
      <c r="C1904" t="s">
        <v>12</v>
      </c>
      <c r="D1904" t="s">
        <v>4405</v>
      </c>
      <c r="E1904" t="s">
        <v>1511</v>
      </c>
      <c r="F1904" t="s">
        <v>14</v>
      </c>
      <c r="G1904" t="s">
        <v>18</v>
      </c>
      <c r="I1904">
        <v>2815000</v>
      </c>
      <c r="K1904">
        <v>2964000</v>
      </c>
      <c r="L1904">
        <v>3292000</v>
      </c>
    </row>
    <row r="1905" spans="1:12" ht="15" customHeight="1">
      <c r="A1905" t="s">
        <v>7197</v>
      </c>
      <c r="B1905" t="s">
        <v>4406</v>
      </c>
      <c r="C1905" t="s">
        <v>12</v>
      </c>
      <c r="D1905" t="s">
        <v>4407</v>
      </c>
      <c r="E1905" t="s">
        <v>1519</v>
      </c>
      <c r="F1905" t="s">
        <v>14</v>
      </c>
      <c r="G1905" t="s">
        <v>18</v>
      </c>
      <c r="I1905">
        <v>12742000</v>
      </c>
      <c r="J1905">
        <v>19376000</v>
      </c>
      <c r="K1905">
        <v>9784000</v>
      </c>
      <c r="L1905">
        <v>17006000</v>
      </c>
    </row>
    <row r="1906" spans="1:12" ht="15" customHeight="1">
      <c r="A1906" t="s">
        <v>7198</v>
      </c>
      <c r="B1906" t="s">
        <v>4408</v>
      </c>
      <c r="C1906" t="s">
        <v>12</v>
      </c>
      <c r="D1906" t="s">
        <v>4409</v>
      </c>
      <c r="E1906" t="s">
        <v>1535</v>
      </c>
      <c r="F1906" t="s">
        <v>14</v>
      </c>
      <c r="G1906" t="s">
        <v>18</v>
      </c>
      <c r="I1906">
        <v>94800000</v>
      </c>
      <c r="J1906">
        <v>51100000</v>
      </c>
      <c r="K1906">
        <v>115501000</v>
      </c>
      <c r="L1906">
        <v>67490000</v>
      </c>
    </row>
    <row r="1907" spans="1:12" ht="15" customHeight="1">
      <c r="A1907" t="s">
        <v>7199</v>
      </c>
      <c r="B1907" t="s">
        <v>4410</v>
      </c>
      <c r="C1907" t="s">
        <v>12</v>
      </c>
      <c r="D1907" t="s">
        <v>4411</v>
      </c>
      <c r="E1907" t="s">
        <v>1533</v>
      </c>
      <c r="F1907" t="s">
        <v>14</v>
      </c>
      <c r="G1907" t="s">
        <v>18</v>
      </c>
      <c r="J1907">
        <v>357000</v>
      </c>
      <c r="L1907">
        <v>343000</v>
      </c>
    </row>
    <row r="1908" spans="1:12" ht="15" customHeight="1">
      <c r="A1908" t="s">
        <v>7200</v>
      </c>
      <c r="B1908" t="s">
        <v>4412</v>
      </c>
      <c r="C1908" t="s">
        <v>12</v>
      </c>
      <c r="D1908" t="s">
        <v>4413</v>
      </c>
      <c r="E1908" t="s">
        <v>1829</v>
      </c>
      <c r="F1908" t="s">
        <v>14</v>
      </c>
      <c r="G1908" t="s">
        <v>18</v>
      </c>
    </row>
    <row r="1909" spans="1:12" ht="15" customHeight="1">
      <c r="A1909" t="s">
        <v>7201</v>
      </c>
      <c r="B1909" t="s">
        <v>4414</v>
      </c>
      <c r="C1909" t="s">
        <v>12</v>
      </c>
      <c r="D1909" t="s">
        <v>4415</v>
      </c>
      <c r="E1909" t="s">
        <v>1560</v>
      </c>
      <c r="F1909" t="s">
        <v>14</v>
      </c>
      <c r="G1909" t="s">
        <v>22</v>
      </c>
      <c r="J1909">
        <v>208498000</v>
      </c>
      <c r="L1909">
        <v>185278000</v>
      </c>
    </row>
    <row r="1910" spans="1:12" ht="15" customHeight="1">
      <c r="A1910" t="s">
        <v>7202</v>
      </c>
      <c r="B1910" t="s">
        <v>4416</v>
      </c>
      <c r="C1910" t="s">
        <v>12</v>
      </c>
      <c r="D1910" t="s">
        <v>4417</v>
      </c>
      <c r="E1910" t="s">
        <v>1584</v>
      </c>
      <c r="F1910" t="s">
        <v>14</v>
      </c>
      <c r="G1910" t="s">
        <v>18</v>
      </c>
      <c r="I1910">
        <v>8302000</v>
      </c>
      <c r="J1910">
        <v>10969000</v>
      </c>
      <c r="K1910">
        <v>6494000</v>
      </c>
      <c r="L1910">
        <v>12385000</v>
      </c>
    </row>
    <row r="1911" spans="1:12" ht="15" customHeight="1">
      <c r="A1911" t="s">
        <v>7203</v>
      </c>
      <c r="B1911" t="s">
        <v>4418</v>
      </c>
      <c r="C1911" t="s">
        <v>12</v>
      </c>
      <c r="D1911" t="s">
        <v>4419</v>
      </c>
      <c r="E1911" t="s">
        <v>1533</v>
      </c>
      <c r="F1911" t="s">
        <v>14</v>
      </c>
      <c r="G1911" t="s">
        <v>18</v>
      </c>
      <c r="I1911">
        <v>242000</v>
      </c>
      <c r="J1911">
        <v>769000</v>
      </c>
      <c r="K1911">
        <v>4000</v>
      </c>
      <c r="L1911">
        <v>1011000</v>
      </c>
    </row>
    <row r="1912" spans="1:12" ht="15" customHeight="1">
      <c r="A1912" t="s">
        <v>7204</v>
      </c>
      <c r="B1912" t="s">
        <v>4420</v>
      </c>
      <c r="C1912" t="s">
        <v>12</v>
      </c>
      <c r="D1912" t="s">
        <v>4421</v>
      </c>
      <c r="E1912" t="s">
        <v>1558</v>
      </c>
      <c r="F1912" t="s">
        <v>14</v>
      </c>
      <c r="G1912" t="s">
        <v>18</v>
      </c>
      <c r="I1912">
        <v>646000</v>
      </c>
      <c r="J1912">
        <v>745000</v>
      </c>
      <c r="K1912">
        <v>649000</v>
      </c>
      <c r="L1912">
        <v>761000</v>
      </c>
    </row>
    <row r="1913" spans="1:12" ht="15" customHeight="1">
      <c r="A1913" t="s">
        <v>7205</v>
      </c>
      <c r="B1913" t="s">
        <v>4422</v>
      </c>
      <c r="C1913" t="s">
        <v>12</v>
      </c>
      <c r="D1913" t="s">
        <v>4423</v>
      </c>
      <c r="E1913" t="s">
        <v>1519</v>
      </c>
      <c r="F1913" t="s">
        <v>14</v>
      </c>
      <c r="G1913" t="s">
        <v>18</v>
      </c>
    </row>
    <row r="1914" spans="1:12" ht="15" customHeight="1">
      <c r="A1914" t="s">
        <v>7206</v>
      </c>
      <c r="B1914" t="s">
        <v>4424</v>
      </c>
      <c r="C1914" t="s">
        <v>12</v>
      </c>
      <c r="D1914" t="s">
        <v>4425</v>
      </c>
      <c r="E1914" t="s">
        <v>1532</v>
      </c>
      <c r="F1914" t="s">
        <v>14</v>
      </c>
      <c r="G1914" t="s">
        <v>18</v>
      </c>
      <c r="I1914">
        <v>828000</v>
      </c>
      <c r="J1914">
        <v>487000</v>
      </c>
      <c r="K1914">
        <v>3001000</v>
      </c>
      <c r="L1914">
        <v>317000</v>
      </c>
    </row>
    <row r="1915" spans="1:12" ht="15" customHeight="1">
      <c r="A1915" t="s">
        <v>7207</v>
      </c>
      <c r="B1915" t="s">
        <v>4426</v>
      </c>
      <c r="C1915" t="s">
        <v>12</v>
      </c>
      <c r="D1915" t="s">
        <v>4427</v>
      </c>
      <c r="E1915" t="s">
        <v>1520</v>
      </c>
      <c r="F1915" t="s">
        <v>14</v>
      </c>
      <c r="G1915" t="s">
        <v>18</v>
      </c>
      <c r="I1915">
        <v>10904000</v>
      </c>
      <c r="J1915">
        <v>11886000</v>
      </c>
      <c r="K1915">
        <v>11361000</v>
      </c>
      <c r="L1915">
        <v>11290000</v>
      </c>
    </row>
    <row r="1916" spans="1:12" ht="15" customHeight="1">
      <c r="A1916" t="s">
        <v>7208</v>
      </c>
      <c r="B1916" t="s">
        <v>4428</v>
      </c>
      <c r="C1916" t="s">
        <v>12</v>
      </c>
      <c r="D1916" t="s">
        <v>4429</v>
      </c>
      <c r="E1916" t="s">
        <v>1649</v>
      </c>
      <c r="F1916" t="s">
        <v>25</v>
      </c>
      <c r="G1916" t="s">
        <v>18</v>
      </c>
      <c r="I1916">
        <v>2984000</v>
      </c>
      <c r="J1916">
        <v>2795000</v>
      </c>
      <c r="K1916">
        <v>2823000</v>
      </c>
      <c r="L1916">
        <v>3133000</v>
      </c>
    </row>
    <row r="1917" spans="1:12" ht="15" customHeight="1">
      <c r="A1917" t="s">
        <v>7209</v>
      </c>
      <c r="B1917" t="s">
        <v>4430</v>
      </c>
      <c r="C1917" t="s">
        <v>12</v>
      </c>
      <c r="D1917" t="s">
        <v>4431</v>
      </c>
      <c r="E1917" t="s">
        <v>1526</v>
      </c>
      <c r="F1917" t="s">
        <v>14</v>
      </c>
      <c r="G1917" t="s">
        <v>18</v>
      </c>
      <c r="I1917">
        <v>3435000</v>
      </c>
      <c r="K1917">
        <v>1157000</v>
      </c>
    </row>
    <row r="1918" spans="1:12" ht="15" customHeight="1">
      <c r="A1918" t="s">
        <v>7210</v>
      </c>
      <c r="B1918" t="s">
        <v>4432</v>
      </c>
      <c r="C1918" t="s">
        <v>12</v>
      </c>
      <c r="D1918" t="s">
        <v>4433</v>
      </c>
      <c r="E1918" t="s">
        <v>1532</v>
      </c>
      <c r="F1918" t="s">
        <v>14</v>
      </c>
      <c r="G1918" t="s">
        <v>18</v>
      </c>
      <c r="H1918" t="s">
        <v>23</v>
      </c>
      <c r="I1918">
        <v>17463000</v>
      </c>
      <c r="J1918">
        <v>18591000</v>
      </c>
      <c r="K1918">
        <v>14738000</v>
      </c>
      <c r="L1918">
        <v>20115000</v>
      </c>
    </row>
    <row r="1919" spans="1:12" ht="15" customHeight="1">
      <c r="A1919" t="s">
        <v>7211</v>
      </c>
      <c r="B1919" t="s">
        <v>4434</v>
      </c>
      <c r="C1919" t="s">
        <v>12</v>
      </c>
      <c r="D1919" t="s">
        <v>4435</v>
      </c>
      <c r="E1919" t="s">
        <v>1508</v>
      </c>
      <c r="F1919" t="s">
        <v>14</v>
      </c>
      <c r="G1919" t="s">
        <v>18</v>
      </c>
      <c r="I1919">
        <v>38543000</v>
      </c>
      <c r="J1919">
        <v>29909000</v>
      </c>
      <c r="K1919">
        <v>45893000</v>
      </c>
      <c r="L1919">
        <v>29591000</v>
      </c>
    </row>
    <row r="1920" spans="1:12" ht="15" customHeight="1">
      <c r="A1920" t="s">
        <v>7212</v>
      </c>
      <c r="B1920" t="s">
        <v>4436</v>
      </c>
      <c r="C1920" t="s">
        <v>12</v>
      </c>
      <c r="D1920" t="s">
        <v>4437</v>
      </c>
      <c r="E1920" t="s">
        <v>1667</v>
      </c>
      <c r="F1920" t="s">
        <v>25</v>
      </c>
      <c r="G1920" t="s">
        <v>18</v>
      </c>
      <c r="I1920">
        <v>3243000</v>
      </c>
      <c r="J1920">
        <v>4240000</v>
      </c>
      <c r="K1920">
        <v>3145000</v>
      </c>
      <c r="L1920">
        <v>4229000</v>
      </c>
    </row>
    <row r="1921" spans="1:12" ht="15" customHeight="1">
      <c r="A1921" t="s">
        <v>7213</v>
      </c>
      <c r="B1921" t="s">
        <v>4438</v>
      </c>
      <c r="C1921" t="s">
        <v>12</v>
      </c>
      <c r="D1921" t="s">
        <v>4439</v>
      </c>
      <c r="E1921" t="s">
        <v>1979</v>
      </c>
      <c r="F1921" t="s">
        <v>14</v>
      </c>
      <c r="G1921" t="s">
        <v>18</v>
      </c>
      <c r="I1921">
        <v>8936000</v>
      </c>
      <c r="J1921">
        <v>16445000</v>
      </c>
      <c r="K1921">
        <v>9617000</v>
      </c>
      <c r="L1921">
        <v>15236000</v>
      </c>
    </row>
    <row r="1922" spans="1:12" ht="15" customHeight="1">
      <c r="A1922" t="s">
        <v>7214</v>
      </c>
      <c r="B1922" t="s">
        <v>4440</v>
      </c>
      <c r="C1922" t="s">
        <v>12</v>
      </c>
      <c r="D1922" t="s">
        <v>4441</v>
      </c>
      <c r="E1922" t="s">
        <v>1517</v>
      </c>
      <c r="F1922" t="s">
        <v>14</v>
      </c>
      <c r="G1922" t="s">
        <v>18</v>
      </c>
      <c r="I1922">
        <v>214000</v>
      </c>
      <c r="K1922">
        <v>297000</v>
      </c>
      <c r="L1922">
        <v>196000</v>
      </c>
    </row>
    <row r="1923" spans="1:12" ht="15" customHeight="1">
      <c r="A1923" t="s">
        <v>7215</v>
      </c>
      <c r="B1923" t="s">
        <v>4442</v>
      </c>
      <c r="C1923" t="s">
        <v>12</v>
      </c>
      <c r="D1923" t="s">
        <v>4443</v>
      </c>
      <c r="E1923" t="s">
        <v>1532</v>
      </c>
      <c r="F1923" t="s">
        <v>14</v>
      </c>
      <c r="G1923" t="s">
        <v>18</v>
      </c>
    </row>
    <row r="1924" spans="1:12" ht="15" customHeight="1">
      <c r="A1924" t="s">
        <v>7216</v>
      </c>
      <c r="B1924" t="s">
        <v>4444</v>
      </c>
      <c r="C1924" t="s">
        <v>12</v>
      </c>
      <c r="D1924" t="s">
        <v>4445</v>
      </c>
      <c r="E1924" t="s">
        <v>1619</v>
      </c>
      <c r="F1924" t="s">
        <v>14</v>
      </c>
      <c r="G1924" t="s">
        <v>18</v>
      </c>
      <c r="I1924">
        <v>1281000</v>
      </c>
      <c r="J1924">
        <v>1375000</v>
      </c>
      <c r="K1924">
        <v>1287000</v>
      </c>
      <c r="L1924">
        <v>1268000</v>
      </c>
    </row>
    <row r="1925" spans="1:12" ht="15" customHeight="1">
      <c r="A1925" t="s">
        <v>7217</v>
      </c>
      <c r="B1925" t="s">
        <v>4446</v>
      </c>
      <c r="C1925" t="s">
        <v>12</v>
      </c>
      <c r="D1925" t="s">
        <v>4447</v>
      </c>
      <c r="E1925" t="s">
        <v>1532</v>
      </c>
      <c r="F1925" t="s">
        <v>14</v>
      </c>
      <c r="G1925" t="s">
        <v>18</v>
      </c>
    </row>
    <row r="1926" spans="1:12" ht="15" customHeight="1">
      <c r="A1926" t="s">
        <v>7218</v>
      </c>
      <c r="B1926" t="s">
        <v>4448</v>
      </c>
      <c r="C1926" t="s">
        <v>12</v>
      </c>
      <c r="D1926" t="s">
        <v>4449</v>
      </c>
      <c r="E1926" t="s">
        <v>1532</v>
      </c>
      <c r="F1926" t="s">
        <v>14</v>
      </c>
      <c r="G1926" t="s">
        <v>18</v>
      </c>
    </row>
    <row r="1927" spans="1:12" ht="15" customHeight="1">
      <c r="A1927" t="s">
        <v>7219</v>
      </c>
      <c r="B1927" t="s">
        <v>4450</v>
      </c>
      <c r="C1927" t="s">
        <v>12</v>
      </c>
      <c r="D1927" t="s">
        <v>4451</v>
      </c>
      <c r="E1927" t="s">
        <v>1532</v>
      </c>
      <c r="F1927" t="s">
        <v>14</v>
      </c>
      <c r="G1927" t="s">
        <v>18</v>
      </c>
    </row>
    <row r="1928" spans="1:12" ht="15" customHeight="1">
      <c r="A1928" t="s">
        <v>7220</v>
      </c>
      <c r="B1928" t="s">
        <v>4452</v>
      </c>
      <c r="C1928" t="s">
        <v>12</v>
      </c>
      <c r="D1928" t="s">
        <v>4453</v>
      </c>
      <c r="E1928" t="s">
        <v>1881</v>
      </c>
      <c r="F1928" t="s">
        <v>14</v>
      </c>
      <c r="G1928" t="s">
        <v>18</v>
      </c>
      <c r="I1928">
        <v>24730000</v>
      </c>
      <c r="J1928">
        <v>28906000</v>
      </c>
      <c r="K1928">
        <v>24779000</v>
      </c>
      <c r="L1928">
        <v>22299000</v>
      </c>
    </row>
    <row r="1929" spans="1:12" ht="15" customHeight="1">
      <c r="A1929" t="s">
        <v>7221</v>
      </c>
      <c r="B1929" t="s">
        <v>4454</v>
      </c>
      <c r="C1929" t="s">
        <v>12</v>
      </c>
      <c r="D1929" t="s">
        <v>4455</v>
      </c>
      <c r="E1929" t="s">
        <v>1532</v>
      </c>
      <c r="F1929" t="s">
        <v>14</v>
      </c>
      <c r="G1929" t="s">
        <v>18</v>
      </c>
      <c r="I1929">
        <v>3463000</v>
      </c>
      <c r="J1929">
        <v>7547000</v>
      </c>
      <c r="K1929">
        <v>5580000</v>
      </c>
      <c r="L1929">
        <v>7455000</v>
      </c>
    </row>
    <row r="1930" spans="1:12" ht="15" customHeight="1">
      <c r="A1930" t="s">
        <v>7222</v>
      </c>
      <c r="B1930" t="s">
        <v>4456</v>
      </c>
      <c r="C1930" t="s">
        <v>12</v>
      </c>
      <c r="D1930" t="s">
        <v>4457</v>
      </c>
      <c r="E1930" t="s">
        <v>1527</v>
      </c>
      <c r="F1930" t="s">
        <v>14</v>
      </c>
      <c r="G1930" t="s">
        <v>18</v>
      </c>
      <c r="J1930">
        <v>1047000</v>
      </c>
      <c r="L1930">
        <v>1574000</v>
      </c>
    </row>
    <row r="1931" spans="1:12" ht="15" customHeight="1">
      <c r="A1931" t="s">
        <v>7223</v>
      </c>
      <c r="B1931" t="s">
        <v>4458</v>
      </c>
      <c r="C1931" t="s">
        <v>12</v>
      </c>
      <c r="D1931" t="s">
        <v>4459</v>
      </c>
      <c r="E1931" t="s">
        <v>1512</v>
      </c>
      <c r="F1931" t="s">
        <v>14</v>
      </c>
      <c r="G1931" t="s">
        <v>18</v>
      </c>
      <c r="J1931">
        <v>1108000</v>
      </c>
      <c r="L1931">
        <v>1233000</v>
      </c>
    </row>
    <row r="1932" spans="1:12" ht="15" customHeight="1">
      <c r="A1932" t="s">
        <v>7224</v>
      </c>
      <c r="B1932" t="s">
        <v>4460</v>
      </c>
      <c r="C1932" t="s">
        <v>12</v>
      </c>
      <c r="D1932" t="s">
        <v>4461</v>
      </c>
      <c r="E1932" t="s">
        <v>1519</v>
      </c>
      <c r="F1932" t="s">
        <v>25</v>
      </c>
      <c r="G1932" t="s">
        <v>18</v>
      </c>
    </row>
    <row r="1933" spans="1:12" ht="15" customHeight="1">
      <c r="A1933" t="s">
        <v>7225</v>
      </c>
      <c r="B1933" t="s">
        <v>4462</v>
      </c>
      <c r="C1933" t="s">
        <v>12</v>
      </c>
      <c r="D1933" t="s">
        <v>4463</v>
      </c>
      <c r="E1933" t="s">
        <v>1524</v>
      </c>
      <c r="F1933" t="s">
        <v>14</v>
      </c>
      <c r="G1933" t="s">
        <v>18</v>
      </c>
    </row>
    <row r="1934" spans="1:12" ht="15" customHeight="1">
      <c r="A1934" t="s">
        <v>7226</v>
      </c>
      <c r="B1934" t="s">
        <v>4464</v>
      </c>
      <c r="C1934" t="s">
        <v>12</v>
      </c>
      <c r="D1934" t="s">
        <v>4465</v>
      </c>
      <c r="E1934" t="s">
        <v>1519</v>
      </c>
      <c r="F1934" t="s">
        <v>14</v>
      </c>
      <c r="G1934" t="s">
        <v>18</v>
      </c>
      <c r="J1934">
        <v>1623000</v>
      </c>
      <c r="L1934">
        <v>1686000</v>
      </c>
    </row>
    <row r="1935" spans="1:12" ht="15" customHeight="1">
      <c r="A1935" t="s">
        <v>7227</v>
      </c>
      <c r="B1935" t="s">
        <v>4466</v>
      </c>
      <c r="C1935" t="s">
        <v>12</v>
      </c>
      <c r="D1935" t="s">
        <v>4467</v>
      </c>
      <c r="E1935" t="s">
        <v>1517</v>
      </c>
      <c r="F1935" t="s">
        <v>25</v>
      </c>
      <c r="G1935" t="s">
        <v>18</v>
      </c>
    </row>
    <row r="1936" spans="1:12" ht="15" customHeight="1">
      <c r="A1936" t="s">
        <v>7228</v>
      </c>
      <c r="B1936" t="s">
        <v>4468</v>
      </c>
      <c r="C1936" t="s">
        <v>12</v>
      </c>
      <c r="D1936" t="s">
        <v>4469</v>
      </c>
      <c r="E1936" t="s">
        <v>1795</v>
      </c>
      <c r="F1936" t="s">
        <v>14</v>
      </c>
      <c r="G1936" t="s">
        <v>18</v>
      </c>
      <c r="I1936">
        <v>5842000</v>
      </c>
      <c r="J1936">
        <v>5046000</v>
      </c>
      <c r="K1936">
        <v>5293000</v>
      </c>
      <c r="L1936">
        <v>4845000</v>
      </c>
    </row>
    <row r="1937" spans="1:12" ht="15" customHeight="1">
      <c r="A1937" t="s">
        <v>7229</v>
      </c>
      <c r="B1937" t="s">
        <v>4470</v>
      </c>
      <c r="C1937" t="s">
        <v>12</v>
      </c>
      <c r="D1937" t="s">
        <v>4471</v>
      </c>
      <c r="E1937" t="s">
        <v>1643</v>
      </c>
      <c r="F1937" t="s">
        <v>25</v>
      </c>
      <c r="G1937" t="s">
        <v>77</v>
      </c>
      <c r="I1937">
        <v>7904000</v>
      </c>
      <c r="J1937">
        <v>7049000</v>
      </c>
      <c r="K1937">
        <v>8423000</v>
      </c>
      <c r="L1937">
        <v>8889000</v>
      </c>
    </row>
    <row r="1938" spans="1:12" ht="15" customHeight="1">
      <c r="A1938" t="s">
        <v>7230</v>
      </c>
      <c r="B1938" t="s">
        <v>4472</v>
      </c>
      <c r="C1938" t="s">
        <v>12</v>
      </c>
      <c r="D1938" t="s">
        <v>4473</v>
      </c>
      <c r="E1938" t="s">
        <v>1508</v>
      </c>
      <c r="F1938" t="s">
        <v>14</v>
      </c>
      <c r="G1938" t="s">
        <v>18</v>
      </c>
      <c r="I1938">
        <v>20000</v>
      </c>
      <c r="K1938">
        <v>42000</v>
      </c>
      <c r="L1938">
        <v>32000</v>
      </c>
    </row>
    <row r="1939" spans="1:12" ht="15" customHeight="1">
      <c r="A1939" t="s">
        <v>7231</v>
      </c>
      <c r="B1939" t="s">
        <v>4474</v>
      </c>
      <c r="C1939" t="s">
        <v>12</v>
      </c>
      <c r="D1939" t="s">
        <v>4475</v>
      </c>
      <c r="E1939" t="s">
        <v>1534</v>
      </c>
      <c r="F1939" t="s">
        <v>25</v>
      </c>
      <c r="G1939" t="s">
        <v>18</v>
      </c>
    </row>
    <row r="1940" spans="1:12" ht="15" customHeight="1">
      <c r="A1940" t="s">
        <v>7232</v>
      </c>
      <c r="B1940" t="s">
        <v>4476</v>
      </c>
      <c r="C1940" t="s">
        <v>12</v>
      </c>
      <c r="D1940" t="s">
        <v>4477</v>
      </c>
      <c r="E1940" t="s">
        <v>1532</v>
      </c>
      <c r="F1940" t="s">
        <v>25</v>
      </c>
      <c r="G1940" t="s">
        <v>18</v>
      </c>
    </row>
    <row r="1941" spans="1:12" ht="15" customHeight="1">
      <c r="A1941" t="s">
        <v>7233</v>
      </c>
      <c r="B1941" t="s">
        <v>4478</v>
      </c>
      <c r="C1941" t="s">
        <v>12</v>
      </c>
      <c r="D1941" t="s">
        <v>4479</v>
      </c>
      <c r="E1941" t="s">
        <v>1505</v>
      </c>
      <c r="F1941" t="s">
        <v>14</v>
      </c>
      <c r="G1941" t="s">
        <v>18</v>
      </c>
      <c r="I1941">
        <v>2857000</v>
      </c>
      <c r="J1941">
        <v>4559000</v>
      </c>
      <c r="K1941">
        <v>1508000</v>
      </c>
      <c r="L1941">
        <v>5120000</v>
      </c>
    </row>
    <row r="1942" spans="1:12" ht="15" customHeight="1">
      <c r="A1942" t="s">
        <v>7234</v>
      </c>
      <c r="B1942" t="s">
        <v>4480</v>
      </c>
      <c r="C1942" t="s">
        <v>12</v>
      </c>
      <c r="D1942" t="s">
        <v>4481</v>
      </c>
      <c r="E1942" t="s">
        <v>1532</v>
      </c>
      <c r="F1942" t="s">
        <v>14</v>
      </c>
      <c r="G1942" t="s">
        <v>18</v>
      </c>
      <c r="I1942">
        <v>3098000</v>
      </c>
      <c r="J1942">
        <v>4580000</v>
      </c>
      <c r="K1942">
        <v>2897000</v>
      </c>
      <c r="L1942">
        <v>9263000</v>
      </c>
    </row>
    <row r="1943" spans="1:12" ht="15" customHeight="1">
      <c r="A1943" t="s">
        <v>7235</v>
      </c>
      <c r="B1943" t="s">
        <v>4482</v>
      </c>
      <c r="C1943" t="s">
        <v>12</v>
      </c>
      <c r="D1943" t="s">
        <v>4483</v>
      </c>
      <c r="E1943" t="s">
        <v>1508</v>
      </c>
      <c r="F1943" t="s">
        <v>14</v>
      </c>
      <c r="G1943" t="s">
        <v>18</v>
      </c>
    </row>
    <row r="1944" spans="1:12" ht="15" customHeight="1">
      <c r="A1944" t="s">
        <v>7236</v>
      </c>
      <c r="B1944" t="s">
        <v>4484</v>
      </c>
      <c r="C1944" t="s">
        <v>12</v>
      </c>
      <c r="D1944" t="s">
        <v>4485</v>
      </c>
      <c r="E1944" t="s">
        <v>1625</v>
      </c>
      <c r="F1944" t="s">
        <v>14</v>
      </c>
      <c r="G1944" t="s">
        <v>18</v>
      </c>
      <c r="I1944">
        <v>4015000</v>
      </c>
      <c r="J1944">
        <v>4483000</v>
      </c>
      <c r="K1944">
        <v>2830000</v>
      </c>
      <c r="L1944">
        <v>5030000</v>
      </c>
    </row>
    <row r="1945" spans="1:12" ht="15" customHeight="1">
      <c r="A1945" t="s">
        <v>7237</v>
      </c>
      <c r="B1945" t="s">
        <v>4486</v>
      </c>
      <c r="C1945" t="s">
        <v>12</v>
      </c>
      <c r="D1945" t="s">
        <v>4487</v>
      </c>
      <c r="E1945" t="s">
        <v>1527</v>
      </c>
      <c r="F1945" t="s">
        <v>14</v>
      </c>
      <c r="G1945" t="s">
        <v>77</v>
      </c>
      <c r="I1945">
        <v>4497000</v>
      </c>
      <c r="J1945">
        <v>3317000</v>
      </c>
      <c r="K1945">
        <v>4277000</v>
      </c>
      <c r="L1945">
        <v>4018000</v>
      </c>
    </row>
    <row r="1946" spans="1:12" ht="15" customHeight="1">
      <c r="A1946" t="s">
        <v>7238</v>
      </c>
      <c r="B1946" t="s">
        <v>4488</v>
      </c>
      <c r="C1946" t="s">
        <v>12</v>
      </c>
      <c r="D1946" t="s">
        <v>4489</v>
      </c>
      <c r="E1946" t="s">
        <v>1533</v>
      </c>
      <c r="F1946" t="s">
        <v>14</v>
      </c>
      <c r="G1946" t="s">
        <v>77</v>
      </c>
      <c r="I1946">
        <v>11768000</v>
      </c>
      <c r="J1946">
        <v>28654000</v>
      </c>
      <c r="K1946">
        <v>14028000</v>
      </c>
      <c r="L1946">
        <v>25570000</v>
      </c>
    </row>
    <row r="1947" spans="1:12" ht="15" customHeight="1">
      <c r="A1947" t="s">
        <v>7239</v>
      </c>
      <c r="B1947" t="s">
        <v>4490</v>
      </c>
      <c r="C1947" t="s">
        <v>12</v>
      </c>
      <c r="D1947" t="s">
        <v>4491</v>
      </c>
      <c r="E1947" t="s">
        <v>1521</v>
      </c>
      <c r="F1947" t="s">
        <v>14</v>
      </c>
      <c r="G1947" t="s">
        <v>18</v>
      </c>
      <c r="I1947">
        <v>28906000</v>
      </c>
      <c r="J1947">
        <v>12491000</v>
      </c>
      <c r="K1947">
        <v>25265000</v>
      </c>
      <c r="L1947">
        <v>15857000</v>
      </c>
    </row>
    <row r="1948" spans="1:12" ht="15" customHeight="1">
      <c r="A1948" t="s">
        <v>7240</v>
      </c>
      <c r="B1948" t="s">
        <v>4492</v>
      </c>
      <c r="C1948" t="s">
        <v>12</v>
      </c>
      <c r="D1948" t="s">
        <v>4493</v>
      </c>
      <c r="E1948" t="s">
        <v>1505</v>
      </c>
      <c r="F1948" t="s">
        <v>14</v>
      </c>
      <c r="G1948" t="s">
        <v>18</v>
      </c>
      <c r="J1948">
        <v>1900000</v>
      </c>
      <c r="L1948">
        <v>1999000</v>
      </c>
    </row>
    <row r="1949" spans="1:12" ht="15" customHeight="1">
      <c r="A1949" t="s">
        <v>7241</v>
      </c>
      <c r="B1949" t="s">
        <v>4494</v>
      </c>
      <c r="C1949" t="s">
        <v>12</v>
      </c>
      <c r="D1949" t="s">
        <v>4495</v>
      </c>
      <c r="E1949" t="s">
        <v>1509</v>
      </c>
      <c r="F1949" t="s">
        <v>14</v>
      </c>
      <c r="G1949" t="s">
        <v>18</v>
      </c>
      <c r="I1949">
        <v>1381000</v>
      </c>
      <c r="J1949">
        <v>1307000</v>
      </c>
      <c r="K1949">
        <v>1383000</v>
      </c>
      <c r="L1949">
        <v>1242000</v>
      </c>
    </row>
    <row r="1950" spans="1:12" ht="15" customHeight="1">
      <c r="A1950" t="s">
        <v>7241</v>
      </c>
      <c r="B1950" t="s">
        <v>4496</v>
      </c>
      <c r="C1950" t="s">
        <v>12</v>
      </c>
      <c r="D1950" t="s">
        <v>4497</v>
      </c>
      <c r="E1950" t="s">
        <v>1667</v>
      </c>
      <c r="F1950" t="s">
        <v>14</v>
      </c>
      <c r="G1950" t="s">
        <v>18</v>
      </c>
      <c r="I1950">
        <v>50000</v>
      </c>
      <c r="J1950">
        <v>68000</v>
      </c>
      <c r="K1950">
        <v>80000</v>
      </c>
      <c r="L1950">
        <v>6000</v>
      </c>
    </row>
    <row r="1951" spans="1:12" ht="15" customHeight="1">
      <c r="A1951" t="s">
        <v>7242</v>
      </c>
      <c r="B1951" t="s">
        <v>4498</v>
      </c>
      <c r="C1951" t="s">
        <v>12</v>
      </c>
      <c r="D1951" t="s">
        <v>4499</v>
      </c>
      <c r="E1951" t="s">
        <v>1535</v>
      </c>
      <c r="F1951" t="s">
        <v>25</v>
      </c>
      <c r="G1951" t="s">
        <v>18</v>
      </c>
    </row>
    <row r="1952" spans="1:12" ht="15" customHeight="1">
      <c r="A1952" t="s">
        <v>7243</v>
      </c>
      <c r="B1952" t="s">
        <v>4500</v>
      </c>
      <c r="C1952" t="s">
        <v>12</v>
      </c>
      <c r="D1952" t="s">
        <v>4501</v>
      </c>
      <c r="E1952" t="s">
        <v>1618</v>
      </c>
      <c r="F1952" t="s">
        <v>25</v>
      </c>
      <c r="G1952" t="s">
        <v>18</v>
      </c>
    </row>
    <row r="1953" spans="1:12" ht="15" customHeight="1">
      <c r="A1953" t="s">
        <v>7244</v>
      </c>
      <c r="B1953" t="s">
        <v>4502</v>
      </c>
      <c r="C1953" t="s">
        <v>12</v>
      </c>
      <c r="D1953" t="s">
        <v>4503</v>
      </c>
      <c r="E1953" t="s">
        <v>1558</v>
      </c>
      <c r="F1953" t="s">
        <v>14</v>
      </c>
      <c r="G1953" t="s">
        <v>18</v>
      </c>
      <c r="I1953">
        <v>534000</v>
      </c>
      <c r="J1953">
        <v>611000</v>
      </c>
      <c r="K1953">
        <v>504000</v>
      </c>
      <c r="L1953">
        <v>576000</v>
      </c>
    </row>
    <row r="1954" spans="1:12" ht="15" customHeight="1">
      <c r="A1954" t="s">
        <v>7245</v>
      </c>
      <c r="B1954" t="s">
        <v>4504</v>
      </c>
      <c r="C1954" t="s">
        <v>12</v>
      </c>
      <c r="D1954" t="s">
        <v>4505</v>
      </c>
      <c r="E1954" t="s">
        <v>1558</v>
      </c>
      <c r="F1954" t="s">
        <v>14</v>
      </c>
      <c r="G1954" t="s">
        <v>18</v>
      </c>
      <c r="I1954">
        <v>2225000</v>
      </c>
      <c r="J1954">
        <v>2168000</v>
      </c>
      <c r="K1954">
        <v>2099000</v>
      </c>
      <c r="L1954">
        <v>2222000</v>
      </c>
    </row>
    <row r="1955" spans="1:12" ht="15" customHeight="1">
      <c r="A1955" t="s">
        <v>7246</v>
      </c>
      <c r="B1955" t="s">
        <v>4506</v>
      </c>
      <c r="C1955" t="s">
        <v>12</v>
      </c>
      <c r="D1955" t="s">
        <v>4507</v>
      </c>
      <c r="E1955" t="s">
        <v>1629</v>
      </c>
      <c r="F1955" t="s">
        <v>14</v>
      </c>
      <c r="G1955" t="s">
        <v>77</v>
      </c>
    </row>
    <row r="1956" spans="1:12" ht="15" customHeight="1">
      <c r="A1956" t="s">
        <v>7247</v>
      </c>
      <c r="B1956" t="s">
        <v>4508</v>
      </c>
      <c r="C1956" t="s">
        <v>12</v>
      </c>
      <c r="D1956" t="s">
        <v>4509</v>
      </c>
      <c r="E1956" t="s">
        <v>1534</v>
      </c>
      <c r="F1956" t="s">
        <v>14</v>
      </c>
      <c r="G1956" t="s">
        <v>18</v>
      </c>
      <c r="I1956">
        <v>1745000</v>
      </c>
      <c r="J1956">
        <v>1365000</v>
      </c>
      <c r="K1956">
        <v>1664000</v>
      </c>
      <c r="L1956">
        <v>1297000</v>
      </c>
    </row>
    <row r="1957" spans="1:12" ht="15" customHeight="1">
      <c r="A1957" t="s">
        <v>7248</v>
      </c>
      <c r="B1957" t="s">
        <v>4510</v>
      </c>
      <c r="C1957" t="s">
        <v>12</v>
      </c>
      <c r="D1957" t="s">
        <v>4511</v>
      </c>
      <c r="E1957" t="s">
        <v>1532</v>
      </c>
      <c r="F1957" t="s">
        <v>14</v>
      </c>
      <c r="G1957" t="s">
        <v>18</v>
      </c>
    </row>
    <row r="1958" spans="1:12" ht="15" customHeight="1">
      <c r="A1958" t="s">
        <v>7249</v>
      </c>
      <c r="B1958" t="s">
        <v>4512</v>
      </c>
      <c r="C1958" t="s">
        <v>12</v>
      </c>
      <c r="D1958" t="s">
        <v>4513</v>
      </c>
      <c r="E1958" t="s">
        <v>1643</v>
      </c>
      <c r="F1958" t="s">
        <v>14</v>
      </c>
      <c r="G1958" t="s">
        <v>18</v>
      </c>
    </row>
    <row r="1959" spans="1:12" ht="15" customHeight="1">
      <c r="A1959" t="s">
        <v>7250</v>
      </c>
      <c r="B1959" t="s">
        <v>4514</v>
      </c>
      <c r="C1959" t="s">
        <v>12</v>
      </c>
      <c r="D1959" t="s">
        <v>4515</v>
      </c>
      <c r="E1959" t="s">
        <v>1512</v>
      </c>
      <c r="F1959" t="s">
        <v>14</v>
      </c>
      <c r="G1959" t="s">
        <v>18</v>
      </c>
      <c r="I1959">
        <v>989000</v>
      </c>
      <c r="J1959">
        <v>546000</v>
      </c>
      <c r="K1959">
        <v>559000</v>
      </c>
      <c r="L1959">
        <v>754000</v>
      </c>
    </row>
    <row r="1960" spans="1:12" ht="15" customHeight="1">
      <c r="A1960" t="s">
        <v>7251</v>
      </c>
      <c r="B1960" t="s">
        <v>4516</v>
      </c>
      <c r="C1960" t="s">
        <v>12</v>
      </c>
      <c r="D1960" t="s">
        <v>4517</v>
      </c>
      <c r="E1960" t="s">
        <v>1558</v>
      </c>
      <c r="F1960" t="s">
        <v>14</v>
      </c>
      <c r="G1960" t="s">
        <v>18</v>
      </c>
      <c r="I1960">
        <v>830000</v>
      </c>
      <c r="J1960">
        <v>577000</v>
      </c>
      <c r="K1960">
        <v>869000</v>
      </c>
      <c r="L1960">
        <v>559000</v>
      </c>
    </row>
    <row r="1961" spans="1:12" ht="15" customHeight="1">
      <c r="A1961" t="s">
        <v>7252</v>
      </c>
      <c r="B1961" t="s">
        <v>4518</v>
      </c>
      <c r="C1961" t="s">
        <v>12</v>
      </c>
      <c r="D1961" t="s">
        <v>4519</v>
      </c>
      <c r="E1961" t="s">
        <v>1558</v>
      </c>
      <c r="F1961" t="s">
        <v>14</v>
      </c>
      <c r="G1961" t="s">
        <v>18</v>
      </c>
      <c r="I1961">
        <v>2930000</v>
      </c>
      <c r="J1961">
        <v>3753000</v>
      </c>
      <c r="K1961">
        <v>2635000</v>
      </c>
      <c r="L1961">
        <v>3860000</v>
      </c>
    </row>
    <row r="1962" spans="1:12" ht="15" customHeight="1">
      <c r="A1962" t="s">
        <v>7253</v>
      </c>
      <c r="B1962" t="s">
        <v>4520</v>
      </c>
      <c r="C1962" t="s">
        <v>12</v>
      </c>
      <c r="D1962" t="s">
        <v>4521</v>
      </c>
      <c r="E1962" t="s">
        <v>1512</v>
      </c>
      <c r="F1962" t="s">
        <v>14</v>
      </c>
      <c r="G1962" t="s">
        <v>18</v>
      </c>
      <c r="I1962">
        <v>813000</v>
      </c>
      <c r="J1962">
        <v>838000</v>
      </c>
      <c r="K1962">
        <v>809000</v>
      </c>
      <c r="L1962">
        <v>841000</v>
      </c>
    </row>
    <row r="1963" spans="1:12" ht="15" customHeight="1">
      <c r="A1963" t="s">
        <v>7254</v>
      </c>
      <c r="B1963" t="s">
        <v>4522</v>
      </c>
      <c r="C1963" t="s">
        <v>12</v>
      </c>
      <c r="D1963" t="s">
        <v>4523</v>
      </c>
      <c r="E1963" t="s">
        <v>1558</v>
      </c>
      <c r="F1963" t="s">
        <v>14</v>
      </c>
      <c r="G1963" t="s">
        <v>18</v>
      </c>
      <c r="I1963">
        <v>1582000</v>
      </c>
      <c r="J1963">
        <v>1292000</v>
      </c>
      <c r="K1963">
        <v>1535000</v>
      </c>
      <c r="L1963">
        <v>1172000</v>
      </c>
    </row>
    <row r="1964" spans="1:12" ht="15" customHeight="1">
      <c r="A1964" t="s">
        <v>7255</v>
      </c>
      <c r="B1964" t="s">
        <v>4524</v>
      </c>
      <c r="C1964" t="s">
        <v>12</v>
      </c>
      <c r="D1964" t="s">
        <v>4525</v>
      </c>
      <c r="E1964" t="s">
        <v>1558</v>
      </c>
      <c r="F1964" t="s">
        <v>14</v>
      </c>
      <c r="G1964" t="s">
        <v>18</v>
      </c>
      <c r="I1964">
        <v>196230000</v>
      </c>
      <c r="J1964">
        <v>202875000</v>
      </c>
      <c r="K1964">
        <v>172977000</v>
      </c>
      <c r="L1964">
        <v>227805000</v>
      </c>
    </row>
    <row r="1965" spans="1:12" ht="15" customHeight="1">
      <c r="A1965" t="s">
        <v>7256</v>
      </c>
      <c r="B1965" t="s">
        <v>4526</v>
      </c>
      <c r="C1965" t="s">
        <v>12</v>
      </c>
      <c r="D1965" t="s">
        <v>4527</v>
      </c>
      <c r="E1965" t="s">
        <v>1558</v>
      </c>
      <c r="F1965" t="s">
        <v>14</v>
      </c>
      <c r="G1965" t="s">
        <v>18</v>
      </c>
      <c r="I1965">
        <v>1234000</v>
      </c>
      <c r="J1965">
        <v>1257000</v>
      </c>
      <c r="K1965">
        <v>1270000</v>
      </c>
      <c r="L1965">
        <v>1399000</v>
      </c>
    </row>
    <row r="1966" spans="1:12" ht="15" customHeight="1">
      <c r="A1966" t="s">
        <v>7257</v>
      </c>
      <c r="B1966" t="s">
        <v>4528</v>
      </c>
      <c r="C1966" t="s">
        <v>12</v>
      </c>
      <c r="D1966" t="s">
        <v>4529</v>
      </c>
      <c r="E1966" t="s">
        <v>1533</v>
      </c>
      <c r="F1966" t="s">
        <v>14</v>
      </c>
      <c r="G1966" t="s">
        <v>18</v>
      </c>
      <c r="I1966">
        <v>5030000</v>
      </c>
      <c r="J1966">
        <v>398000</v>
      </c>
      <c r="K1966">
        <v>6742000</v>
      </c>
      <c r="L1966">
        <v>548000</v>
      </c>
    </row>
    <row r="1967" spans="1:12" ht="15" customHeight="1">
      <c r="A1967" t="s">
        <v>7258</v>
      </c>
      <c r="B1967" t="s">
        <v>4530</v>
      </c>
      <c r="C1967" t="s">
        <v>12</v>
      </c>
      <c r="D1967" t="s">
        <v>4531</v>
      </c>
      <c r="E1967" t="s">
        <v>1558</v>
      </c>
      <c r="F1967" t="s">
        <v>14</v>
      </c>
      <c r="G1967" t="s">
        <v>18</v>
      </c>
      <c r="I1967">
        <v>197000</v>
      </c>
      <c r="J1967">
        <v>200000</v>
      </c>
      <c r="K1967">
        <v>211000</v>
      </c>
      <c r="L1967">
        <v>169000</v>
      </c>
    </row>
    <row r="1968" spans="1:12" ht="15" customHeight="1">
      <c r="A1968" t="s">
        <v>7259</v>
      </c>
      <c r="B1968" t="s">
        <v>4532</v>
      </c>
      <c r="C1968" t="s">
        <v>12</v>
      </c>
      <c r="D1968" t="s">
        <v>4533</v>
      </c>
      <c r="E1968" t="s">
        <v>1565</v>
      </c>
      <c r="F1968" t="s">
        <v>25</v>
      </c>
      <c r="G1968" t="s">
        <v>18</v>
      </c>
    </row>
    <row r="1969" spans="1:12" ht="15" customHeight="1">
      <c r="A1969" t="s">
        <v>7260</v>
      </c>
      <c r="B1969" t="s">
        <v>4534</v>
      </c>
      <c r="C1969" t="s">
        <v>12</v>
      </c>
      <c r="D1969" t="s">
        <v>4535</v>
      </c>
      <c r="E1969" t="s">
        <v>1738</v>
      </c>
      <c r="F1969" t="s">
        <v>14</v>
      </c>
      <c r="G1969" t="s">
        <v>18</v>
      </c>
      <c r="I1969">
        <v>575000</v>
      </c>
      <c r="J1969">
        <v>405000</v>
      </c>
      <c r="K1969">
        <v>593000</v>
      </c>
      <c r="L1969">
        <v>394000</v>
      </c>
    </row>
    <row r="1970" spans="1:12" ht="15" customHeight="1">
      <c r="A1970" t="s">
        <v>7260</v>
      </c>
      <c r="B1970" t="s">
        <v>4536</v>
      </c>
      <c r="C1970" t="s">
        <v>12</v>
      </c>
      <c r="D1970" t="s">
        <v>4537</v>
      </c>
      <c r="E1970" t="s">
        <v>1532</v>
      </c>
      <c r="F1970" t="s">
        <v>14</v>
      </c>
      <c r="G1970" t="s">
        <v>18</v>
      </c>
      <c r="I1970">
        <v>5465000</v>
      </c>
      <c r="J1970">
        <v>15000</v>
      </c>
      <c r="K1970">
        <v>5341000</v>
      </c>
      <c r="L1970">
        <v>101000</v>
      </c>
    </row>
    <row r="1971" spans="1:12" ht="15" customHeight="1">
      <c r="A1971" t="s">
        <v>7260</v>
      </c>
      <c r="B1971" t="s">
        <v>4538</v>
      </c>
      <c r="C1971" t="s">
        <v>12</v>
      </c>
      <c r="D1971" t="s">
        <v>4539</v>
      </c>
      <c r="E1971" t="s">
        <v>1521</v>
      </c>
      <c r="F1971" t="s">
        <v>14</v>
      </c>
      <c r="G1971" t="s">
        <v>18</v>
      </c>
      <c r="I1971">
        <v>731000</v>
      </c>
      <c r="K1971">
        <v>950000</v>
      </c>
    </row>
    <row r="1972" spans="1:12" ht="15" customHeight="1">
      <c r="A1972" t="s">
        <v>7260</v>
      </c>
      <c r="B1972" t="s">
        <v>4540</v>
      </c>
      <c r="C1972" t="s">
        <v>12</v>
      </c>
      <c r="D1972" t="s">
        <v>4541</v>
      </c>
      <c r="E1972" t="s">
        <v>1518</v>
      </c>
      <c r="F1972" t="s">
        <v>14</v>
      </c>
      <c r="G1972" t="s">
        <v>18</v>
      </c>
      <c r="I1972">
        <v>1203000</v>
      </c>
      <c r="J1972">
        <v>1849000</v>
      </c>
      <c r="K1972">
        <v>1250000</v>
      </c>
      <c r="L1972">
        <v>1668000</v>
      </c>
    </row>
    <row r="1973" spans="1:12" ht="15" customHeight="1">
      <c r="A1973" t="s">
        <v>7261</v>
      </c>
      <c r="B1973" t="s">
        <v>4542</v>
      </c>
      <c r="C1973" t="s">
        <v>12</v>
      </c>
      <c r="D1973" t="s">
        <v>4543</v>
      </c>
      <c r="E1973" t="s">
        <v>1580</v>
      </c>
      <c r="F1973" t="s">
        <v>14</v>
      </c>
      <c r="G1973" t="s">
        <v>22</v>
      </c>
      <c r="J1973">
        <v>4949000</v>
      </c>
      <c r="L1973">
        <v>4890000</v>
      </c>
    </row>
    <row r="1974" spans="1:12" ht="15" customHeight="1">
      <c r="A1974" t="s">
        <v>7262</v>
      </c>
      <c r="B1974" t="s">
        <v>4544</v>
      </c>
      <c r="C1974" t="s">
        <v>12</v>
      </c>
      <c r="D1974" t="s">
        <v>4545</v>
      </c>
      <c r="E1974" t="s">
        <v>1508</v>
      </c>
      <c r="F1974" t="s">
        <v>14</v>
      </c>
      <c r="G1974" t="s">
        <v>18</v>
      </c>
      <c r="I1974">
        <v>817000</v>
      </c>
      <c r="J1974">
        <v>721000</v>
      </c>
      <c r="K1974">
        <v>779000</v>
      </c>
      <c r="L1974">
        <v>698000</v>
      </c>
    </row>
    <row r="1975" spans="1:12" ht="15" customHeight="1">
      <c r="A1975" t="s">
        <v>7263</v>
      </c>
      <c r="B1975" t="s">
        <v>4546</v>
      </c>
      <c r="C1975" t="s">
        <v>12</v>
      </c>
      <c r="D1975" t="s">
        <v>4547</v>
      </c>
      <c r="E1975" t="s">
        <v>1580</v>
      </c>
      <c r="F1975" t="s">
        <v>14</v>
      </c>
      <c r="G1975" t="s">
        <v>18</v>
      </c>
      <c r="I1975">
        <v>271000</v>
      </c>
      <c r="J1975">
        <v>372000</v>
      </c>
      <c r="K1975">
        <v>534000</v>
      </c>
      <c r="L1975">
        <v>277000</v>
      </c>
    </row>
    <row r="1976" spans="1:12" ht="15" customHeight="1">
      <c r="A1976" t="s">
        <v>7264</v>
      </c>
      <c r="B1976" t="s">
        <v>4548</v>
      </c>
      <c r="C1976" t="s">
        <v>12</v>
      </c>
      <c r="D1976" t="s">
        <v>4549</v>
      </c>
      <c r="E1976" t="s">
        <v>1516</v>
      </c>
      <c r="F1976" t="s">
        <v>25</v>
      </c>
      <c r="G1976" t="s">
        <v>18</v>
      </c>
      <c r="I1976">
        <v>2060000</v>
      </c>
      <c r="J1976">
        <v>1953000</v>
      </c>
      <c r="K1976">
        <v>1996000</v>
      </c>
      <c r="L1976">
        <v>1909000</v>
      </c>
    </row>
    <row r="1977" spans="1:12" ht="15" customHeight="1">
      <c r="A1977" t="s">
        <v>7265</v>
      </c>
      <c r="B1977" t="s">
        <v>4550</v>
      </c>
      <c r="C1977" t="s">
        <v>12</v>
      </c>
      <c r="D1977" t="s">
        <v>4551</v>
      </c>
      <c r="E1977" t="s">
        <v>1504</v>
      </c>
      <c r="F1977" t="s">
        <v>14</v>
      </c>
      <c r="G1977" t="s">
        <v>18</v>
      </c>
      <c r="I1977">
        <v>45297000</v>
      </c>
      <c r="J1977">
        <v>44770000</v>
      </c>
      <c r="K1977">
        <v>44529000</v>
      </c>
      <c r="L1977">
        <v>44509000</v>
      </c>
    </row>
    <row r="1978" spans="1:12" ht="15" customHeight="1">
      <c r="A1978" t="s">
        <v>7266</v>
      </c>
      <c r="B1978" t="s">
        <v>4552</v>
      </c>
      <c r="C1978" t="s">
        <v>12</v>
      </c>
      <c r="D1978" t="s">
        <v>4553</v>
      </c>
      <c r="E1978" t="s">
        <v>1580</v>
      </c>
      <c r="F1978" t="s">
        <v>14</v>
      </c>
      <c r="G1978" t="s">
        <v>18</v>
      </c>
      <c r="I1978">
        <v>510000</v>
      </c>
      <c r="J1978">
        <v>11000</v>
      </c>
      <c r="K1978">
        <v>522000</v>
      </c>
      <c r="L1978">
        <v>8000</v>
      </c>
    </row>
    <row r="1979" spans="1:12" ht="15" customHeight="1">
      <c r="A1979" t="s">
        <v>7267</v>
      </c>
      <c r="B1979" t="s">
        <v>4554</v>
      </c>
      <c r="C1979" t="s">
        <v>12</v>
      </c>
      <c r="D1979" t="s">
        <v>4555</v>
      </c>
      <c r="E1979" t="s">
        <v>1508</v>
      </c>
      <c r="F1979" t="s">
        <v>25</v>
      </c>
      <c r="G1979" t="s">
        <v>18</v>
      </c>
    </row>
    <row r="1980" spans="1:12" ht="15" customHeight="1">
      <c r="A1980" t="s">
        <v>7268</v>
      </c>
      <c r="B1980" t="s">
        <v>4556</v>
      </c>
      <c r="C1980" t="s">
        <v>12</v>
      </c>
      <c r="D1980" t="s">
        <v>4557</v>
      </c>
      <c r="E1980" t="s">
        <v>1526</v>
      </c>
      <c r="F1980" t="s">
        <v>25</v>
      </c>
      <c r="G1980" t="s">
        <v>18</v>
      </c>
      <c r="I1980">
        <v>2150000</v>
      </c>
      <c r="J1980">
        <v>677000</v>
      </c>
      <c r="K1980">
        <v>2172000</v>
      </c>
      <c r="L1980">
        <v>589000</v>
      </c>
    </row>
    <row r="1981" spans="1:12" ht="15" customHeight="1">
      <c r="A1981" t="s">
        <v>7269</v>
      </c>
      <c r="B1981" t="s">
        <v>4558</v>
      </c>
      <c r="C1981" t="s">
        <v>12</v>
      </c>
      <c r="D1981" t="s">
        <v>4559</v>
      </c>
      <c r="E1981" t="s">
        <v>1524</v>
      </c>
      <c r="F1981" t="s">
        <v>14</v>
      </c>
      <c r="G1981" t="s">
        <v>18</v>
      </c>
      <c r="I1981">
        <v>1370000</v>
      </c>
      <c r="J1981">
        <v>1626000</v>
      </c>
      <c r="K1981">
        <v>1581000</v>
      </c>
      <c r="L1981">
        <v>1310000</v>
      </c>
    </row>
    <row r="1982" spans="1:12" ht="15" customHeight="1">
      <c r="A1982" t="s">
        <v>7270</v>
      </c>
      <c r="B1982" t="s">
        <v>4560</v>
      </c>
      <c r="C1982" t="s">
        <v>12</v>
      </c>
      <c r="D1982" t="s">
        <v>4561</v>
      </c>
      <c r="E1982" t="s">
        <v>1560</v>
      </c>
      <c r="F1982" t="s">
        <v>25</v>
      </c>
      <c r="G1982" t="s">
        <v>18</v>
      </c>
      <c r="I1982">
        <v>2869000</v>
      </c>
      <c r="J1982">
        <v>10197000</v>
      </c>
      <c r="K1982">
        <v>2797000</v>
      </c>
      <c r="L1982">
        <v>10276000</v>
      </c>
    </row>
    <row r="1983" spans="1:12" ht="15" customHeight="1">
      <c r="A1983" t="s">
        <v>7271</v>
      </c>
      <c r="B1983" t="s">
        <v>4562</v>
      </c>
      <c r="C1983" t="s">
        <v>12</v>
      </c>
      <c r="D1983" t="s">
        <v>4563</v>
      </c>
      <c r="E1983" t="s">
        <v>1580</v>
      </c>
      <c r="F1983" t="s">
        <v>25</v>
      </c>
      <c r="G1983" t="s">
        <v>18</v>
      </c>
    </row>
    <row r="1984" spans="1:12" ht="15" customHeight="1">
      <c r="A1984" t="s">
        <v>7272</v>
      </c>
      <c r="B1984" t="s">
        <v>4564</v>
      </c>
      <c r="C1984" t="s">
        <v>12</v>
      </c>
      <c r="D1984" t="s">
        <v>4565</v>
      </c>
      <c r="E1984" t="s">
        <v>1558</v>
      </c>
      <c r="F1984" t="s">
        <v>14</v>
      </c>
      <c r="G1984" t="s">
        <v>18</v>
      </c>
    </row>
    <row r="1985" spans="1:12" ht="15" customHeight="1">
      <c r="A1985" t="s">
        <v>7273</v>
      </c>
      <c r="B1985" t="s">
        <v>4566</v>
      </c>
      <c r="C1985" t="s">
        <v>12</v>
      </c>
      <c r="D1985" t="s">
        <v>4567</v>
      </c>
      <c r="E1985" t="s">
        <v>1508</v>
      </c>
      <c r="F1985" t="s">
        <v>14</v>
      </c>
      <c r="G1985" t="s">
        <v>18</v>
      </c>
      <c r="I1985">
        <v>804000</v>
      </c>
      <c r="J1985">
        <v>933000</v>
      </c>
      <c r="K1985">
        <v>674000</v>
      </c>
      <c r="L1985">
        <v>853000</v>
      </c>
    </row>
    <row r="1986" spans="1:12" ht="15" customHeight="1">
      <c r="A1986" t="s">
        <v>7274</v>
      </c>
      <c r="B1986" t="s">
        <v>4568</v>
      </c>
      <c r="C1986" t="s">
        <v>12</v>
      </c>
      <c r="D1986" t="s">
        <v>4569</v>
      </c>
      <c r="E1986" t="s">
        <v>1558</v>
      </c>
      <c r="F1986" t="s">
        <v>14</v>
      </c>
      <c r="G1986" t="s">
        <v>18</v>
      </c>
    </row>
    <row r="1987" spans="1:12" ht="15" customHeight="1">
      <c r="A1987" t="s">
        <v>7275</v>
      </c>
      <c r="B1987" t="s">
        <v>4570</v>
      </c>
      <c r="C1987" t="s">
        <v>12</v>
      </c>
      <c r="D1987" t="s">
        <v>4571</v>
      </c>
      <c r="E1987" t="s">
        <v>1580</v>
      </c>
      <c r="F1987" t="s">
        <v>14</v>
      </c>
      <c r="G1987" t="s">
        <v>18</v>
      </c>
    </row>
    <row r="1988" spans="1:12" ht="15" customHeight="1">
      <c r="A1988" t="s">
        <v>7276</v>
      </c>
      <c r="B1988" t="s">
        <v>4572</v>
      </c>
      <c r="C1988" t="s">
        <v>12</v>
      </c>
      <c r="D1988" t="s">
        <v>4573</v>
      </c>
      <c r="E1988" t="s">
        <v>1532</v>
      </c>
      <c r="F1988" t="s">
        <v>14</v>
      </c>
      <c r="G1988" t="s">
        <v>22</v>
      </c>
      <c r="I1988">
        <v>16616000</v>
      </c>
      <c r="J1988">
        <v>21795000</v>
      </c>
      <c r="K1988">
        <v>18101000</v>
      </c>
      <c r="L1988">
        <v>15619000</v>
      </c>
    </row>
    <row r="1989" spans="1:12" ht="15" customHeight="1">
      <c r="A1989" t="s">
        <v>7277</v>
      </c>
      <c r="B1989" t="s">
        <v>4574</v>
      </c>
      <c r="C1989" t="s">
        <v>12</v>
      </c>
      <c r="D1989" t="s">
        <v>4575</v>
      </c>
      <c r="E1989" t="s">
        <v>1508</v>
      </c>
      <c r="F1989" t="s">
        <v>25</v>
      </c>
      <c r="G1989" t="s">
        <v>22</v>
      </c>
      <c r="I1989">
        <v>18308000</v>
      </c>
      <c r="J1989">
        <v>23141000</v>
      </c>
      <c r="K1989">
        <v>18705000</v>
      </c>
      <c r="L1989">
        <v>22300000</v>
      </c>
    </row>
    <row r="1990" spans="1:12" ht="15" customHeight="1">
      <c r="A1990" t="s">
        <v>7278</v>
      </c>
      <c r="B1990" t="s">
        <v>4576</v>
      </c>
      <c r="C1990" t="s">
        <v>12</v>
      </c>
      <c r="D1990" t="s">
        <v>4577</v>
      </c>
      <c r="E1990" t="s">
        <v>1532</v>
      </c>
      <c r="F1990" t="s">
        <v>14</v>
      </c>
      <c r="G1990" t="s">
        <v>18</v>
      </c>
      <c r="I1990">
        <v>73000</v>
      </c>
      <c r="J1990">
        <v>4859000</v>
      </c>
      <c r="K1990">
        <v>175000</v>
      </c>
      <c r="L1990">
        <v>136000</v>
      </c>
    </row>
    <row r="1991" spans="1:12" ht="15" customHeight="1">
      <c r="A1991" t="s">
        <v>7279</v>
      </c>
      <c r="B1991" t="s">
        <v>4578</v>
      </c>
      <c r="C1991" t="s">
        <v>12</v>
      </c>
      <c r="D1991" t="s">
        <v>4579</v>
      </c>
      <c r="E1991" t="s">
        <v>1525</v>
      </c>
      <c r="F1991" t="s">
        <v>14</v>
      </c>
      <c r="G1991" t="s">
        <v>18</v>
      </c>
      <c r="J1991">
        <v>1600000</v>
      </c>
      <c r="L1991">
        <v>1575000</v>
      </c>
    </row>
    <row r="1992" spans="1:12" ht="15" customHeight="1">
      <c r="A1992" t="s">
        <v>7280</v>
      </c>
      <c r="B1992" t="s">
        <v>4580</v>
      </c>
      <c r="C1992" t="s">
        <v>12</v>
      </c>
      <c r="D1992" t="s">
        <v>4581</v>
      </c>
      <c r="E1992" t="s">
        <v>1521</v>
      </c>
      <c r="F1992" t="s">
        <v>14</v>
      </c>
      <c r="G1992" t="s">
        <v>18</v>
      </c>
    </row>
    <row r="1993" spans="1:12" ht="15" customHeight="1">
      <c r="A1993" t="s">
        <v>7281</v>
      </c>
      <c r="B1993" t="s">
        <v>4582</v>
      </c>
      <c r="C1993" t="s">
        <v>12</v>
      </c>
      <c r="D1993" t="s">
        <v>4583</v>
      </c>
      <c r="E1993" t="s">
        <v>1532</v>
      </c>
      <c r="F1993" t="s">
        <v>25</v>
      </c>
      <c r="G1993" t="s">
        <v>18</v>
      </c>
      <c r="J1993">
        <v>4810000</v>
      </c>
      <c r="L1993">
        <v>4550000</v>
      </c>
    </row>
    <row r="1994" spans="1:12" ht="15" customHeight="1">
      <c r="A1994" t="s">
        <v>7282</v>
      </c>
      <c r="B1994" t="s">
        <v>4584</v>
      </c>
      <c r="C1994" t="s">
        <v>12</v>
      </c>
      <c r="D1994" t="s">
        <v>4585</v>
      </c>
      <c r="E1994" t="s">
        <v>4586</v>
      </c>
      <c r="F1994" t="s">
        <v>14</v>
      </c>
      <c r="G1994" t="s">
        <v>18</v>
      </c>
      <c r="J1994">
        <v>250000</v>
      </c>
      <c r="K1994">
        <v>6000</v>
      </c>
      <c r="L1994">
        <v>253000</v>
      </c>
    </row>
    <row r="1995" spans="1:12" ht="15" customHeight="1">
      <c r="A1995" t="s">
        <v>7283</v>
      </c>
      <c r="B1995" t="s">
        <v>4587</v>
      </c>
      <c r="C1995" t="s">
        <v>12</v>
      </c>
      <c r="D1995" t="s">
        <v>4588</v>
      </c>
      <c r="E1995" t="s">
        <v>1605</v>
      </c>
      <c r="F1995" t="s">
        <v>14</v>
      </c>
      <c r="G1995" t="s">
        <v>18</v>
      </c>
      <c r="I1995">
        <v>31000</v>
      </c>
      <c r="K1995">
        <v>31000</v>
      </c>
    </row>
    <row r="1996" spans="1:12" ht="15" customHeight="1">
      <c r="A1996" t="s">
        <v>7284</v>
      </c>
      <c r="B1996" t="s">
        <v>4589</v>
      </c>
      <c r="C1996" t="s">
        <v>12</v>
      </c>
      <c r="D1996" t="s">
        <v>4590</v>
      </c>
      <c r="E1996" t="s">
        <v>1518</v>
      </c>
      <c r="F1996" t="s">
        <v>14</v>
      </c>
      <c r="G1996" t="s">
        <v>18</v>
      </c>
      <c r="I1996">
        <v>2078000</v>
      </c>
      <c r="J1996">
        <v>2251000</v>
      </c>
      <c r="L1996">
        <v>1885000</v>
      </c>
    </row>
    <row r="1997" spans="1:12" ht="15" customHeight="1">
      <c r="A1997" t="s">
        <v>7285</v>
      </c>
      <c r="B1997" t="s">
        <v>4591</v>
      </c>
      <c r="C1997" t="s">
        <v>12</v>
      </c>
      <c r="D1997" t="s">
        <v>4592</v>
      </c>
      <c r="E1997" t="s">
        <v>1642</v>
      </c>
      <c r="F1997" t="s">
        <v>14</v>
      </c>
      <c r="G1997" t="s">
        <v>18</v>
      </c>
      <c r="I1997">
        <v>13232000</v>
      </c>
      <c r="J1997">
        <v>4471000</v>
      </c>
      <c r="K1997">
        <v>15410000</v>
      </c>
      <c r="L1997">
        <v>5068000</v>
      </c>
    </row>
    <row r="1998" spans="1:12" ht="15" customHeight="1">
      <c r="A1998" t="s">
        <v>7286</v>
      </c>
      <c r="B1998" t="s">
        <v>4593</v>
      </c>
      <c r="C1998" t="s">
        <v>12</v>
      </c>
      <c r="D1998" t="s">
        <v>4594</v>
      </c>
      <c r="E1998" t="s">
        <v>1795</v>
      </c>
      <c r="F1998" t="s">
        <v>14</v>
      </c>
      <c r="G1998" t="s">
        <v>18</v>
      </c>
      <c r="I1998">
        <v>277000</v>
      </c>
      <c r="K1998">
        <v>282000</v>
      </c>
    </row>
    <row r="1999" spans="1:12" ht="15" customHeight="1">
      <c r="A1999" t="s">
        <v>7287</v>
      </c>
      <c r="B1999" t="s">
        <v>4595</v>
      </c>
      <c r="C1999" t="s">
        <v>12</v>
      </c>
      <c r="D1999" t="s">
        <v>4596</v>
      </c>
      <c r="E1999" t="s">
        <v>1505</v>
      </c>
      <c r="F1999" t="s">
        <v>25</v>
      </c>
      <c r="G1999" t="s">
        <v>18</v>
      </c>
      <c r="I1999">
        <v>345000</v>
      </c>
      <c r="K1999">
        <v>348000</v>
      </c>
    </row>
    <row r="2000" spans="1:12" ht="15" customHeight="1">
      <c r="A2000" t="s">
        <v>7288</v>
      </c>
      <c r="B2000" t="s">
        <v>4597</v>
      </c>
      <c r="C2000" t="s">
        <v>12</v>
      </c>
      <c r="D2000" t="s">
        <v>4598</v>
      </c>
      <c r="E2000" t="s">
        <v>1544</v>
      </c>
      <c r="F2000" t="s">
        <v>14</v>
      </c>
      <c r="G2000" t="s">
        <v>18</v>
      </c>
      <c r="I2000">
        <v>8521000</v>
      </c>
      <c r="J2000">
        <v>12902000</v>
      </c>
      <c r="K2000">
        <v>8430000</v>
      </c>
      <c r="L2000">
        <v>12607000</v>
      </c>
    </row>
    <row r="2001" spans="1:12" ht="15" customHeight="1">
      <c r="A2001" t="s">
        <v>7289</v>
      </c>
      <c r="B2001" t="s">
        <v>4599</v>
      </c>
      <c r="C2001" t="s">
        <v>12</v>
      </c>
      <c r="D2001" t="s">
        <v>4600</v>
      </c>
      <c r="E2001" t="s">
        <v>1628</v>
      </c>
      <c r="F2001" t="s">
        <v>14</v>
      </c>
      <c r="G2001" t="s">
        <v>18</v>
      </c>
      <c r="I2001">
        <v>11018000</v>
      </c>
      <c r="J2001">
        <v>21623000</v>
      </c>
      <c r="K2001">
        <v>16168000</v>
      </c>
      <c r="L2001">
        <v>22745000</v>
      </c>
    </row>
    <row r="2002" spans="1:12" ht="15" customHeight="1">
      <c r="A2002" t="s">
        <v>7290</v>
      </c>
      <c r="B2002" t="s">
        <v>4601</v>
      </c>
      <c r="C2002" t="s">
        <v>12</v>
      </c>
      <c r="D2002" t="s">
        <v>4602</v>
      </c>
      <c r="E2002" t="s">
        <v>1533</v>
      </c>
      <c r="F2002" t="s">
        <v>14</v>
      </c>
      <c r="G2002" t="s">
        <v>18</v>
      </c>
      <c r="I2002">
        <v>13213000</v>
      </c>
      <c r="J2002">
        <v>2986000</v>
      </c>
      <c r="K2002">
        <v>14049000</v>
      </c>
      <c r="L2002">
        <v>2830000</v>
      </c>
    </row>
    <row r="2003" spans="1:12" ht="15" customHeight="1">
      <c r="A2003" t="s">
        <v>7291</v>
      </c>
      <c r="B2003" t="s">
        <v>4603</v>
      </c>
      <c r="C2003" t="s">
        <v>12</v>
      </c>
      <c r="D2003" t="s">
        <v>4604</v>
      </c>
      <c r="E2003" t="s">
        <v>1508</v>
      </c>
      <c r="F2003" t="s">
        <v>14</v>
      </c>
      <c r="G2003" t="s">
        <v>18</v>
      </c>
      <c r="I2003">
        <v>193000</v>
      </c>
      <c r="J2003">
        <v>423000</v>
      </c>
      <c r="K2003">
        <v>163000</v>
      </c>
      <c r="L2003">
        <v>450000</v>
      </c>
    </row>
    <row r="2004" spans="1:12" ht="15" customHeight="1">
      <c r="A2004" t="s">
        <v>7292</v>
      </c>
      <c r="B2004" t="s">
        <v>4605</v>
      </c>
      <c r="C2004" t="s">
        <v>12</v>
      </c>
      <c r="D2004" t="s">
        <v>4606</v>
      </c>
      <c r="E2004" t="s">
        <v>1579</v>
      </c>
      <c r="F2004" t="s">
        <v>14</v>
      </c>
      <c r="G2004" t="s">
        <v>77</v>
      </c>
      <c r="I2004">
        <v>272246000</v>
      </c>
      <c r="J2004">
        <v>283395000</v>
      </c>
      <c r="K2004">
        <v>273568000</v>
      </c>
      <c r="L2004">
        <v>278120000</v>
      </c>
    </row>
    <row r="2005" spans="1:12" ht="15" customHeight="1">
      <c r="A2005" t="s">
        <v>7293</v>
      </c>
      <c r="B2005" t="s">
        <v>4607</v>
      </c>
      <c r="C2005" t="s">
        <v>12</v>
      </c>
      <c r="D2005" t="s">
        <v>4608</v>
      </c>
      <c r="E2005" t="s">
        <v>1646</v>
      </c>
      <c r="F2005" t="s">
        <v>14</v>
      </c>
      <c r="G2005" t="s">
        <v>18</v>
      </c>
      <c r="I2005">
        <v>12633000</v>
      </c>
      <c r="J2005">
        <v>21430000</v>
      </c>
      <c r="K2005">
        <v>7153000</v>
      </c>
      <c r="L2005">
        <v>17352000</v>
      </c>
    </row>
    <row r="2006" spans="1:12" ht="15" customHeight="1">
      <c r="A2006" t="s">
        <v>7294</v>
      </c>
      <c r="B2006" t="s">
        <v>4609</v>
      </c>
      <c r="C2006" t="s">
        <v>12</v>
      </c>
      <c r="D2006" t="s">
        <v>4610</v>
      </c>
      <c r="E2006" t="s">
        <v>1619</v>
      </c>
      <c r="F2006" t="s">
        <v>25</v>
      </c>
      <c r="G2006" t="s">
        <v>18</v>
      </c>
      <c r="I2006">
        <v>91000</v>
      </c>
      <c r="J2006">
        <v>26000</v>
      </c>
      <c r="K2006">
        <v>92000</v>
      </c>
      <c r="L2006">
        <v>38000</v>
      </c>
    </row>
    <row r="2007" spans="1:12" ht="15" customHeight="1">
      <c r="A2007" t="s">
        <v>7295</v>
      </c>
      <c r="B2007" t="s">
        <v>4611</v>
      </c>
      <c r="C2007" t="s">
        <v>12</v>
      </c>
      <c r="D2007" t="s">
        <v>4612</v>
      </c>
      <c r="E2007" t="s">
        <v>1781</v>
      </c>
      <c r="F2007" t="s">
        <v>14</v>
      </c>
      <c r="G2007" t="s">
        <v>18</v>
      </c>
      <c r="I2007">
        <v>1884000</v>
      </c>
      <c r="J2007">
        <v>2912000</v>
      </c>
      <c r="K2007">
        <v>1907000</v>
      </c>
      <c r="L2007">
        <v>2894000</v>
      </c>
    </row>
    <row r="2008" spans="1:12" ht="15" customHeight="1">
      <c r="A2008" t="s">
        <v>7296</v>
      </c>
      <c r="B2008" t="s">
        <v>4613</v>
      </c>
      <c r="C2008" t="s">
        <v>12</v>
      </c>
      <c r="D2008" t="s">
        <v>4614</v>
      </c>
      <c r="E2008" t="s">
        <v>1532</v>
      </c>
      <c r="F2008" t="s">
        <v>14</v>
      </c>
      <c r="G2008" t="s">
        <v>18</v>
      </c>
      <c r="I2008">
        <v>273000</v>
      </c>
      <c r="J2008">
        <v>334000</v>
      </c>
      <c r="K2008">
        <v>233000</v>
      </c>
      <c r="L2008">
        <v>440000</v>
      </c>
    </row>
    <row r="2009" spans="1:12" ht="15" customHeight="1">
      <c r="A2009" t="s">
        <v>7297</v>
      </c>
      <c r="B2009" t="s">
        <v>4615</v>
      </c>
      <c r="C2009" t="s">
        <v>12</v>
      </c>
      <c r="D2009" t="s">
        <v>4616</v>
      </c>
      <c r="E2009" t="s">
        <v>1580</v>
      </c>
      <c r="F2009" t="s">
        <v>25</v>
      </c>
      <c r="G2009" t="s">
        <v>18</v>
      </c>
      <c r="I2009">
        <v>6000</v>
      </c>
      <c r="J2009">
        <v>6000</v>
      </c>
      <c r="K2009">
        <v>6000</v>
      </c>
      <c r="L2009">
        <v>6000</v>
      </c>
    </row>
    <row r="2010" spans="1:12" ht="15" customHeight="1">
      <c r="A2010" t="s">
        <v>7298</v>
      </c>
      <c r="B2010" t="s">
        <v>4617</v>
      </c>
      <c r="C2010" t="s">
        <v>12</v>
      </c>
      <c r="D2010" t="s">
        <v>4618</v>
      </c>
      <c r="E2010" t="s">
        <v>1584</v>
      </c>
      <c r="F2010" t="s">
        <v>14</v>
      </c>
      <c r="G2010" t="s">
        <v>18</v>
      </c>
    </row>
    <row r="2011" spans="1:12" ht="15" customHeight="1">
      <c r="A2011" t="s">
        <v>7299</v>
      </c>
      <c r="B2011" t="s">
        <v>4619</v>
      </c>
      <c r="C2011" t="s">
        <v>12</v>
      </c>
      <c r="D2011" t="s">
        <v>4620</v>
      </c>
      <c r="E2011" t="s">
        <v>1604</v>
      </c>
      <c r="F2011" t="s">
        <v>14</v>
      </c>
      <c r="G2011" t="s">
        <v>18</v>
      </c>
      <c r="I2011">
        <v>510000</v>
      </c>
      <c r="J2011">
        <v>665000</v>
      </c>
      <c r="K2011">
        <v>481000</v>
      </c>
      <c r="L2011">
        <v>619000</v>
      </c>
    </row>
    <row r="2012" spans="1:12" ht="15" customHeight="1">
      <c r="A2012" t="s">
        <v>7300</v>
      </c>
      <c r="B2012" t="s">
        <v>4621</v>
      </c>
      <c r="C2012" t="s">
        <v>12</v>
      </c>
      <c r="D2012" t="s">
        <v>4622</v>
      </c>
      <c r="E2012" t="s">
        <v>1532</v>
      </c>
      <c r="F2012" t="s">
        <v>14</v>
      </c>
      <c r="G2012" t="s">
        <v>18</v>
      </c>
      <c r="I2012">
        <v>2655000</v>
      </c>
      <c r="J2012">
        <v>29000</v>
      </c>
      <c r="K2012">
        <v>3653000</v>
      </c>
      <c r="L2012">
        <v>721000</v>
      </c>
    </row>
    <row r="2013" spans="1:12" ht="15" customHeight="1">
      <c r="A2013" t="s">
        <v>7301</v>
      </c>
      <c r="B2013" t="s">
        <v>4623</v>
      </c>
      <c r="C2013" t="s">
        <v>12</v>
      </c>
      <c r="D2013" t="s">
        <v>4624</v>
      </c>
      <c r="E2013" t="s">
        <v>1532</v>
      </c>
      <c r="F2013" t="s">
        <v>14</v>
      </c>
      <c r="G2013" t="s">
        <v>18</v>
      </c>
      <c r="I2013">
        <v>27390000</v>
      </c>
      <c r="J2013">
        <v>44726000</v>
      </c>
      <c r="K2013">
        <v>29284000</v>
      </c>
      <c r="L2013">
        <v>42659000</v>
      </c>
    </row>
    <row r="2014" spans="1:12" ht="15" customHeight="1">
      <c r="A2014" t="s">
        <v>7302</v>
      </c>
      <c r="B2014" t="s">
        <v>4625</v>
      </c>
      <c r="C2014" t="s">
        <v>12</v>
      </c>
      <c r="D2014" t="s">
        <v>4626</v>
      </c>
      <c r="E2014" t="s">
        <v>1565</v>
      </c>
      <c r="F2014" t="s">
        <v>14</v>
      </c>
      <c r="G2014" t="s">
        <v>18</v>
      </c>
      <c r="J2014">
        <v>676000</v>
      </c>
      <c r="L2014">
        <v>1198000</v>
      </c>
    </row>
    <row r="2015" spans="1:12" ht="15" customHeight="1">
      <c r="A2015" t="s">
        <v>7303</v>
      </c>
      <c r="B2015" t="s">
        <v>4627</v>
      </c>
      <c r="C2015" t="s">
        <v>12</v>
      </c>
      <c r="D2015" t="s">
        <v>4628</v>
      </c>
      <c r="E2015" t="s">
        <v>1533</v>
      </c>
      <c r="F2015" t="s">
        <v>25</v>
      </c>
      <c r="G2015" t="s">
        <v>18</v>
      </c>
    </row>
    <row r="2016" spans="1:12" ht="15" customHeight="1">
      <c r="A2016" t="s">
        <v>7304</v>
      </c>
      <c r="B2016" t="s">
        <v>4629</v>
      </c>
      <c r="C2016" t="s">
        <v>12</v>
      </c>
      <c r="D2016" t="s">
        <v>4630</v>
      </c>
      <c r="E2016" t="s">
        <v>1801</v>
      </c>
      <c r="F2016" t="s">
        <v>14</v>
      </c>
      <c r="G2016" t="s">
        <v>18</v>
      </c>
      <c r="I2016">
        <v>4107000</v>
      </c>
      <c r="J2016">
        <v>5393000</v>
      </c>
      <c r="K2016">
        <v>4237000</v>
      </c>
      <c r="L2016">
        <v>5499000</v>
      </c>
    </row>
    <row r="2017" spans="1:12" ht="15" customHeight="1">
      <c r="A2017" t="s">
        <v>7305</v>
      </c>
      <c r="B2017" t="s">
        <v>4631</v>
      </c>
      <c r="C2017" t="s">
        <v>12</v>
      </c>
      <c r="D2017" t="s">
        <v>4632</v>
      </c>
      <c r="E2017" t="s">
        <v>1532</v>
      </c>
      <c r="F2017" t="s">
        <v>14</v>
      </c>
      <c r="G2017" t="s">
        <v>18</v>
      </c>
      <c r="I2017">
        <v>1541000</v>
      </c>
      <c r="J2017">
        <v>16606000</v>
      </c>
      <c r="K2017">
        <v>1541000</v>
      </c>
      <c r="L2017">
        <v>16606000</v>
      </c>
    </row>
    <row r="2018" spans="1:12" ht="15" customHeight="1">
      <c r="A2018" t="s">
        <v>7306</v>
      </c>
      <c r="B2018" t="s">
        <v>4633</v>
      </c>
      <c r="C2018" t="s">
        <v>12</v>
      </c>
      <c r="D2018" t="s">
        <v>4634</v>
      </c>
      <c r="E2018" t="s">
        <v>1532</v>
      </c>
      <c r="F2018" t="s">
        <v>14</v>
      </c>
      <c r="G2018" t="s">
        <v>18</v>
      </c>
      <c r="I2018">
        <v>1044000</v>
      </c>
      <c r="J2018">
        <v>385000</v>
      </c>
      <c r="K2018">
        <v>766000</v>
      </c>
      <c r="L2018">
        <v>686000</v>
      </c>
    </row>
    <row r="2019" spans="1:12" ht="15" customHeight="1">
      <c r="A2019" t="s">
        <v>7307</v>
      </c>
      <c r="B2019" t="s">
        <v>4635</v>
      </c>
      <c r="C2019" t="s">
        <v>12</v>
      </c>
      <c r="D2019" t="s">
        <v>4636</v>
      </c>
      <c r="E2019" t="s">
        <v>1532</v>
      </c>
      <c r="F2019" t="s">
        <v>14</v>
      </c>
      <c r="G2019" t="s">
        <v>18</v>
      </c>
    </row>
    <row r="2020" spans="1:12" ht="15" customHeight="1">
      <c r="A2020" t="s">
        <v>7308</v>
      </c>
      <c r="B2020" t="s">
        <v>4637</v>
      </c>
      <c r="C2020" t="s">
        <v>12</v>
      </c>
      <c r="D2020" t="s">
        <v>4638</v>
      </c>
      <c r="E2020" t="s">
        <v>1513</v>
      </c>
      <c r="F2020" t="s">
        <v>25</v>
      </c>
      <c r="G2020" t="s">
        <v>18</v>
      </c>
      <c r="I2020">
        <v>57749000</v>
      </c>
      <c r="J2020">
        <v>92494000</v>
      </c>
      <c r="K2020">
        <v>101501000</v>
      </c>
      <c r="L2020">
        <v>91687000</v>
      </c>
    </row>
    <row r="2021" spans="1:12" ht="15" customHeight="1">
      <c r="A2021" t="s">
        <v>7309</v>
      </c>
      <c r="B2021" t="s">
        <v>4639</v>
      </c>
      <c r="C2021" t="s">
        <v>12</v>
      </c>
      <c r="D2021" t="s">
        <v>4640</v>
      </c>
      <c r="E2021" t="s">
        <v>1511</v>
      </c>
      <c r="F2021" t="s">
        <v>14</v>
      </c>
      <c r="G2021" t="s">
        <v>18</v>
      </c>
      <c r="I2021">
        <v>2513000</v>
      </c>
      <c r="J2021">
        <v>2317000</v>
      </c>
      <c r="K2021">
        <v>2562000</v>
      </c>
      <c r="L2021">
        <v>2075000</v>
      </c>
    </row>
    <row r="2022" spans="1:12" ht="15" customHeight="1">
      <c r="A2022" t="s">
        <v>7310</v>
      </c>
      <c r="B2022" t="s">
        <v>4641</v>
      </c>
      <c r="C2022" t="s">
        <v>12</v>
      </c>
      <c r="D2022" t="s">
        <v>4642</v>
      </c>
      <c r="E2022" t="s">
        <v>1535</v>
      </c>
      <c r="F2022" t="s">
        <v>25</v>
      </c>
      <c r="G2022" t="s">
        <v>18</v>
      </c>
      <c r="I2022">
        <v>41000</v>
      </c>
      <c r="J2022">
        <v>120000</v>
      </c>
      <c r="K2022">
        <v>35000</v>
      </c>
      <c r="L2022">
        <v>129000</v>
      </c>
    </row>
    <row r="2023" spans="1:12" ht="15" customHeight="1">
      <c r="A2023" t="s">
        <v>7311</v>
      </c>
      <c r="B2023" t="s">
        <v>4643</v>
      </c>
      <c r="C2023" t="s">
        <v>12</v>
      </c>
      <c r="D2023" t="s">
        <v>4644</v>
      </c>
      <c r="E2023" t="s">
        <v>1565</v>
      </c>
      <c r="F2023" t="s">
        <v>14</v>
      </c>
      <c r="G2023" t="s">
        <v>18</v>
      </c>
      <c r="I2023">
        <v>571000</v>
      </c>
      <c r="J2023">
        <v>628000</v>
      </c>
      <c r="K2023">
        <v>705000</v>
      </c>
      <c r="L2023">
        <v>785000</v>
      </c>
    </row>
    <row r="2024" spans="1:12" ht="15" customHeight="1">
      <c r="A2024" t="s">
        <v>7312</v>
      </c>
      <c r="B2024" t="s">
        <v>4645</v>
      </c>
      <c r="C2024" t="s">
        <v>12</v>
      </c>
      <c r="D2024" t="s">
        <v>4646</v>
      </c>
      <c r="E2024" t="s">
        <v>1667</v>
      </c>
      <c r="F2024" t="s">
        <v>25</v>
      </c>
      <c r="G2024" t="s">
        <v>18</v>
      </c>
      <c r="I2024">
        <v>2368000</v>
      </c>
      <c r="J2024">
        <v>2049000</v>
      </c>
      <c r="K2024">
        <v>2397000</v>
      </c>
      <c r="L2024">
        <v>1702000</v>
      </c>
    </row>
    <row r="2025" spans="1:12" ht="15" customHeight="1">
      <c r="A2025" t="s">
        <v>7313</v>
      </c>
      <c r="B2025" t="s">
        <v>4647</v>
      </c>
      <c r="C2025" t="s">
        <v>12</v>
      </c>
      <c r="D2025" t="s">
        <v>4648</v>
      </c>
      <c r="E2025" t="s">
        <v>1558</v>
      </c>
      <c r="F2025" t="s">
        <v>14</v>
      </c>
      <c r="G2025" t="s">
        <v>18</v>
      </c>
      <c r="I2025">
        <v>4914000</v>
      </c>
      <c r="J2025">
        <v>2245000</v>
      </c>
      <c r="K2025">
        <v>3579000</v>
      </c>
      <c r="L2025">
        <v>3141000</v>
      </c>
    </row>
    <row r="2026" spans="1:12" ht="15" customHeight="1">
      <c r="A2026" t="s">
        <v>7314</v>
      </c>
      <c r="B2026" t="s">
        <v>4649</v>
      </c>
      <c r="C2026" t="s">
        <v>12</v>
      </c>
      <c r="D2026" t="s">
        <v>4650</v>
      </c>
      <c r="E2026" t="s">
        <v>1532</v>
      </c>
      <c r="F2026" t="s">
        <v>14</v>
      </c>
      <c r="G2026" t="s">
        <v>18</v>
      </c>
    </row>
    <row r="2027" spans="1:12" ht="15" customHeight="1">
      <c r="A2027" t="s">
        <v>7315</v>
      </c>
      <c r="B2027" t="s">
        <v>4651</v>
      </c>
      <c r="C2027" t="s">
        <v>12</v>
      </c>
      <c r="D2027" t="s">
        <v>4652</v>
      </c>
      <c r="E2027" t="s">
        <v>1532</v>
      </c>
      <c r="F2027" t="s">
        <v>14</v>
      </c>
      <c r="G2027" t="s">
        <v>18</v>
      </c>
    </row>
    <row r="2028" spans="1:12" ht="15" customHeight="1">
      <c r="A2028" t="s">
        <v>7316</v>
      </c>
      <c r="B2028" t="s">
        <v>4653</v>
      </c>
      <c r="C2028" t="s">
        <v>12</v>
      </c>
      <c r="D2028" t="s">
        <v>4654</v>
      </c>
      <c r="E2028" t="s">
        <v>1620</v>
      </c>
      <c r="F2028" t="s">
        <v>14</v>
      </c>
      <c r="G2028" t="s">
        <v>18</v>
      </c>
      <c r="I2028">
        <v>12591000</v>
      </c>
      <c r="J2028">
        <v>10694000</v>
      </c>
      <c r="K2028">
        <v>10489000</v>
      </c>
      <c r="L2028">
        <v>11644000</v>
      </c>
    </row>
    <row r="2029" spans="1:12" ht="15" customHeight="1">
      <c r="A2029" t="s">
        <v>7317</v>
      </c>
      <c r="B2029" t="s">
        <v>4655</v>
      </c>
      <c r="C2029" t="s">
        <v>12</v>
      </c>
      <c r="D2029" t="s">
        <v>4656</v>
      </c>
      <c r="E2029" t="s">
        <v>1532</v>
      </c>
      <c r="F2029" t="s">
        <v>14</v>
      </c>
      <c r="G2029" t="s">
        <v>18</v>
      </c>
      <c r="I2029">
        <v>185000</v>
      </c>
      <c r="J2029">
        <v>244000</v>
      </c>
      <c r="K2029">
        <v>186000</v>
      </c>
      <c r="L2029">
        <v>243000</v>
      </c>
    </row>
    <row r="2030" spans="1:12" ht="15" customHeight="1">
      <c r="A2030" t="s">
        <v>7318</v>
      </c>
      <c r="B2030" t="s">
        <v>4657</v>
      </c>
      <c r="C2030" t="s">
        <v>12</v>
      </c>
      <c r="D2030" t="s">
        <v>4658</v>
      </c>
      <c r="E2030" t="s">
        <v>1580</v>
      </c>
      <c r="F2030" t="s">
        <v>14</v>
      </c>
      <c r="G2030" t="s">
        <v>18</v>
      </c>
    </row>
    <row r="2031" spans="1:12" ht="15" customHeight="1">
      <c r="A2031" t="s">
        <v>7319</v>
      </c>
      <c r="B2031" t="s">
        <v>4659</v>
      </c>
      <c r="C2031" t="s">
        <v>12</v>
      </c>
      <c r="D2031" t="s">
        <v>4660</v>
      </c>
      <c r="E2031" t="s">
        <v>1532</v>
      </c>
      <c r="F2031" t="s">
        <v>14</v>
      </c>
      <c r="G2031" t="s">
        <v>18</v>
      </c>
    </row>
    <row r="2032" spans="1:12" ht="15" customHeight="1">
      <c r="A2032" t="s">
        <v>7320</v>
      </c>
      <c r="B2032" t="s">
        <v>4661</v>
      </c>
      <c r="C2032" t="s">
        <v>12</v>
      </c>
      <c r="D2032" t="s">
        <v>4662</v>
      </c>
      <c r="E2032" t="s">
        <v>1520</v>
      </c>
      <c r="F2032" t="s">
        <v>14</v>
      </c>
      <c r="G2032" t="s">
        <v>18</v>
      </c>
      <c r="I2032">
        <v>480000</v>
      </c>
      <c r="J2032">
        <v>2852000</v>
      </c>
      <c r="K2032">
        <v>460000</v>
      </c>
      <c r="L2032">
        <v>2843000</v>
      </c>
    </row>
    <row r="2033" spans="1:12" ht="15" customHeight="1">
      <c r="A2033" t="s">
        <v>7321</v>
      </c>
      <c r="B2033" t="s">
        <v>4663</v>
      </c>
      <c r="C2033" t="s">
        <v>12</v>
      </c>
      <c r="D2033" t="s">
        <v>4664</v>
      </c>
      <c r="E2033" t="s">
        <v>1565</v>
      </c>
      <c r="F2033" t="s">
        <v>14</v>
      </c>
      <c r="G2033" t="s">
        <v>18</v>
      </c>
      <c r="I2033">
        <v>2061000</v>
      </c>
      <c r="J2033">
        <v>600000</v>
      </c>
      <c r="K2033">
        <v>2061000</v>
      </c>
      <c r="L2033">
        <v>600000</v>
      </c>
    </row>
    <row r="2034" spans="1:12" ht="15" customHeight="1">
      <c r="A2034" t="s">
        <v>7322</v>
      </c>
      <c r="B2034" t="s">
        <v>4665</v>
      </c>
      <c r="C2034" t="s">
        <v>12</v>
      </c>
      <c r="D2034" t="s">
        <v>4666</v>
      </c>
      <c r="E2034" t="s">
        <v>1588</v>
      </c>
      <c r="F2034" t="s">
        <v>14</v>
      </c>
      <c r="G2034" t="s">
        <v>18</v>
      </c>
      <c r="I2034">
        <v>275000</v>
      </c>
      <c r="K2034">
        <v>272000</v>
      </c>
    </row>
    <row r="2035" spans="1:12" ht="15" customHeight="1">
      <c r="A2035" t="s">
        <v>7323</v>
      </c>
      <c r="B2035" t="s">
        <v>4667</v>
      </c>
      <c r="C2035" t="s">
        <v>12</v>
      </c>
      <c r="D2035" t="s">
        <v>4668</v>
      </c>
      <c r="E2035" t="s">
        <v>1516</v>
      </c>
      <c r="F2035" t="s">
        <v>14</v>
      </c>
      <c r="G2035" t="s">
        <v>18</v>
      </c>
    </row>
    <row r="2036" spans="1:12" ht="15" customHeight="1">
      <c r="A2036" t="s">
        <v>7324</v>
      </c>
      <c r="B2036" t="s">
        <v>4669</v>
      </c>
      <c r="C2036" t="s">
        <v>12</v>
      </c>
      <c r="D2036" t="s">
        <v>4670</v>
      </c>
      <c r="E2036" t="s">
        <v>1518</v>
      </c>
      <c r="F2036" t="s">
        <v>14</v>
      </c>
      <c r="G2036" t="s">
        <v>18</v>
      </c>
      <c r="I2036">
        <v>606000</v>
      </c>
      <c r="J2036">
        <v>338000</v>
      </c>
      <c r="K2036">
        <v>585000</v>
      </c>
      <c r="L2036">
        <v>298000</v>
      </c>
    </row>
    <row r="2037" spans="1:12" ht="15" customHeight="1">
      <c r="A2037" t="s">
        <v>7325</v>
      </c>
      <c r="B2037" t="s">
        <v>4671</v>
      </c>
      <c r="C2037" t="s">
        <v>12</v>
      </c>
      <c r="D2037" t="s">
        <v>4672</v>
      </c>
      <c r="E2037" t="s">
        <v>1532</v>
      </c>
      <c r="F2037" t="s">
        <v>14</v>
      </c>
      <c r="G2037" t="s">
        <v>22</v>
      </c>
      <c r="I2037">
        <v>15307000</v>
      </c>
      <c r="J2037">
        <v>18259000</v>
      </c>
      <c r="K2037">
        <v>13198000</v>
      </c>
      <c r="L2037">
        <v>20018000</v>
      </c>
    </row>
    <row r="2038" spans="1:12" ht="15" customHeight="1">
      <c r="A2038" t="s">
        <v>7326</v>
      </c>
      <c r="B2038" t="s">
        <v>4673</v>
      </c>
      <c r="C2038" t="s">
        <v>12</v>
      </c>
      <c r="D2038" t="s">
        <v>4674</v>
      </c>
      <c r="E2038" t="s">
        <v>1508</v>
      </c>
      <c r="F2038" t="s">
        <v>14</v>
      </c>
      <c r="G2038" t="s">
        <v>18</v>
      </c>
    </row>
    <row r="2039" spans="1:12" ht="15" customHeight="1">
      <c r="A2039" t="s">
        <v>7327</v>
      </c>
      <c r="B2039" t="s">
        <v>4675</v>
      </c>
      <c r="C2039" t="s">
        <v>12</v>
      </c>
      <c r="D2039" t="s">
        <v>4676</v>
      </c>
      <c r="E2039" t="s">
        <v>1798</v>
      </c>
      <c r="F2039" t="s">
        <v>14</v>
      </c>
      <c r="G2039" t="s">
        <v>18</v>
      </c>
      <c r="I2039">
        <v>2035000</v>
      </c>
      <c r="J2039">
        <v>7161000</v>
      </c>
      <c r="K2039">
        <v>1511000</v>
      </c>
      <c r="L2039">
        <v>7636000</v>
      </c>
    </row>
    <row r="2040" spans="1:12" ht="15" customHeight="1">
      <c r="A2040" t="s">
        <v>7328</v>
      </c>
      <c r="B2040" t="s">
        <v>4677</v>
      </c>
      <c r="C2040" t="s">
        <v>12</v>
      </c>
      <c r="D2040" t="s">
        <v>4678</v>
      </c>
      <c r="E2040" t="s">
        <v>1508</v>
      </c>
      <c r="F2040" t="s">
        <v>14</v>
      </c>
      <c r="G2040" t="s">
        <v>18</v>
      </c>
      <c r="I2040">
        <v>820000</v>
      </c>
      <c r="J2040">
        <v>888000</v>
      </c>
      <c r="K2040">
        <v>537000</v>
      </c>
      <c r="L2040">
        <v>916000</v>
      </c>
    </row>
    <row r="2041" spans="1:12" ht="15" customHeight="1">
      <c r="A2041" t="s">
        <v>7329</v>
      </c>
      <c r="B2041" t="s">
        <v>4679</v>
      </c>
      <c r="C2041" t="s">
        <v>12</v>
      </c>
      <c r="D2041" t="s">
        <v>4680</v>
      </c>
      <c r="E2041" t="s">
        <v>1560</v>
      </c>
      <c r="F2041" t="s">
        <v>25</v>
      </c>
      <c r="G2041" t="s">
        <v>77</v>
      </c>
    </row>
    <row r="2042" spans="1:12" ht="15" customHeight="1">
      <c r="A2042" t="s">
        <v>7330</v>
      </c>
      <c r="B2042" t="s">
        <v>4681</v>
      </c>
      <c r="C2042" t="s">
        <v>12</v>
      </c>
      <c r="D2042" t="s">
        <v>4682</v>
      </c>
      <c r="E2042" t="s">
        <v>1535</v>
      </c>
      <c r="F2042" t="s">
        <v>14</v>
      </c>
      <c r="G2042" t="s">
        <v>18</v>
      </c>
      <c r="J2042">
        <v>3609000</v>
      </c>
      <c r="L2042">
        <v>3620000</v>
      </c>
    </row>
    <row r="2043" spans="1:12" ht="15" customHeight="1">
      <c r="A2043" t="s">
        <v>7331</v>
      </c>
      <c r="B2043" t="s">
        <v>4683</v>
      </c>
      <c r="C2043" t="s">
        <v>12</v>
      </c>
      <c r="D2043" t="s">
        <v>4684</v>
      </c>
      <c r="E2043" t="s">
        <v>1667</v>
      </c>
      <c r="F2043" t="s">
        <v>14</v>
      </c>
      <c r="G2043" t="s">
        <v>18</v>
      </c>
      <c r="I2043">
        <v>24258000</v>
      </c>
      <c r="J2043">
        <v>17708000</v>
      </c>
      <c r="K2043">
        <v>25635000</v>
      </c>
      <c r="L2043">
        <v>13137000</v>
      </c>
    </row>
    <row r="2044" spans="1:12" ht="15" customHeight="1">
      <c r="A2044" t="s">
        <v>7332</v>
      </c>
      <c r="B2044" t="s">
        <v>4685</v>
      </c>
      <c r="C2044" t="s">
        <v>12</v>
      </c>
      <c r="D2044" t="s">
        <v>4686</v>
      </c>
      <c r="E2044" t="s">
        <v>1535</v>
      </c>
      <c r="F2044" t="s">
        <v>14</v>
      </c>
      <c r="G2044" t="s">
        <v>18</v>
      </c>
      <c r="I2044">
        <v>7980000</v>
      </c>
      <c r="J2044">
        <v>6682000</v>
      </c>
      <c r="K2044">
        <v>7111000</v>
      </c>
      <c r="L2044">
        <v>7114000</v>
      </c>
    </row>
    <row r="2045" spans="1:12" ht="15" customHeight="1">
      <c r="A2045" t="s">
        <v>7333</v>
      </c>
      <c r="B2045" t="s">
        <v>4687</v>
      </c>
      <c r="C2045" t="s">
        <v>12</v>
      </c>
      <c r="D2045" t="s">
        <v>4688</v>
      </c>
      <c r="E2045" t="s">
        <v>1516</v>
      </c>
      <c r="F2045" t="s">
        <v>14</v>
      </c>
      <c r="G2045" t="s">
        <v>18</v>
      </c>
      <c r="I2045">
        <v>1564000</v>
      </c>
      <c r="J2045">
        <v>739000</v>
      </c>
      <c r="K2045">
        <v>1553000</v>
      </c>
      <c r="L2045">
        <v>685000</v>
      </c>
    </row>
    <row r="2046" spans="1:12" ht="15" customHeight="1">
      <c r="A2046" t="s">
        <v>7334</v>
      </c>
      <c r="B2046" t="s">
        <v>4689</v>
      </c>
      <c r="C2046" t="s">
        <v>12</v>
      </c>
      <c r="D2046" t="s">
        <v>4690</v>
      </c>
      <c r="E2046" t="s">
        <v>1646</v>
      </c>
      <c r="F2046" t="s">
        <v>14</v>
      </c>
      <c r="G2046" t="s">
        <v>18</v>
      </c>
      <c r="I2046">
        <v>7522000</v>
      </c>
      <c r="J2046">
        <v>4266000</v>
      </c>
      <c r="K2046">
        <v>6588000</v>
      </c>
      <c r="L2046">
        <v>5714000</v>
      </c>
    </row>
    <row r="2047" spans="1:12" ht="15" customHeight="1">
      <c r="A2047" t="s">
        <v>7335</v>
      </c>
      <c r="B2047" t="s">
        <v>4691</v>
      </c>
      <c r="C2047" t="s">
        <v>12</v>
      </c>
      <c r="D2047" t="s">
        <v>4692</v>
      </c>
      <c r="E2047" t="s">
        <v>1517</v>
      </c>
      <c r="F2047" t="s">
        <v>25</v>
      </c>
      <c r="G2047" t="s">
        <v>18</v>
      </c>
      <c r="I2047">
        <v>9121000</v>
      </c>
      <c r="J2047">
        <v>8137000</v>
      </c>
      <c r="K2047">
        <v>9121000</v>
      </c>
      <c r="L2047">
        <v>8137000</v>
      </c>
    </row>
    <row r="2048" spans="1:12" ht="15" customHeight="1">
      <c r="A2048" t="s">
        <v>7336</v>
      </c>
      <c r="B2048" t="s">
        <v>4693</v>
      </c>
      <c r="C2048" t="s">
        <v>12</v>
      </c>
      <c r="D2048" t="s">
        <v>4694</v>
      </c>
      <c r="E2048" t="s">
        <v>1517</v>
      </c>
      <c r="F2048" t="s">
        <v>25</v>
      </c>
      <c r="G2048" t="s">
        <v>18</v>
      </c>
    </row>
    <row r="2049" spans="1:12" ht="15" customHeight="1">
      <c r="A2049" t="s">
        <v>7337</v>
      </c>
      <c r="B2049" t="s">
        <v>4695</v>
      </c>
      <c r="C2049" t="s">
        <v>12</v>
      </c>
      <c r="D2049" t="s">
        <v>4696</v>
      </c>
      <c r="E2049" t="s">
        <v>1527</v>
      </c>
      <c r="F2049" t="s">
        <v>14</v>
      </c>
      <c r="G2049" t="s">
        <v>18</v>
      </c>
      <c r="I2049">
        <v>2525000</v>
      </c>
      <c r="J2049">
        <v>1759000</v>
      </c>
      <c r="K2049">
        <v>2657000</v>
      </c>
      <c r="L2049">
        <v>1832000</v>
      </c>
    </row>
    <row r="2050" spans="1:12" ht="15" customHeight="1">
      <c r="A2050" t="s">
        <v>7338</v>
      </c>
      <c r="B2050" t="s">
        <v>4697</v>
      </c>
      <c r="C2050" t="s">
        <v>12</v>
      </c>
      <c r="D2050" t="s">
        <v>4698</v>
      </c>
      <c r="E2050" t="s">
        <v>1749</v>
      </c>
      <c r="F2050" t="s">
        <v>14</v>
      </c>
      <c r="G2050" t="s">
        <v>18</v>
      </c>
      <c r="I2050">
        <v>489000</v>
      </c>
      <c r="J2050">
        <v>1169000</v>
      </c>
      <c r="K2050">
        <v>535000</v>
      </c>
      <c r="L2050">
        <v>1159000</v>
      </c>
    </row>
    <row r="2051" spans="1:12" ht="15" customHeight="1">
      <c r="A2051" t="s">
        <v>7339</v>
      </c>
      <c r="B2051" t="s">
        <v>4699</v>
      </c>
      <c r="C2051" t="s">
        <v>12</v>
      </c>
      <c r="D2051" t="s">
        <v>4700</v>
      </c>
      <c r="E2051" t="s">
        <v>1662</v>
      </c>
      <c r="F2051" t="s">
        <v>14</v>
      </c>
      <c r="G2051" t="s">
        <v>18</v>
      </c>
      <c r="I2051">
        <v>3453000</v>
      </c>
      <c r="J2051">
        <v>3002000</v>
      </c>
      <c r="K2051">
        <v>3119000</v>
      </c>
      <c r="L2051">
        <v>3045000</v>
      </c>
    </row>
    <row r="2052" spans="1:12" ht="15" customHeight="1">
      <c r="A2052" t="s">
        <v>7340</v>
      </c>
      <c r="B2052" t="s">
        <v>4701</v>
      </c>
      <c r="C2052" t="s">
        <v>12</v>
      </c>
      <c r="D2052" t="s">
        <v>4702</v>
      </c>
      <c r="E2052" t="s">
        <v>1520</v>
      </c>
      <c r="F2052" t="s">
        <v>14</v>
      </c>
      <c r="G2052" t="s">
        <v>18</v>
      </c>
      <c r="I2052">
        <v>2817000</v>
      </c>
      <c r="J2052">
        <v>4235000</v>
      </c>
      <c r="K2052">
        <v>3095000</v>
      </c>
      <c r="L2052">
        <v>4158000</v>
      </c>
    </row>
    <row r="2053" spans="1:12" ht="15" customHeight="1">
      <c r="A2053" t="s">
        <v>7341</v>
      </c>
      <c r="B2053" t="s">
        <v>4703</v>
      </c>
      <c r="C2053" t="s">
        <v>12</v>
      </c>
      <c r="D2053" t="s">
        <v>4704</v>
      </c>
      <c r="E2053" t="s">
        <v>1580</v>
      </c>
      <c r="F2053" t="s">
        <v>14</v>
      </c>
      <c r="G2053" t="s">
        <v>18</v>
      </c>
      <c r="I2053">
        <v>101586000</v>
      </c>
      <c r="J2053">
        <v>33745000</v>
      </c>
      <c r="K2053">
        <v>97996000</v>
      </c>
      <c r="L2053">
        <v>31879000</v>
      </c>
    </row>
    <row r="2054" spans="1:12" ht="15" customHeight="1">
      <c r="A2054" t="s">
        <v>7342</v>
      </c>
      <c r="B2054" t="s">
        <v>4705</v>
      </c>
      <c r="C2054" t="s">
        <v>12</v>
      </c>
      <c r="D2054" t="s">
        <v>4706</v>
      </c>
      <c r="E2054" t="s">
        <v>1583</v>
      </c>
      <c r="F2054" t="s">
        <v>14</v>
      </c>
      <c r="G2054" t="s">
        <v>18</v>
      </c>
      <c r="I2054">
        <v>388000</v>
      </c>
      <c r="J2054">
        <v>480000</v>
      </c>
      <c r="K2054">
        <v>454000</v>
      </c>
      <c r="L2054">
        <v>472000</v>
      </c>
    </row>
    <row r="2055" spans="1:12" ht="15" customHeight="1">
      <c r="A2055" t="s">
        <v>7343</v>
      </c>
      <c r="B2055" t="s">
        <v>4707</v>
      </c>
      <c r="C2055" t="s">
        <v>12</v>
      </c>
      <c r="D2055" t="s">
        <v>4708</v>
      </c>
      <c r="E2055" t="s">
        <v>1526</v>
      </c>
      <c r="F2055" t="s">
        <v>14</v>
      </c>
      <c r="G2055" t="s">
        <v>22</v>
      </c>
      <c r="I2055">
        <v>17659000</v>
      </c>
      <c r="J2055">
        <v>19094000</v>
      </c>
      <c r="K2055">
        <v>16839000</v>
      </c>
      <c r="L2055">
        <v>19397000</v>
      </c>
    </row>
    <row r="2056" spans="1:12" ht="15" customHeight="1">
      <c r="A2056" t="s">
        <v>7344</v>
      </c>
      <c r="B2056" t="s">
        <v>4709</v>
      </c>
      <c r="C2056" t="s">
        <v>12</v>
      </c>
      <c r="D2056" t="s">
        <v>4710</v>
      </c>
      <c r="E2056" t="s">
        <v>1661</v>
      </c>
      <c r="F2056" t="s">
        <v>3796</v>
      </c>
      <c r="G2056" t="s">
        <v>18</v>
      </c>
      <c r="I2056">
        <v>3148000</v>
      </c>
      <c r="J2056">
        <v>3658000</v>
      </c>
      <c r="K2056">
        <v>2915000</v>
      </c>
      <c r="L2056">
        <v>3613000</v>
      </c>
    </row>
    <row r="2057" spans="1:12" ht="15" customHeight="1">
      <c r="A2057" t="s">
        <v>7345</v>
      </c>
      <c r="B2057" t="s">
        <v>4711</v>
      </c>
      <c r="C2057" t="s">
        <v>12</v>
      </c>
      <c r="D2057" t="s">
        <v>4712</v>
      </c>
      <c r="E2057" t="s">
        <v>1592</v>
      </c>
      <c r="F2057" t="s">
        <v>14</v>
      </c>
      <c r="G2057" t="s">
        <v>18</v>
      </c>
      <c r="J2057">
        <v>945000</v>
      </c>
      <c r="L2057">
        <v>1028000</v>
      </c>
    </row>
    <row r="2058" spans="1:12" ht="15" customHeight="1">
      <c r="A2058" t="s">
        <v>7346</v>
      </c>
      <c r="B2058" t="s">
        <v>4713</v>
      </c>
      <c r="C2058" t="s">
        <v>12</v>
      </c>
      <c r="D2058" t="s">
        <v>4714</v>
      </c>
      <c r="E2058" t="s">
        <v>1559</v>
      </c>
      <c r="F2058" t="s">
        <v>25</v>
      </c>
      <c r="G2058" t="s">
        <v>18</v>
      </c>
      <c r="I2058">
        <v>455000</v>
      </c>
      <c r="J2058">
        <v>605000</v>
      </c>
      <c r="K2058">
        <v>602000</v>
      </c>
      <c r="L2058">
        <v>675000</v>
      </c>
    </row>
    <row r="2059" spans="1:12" ht="15" customHeight="1">
      <c r="A2059" t="s">
        <v>7347</v>
      </c>
      <c r="B2059" t="s">
        <v>4715</v>
      </c>
      <c r="C2059" t="s">
        <v>12</v>
      </c>
      <c r="D2059" t="s">
        <v>4716</v>
      </c>
      <c r="E2059" t="s">
        <v>1737</v>
      </c>
      <c r="F2059" t="s">
        <v>14</v>
      </c>
      <c r="G2059" t="s">
        <v>18</v>
      </c>
      <c r="I2059">
        <v>850000</v>
      </c>
      <c r="J2059">
        <v>850000</v>
      </c>
      <c r="K2059">
        <v>850000</v>
      </c>
      <c r="L2059">
        <v>850000</v>
      </c>
    </row>
    <row r="2060" spans="1:12" ht="15" customHeight="1">
      <c r="A2060" t="s">
        <v>7348</v>
      </c>
      <c r="B2060" t="s">
        <v>4717</v>
      </c>
      <c r="C2060" t="s">
        <v>12</v>
      </c>
      <c r="D2060" t="s">
        <v>4718</v>
      </c>
      <c r="E2060" t="s">
        <v>1517</v>
      </c>
      <c r="F2060" t="s">
        <v>14</v>
      </c>
      <c r="G2060" t="s">
        <v>18</v>
      </c>
      <c r="I2060">
        <v>264000</v>
      </c>
      <c r="J2060">
        <v>407000</v>
      </c>
      <c r="K2060">
        <v>259000</v>
      </c>
      <c r="L2060">
        <v>404000</v>
      </c>
    </row>
    <row r="2061" spans="1:12" ht="15" customHeight="1">
      <c r="A2061" t="s">
        <v>7349</v>
      </c>
      <c r="B2061" t="s">
        <v>4719</v>
      </c>
      <c r="C2061" t="s">
        <v>12</v>
      </c>
      <c r="D2061" t="s">
        <v>4720</v>
      </c>
      <c r="E2061" t="s">
        <v>1509</v>
      </c>
      <c r="F2061" t="s">
        <v>14</v>
      </c>
      <c r="G2061" t="s">
        <v>18</v>
      </c>
      <c r="I2061">
        <v>4985000</v>
      </c>
      <c r="J2061">
        <v>1923000</v>
      </c>
      <c r="K2061">
        <v>4969000</v>
      </c>
      <c r="L2061">
        <v>1955000</v>
      </c>
    </row>
    <row r="2062" spans="1:12" ht="15" customHeight="1">
      <c r="A2062" t="s">
        <v>7350</v>
      </c>
      <c r="B2062" t="s">
        <v>4721</v>
      </c>
      <c r="C2062" t="s">
        <v>12</v>
      </c>
      <c r="D2062" t="s">
        <v>4722</v>
      </c>
      <c r="E2062" t="s">
        <v>1519</v>
      </c>
      <c r="F2062" t="s">
        <v>14</v>
      </c>
      <c r="G2062" t="s">
        <v>18</v>
      </c>
      <c r="I2062">
        <v>9959000</v>
      </c>
      <c r="J2062">
        <v>11896000</v>
      </c>
      <c r="K2062">
        <v>8422000</v>
      </c>
      <c r="L2062">
        <v>9083000</v>
      </c>
    </row>
    <row r="2063" spans="1:12" ht="15" customHeight="1">
      <c r="A2063" t="s">
        <v>7351</v>
      </c>
      <c r="B2063" t="s">
        <v>4723</v>
      </c>
      <c r="C2063" t="s">
        <v>12</v>
      </c>
      <c r="D2063" t="s">
        <v>4724</v>
      </c>
      <c r="E2063" t="s">
        <v>1829</v>
      </c>
      <c r="F2063" t="s">
        <v>14</v>
      </c>
      <c r="G2063" t="s">
        <v>18</v>
      </c>
      <c r="I2063">
        <v>18041000</v>
      </c>
      <c r="J2063">
        <v>13506000</v>
      </c>
      <c r="K2063">
        <v>16722000</v>
      </c>
      <c r="L2063">
        <v>12903000</v>
      </c>
    </row>
    <row r="2064" spans="1:12" ht="15" customHeight="1">
      <c r="A2064" t="s">
        <v>7352</v>
      </c>
      <c r="B2064" t="s">
        <v>4725</v>
      </c>
      <c r="C2064" t="s">
        <v>12</v>
      </c>
      <c r="D2064" t="s">
        <v>4726</v>
      </c>
      <c r="E2064" t="s">
        <v>1620</v>
      </c>
      <c r="F2064" t="s">
        <v>14</v>
      </c>
      <c r="G2064" t="s">
        <v>18</v>
      </c>
      <c r="J2064">
        <v>9015000</v>
      </c>
      <c r="L2064">
        <v>7822000</v>
      </c>
    </row>
    <row r="2065" spans="1:12" ht="15" customHeight="1">
      <c r="A2065" t="s">
        <v>7353</v>
      </c>
      <c r="B2065" t="s">
        <v>4727</v>
      </c>
      <c r="C2065" t="s">
        <v>12</v>
      </c>
      <c r="D2065" t="s">
        <v>4728</v>
      </c>
      <c r="E2065" t="s">
        <v>1535</v>
      </c>
      <c r="F2065" t="s">
        <v>14</v>
      </c>
      <c r="G2065" t="s">
        <v>18</v>
      </c>
      <c r="J2065">
        <v>461000</v>
      </c>
      <c r="K2065">
        <v>1000</v>
      </c>
      <c r="L2065">
        <v>51000</v>
      </c>
    </row>
    <row r="2066" spans="1:12" ht="15" customHeight="1">
      <c r="A2066" t="s">
        <v>7354</v>
      </c>
      <c r="B2066" t="s">
        <v>4729</v>
      </c>
      <c r="C2066" t="s">
        <v>12</v>
      </c>
      <c r="D2066" t="s">
        <v>4730</v>
      </c>
      <c r="E2066" t="s">
        <v>1585</v>
      </c>
      <c r="F2066" t="s">
        <v>14</v>
      </c>
      <c r="G2066" t="s">
        <v>18</v>
      </c>
      <c r="I2066">
        <v>9634000</v>
      </c>
      <c r="J2066">
        <v>8110000</v>
      </c>
      <c r="K2066">
        <v>9133000</v>
      </c>
      <c r="L2066">
        <v>9291000</v>
      </c>
    </row>
    <row r="2067" spans="1:12" ht="15" customHeight="1">
      <c r="A2067" t="s">
        <v>7355</v>
      </c>
      <c r="B2067" t="s">
        <v>4731</v>
      </c>
      <c r="C2067" t="s">
        <v>12</v>
      </c>
      <c r="D2067" t="s">
        <v>4732</v>
      </c>
      <c r="E2067" t="s">
        <v>1520</v>
      </c>
      <c r="F2067" t="s">
        <v>14</v>
      </c>
      <c r="G2067" t="s">
        <v>18</v>
      </c>
      <c r="I2067">
        <v>1985000</v>
      </c>
      <c r="J2067">
        <v>1706000</v>
      </c>
      <c r="K2067">
        <v>1821000</v>
      </c>
      <c r="L2067">
        <v>2459000</v>
      </c>
    </row>
    <row r="2068" spans="1:12" ht="15" customHeight="1">
      <c r="A2068" t="s">
        <v>7356</v>
      </c>
      <c r="B2068" t="s">
        <v>4733</v>
      </c>
      <c r="C2068" t="s">
        <v>12</v>
      </c>
      <c r="D2068" t="s">
        <v>4734</v>
      </c>
      <c r="E2068" t="s">
        <v>1629</v>
      </c>
      <c r="F2068" t="s">
        <v>14</v>
      </c>
      <c r="G2068" t="s">
        <v>18</v>
      </c>
    </row>
    <row r="2069" spans="1:12" ht="15" customHeight="1">
      <c r="A2069" t="s">
        <v>7357</v>
      </c>
      <c r="B2069" t="s">
        <v>4735</v>
      </c>
      <c r="C2069" t="s">
        <v>12</v>
      </c>
      <c r="D2069" t="s">
        <v>4736</v>
      </c>
      <c r="E2069" t="s">
        <v>1642</v>
      </c>
      <c r="F2069" t="s">
        <v>14</v>
      </c>
      <c r="G2069" t="s">
        <v>18</v>
      </c>
      <c r="I2069">
        <v>10000</v>
      </c>
      <c r="J2069">
        <v>10000</v>
      </c>
      <c r="K2069">
        <v>10000</v>
      </c>
    </row>
    <row r="2070" spans="1:12" ht="15" customHeight="1">
      <c r="A2070" t="s">
        <v>7358</v>
      </c>
      <c r="B2070" t="s">
        <v>4737</v>
      </c>
      <c r="C2070" t="s">
        <v>12</v>
      </c>
      <c r="D2070" t="s">
        <v>4738</v>
      </c>
      <c r="E2070" t="s">
        <v>1520</v>
      </c>
      <c r="F2070" t="s">
        <v>14</v>
      </c>
      <c r="G2070" t="s">
        <v>18</v>
      </c>
      <c r="I2070">
        <v>532000</v>
      </c>
      <c r="J2070">
        <v>329000</v>
      </c>
      <c r="K2070">
        <v>399000</v>
      </c>
      <c r="L2070">
        <v>391000</v>
      </c>
    </row>
    <row r="2071" spans="1:12" ht="15" customHeight="1">
      <c r="A2071" t="s">
        <v>7359</v>
      </c>
      <c r="B2071" t="s">
        <v>4739</v>
      </c>
      <c r="C2071" t="s">
        <v>12</v>
      </c>
      <c r="D2071" t="s">
        <v>4740</v>
      </c>
      <c r="E2071" t="s">
        <v>1658</v>
      </c>
      <c r="F2071" t="s">
        <v>14</v>
      </c>
      <c r="G2071" t="s">
        <v>18</v>
      </c>
      <c r="I2071">
        <v>44412000</v>
      </c>
      <c r="J2071">
        <v>42778000</v>
      </c>
      <c r="K2071">
        <v>42630000</v>
      </c>
      <c r="L2071">
        <v>43707000</v>
      </c>
    </row>
    <row r="2072" spans="1:12" ht="15" customHeight="1">
      <c r="A2072" t="s">
        <v>7360</v>
      </c>
      <c r="B2072" t="s">
        <v>4741</v>
      </c>
      <c r="C2072" t="s">
        <v>12</v>
      </c>
      <c r="D2072" t="s">
        <v>4742</v>
      </c>
      <c r="E2072" t="s">
        <v>1642</v>
      </c>
      <c r="F2072" t="s">
        <v>25</v>
      </c>
      <c r="G2072" t="s">
        <v>18</v>
      </c>
      <c r="I2072">
        <v>227000</v>
      </c>
      <c r="J2072">
        <v>342000</v>
      </c>
      <c r="K2072">
        <v>201000</v>
      </c>
      <c r="L2072">
        <v>371000</v>
      </c>
    </row>
    <row r="2073" spans="1:12" ht="15" customHeight="1">
      <c r="A2073" t="s">
        <v>7361</v>
      </c>
      <c r="B2073" t="s">
        <v>4743</v>
      </c>
      <c r="C2073" t="s">
        <v>12</v>
      </c>
      <c r="D2073" t="s">
        <v>4744</v>
      </c>
      <c r="E2073" t="s">
        <v>1595</v>
      </c>
      <c r="F2073" t="s">
        <v>25</v>
      </c>
      <c r="G2073" t="s">
        <v>18</v>
      </c>
      <c r="J2073">
        <v>1869000</v>
      </c>
      <c r="L2073">
        <v>1264000</v>
      </c>
    </row>
    <row r="2074" spans="1:12" ht="15" customHeight="1">
      <c r="A2074" t="s">
        <v>7362</v>
      </c>
      <c r="B2074" t="s">
        <v>4745</v>
      </c>
      <c r="C2074" t="s">
        <v>12</v>
      </c>
      <c r="D2074" t="s">
        <v>4746</v>
      </c>
      <c r="E2074" t="s">
        <v>1526</v>
      </c>
      <c r="F2074" t="s">
        <v>25</v>
      </c>
      <c r="G2074" t="s">
        <v>18</v>
      </c>
      <c r="I2074">
        <v>1598000</v>
      </c>
      <c r="J2074">
        <v>2925000</v>
      </c>
      <c r="K2074">
        <v>1380000</v>
      </c>
      <c r="L2074">
        <v>3402000</v>
      </c>
    </row>
    <row r="2075" spans="1:12" ht="15" customHeight="1">
      <c r="A2075" t="s">
        <v>7363</v>
      </c>
      <c r="B2075" t="s">
        <v>4747</v>
      </c>
      <c r="C2075" t="s">
        <v>12</v>
      </c>
      <c r="D2075" t="s">
        <v>4748</v>
      </c>
      <c r="E2075" t="s">
        <v>1781</v>
      </c>
      <c r="F2075" t="s">
        <v>25</v>
      </c>
      <c r="G2075" t="s">
        <v>18</v>
      </c>
      <c r="I2075">
        <v>1673000</v>
      </c>
      <c r="J2075">
        <v>236000</v>
      </c>
      <c r="K2075">
        <v>1756000</v>
      </c>
      <c r="L2075">
        <v>304000</v>
      </c>
    </row>
    <row r="2076" spans="1:12" ht="15" customHeight="1">
      <c r="A2076" t="s">
        <v>7364</v>
      </c>
      <c r="B2076" t="s">
        <v>4749</v>
      </c>
      <c r="C2076" t="s">
        <v>12</v>
      </c>
      <c r="D2076" t="s">
        <v>4750</v>
      </c>
      <c r="E2076" t="s">
        <v>1658</v>
      </c>
      <c r="F2076" t="s">
        <v>25</v>
      </c>
      <c r="G2076" t="s">
        <v>18</v>
      </c>
      <c r="I2076">
        <v>380000</v>
      </c>
      <c r="J2076">
        <v>359000</v>
      </c>
      <c r="K2076">
        <v>346000</v>
      </c>
      <c r="L2076">
        <v>360000</v>
      </c>
    </row>
    <row r="2077" spans="1:12" ht="15" customHeight="1">
      <c r="A2077" t="s">
        <v>7365</v>
      </c>
      <c r="B2077" t="s">
        <v>4751</v>
      </c>
      <c r="C2077" t="s">
        <v>12</v>
      </c>
      <c r="D2077" t="s">
        <v>4752</v>
      </c>
      <c r="E2077" t="s">
        <v>1737</v>
      </c>
      <c r="F2077" t="s">
        <v>25</v>
      </c>
      <c r="G2077" t="s">
        <v>18</v>
      </c>
      <c r="I2077">
        <v>894000</v>
      </c>
      <c r="J2077">
        <v>1277000</v>
      </c>
      <c r="K2077">
        <v>903000</v>
      </c>
      <c r="L2077">
        <v>1327000</v>
      </c>
    </row>
    <row r="2078" spans="1:12" ht="15" customHeight="1">
      <c r="A2078" t="s">
        <v>7366</v>
      </c>
      <c r="B2078" t="s">
        <v>4753</v>
      </c>
      <c r="C2078" t="s">
        <v>12</v>
      </c>
      <c r="D2078" t="s">
        <v>4754</v>
      </c>
      <c r="E2078" t="s">
        <v>1801</v>
      </c>
      <c r="F2078" t="s">
        <v>25</v>
      </c>
      <c r="G2078" t="s">
        <v>18</v>
      </c>
      <c r="I2078">
        <v>312000</v>
      </c>
      <c r="J2078">
        <v>270000</v>
      </c>
      <c r="K2078">
        <v>293000</v>
      </c>
      <c r="L2078">
        <v>190000</v>
      </c>
    </row>
    <row r="2079" spans="1:12" ht="15" customHeight="1">
      <c r="A2079" t="s">
        <v>7367</v>
      </c>
      <c r="B2079" t="s">
        <v>4755</v>
      </c>
      <c r="C2079" t="s">
        <v>12</v>
      </c>
      <c r="D2079" t="s">
        <v>4756</v>
      </c>
      <c r="E2079" t="s">
        <v>1532</v>
      </c>
      <c r="F2079" t="s">
        <v>25</v>
      </c>
      <c r="G2079" t="s">
        <v>18</v>
      </c>
    </row>
    <row r="2080" spans="1:12" ht="15" customHeight="1">
      <c r="A2080" t="s">
        <v>7368</v>
      </c>
      <c r="B2080" t="s">
        <v>4757</v>
      </c>
      <c r="C2080" t="s">
        <v>12</v>
      </c>
      <c r="D2080" t="s">
        <v>4758</v>
      </c>
      <c r="E2080" t="s">
        <v>1749</v>
      </c>
      <c r="F2080" t="s">
        <v>25</v>
      </c>
      <c r="G2080" t="s">
        <v>18</v>
      </c>
      <c r="I2080">
        <v>1654000</v>
      </c>
      <c r="J2080">
        <v>3607000</v>
      </c>
      <c r="K2080">
        <v>1993000</v>
      </c>
      <c r="L2080">
        <v>3053000</v>
      </c>
    </row>
    <row r="2081" spans="1:12" ht="15" customHeight="1">
      <c r="A2081" t="s">
        <v>7369</v>
      </c>
      <c r="B2081" t="s">
        <v>4759</v>
      </c>
      <c r="C2081" t="s">
        <v>12</v>
      </c>
      <c r="D2081" t="s">
        <v>4760</v>
      </c>
      <c r="E2081" t="s">
        <v>1620</v>
      </c>
      <c r="F2081" t="s">
        <v>25</v>
      </c>
      <c r="G2081" t="s">
        <v>18</v>
      </c>
      <c r="I2081">
        <v>90000</v>
      </c>
      <c r="J2081">
        <v>50000</v>
      </c>
      <c r="K2081">
        <v>90000</v>
      </c>
      <c r="L2081">
        <v>50000</v>
      </c>
    </row>
    <row r="2082" spans="1:12" ht="15" customHeight="1">
      <c r="A2082" t="s">
        <v>7370</v>
      </c>
      <c r="B2082" t="s">
        <v>4761</v>
      </c>
      <c r="C2082" t="s">
        <v>12</v>
      </c>
      <c r="D2082" t="s">
        <v>4762</v>
      </c>
      <c r="E2082" t="s">
        <v>1580</v>
      </c>
      <c r="F2082" t="s">
        <v>14</v>
      </c>
      <c r="G2082" t="s">
        <v>18</v>
      </c>
    </row>
    <row r="2083" spans="1:12" ht="15" customHeight="1">
      <c r="A2083" t="s">
        <v>7371</v>
      </c>
      <c r="B2083" t="s">
        <v>4763</v>
      </c>
      <c r="C2083" t="s">
        <v>12</v>
      </c>
      <c r="D2083" t="s">
        <v>4764</v>
      </c>
      <c r="E2083" t="s">
        <v>1820</v>
      </c>
      <c r="F2083" t="s">
        <v>24</v>
      </c>
      <c r="G2083" t="s">
        <v>18</v>
      </c>
      <c r="K2083">
        <v>13000</v>
      </c>
      <c r="L2083">
        <v>13000</v>
      </c>
    </row>
    <row r="2084" spans="1:12" ht="15" customHeight="1">
      <c r="A2084" t="s">
        <v>7372</v>
      </c>
      <c r="B2084" t="s">
        <v>4765</v>
      </c>
      <c r="C2084" t="s">
        <v>12</v>
      </c>
      <c r="D2084" t="s">
        <v>4766</v>
      </c>
      <c r="E2084" t="s">
        <v>1520</v>
      </c>
      <c r="F2084" t="s">
        <v>14</v>
      </c>
      <c r="G2084" t="s">
        <v>18</v>
      </c>
      <c r="I2084">
        <v>652000</v>
      </c>
      <c r="J2084">
        <v>1362000</v>
      </c>
      <c r="K2084">
        <v>558000</v>
      </c>
      <c r="L2084">
        <v>1153000</v>
      </c>
    </row>
    <row r="2085" spans="1:12" ht="15" customHeight="1">
      <c r="A2085" t="s">
        <v>7373</v>
      </c>
      <c r="B2085" t="s">
        <v>4767</v>
      </c>
      <c r="C2085" t="s">
        <v>12</v>
      </c>
      <c r="D2085" t="s">
        <v>4768</v>
      </c>
      <c r="E2085" t="s">
        <v>1504</v>
      </c>
      <c r="F2085" t="s">
        <v>14</v>
      </c>
      <c r="G2085" t="s">
        <v>18</v>
      </c>
      <c r="I2085">
        <v>6832000</v>
      </c>
      <c r="J2085">
        <v>7019000</v>
      </c>
      <c r="K2085">
        <v>6658000</v>
      </c>
      <c r="L2085">
        <v>6964000</v>
      </c>
    </row>
    <row r="2086" spans="1:12" ht="15" customHeight="1">
      <c r="A2086" t="s">
        <v>7374</v>
      </c>
      <c r="B2086" t="s">
        <v>4769</v>
      </c>
      <c r="C2086" t="s">
        <v>12</v>
      </c>
      <c r="D2086" t="s">
        <v>4770</v>
      </c>
      <c r="E2086" t="s">
        <v>1881</v>
      </c>
      <c r="F2086" t="s">
        <v>25</v>
      </c>
      <c r="G2086" t="s">
        <v>22</v>
      </c>
      <c r="I2086">
        <v>649800000</v>
      </c>
      <c r="J2086">
        <v>603351000</v>
      </c>
      <c r="K2086">
        <v>476535000</v>
      </c>
      <c r="L2086">
        <v>471972000</v>
      </c>
    </row>
    <row r="2087" spans="1:12" ht="15" customHeight="1">
      <c r="A2087" t="s">
        <v>7375</v>
      </c>
      <c r="B2087" t="s">
        <v>4771</v>
      </c>
      <c r="C2087" t="s">
        <v>12</v>
      </c>
      <c r="D2087" t="s">
        <v>4772</v>
      </c>
      <c r="E2087" t="s">
        <v>1532</v>
      </c>
      <c r="F2087" t="s">
        <v>25</v>
      </c>
      <c r="G2087" t="s">
        <v>18</v>
      </c>
    </row>
    <row r="2088" spans="1:12" ht="15" customHeight="1">
      <c r="A2088" t="s">
        <v>7376</v>
      </c>
      <c r="B2088" t="s">
        <v>4773</v>
      </c>
      <c r="C2088" t="s">
        <v>12</v>
      </c>
      <c r="D2088" t="s">
        <v>4774</v>
      </c>
      <c r="E2088" t="s">
        <v>1558</v>
      </c>
      <c r="F2088" t="s">
        <v>25</v>
      </c>
      <c r="G2088" t="s">
        <v>18</v>
      </c>
    </row>
    <row r="2089" spans="1:12" ht="15" customHeight="1">
      <c r="A2089" t="s">
        <v>7377</v>
      </c>
      <c r="B2089" t="s">
        <v>4775</v>
      </c>
      <c r="C2089" t="s">
        <v>12</v>
      </c>
      <c r="D2089" t="s">
        <v>4776</v>
      </c>
      <c r="E2089" t="s">
        <v>1604</v>
      </c>
      <c r="F2089" t="s">
        <v>14</v>
      </c>
      <c r="G2089" t="s">
        <v>18</v>
      </c>
      <c r="I2089">
        <v>342000</v>
      </c>
      <c r="J2089">
        <v>452000</v>
      </c>
      <c r="K2089">
        <v>310000</v>
      </c>
      <c r="L2089">
        <v>485000</v>
      </c>
    </row>
    <row r="2090" spans="1:12" ht="15" customHeight="1">
      <c r="A2090" t="s">
        <v>7378</v>
      </c>
      <c r="B2090" t="s">
        <v>4777</v>
      </c>
      <c r="C2090" t="s">
        <v>12</v>
      </c>
      <c r="D2090" t="s">
        <v>4778</v>
      </c>
      <c r="E2090" t="s">
        <v>1517</v>
      </c>
      <c r="F2090" t="s">
        <v>25</v>
      </c>
      <c r="G2090" t="s">
        <v>18</v>
      </c>
      <c r="I2090">
        <v>7500000</v>
      </c>
      <c r="J2090">
        <v>198000</v>
      </c>
      <c r="K2090">
        <v>8164000</v>
      </c>
      <c r="L2090">
        <v>196000</v>
      </c>
    </row>
    <row r="2091" spans="1:12" ht="15" customHeight="1">
      <c r="A2091" t="s">
        <v>7379</v>
      </c>
      <c r="B2091" t="s">
        <v>4779</v>
      </c>
      <c r="C2091" t="s">
        <v>12</v>
      </c>
      <c r="D2091" t="s">
        <v>4780</v>
      </c>
      <c r="E2091" t="s">
        <v>1738</v>
      </c>
      <c r="F2091" t="s">
        <v>25</v>
      </c>
      <c r="G2091" t="s">
        <v>18</v>
      </c>
    </row>
    <row r="2092" spans="1:12" ht="15" customHeight="1">
      <c r="A2092" t="s">
        <v>7380</v>
      </c>
      <c r="B2092" t="s">
        <v>4781</v>
      </c>
      <c r="C2092" t="s">
        <v>12</v>
      </c>
      <c r="D2092" t="s">
        <v>4782</v>
      </c>
      <c r="E2092" t="s">
        <v>1532</v>
      </c>
      <c r="F2092" t="s">
        <v>14</v>
      </c>
      <c r="G2092" t="s">
        <v>18</v>
      </c>
      <c r="I2092">
        <v>536000</v>
      </c>
      <c r="J2092">
        <v>235000</v>
      </c>
      <c r="K2092">
        <v>696000</v>
      </c>
      <c r="L2092">
        <v>367000</v>
      </c>
    </row>
    <row r="2093" spans="1:12" ht="15" customHeight="1">
      <c r="A2093" t="s">
        <v>7381</v>
      </c>
      <c r="B2093" t="s">
        <v>4783</v>
      </c>
      <c r="C2093" t="s">
        <v>12</v>
      </c>
      <c r="D2093" t="s">
        <v>4784</v>
      </c>
      <c r="E2093" t="s">
        <v>1801</v>
      </c>
      <c r="F2093" t="s">
        <v>14</v>
      </c>
      <c r="G2093" t="s">
        <v>18</v>
      </c>
      <c r="I2093">
        <v>4816000</v>
      </c>
      <c r="J2093">
        <v>7001000</v>
      </c>
      <c r="K2093">
        <v>2631000</v>
      </c>
      <c r="L2093">
        <v>5630000</v>
      </c>
    </row>
    <row r="2094" spans="1:12" ht="15" customHeight="1">
      <c r="A2094" t="s">
        <v>7382</v>
      </c>
      <c r="B2094" t="s">
        <v>4785</v>
      </c>
      <c r="C2094" t="s">
        <v>12</v>
      </c>
      <c r="D2094" t="s">
        <v>4786</v>
      </c>
      <c r="E2094" t="s">
        <v>1604</v>
      </c>
      <c r="F2094" t="s">
        <v>14</v>
      </c>
      <c r="G2094" t="s">
        <v>18</v>
      </c>
      <c r="I2094">
        <v>327000</v>
      </c>
      <c r="J2094">
        <v>45000</v>
      </c>
      <c r="K2094">
        <v>378000</v>
      </c>
      <c r="L2094">
        <v>43000</v>
      </c>
    </row>
    <row r="2095" spans="1:12" ht="15" customHeight="1">
      <c r="A2095" t="s">
        <v>7383</v>
      </c>
      <c r="B2095" t="s">
        <v>4787</v>
      </c>
      <c r="C2095" t="s">
        <v>12</v>
      </c>
      <c r="D2095" t="s">
        <v>4788</v>
      </c>
      <c r="E2095" t="s">
        <v>1767</v>
      </c>
      <c r="F2095" t="s">
        <v>14</v>
      </c>
      <c r="G2095" t="s">
        <v>22</v>
      </c>
      <c r="I2095">
        <v>5774000</v>
      </c>
      <c r="J2095">
        <v>4731000</v>
      </c>
      <c r="K2095">
        <v>5737000</v>
      </c>
      <c r="L2095">
        <v>4736000</v>
      </c>
    </row>
    <row r="2096" spans="1:12" ht="15" customHeight="1">
      <c r="A2096" t="s">
        <v>7383</v>
      </c>
      <c r="B2096" t="s">
        <v>4789</v>
      </c>
      <c r="C2096" t="s">
        <v>12</v>
      </c>
      <c r="D2096" t="s">
        <v>4790</v>
      </c>
      <c r="E2096" t="s">
        <v>1524</v>
      </c>
      <c r="F2096" t="s">
        <v>14</v>
      </c>
      <c r="G2096" t="s">
        <v>18</v>
      </c>
      <c r="I2096">
        <v>2313000</v>
      </c>
      <c r="J2096">
        <v>2754000</v>
      </c>
      <c r="K2096">
        <v>2336000</v>
      </c>
      <c r="L2096">
        <v>2572000</v>
      </c>
    </row>
    <row r="2097" spans="1:12" ht="15" customHeight="1">
      <c r="A2097" t="s">
        <v>7384</v>
      </c>
      <c r="B2097" t="s">
        <v>4791</v>
      </c>
      <c r="C2097" t="s">
        <v>12</v>
      </c>
      <c r="D2097" t="s">
        <v>4792</v>
      </c>
      <c r="E2097" t="s">
        <v>1504</v>
      </c>
      <c r="F2097" t="s">
        <v>14</v>
      </c>
      <c r="G2097" t="s">
        <v>18</v>
      </c>
      <c r="I2097">
        <v>779000</v>
      </c>
      <c r="K2097">
        <v>1018000</v>
      </c>
    </row>
    <row r="2098" spans="1:12" ht="15" customHeight="1">
      <c r="A2098" t="s">
        <v>7385</v>
      </c>
      <c r="B2098" t="s">
        <v>4793</v>
      </c>
      <c r="C2098" t="s">
        <v>12</v>
      </c>
      <c r="D2098" t="s">
        <v>4794</v>
      </c>
      <c r="E2098" t="s">
        <v>1526</v>
      </c>
      <c r="F2098" t="s">
        <v>14</v>
      </c>
      <c r="G2098" t="s">
        <v>18</v>
      </c>
      <c r="I2098">
        <v>155000</v>
      </c>
      <c r="J2098">
        <v>195000</v>
      </c>
      <c r="K2098">
        <v>164000</v>
      </c>
      <c r="L2098">
        <v>206000</v>
      </c>
    </row>
    <row r="2099" spans="1:12" ht="15" customHeight="1">
      <c r="A2099" t="s">
        <v>7385</v>
      </c>
      <c r="B2099" t="s">
        <v>4795</v>
      </c>
      <c r="C2099" t="s">
        <v>12</v>
      </c>
      <c r="D2099" t="s">
        <v>4796</v>
      </c>
      <c r="E2099" t="s">
        <v>1589</v>
      </c>
      <c r="F2099" t="s">
        <v>14</v>
      </c>
      <c r="G2099" t="s">
        <v>18</v>
      </c>
      <c r="I2099">
        <v>2266000</v>
      </c>
      <c r="J2099">
        <v>2045000</v>
      </c>
      <c r="K2099">
        <v>2219000</v>
      </c>
      <c r="L2099">
        <v>1814000</v>
      </c>
    </row>
    <row r="2100" spans="1:12" ht="15" customHeight="1">
      <c r="A2100" t="s">
        <v>7386</v>
      </c>
      <c r="B2100" t="s">
        <v>4797</v>
      </c>
      <c r="C2100" t="s">
        <v>12</v>
      </c>
      <c r="D2100" t="s">
        <v>4798</v>
      </c>
      <c r="E2100" t="s">
        <v>1642</v>
      </c>
      <c r="F2100" t="s">
        <v>14</v>
      </c>
      <c r="G2100" t="s">
        <v>18</v>
      </c>
    </row>
    <row r="2101" spans="1:12" ht="15" customHeight="1">
      <c r="A2101" t="s">
        <v>7387</v>
      </c>
      <c r="B2101" t="s">
        <v>4799</v>
      </c>
      <c r="C2101" t="s">
        <v>12</v>
      </c>
      <c r="D2101" t="s">
        <v>4800</v>
      </c>
      <c r="E2101" t="s">
        <v>1504</v>
      </c>
      <c r="F2101" t="s">
        <v>14</v>
      </c>
      <c r="G2101" t="s">
        <v>77</v>
      </c>
      <c r="I2101">
        <v>25023000</v>
      </c>
      <c r="J2101">
        <v>22808000</v>
      </c>
      <c r="K2101">
        <v>26654000</v>
      </c>
      <c r="L2101">
        <v>22906000</v>
      </c>
    </row>
    <row r="2102" spans="1:12" ht="15" customHeight="1">
      <c r="A2102" t="s">
        <v>7388</v>
      </c>
      <c r="B2102" t="s">
        <v>4801</v>
      </c>
      <c r="C2102" t="s">
        <v>12</v>
      </c>
      <c r="D2102" t="s">
        <v>4802</v>
      </c>
      <c r="E2102" t="s">
        <v>1646</v>
      </c>
      <c r="F2102" t="s">
        <v>14</v>
      </c>
      <c r="G2102" t="s">
        <v>18</v>
      </c>
    </row>
    <row r="2103" spans="1:12" ht="15" customHeight="1">
      <c r="A2103" t="s">
        <v>7389</v>
      </c>
      <c r="B2103" t="s">
        <v>4803</v>
      </c>
      <c r="C2103" t="s">
        <v>12</v>
      </c>
      <c r="D2103" t="s">
        <v>4804</v>
      </c>
      <c r="E2103" t="s">
        <v>1580</v>
      </c>
      <c r="F2103" t="s">
        <v>14</v>
      </c>
      <c r="G2103" t="s">
        <v>18</v>
      </c>
    </row>
    <row r="2104" spans="1:12" ht="15" customHeight="1">
      <c r="A2104" t="s">
        <v>7390</v>
      </c>
      <c r="B2104" t="s">
        <v>4805</v>
      </c>
      <c r="C2104" t="s">
        <v>12</v>
      </c>
      <c r="D2104" t="s">
        <v>4806</v>
      </c>
      <c r="E2104" t="s">
        <v>1575</v>
      </c>
      <c r="F2104" t="s">
        <v>14</v>
      </c>
      <c r="G2104" t="s">
        <v>18</v>
      </c>
      <c r="I2104">
        <v>300000</v>
      </c>
      <c r="J2104">
        <v>300000</v>
      </c>
      <c r="K2104">
        <v>298000</v>
      </c>
      <c r="L2104">
        <v>166000</v>
      </c>
    </row>
    <row r="2105" spans="1:12" ht="15" customHeight="1">
      <c r="A2105" t="s">
        <v>7391</v>
      </c>
      <c r="B2105" t="s">
        <v>4807</v>
      </c>
      <c r="C2105" t="s">
        <v>12</v>
      </c>
      <c r="D2105" t="s">
        <v>4808</v>
      </c>
      <c r="E2105" t="s">
        <v>1532</v>
      </c>
      <c r="F2105" t="s">
        <v>14</v>
      </c>
      <c r="G2105" t="s">
        <v>18</v>
      </c>
      <c r="I2105">
        <v>309615000</v>
      </c>
      <c r="J2105">
        <v>28954000</v>
      </c>
      <c r="K2105">
        <v>9840000</v>
      </c>
      <c r="L2105">
        <v>8425000</v>
      </c>
    </row>
    <row r="2106" spans="1:12" ht="15" customHeight="1">
      <c r="A2106" t="s">
        <v>7392</v>
      </c>
      <c r="B2106" t="s">
        <v>4809</v>
      </c>
      <c r="C2106" t="s">
        <v>12</v>
      </c>
      <c r="D2106" t="s">
        <v>4810</v>
      </c>
      <c r="E2106" t="s">
        <v>1532</v>
      </c>
      <c r="F2106" t="s">
        <v>14</v>
      </c>
      <c r="G2106" t="s">
        <v>18</v>
      </c>
    </row>
    <row r="2107" spans="1:12" ht="15" customHeight="1">
      <c r="A2107" t="s">
        <v>7393</v>
      </c>
      <c r="B2107" t="s">
        <v>4811</v>
      </c>
      <c r="C2107" t="s">
        <v>12</v>
      </c>
      <c r="D2107" t="s">
        <v>4812</v>
      </c>
      <c r="E2107" t="s">
        <v>1526</v>
      </c>
      <c r="F2107" t="s">
        <v>25</v>
      </c>
      <c r="G2107" t="s">
        <v>18</v>
      </c>
      <c r="I2107">
        <v>800000</v>
      </c>
      <c r="J2107">
        <v>305000</v>
      </c>
      <c r="L2107">
        <v>306000</v>
      </c>
    </row>
    <row r="2108" spans="1:12" ht="15" customHeight="1">
      <c r="A2108" t="s">
        <v>7394</v>
      </c>
      <c r="B2108" t="s">
        <v>4813</v>
      </c>
      <c r="C2108" t="s">
        <v>12</v>
      </c>
      <c r="D2108" t="s">
        <v>4814</v>
      </c>
      <c r="E2108" t="s">
        <v>1605</v>
      </c>
      <c r="F2108" t="s">
        <v>25</v>
      </c>
      <c r="G2108" t="s">
        <v>18</v>
      </c>
      <c r="I2108">
        <v>79256000</v>
      </c>
      <c r="J2108">
        <v>80863000</v>
      </c>
      <c r="K2108">
        <v>66543000</v>
      </c>
      <c r="L2108">
        <v>65698000</v>
      </c>
    </row>
    <row r="2109" spans="1:12" ht="15" customHeight="1">
      <c r="A2109" t="s">
        <v>7395</v>
      </c>
      <c r="B2109" t="s">
        <v>4815</v>
      </c>
      <c r="C2109" t="s">
        <v>12</v>
      </c>
      <c r="D2109" t="s">
        <v>4816</v>
      </c>
      <c r="E2109" t="s">
        <v>1565</v>
      </c>
      <c r="F2109" t="s">
        <v>14</v>
      </c>
      <c r="G2109" t="s">
        <v>18</v>
      </c>
      <c r="J2109">
        <v>1589000</v>
      </c>
      <c r="L2109">
        <v>2537000</v>
      </c>
    </row>
    <row r="2110" spans="1:12" ht="15" customHeight="1">
      <c r="A2110" t="s">
        <v>7396</v>
      </c>
      <c r="B2110" t="s">
        <v>4817</v>
      </c>
      <c r="C2110" t="s">
        <v>12</v>
      </c>
      <c r="D2110" t="s">
        <v>4818</v>
      </c>
      <c r="E2110" t="s">
        <v>1533</v>
      </c>
      <c r="F2110" t="s">
        <v>14</v>
      </c>
      <c r="G2110" t="s">
        <v>18</v>
      </c>
      <c r="I2110">
        <v>536000</v>
      </c>
      <c r="J2110">
        <v>352000</v>
      </c>
      <c r="K2110">
        <v>765000</v>
      </c>
      <c r="L2110">
        <v>713000</v>
      </c>
    </row>
    <row r="2111" spans="1:12" ht="15" customHeight="1">
      <c r="A2111" t="s">
        <v>7397</v>
      </c>
      <c r="B2111" t="s">
        <v>4819</v>
      </c>
      <c r="C2111" t="s">
        <v>12</v>
      </c>
      <c r="D2111" t="s">
        <v>4820</v>
      </c>
      <c r="E2111" t="s">
        <v>1737</v>
      </c>
      <c r="F2111" t="s">
        <v>25</v>
      </c>
      <c r="G2111" t="s">
        <v>18</v>
      </c>
      <c r="I2111">
        <v>1653000</v>
      </c>
      <c r="J2111">
        <v>3902000</v>
      </c>
      <c r="K2111">
        <v>476000</v>
      </c>
      <c r="L2111">
        <v>4097000</v>
      </c>
    </row>
    <row r="2112" spans="1:12" ht="15" customHeight="1">
      <c r="A2112" t="s">
        <v>7398</v>
      </c>
      <c r="B2112" t="s">
        <v>4821</v>
      </c>
      <c r="C2112" t="s">
        <v>12</v>
      </c>
      <c r="D2112" t="s">
        <v>4822</v>
      </c>
      <c r="E2112" t="s">
        <v>1532</v>
      </c>
      <c r="F2112" t="s">
        <v>14</v>
      </c>
      <c r="G2112" t="s">
        <v>18</v>
      </c>
      <c r="I2112">
        <v>640000</v>
      </c>
      <c r="J2112">
        <v>630000</v>
      </c>
      <c r="K2112">
        <v>611000</v>
      </c>
      <c r="L2112">
        <v>657000</v>
      </c>
    </row>
    <row r="2113" spans="1:12" ht="15" customHeight="1">
      <c r="A2113" t="s">
        <v>7399</v>
      </c>
      <c r="B2113" t="s">
        <v>4823</v>
      </c>
      <c r="C2113" t="s">
        <v>12</v>
      </c>
      <c r="D2113" t="s">
        <v>4824</v>
      </c>
      <c r="E2113" t="s">
        <v>1525</v>
      </c>
      <c r="F2113" t="s">
        <v>14</v>
      </c>
      <c r="G2113" t="s">
        <v>18</v>
      </c>
    </row>
    <row r="2114" spans="1:12" ht="15" customHeight="1">
      <c r="A2114" t="s">
        <v>7400</v>
      </c>
      <c r="B2114" t="s">
        <v>4825</v>
      </c>
      <c r="C2114" t="s">
        <v>12</v>
      </c>
      <c r="D2114" t="s">
        <v>4826</v>
      </c>
      <c r="E2114" t="s">
        <v>1588</v>
      </c>
      <c r="F2114" t="s">
        <v>14</v>
      </c>
      <c r="G2114" t="s">
        <v>18</v>
      </c>
      <c r="I2114">
        <v>3148000</v>
      </c>
      <c r="K2114">
        <v>2982000</v>
      </c>
    </row>
    <row r="2115" spans="1:12" ht="15" customHeight="1">
      <c r="A2115" t="s">
        <v>7401</v>
      </c>
      <c r="B2115" t="s">
        <v>4827</v>
      </c>
      <c r="C2115" t="s">
        <v>12</v>
      </c>
      <c r="D2115" t="s">
        <v>4828</v>
      </c>
      <c r="E2115" t="s">
        <v>1508</v>
      </c>
      <c r="F2115" t="s">
        <v>14</v>
      </c>
      <c r="G2115" t="s">
        <v>18</v>
      </c>
      <c r="I2115">
        <v>42742000</v>
      </c>
      <c r="J2115">
        <v>23190000</v>
      </c>
      <c r="K2115">
        <v>42742000</v>
      </c>
      <c r="L2115">
        <v>23190000</v>
      </c>
    </row>
    <row r="2116" spans="1:12" ht="15" customHeight="1">
      <c r="A2116" t="s">
        <v>7402</v>
      </c>
      <c r="B2116" t="s">
        <v>4829</v>
      </c>
      <c r="C2116" t="s">
        <v>12</v>
      </c>
      <c r="D2116" t="s">
        <v>4830</v>
      </c>
      <c r="E2116" t="s">
        <v>1508</v>
      </c>
      <c r="F2116" t="s">
        <v>14</v>
      </c>
      <c r="G2116" t="s">
        <v>18</v>
      </c>
      <c r="I2116">
        <v>52000</v>
      </c>
      <c r="J2116">
        <v>218000</v>
      </c>
      <c r="K2116">
        <v>52000</v>
      </c>
      <c r="L2116">
        <v>218000</v>
      </c>
    </row>
    <row r="2117" spans="1:12" ht="15" customHeight="1">
      <c r="A2117" t="s">
        <v>7403</v>
      </c>
      <c r="B2117" t="s">
        <v>4831</v>
      </c>
      <c r="C2117" t="s">
        <v>12</v>
      </c>
      <c r="D2117" t="s">
        <v>4832</v>
      </c>
      <c r="E2117" t="s">
        <v>1521</v>
      </c>
      <c r="F2117" t="s">
        <v>14</v>
      </c>
      <c r="G2117" t="s">
        <v>18</v>
      </c>
      <c r="I2117">
        <v>15311000</v>
      </c>
      <c r="J2117">
        <v>16516000</v>
      </c>
      <c r="K2117">
        <v>15303000</v>
      </c>
      <c r="L2117">
        <v>16676000</v>
      </c>
    </row>
    <row r="2118" spans="1:12" ht="15" customHeight="1">
      <c r="A2118" t="s">
        <v>7404</v>
      </c>
      <c r="B2118" t="s">
        <v>4833</v>
      </c>
      <c r="C2118" t="s">
        <v>12</v>
      </c>
      <c r="D2118" t="s">
        <v>4834</v>
      </c>
      <c r="E2118" t="s">
        <v>1521</v>
      </c>
      <c r="F2118" t="s">
        <v>14</v>
      </c>
      <c r="G2118" t="s">
        <v>18</v>
      </c>
      <c r="I2118">
        <v>14011000</v>
      </c>
      <c r="J2118">
        <v>14486000</v>
      </c>
      <c r="K2118">
        <v>14322000</v>
      </c>
      <c r="L2118">
        <v>15002000</v>
      </c>
    </row>
    <row r="2119" spans="1:12" ht="15" customHeight="1">
      <c r="A2119" t="s">
        <v>7405</v>
      </c>
      <c r="B2119" t="s">
        <v>4835</v>
      </c>
      <c r="C2119" t="s">
        <v>12</v>
      </c>
      <c r="D2119" t="s">
        <v>4836</v>
      </c>
      <c r="E2119" t="s">
        <v>1533</v>
      </c>
      <c r="F2119" t="s">
        <v>14</v>
      </c>
      <c r="G2119" t="s">
        <v>23</v>
      </c>
      <c r="I2119">
        <v>9297000</v>
      </c>
      <c r="J2119">
        <v>8929000</v>
      </c>
      <c r="K2119">
        <v>7709000</v>
      </c>
      <c r="L2119">
        <v>13305000</v>
      </c>
    </row>
    <row r="2120" spans="1:12" ht="15" customHeight="1">
      <c r="A2120" t="s">
        <v>7406</v>
      </c>
      <c r="B2120" t="s">
        <v>4837</v>
      </c>
      <c r="C2120" t="s">
        <v>12</v>
      </c>
      <c r="D2120" t="s">
        <v>4838</v>
      </c>
      <c r="E2120" t="s">
        <v>1533</v>
      </c>
      <c r="F2120" t="s">
        <v>25</v>
      </c>
      <c r="G2120" t="s">
        <v>18</v>
      </c>
      <c r="J2120">
        <v>575000</v>
      </c>
      <c r="L2120">
        <v>574000</v>
      </c>
    </row>
    <row r="2121" spans="1:12" ht="15" customHeight="1">
      <c r="A2121" t="s">
        <v>7407</v>
      </c>
      <c r="B2121" t="s">
        <v>4839</v>
      </c>
      <c r="C2121" t="s">
        <v>12</v>
      </c>
      <c r="D2121" t="s">
        <v>4840</v>
      </c>
      <c r="E2121" t="s">
        <v>1533</v>
      </c>
      <c r="F2121" t="s">
        <v>14</v>
      </c>
      <c r="G2121" t="s">
        <v>18</v>
      </c>
      <c r="I2121">
        <v>1142000</v>
      </c>
      <c r="J2121">
        <v>1799000</v>
      </c>
      <c r="K2121">
        <v>1065000</v>
      </c>
      <c r="L2121">
        <v>1917000</v>
      </c>
    </row>
    <row r="2122" spans="1:12" ht="15" customHeight="1">
      <c r="A2122" t="s">
        <v>7408</v>
      </c>
      <c r="B2122" t="s">
        <v>4841</v>
      </c>
      <c r="C2122" t="s">
        <v>12</v>
      </c>
      <c r="D2122" t="s">
        <v>4842</v>
      </c>
      <c r="E2122" t="s">
        <v>1516</v>
      </c>
      <c r="F2122" t="s">
        <v>14</v>
      </c>
      <c r="G2122" t="s">
        <v>18</v>
      </c>
    </row>
    <row r="2123" spans="1:12" ht="15" customHeight="1">
      <c r="A2123" t="s">
        <v>7409</v>
      </c>
      <c r="B2123" t="s">
        <v>4843</v>
      </c>
      <c r="C2123" t="s">
        <v>12</v>
      </c>
      <c r="D2123" t="s">
        <v>4844</v>
      </c>
      <c r="E2123" t="s">
        <v>1532</v>
      </c>
      <c r="F2123" t="s">
        <v>25</v>
      </c>
      <c r="G2123" t="s">
        <v>22</v>
      </c>
    </row>
    <row r="2124" spans="1:12" ht="15" customHeight="1">
      <c r="A2124" t="s">
        <v>7410</v>
      </c>
      <c r="B2124" t="s">
        <v>4845</v>
      </c>
      <c r="C2124" t="s">
        <v>12</v>
      </c>
      <c r="D2124" t="s">
        <v>4846</v>
      </c>
      <c r="E2124" t="s">
        <v>1532</v>
      </c>
      <c r="F2124" t="s">
        <v>14</v>
      </c>
      <c r="G2124" t="s">
        <v>18</v>
      </c>
    </row>
    <row r="2125" spans="1:12" ht="15" customHeight="1">
      <c r="A2125" t="s">
        <v>7411</v>
      </c>
      <c r="B2125" t="s">
        <v>4847</v>
      </c>
      <c r="C2125" t="s">
        <v>12</v>
      </c>
      <c r="D2125" t="s">
        <v>4848</v>
      </c>
      <c r="E2125" t="s">
        <v>1801</v>
      </c>
      <c r="F2125" t="s">
        <v>14</v>
      </c>
      <c r="G2125" t="s">
        <v>18</v>
      </c>
      <c r="I2125">
        <v>2000</v>
      </c>
      <c r="K2125">
        <v>2000</v>
      </c>
    </row>
    <row r="2126" spans="1:12" ht="15" customHeight="1">
      <c r="A2126" t="s">
        <v>7412</v>
      </c>
      <c r="B2126" t="s">
        <v>4849</v>
      </c>
      <c r="C2126" t="s">
        <v>12</v>
      </c>
      <c r="D2126" t="s">
        <v>4850</v>
      </c>
      <c r="E2126" t="s">
        <v>1532</v>
      </c>
      <c r="F2126" t="s">
        <v>14</v>
      </c>
      <c r="G2126" t="s">
        <v>18</v>
      </c>
    </row>
    <row r="2127" spans="1:12" ht="15" customHeight="1">
      <c r="A2127" t="s">
        <v>7413</v>
      </c>
      <c r="B2127" t="s">
        <v>4851</v>
      </c>
      <c r="C2127" t="s">
        <v>12</v>
      </c>
      <c r="D2127" t="s">
        <v>4852</v>
      </c>
      <c r="E2127" t="s">
        <v>1532</v>
      </c>
      <c r="F2127" t="s">
        <v>14</v>
      </c>
      <c r="G2127" t="s">
        <v>18</v>
      </c>
    </row>
    <row r="2128" spans="1:12" ht="15" customHeight="1">
      <c r="A2128" t="s">
        <v>7414</v>
      </c>
      <c r="B2128" t="s">
        <v>4853</v>
      </c>
      <c r="C2128" t="s">
        <v>12</v>
      </c>
      <c r="D2128" t="s">
        <v>4854</v>
      </c>
      <c r="E2128" t="s">
        <v>1532</v>
      </c>
      <c r="F2128" t="s">
        <v>25</v>
      </c>
      <c r="G2128" t="s">
        <v>18</v>
      </c>
    </row>
    <row r="2129" spans="1:12" ht="15" customHeight="1">
      <c r="A2129" t="s">
        <v>7415</v>
      </c>
      <c r="B2129" t="s">
        <v>4855</v>
      </c>
      <c r="C2129" t="s">
        <v>12</v>
      </c>
      <c r="D2129" t="s">
        <v>4856</v>
      </c>
      <c r="E2129" t="s">
        <v>1592</v>
      </c>
      <c r="F2129" t="s">
        <v>14</v>
      </c>
      <c r="G2129" t="s">
        <v>22</v>
      </c>
      <c r="I2129">
        <v>3003000</v>
      </c>
      <c r="J2129">
        <v>5013000</v>
      </c>
      <c r="K2129">
        <v>2938000</v>
      </c>
      <c r="L2129">
        <v>5256000</v>
      </c>
    </row>
    <row r="2130" spans="1:12" ht="15" customHeight="1">
      <c r="A2130" t="s">
        <v>7416</v>
      </c>
      <c r="B2130" t="s">
        <v>4857</v>
      </c>
      <c r="C2130" t="s">
        <v>12</v>
      </c>
      <c r="D2130" t="s">
        <v>4858</v>
      </c>
      <c r="E2130" t="s">
        <v>1560</v>
      </c>
      <c r="F2130" t="s">
        <v>25</v>
      </c>
      <c r="G2130" t="s">
        <v>18</v>
      </c>
    </row>
    <row r="2131" spans="1:12" ht="15" customHeight="1">
      <c r="A2131" t="s">
        <v>7417</v>
      </c>
      <c r="B2131" t="s">
        <v>4859</v>
      </c>
      <c r="C2131" t="s">
        <v>12</v>
      </c>
      <c r="D2131" t="s">
        <v>4860</v>
      </c>
      <c r="E2131" t="s">
        <v>1588</v>
      </c>
      <c r="F2131" t="s">
        <v>25</v>
      </c>
      <c r="G2131" t="s">
        <v>18</v>
      </c>
      <c r="I2131">
        <v>54000</v>
      </c>
      <c r="K2131">
        <v>60000</v>
      </c>
    </row>
    <row r="2132" spans="1:12" ht="15" customHeight="1">
      <c r="A2132" t="s">
        <v>7418</v>
      </c>
      <c r="B2132" t="s">
        <v>4861</v>
      </c>
      <c r="C2132" t="s">
        <v>12</v>
      </c>
      <c r="D2132" t="s">
        <v>4862</v>
      </c>
      <c r="E2132" t="s">
        <v>1560</v>
      </c>
      <c r="F2132" t="s">
        <v>25</v>
      </c>
      <c r="G2132" t="s">
        <v>18</v>
      </c>
    </row>
    <row r="2133" spans="1:12" ht="15" customHeight="1">
      <c r="A2133" t="s">
        <v>7419</v>
      </c>
      <c r="B2133" t="s">
        <v>4863</v>
      </c>
      <c r="C2133" t="s">
        <v>12</v>
      </c>
      <c r="D2133" t="s">
        <v>4864</v>
      </c>
      <c r="E2133" t="s">
        <v>1519</v>
      </c>
      <c r="F2133" t="s">
        <v>14</v>
      </c>
      <c r="G2133" t="s">
        <v>18</v>
      </c>
    </row>
    <row r="2134" spans="1:12" ht="15" customHeight="1">
      <c r="A2134" t="s">
        <v>7420</v>
      </c>
      <c r="B2134" t="s">
        <v>4865</v>
      </c>
      <c r="C2134" t="s">
        <v>12</v>
      </c>
      <c r="D2134" t="s">
        <v>4866</v>
      </c>
      <c r="E2134" t="s">
        <v>1625</v>
      </c>
      <c r="F2134" t="s">
        <v>14</v>
      </c>
      <c r="G2134" t="s">
        <v>18</v>
      </c>
      <c r="I2134">
        <v>598000</v>
      </c>
      <c r="J2134">
        <v>282000</v>
      </c>
      <c r="K2134">
        <v>3578000</v>
      </c>
      <c r="L2134">
        <v>29929000</v>
      </c>
    </row>
    <row r="2135" spans="1:12" ht="15" customHeight="1">
      <c r="A2135" t="s">
        <v>7421</v>
      </c>
      <c r="B2135" t="s">
        <v>4867</v>
      </c>
      <c r="C2135" t="s">
        <v>12</v>
      </c>
      <c r="D2135" t="s">
        <v>4868</v>
      </c>
      <c r="E2135" t="s">
        <v>1580</v>
      </c>
      <c r="F2135" t="s">
        <v>14</v>
      </c>
      <c r="G2135" t="s">
        <v>18</v>
      </c>
      <c r="I2135">
        <v>17166000</v>
      </c>
      <c r="J2135">
        <v>15213000</v>
      </c>
      <c r="K2135">
        <v>16894000</v>
      </c>
      <c r="L2135">
        <v>13105000</v>
      </c>
    </row>
    <row r="2136" spans="1:12" ht="15" customHeight="1">
      <c r="A2136" t="s">
        <v>7422</v>
      </c>
      <c r="B2136" t="s">
        <v>4869</v>
      </c>
      <c r="C2136" t="s">
        <v>12</v>
      </c>
      <c r="D2136" t="s">
        <v>4870</v>
      </c>
      <c r="E2136" t="s">
        <v>1508</v>
      </c>
      <c r="F2136" t="s">
        <v>14</v>
      </c>
      <c r="G2136" t="s">
        <v>18</v>
      </c>
      <c r="I2136">
        <v>166983000</v>
      </c>
      <c r="J2136">
        <v>131364000</v>
      </c>
      <c r="K2136">
        <v>165862000</v>
      </c>
      <c r="L2136">
        <v>131278000</v>
      </c>
    </row>
    <row r="2137" spans="1:12" ht="15" customHeight="1">
      <c r="A2137" t="s">
        <v>7423</v>
      </c>
      <c r="B2137" t="s">
        <v>4871</v>
      </c>
      <c r="C2137" t="s">
        <v>12</v>
      </c>
      <c r="D2137" t="s">
        <v>4872</v>
      </c>
      <c r="E2137" t="s">
        <v>1509</v>
      </c>
      <c r="F2137" t="s">
        <v>14</v>
      </c>
      <c r="G2137" t="s">
        <v>18</v>
      </c>
      <c r="I2137">
        <v>651000</v>
      </c>
      <c r="J2137">
        <v>472000</v>
      </c>
      <c r="K2137">
        <v>980000</v>
      </c>
      <c r="L2137">
        <v>895000</v>
      </c>
    </row>
    <row r="2138" spans="1:12" ht="15" customHeight="1">
      <c r="A2138" t="s">
        <v>7424</v>
      </c>
      <c r="B2138" t="s">
        <v>4873</v>
      </c>
      <c r="C2138" t="s">
        <v>12</v>
      </c>
      <c r="D2138" t="s">
        <v>4874</v>
      </c>
      <c r="E2138" t="s">
        <v>1532</v>
      </c>
      <c r="F2138" t="s">
        <v>14</v>
      </c>
      <c r="G2138" t="s">
        <v>18</v>
      </c>
    </row>
    <row r="2139" spans="1:12" ht="15" customHeight="1">
      <c r="A2139" t="s">
        <v>7425</v>
      </c>
      <c r="B2139" t="s">
        <v>4875</v>
      </c>
      <c r="C2139" t="s">
        <v>12</v>
      </c>
      <c r="D2139" t="s">
        <v>4876</v>
      </c>
      <c r="E2139" t="s">
        <v>1532</v>
      </c>
      <c r="F2139" t="s">
        <v>14</v>
      </c>
      <c r="G2139" t="s">
        <v>18</v>
      </c>
    </row>
    <row r="2140" spans="1:12" ht="15" customHeight="1">
      <c r="A2140" t="s">
        <v>7426</v>
      </c>
      <c r="B2140" t="s">
        <v>4877</v>
      </c>
      <c r="C2140" t="s">
        <v>12</v>
      </c>
      <c r="D2140" t="s">
        <v>4878</v>
      </c>
      <c r="E2140" t="s">
        <v>1532</v>
      </c>
      <c r="F2140" t="s">
        <v>14</v>
      </c>
      <c r="G2140" t="s">
        <v>18</v>
      </c>
      <c r="I2140">
        <v>92140000</v>
      </c>
      <c r="J2140">
        <v>440000</v>
      </c>
      <c r="K2140">
        <v>51634000</v>
      </c>
      <c r="L2140">
        <v>48289000</v>
      </c>
    </row>
    <row r="2141" spans="1:12" ht="15" customHeight="1">
      <c r="A2141" t="s">
        <v>7427</v>
      </c>
      <c r="B2141" t="s">
        <v>4879</v>
      </c>
      <c r="C2141" t="s">
        <v>12</v>
      </c>
      <c r="D2141" t="s">
        <v>4880</v>
      </c>
      <c r="E2141" t="s">
        <v>1547</v>
      </c>
      <c r="F2141" t="s">
        <v>14</v>
      </c>
      <c r="G2141" t="s">
        <v>18</v>
      </c>
    </row>
    <row r="2142" spans="1:12" ht="15" customHeight="1">
      <c r="A2142" t="s">
        <v>7428</v>
      </c>
      <c r="B2142" t="s">
        <v>4881</v>
      </c>
      <c r="C2142" t="s">
        <v>12</v>
      </c>
      <c r="D2142" t="s">
        <v>4882</v>
      </c>
      <c r="E2142" t="s">
        <v>1629</v>
      </c>
      <c r="F2142" t="s">
        <v>14</v>
      </c>
      <c r="G2142" t="s">
        <v>18</v>
      </c>
      <c r="I2142">
        <v>2117000</v>
      </c>
      <c r="J2142">
        <v>95000</v>
      </c>
      <c r="K2142">
        <v>2109000</v>
      </c>
      <c r="L2142">
        <v>71000</v>
      </c>
    </row>
    <row r="2143" spans="1:12" ht="15" customHeight="1">
      <c r="A2143" t="s">
        <v>7429</v>
      </c>
      <c r="B2143" t="s">
        <v>4883</v>
      </c>
      <c r="C2143" t="s">
        <v>12</v>
      </c>
      <c r="D2143" t="s">
        <v>4884</v>
      </c>
      <c r="E2143" t="s">
        <v>1508</v>
      </c>
      <c r="F2143" t="s">
        <v>14</v>
      </c>
      <c r="G2143" t="s">
        <v>18</v>
      </c>
      <c r="I2143">
        <v>90000</v>
      </c>
      <c r="J2143">
        <v>90000</v>
      </c>
      <c r="K2143">
        <v>90000</v>
      </c>
      <c r="L2143">
        <v>90000</v>
      </c>
    </row>
    <row r="2144" spans="1:12" ht="15" customHeight="1">
      <c r="A2144" t="s">
        <v>7430</v>
      </c>
      <c r="B2144" t="s">
        <v>4885</v>
      </c>
      <c r="C2144" t="s">
        <v>12</v>
      </c>
      <c r="D2144" t="s">
        <v>4886</v>
      </c>
      <c r="E2144" t="s">
        <v>1579</v>
      </c>
      <c r="F2144" t="s">
        <v>14</v>
      </c>
      <c r="G2144" t="s">
        <v>18</v>
      </c>
    </row>
    <row r="2145" spans="1:12" ht="15" customHeight="1">
      <c r="A2145" t="s">
        <v>7431</v>
      </c>
      <c r="B2145" t="s">
        <v>4887</v>
      </c>
      <c r="C2145" t="s">
        <v>12</v>
      </c>
      <c r="D2145" t="s">
        <v>4888</v>
      </c>
      <c r="E2145" t="s">
        <v>1532</v>
      </c>
      <c r="F2145" t="s">
        <v>14</v>
      </c>
      <c r="G2145" t="s">
        <v>77</v>
      </c>
      <c r="I2145">
        <v>123626000</v>
      </c>
      <c r="J2145">
        <v>187439000</v>
      </c>
      <c r="K2145">
        <v>154644000</v>
      </c>
      <c r="L2145">
        <v>197334000</v>
      </c>
    </row>
    <row r="2146" spans="1:12" ht="15" customHeight="1">
      <c r="A2146" t="s">
        <v>7432</v>
      </c>
      <c r="B2146" t="s">
        <v>4889</v>
      </c>
      <c r="C2146" t="s">
        <v>12</v>
      </c>
      <c r="D2146" t="s">
        <v>4890</v>
      </c>
      <c r="E2146" t="s">
        <v>1508</v>
      </c>
      <c r="F2146" t="s">
        <v>14</v>
      </c>
      <c r="G2146" t="s">
        <v>18</v>
      </c>
      <c r="I2146">
        <v>574000</v>
      </c>
      <c r="J2146">
        <v>1785000</v>
      </c>
      <c r="K2146">
        <v>883000</v>
      </c>
      <c r="L2146">
        <v>826000</v>
      </c>
    </row>
    <row r="2147" spans="1:12" ht="15" customHeight="1">
      <c r="A2147" t="s">
        <v>7433</v>
      </c>
      <c r="B2147" t="s">
        <v>4891</v>
      </c>
      <c r="C2147" t="s">
        <v>12</v>
      </c>
      <c r="D2147" t="s">
        <v>4892</v>
      </c>
      <c r="E2147" t="s">
        <v>1532</v>
      </c>
      <c r="F2147" t="s">
        <v>14</v>
      </c>
      <c r="G2147" t="s">
        <v>22</v>
      </c>
    </row>
    <row r="2148" spans="1:12" ht="15" customHeight="1">
      <c r="A2148" t="s">
        <v>7434</v>
      </c>
      <c r="B2148" t="s">
        <v>4893</v>
      </c>
      <c r="C2148" t="s">
        <v>12</v>
      </c>
      <c r="D2148" t="s">
        <v>4894</v>
      </c>
      <c r="E2148" t="s">
        <v>1737</v>
      </c>
      <c r="F2148" t="s">
        <v>25</v>
      </c>
      <c r="G2148" t="s">
        <v>18</v>
      </c>
      <c r="I2148">
        <v>1757000</v>
      </c>
      <c r="J2148">
        <v>1241000</v>
      </c>
      <c r="K2148">
        <v>1764000</v>
      </c>
      <c r="L2148">
        <v>1331000</v>
      </c>
    </row>
    <row r="2149" spans="1:12" ht="15" customHeight="1">
      <c r="A2149" t="s">
        <v>7435</v>
      </c>
      <c r="B2149" t="s">
        <v>4895</v>
      </c>
      <c r="C2149" t="s">
        <v>12</v>
      </c>
      <c r="D2149" t="s">
        <v>4896</v>
      </c>
      <c r="E2149" t="s">
        <v>1558</v>
      </c>
      <c r="F2149" t="s">
        <v>14</v>
      </c>
      <c r="G2149" t="s">
        <v>18</v>
      </c>
      <c r="I2149">
        <v>43000</v>
      </c>
      <c r="K2149">
        <v>14000</v>
      </c>
    </row>
    <row r="2150" spans="1:12" ht="15" customHeight="1">
      <c r="A2150" t="s">
        <v>7436</v>
      </c>
      <c r="B2150" t="s">
        <v>4897</v>
      </c>
      <c r="C2150" t="s">
        <v>12</v>
      </c>
      <c r="D2150" t="s">
        <v>4898</v>
      </c>
      <c r="E2150" t="s">
        <v>1795</v>
      </c>
      <c r="F2150" t="s">
        <v>14</v>
      </c>
      <c r="G2150" t="s">
        <v>18</v>
      </c>
      <c r="I2150">
        <v>2065000</v>
      </c>
      <c r="J2150">
        <v>4166000</v>
      </c>
      <c r="K2150">
        <v>1452000</v>
      </c>
      <c r="L2150">
        <v>4345000</v>
      </c>
    </row>
    <row r="2151" spans="1:12" ht="15" customHeight="1">
      <c r="A2151" t="s">
        <v>7437</v>
      </c>
      <c r="B2151" t="s">
        <v>4899</v>
      </c>
      <c r="C2151" t="s">
        <v>12</v>
      </c>
      <c r="D2151" t="s">
        <v>4900</v>
      </c>
      <c r="E2151" t="s">
        <v>1580</v>
      </c>
      <c r="F2151" t="s">
        <v>14</v>
      </c>
      <c r="G2151" t="s">
        <v>18</v>
      </c>
      <c r="I2151">
        <v>9534000</v>
      </c>
      <c r="J2151">
        <v>13272000</v>
      </c>
      <c r="K2151">
        <v>9317000</v>
      </c>
      <c r="L2151">
        <v>11790000</v>
      </c>
    </row>
    <row r="2152" spans="1:12" ht="15" customHeight="1">
      <c r="A2152" t="s">
        <v>7438</v>
      </c>
      <c r="B2152" t="s">
        <v>4901</v>
      </c>
      <c r="C2152" t="s">
        <v>12</v>
      </c>
      <c r="D2152" t="s">
        <v>4902</v>
      </c>
      <c r="E2152" t="s">
        <v>1604</v>
      </c>
      <c r="F2152" t="s">
        <v>14</v>
      </c>
      <c r="G2152" t="s">
        <v>18</v>
      </c>
      <c r="I2152">
        <v>527000</v>
      </c>
      <c r="J2152">
        <v>854000</v>
      </c>
      <c r="K2152">
        <v>590000</v>
      </c>
      <c r="L2152">
        <v>855000</v>
      </c>
    </row>
    <row r="2153" spans="1:12" ht="15" customHeight="1">
      <c r="A2153" t="s">
        <v>7439</v>
      </c>
      <c r="B2153" t="s">
        <v>4903</v>
      </c>
      <c r="C2153" t="s">
        <v>12</v>
      </c>
      <c r="D2153" t="s">
        <v>4904</v>
      </c>
      <c r="E2153" t="s">
        <v>1544</v>
      </c>
      <c r="F2153" t="s">
        <v>14</v>
      </c>
      <c r="G2153" t="s">
        <v>18</v>
      </c>
      <c r="I2153">
        <v>351000</v>
      </c>
      <c r="J2153">
        <v>175000</v>
      </c>
      <c r="K2153">
        <v>192000</v>
      </c>
      <c r="L2153">
        <v>178000</v>
      </c>
    </row>
    <row r="2154" spans="1:12" ht="15" customHeight="1">
      <c r="A2154" t="s">
        <v>7440</v>
      </c>
      <c r="B2154" t="s">
        <v>4905</v>
      </c>
      <c r="C2154" t="s">
        <v>12</v>
      </c>
      <c r="D2154" t="s">
        <v>4906</v>
      </c>
      <c r="E2154" t="s">
        <v>1509</v>
      </c>
      <c r="F2154" t="s">
        <v>14</v>
      </c>
      <c r="G2154" t="s">
        <v>18</v>
      </c>
      <c r="I2154">
        <v>619000</v>
      </c>
      <c r="J2154">
        <v>417000</v>
      </c>
      <c r="K2154">
        <v>652000</v>
      </c>
      <c r="L2154">
        <v>511000</v>
      </c>
    </row>
    <row r="2155" spans="1:12" ht="15" customHeight="1">
      <c r="A2155" t="s">
        <v>7441</v>
      </c>
      <c r="B2155" t="s">
        <v>4907</v>
      </c>
      <c r="C2155" t="s">
        <v>12</v>
      </c>
      <c r="D2155" t="s">
        <v>4908</v>
      </c>
      <c r="E2155" t="s">
        <v>1532</v>
      </c>
      <c r="F2155" t="s">
        <v>14</v>
      </c>
      <c r="G2155" t="s">
        <v>18</v>
      </c>
    </row>
    <row r="2156" spans="1:12" ht="15" customHeight="1">
      <c r="A2156" t="s">
        <v>7442</v>
      </c>
      <c r="B2156" t="s">
        <v>4909</v>
      </c>
      <c r="C2156" t="s">
        <v>12</v>
      </c>
      <c r="D2156" t="s">
        <v>4910</v>
      </c>
      <c r="E2156" t="s">
        <v>1588</v>
      </c>
      <c r="F2156" t="s">
        <v>14</v>
      </c>
      <c r="G2156" t="s">
        <v>18</v>
      </c>
      <c r="I2156">
        <v>8000</v>
      </c>
      <c r="K2156">
        <v>9000</v>
      </c>
    </row>
    <row r="2157" spans="1:12" ht="15" customHeight="1">
      <c r="A2157" t="s">
        <v>7443</v>
      </c>
      <c r="B2157" t="s">
        <v>4911</v>
      </c>
      <c r="C2157" t="s">
        <v>12</v>
      </c>
      <c r="D2157" t="s">
        <v>4912</v>
      </c>
      <c r="E2157" t="s">
        <v>1504</v>
      </c>
      <c r="F2157" t="s">
        <v>25</v>
      </c>
      <c r="G2157" t="s">
        <v>18</v>
      </c>
      <c r="I2157">
        <v>19328000</v>
      </c>
      <c r="J2157">
        <v>6753000</v>
      </c>
      <c r="K2157">
        <v>19441000</v>
      </c>
      <c r="L2157">
        <v>6710000</v>
      </c>
    </row>
    <row r="2158" spans="1:12" ht="15" customHeight="1">
      <c r="A2158" t="s">
        <v>7444</v>
      </c>
      <c r="B2158" t="s">
        <v>4913</v>
      </c>
      <c r="C2158" t="s">
        <v>12</v>
      </c>
      <c r="D2158" t="s">
        <v>4914</v>
      </c>
      <c r="E2158" t="s">
        <v>1532</v>
      </c>
      <c r="F2158" t="s">
        <v>14</v>
      </c>
      <c r="G2158" t="s">
        <v>18</v>
      </c>
    </row>
    <row r="2159" spans="1:12" ht="15" customHeight="1">
      <c r="A2159" t="s">
        <v>7445</v>
      </c>
      <c r="B2159" t="s">
        <v>4915</v>
      </c>
      <c r="C2159" t="s">
        <v>12</v>
      </c>
      <c r="D2159" t="s">
        <v>4916</v>
      </c>
      <c r="E2159" t="s">
        <v>1560</v>
      </c>
      <c r="F2159" t="s">
        <v>14</v>
      </c>
      <c r="G2159" t="s">
        <v>18</v>
      </c>
    </row>
    <row r="2160" spans="1:12" ht="15" customHeight="1">
      <c r="A2160" t="s">
        <v>7446</v>
      </c>
      <c r="B2160" t="s">
        <v>4917</v>
      </c>
      <c r="C2160" t="s">
        <v>12</v>
      </c>
      <c r="D2160" t="s">
        <v>4918</v>
      </c>
      <c r="E2160" t="s">
        <v>1519</v>
      </c>
      <c r="F2160" t="s">
        <v>14</v>
      </c>
      <c r="G2160" t="s">
        <v>18</v>
      </c>
      <c r="I2160">
        <v>140000</v>
      </c>
      <c r="K2160">
        <v>128000</v>
      </c>
      <c r="L2160">
        <v>6000</v>
      </c>
    </row>
    <row r="2161" spans="1:12" ht="15" customHeight="1">
      <c r="A2161" t="s">
        <v>7447</v>
      </c>
      <c r="B2161" t="s">
        <v>4919</v>
      </c>
      <c r="C2161" t="s">
        <v>12</v>
      </c>
      <c r="D2161" t="s">
        <v>4920</v>
      </c>
      <c r="E2161" t="s">
        <v>1532</v>
      </c>
      <c r="F2161" t="s">
        <v>25</v>
      </c>
      <c r="G2161" t="s">
        <v>18</v>
      </c>
    </row>
    <row r="2162" spans="1:12" ht="15" customHeight="1">
      <c r="A2162" t="s">
        <v>7448</v>
      </c>
      <c r="B2162" t="s">
        <v>4921</v>
      </c>
      <c r="C2162" t="s">
        <v>12</v>
      </c>
      <c r="D2162" t="s">
        <v>4922</v>
      </c>
      <c r="E2162" t="s">
        <v>1526</v>
      </c>
      <c r="F2162" t="s">
        <v>14</v>
      </c>
      <c r="G2162" t="s">
        <v>18</v>
      </c>
    </row>
    <row r="2163" spans="1:12" ht="15" customHeight="1">
      <c r="A2163" t="s">
        <v>7449</v>
      </c>
      <c r="B2163" t="s">
        <v>4923</v>
      </c>
      <c r="C2163" t="s">
        <v>12</v>
      </c>
      <c r="D2163" t="s">
        <v>4924</v>
      </c>
      <c r="E2163" t="s">
        <v>1532</v>
      </c>
      <c r="F2163" t="s">
        <v>14</v>
      </c>
      <c r="G2163" t="s">
        <v>18</v>
      </c>
      <c r="I2163">
        <v>65000</v>
      </c>
      <c r="J2163">
        <v>457000</v>
      </c>
      <c r="K2163">
        <v>65000</v>
      </c>
      <c r="L2163">
        <v>58000</v>
      </c>
    </row>
    <row r="2164" spans="1:12" ht="15" customHeight="1">
      <c r="A2164" t="s">
        <v>7450</v>
      </c>
      <c r="B2164" t="s">
        <v>4925</v>
      </c>
      <c r="C2164" t="s">
        <v>12</v>
      </c>
      <c r="D2164" t="s">
        <v>4926</v>
      </c>
      <c r="E2164" t="s">
        <v>1533</v>
      </c>
      <c r="F2164" t="s">
        <v>25</v>
      </c>
      <c r="G2164" t="s">
        <v>18</v>
      </c>
      <c r="J2164">
        <v>223000</v>
      </c>
      <c r="L2164">
        <v>223000</v>
      </c>
    </row>
    <row r="2165" spans="1:12" ht="15" customHeight="1">
      <c r="A2165" t="s">
        <v>7451</v>
      </c>
      <c r="B2165" t="s">
        <v>4927</v>
      </c>
      <c r="C2165" t="s">
        <v>12</v>
      </c>
      <c r="D2165" t="s">
        <v>4928</v>
      </c>
      <c r="E2165" t="s">
        <v>1754</v>
      </c>
      <c r="F2165" t="s">
        <v>14</v>
      </c>
      <c r="G2165" t="s">
        <v>18</v>
      </c>
    </row>
    <row r="2166" spans="1:12" ht="15" customHeight="1">
      <c r="A2166" t="s">
        <v>7452</v>
      </c>
      <c r="B2166" t="s">
        <v>4929</v>
      </c>
      <c r="C2166" t="s">
        <v>12</v>
      </c>
      <c r="D2166" t="s">
        <v>4930</v>
      </c>
      <c r="E2166" t="s">
        <v>1526</v>
      </c>
      <c r="F2166" t="s">
        <v>25</v>
      </c>
      <c r="G2166" t="s">
        <v>18</v>
      </c>
      <c r="I2166">
        <v>3781000</v>
      </c>
      <c r="J2166">
        <v>3480000</v>
      </c>
      <c r="K2166">
        <v>3819000</v>
      </c>
      <c r="L2166">
        <v>3675000</v>
      </c>
    </row>
    <row r="2167" spans="1:12" ht="15" customHeight="1">
      <c r="A2167" t="s">
        <v>7453</v>
      </c>
      <c r="B2167" t="s">
        <v>4931</v>
      </c>
      <c r="C2167" t="s">
        <v>12</v>
      </c>
      <c r="D2167" t="s">
        <v>4932</v>
      </c>
      <c r="E2167" t="s">
        <v>1532</v>
      </c>
      <c r="F2167" t="s">
        <v>14</v>
      </c>
      <c r="G2167" t="s">
        <v>18</v>
      </c>
    </row>
    <row r="2168" spans="1:12" ht="15" customHeight="1">
      <c r="A2168" t="s">
        <v>7454</v>
      </c>
      <c r="B2168" t="s">
        <v>4933</v>
      </c>
      <c r="C2168" t="s">
        <v>12</v>
      </c>
      <c r="D2168" t="s">
        <v>4934</v>
      </c>
      <c r="E2168" t="s">
        <v>1504</v>
      </c>
      <c r="F2168" t="s">
        <v>14</v>
      </c>
      <c r="G2168" t="s">
        <v>18</v>
      </c>
      <c r="I2168">
        <v>1956000</v>
      </c>
      <c r="K2168">
        <v>1907000</v>
      </c>
    </row>
    <row r="2169" spans="1:12" ht="15" customHeight="1">
      <c r="A2169" t="s">
        <v>7455</v>
      </c>
      <c r="B2169" t="s">
        <v>4935</v>
      </c>
      <c r="C2169" t="s">
        <v>12</v>
      </c>
      <c r="D2169" t="s">
        <v>4936</v>
      </c>
      <c r="E2169" t="s">
        <v>1575</v>
      </c>
      <c r="F2169" t="s">
        <v>14</v>
      </c>
      <c r="G2169" t="s">
        <v>18</v>
      </c>
    </row>
    <row r="2170" spans="1:12" ht="15" customHeight="1">
      <c r="A2170" t="s">
        <v>7456</v>
      </c>
      <c r="B2170" t="s">
        <v>4937</v>
      </c>
      <c r="C2170" t="s">
        <v>12</v>
      </c>
      <c r="D2170" t="s">
        <v>4938</v>
      </c>
      <c r="E2170" t="s">
        <v>1649</v>
      </c>
      <c r="F2170" t="s">
        <v>14</v>
      </c>
      <c r="G2170" t="s">
        <v>18</v>
      </c>
      <c r="I2170">
        <v>55000</v>
      </c>
      <c r="J2170">
        <v>26000</v>
      </c>
      <c r="K2170">
        <v>55000</v>
      </c>
      <c r="L2170">
        <v>19000</v>
      </c>
    </row>
    <row r="2171" spans="1:12" ht="15" customHeight="1">
      <c r="A2171" t="s">
        <v>7456</v>
      </c>
      <c r="B2171" t="s">
        <v>4939</v>
      </c>
      <c r="C2171" t="s">
        <v>12</v>
      </c>
      <c r="D2171" t="s">
        <v>4940</v>
      </c>
      <c r="E2171" t="s">
        <v>1504</v>
      </c>
      <c r="F2171" t="s">
        <v>14</v>
      </c>
      <c r="G2171" t="s">
        <v>18</v>
      </c>
      <c r="I2171">
        <v>703000</v>
      </c>
      <c r="J2171">
        <v>1244000</v>
      </c>
      <c r="K2171">
        <v>831000</v>
      </c>
      <c r="L2171">
        <v>1052000</v>
      </c>
    </row>
    <row r="2172" spans="1:12" ht="15" customHeight="1">
      <c r="A2172" t="s">
        <v>7457</v>
      </c>
      <c r="B2172" t="s">
        <v>4941</v>
      </c>
      <c r="C2172" t="s">
        <v>12</v>
      </c>
      <c r="D2172" t="s">
        <v>4942</v>
      </c>
      <c r="E2172" t="s">
        <v>1512</v>
      </c>
      <c r="F2172" t="s">
        <v>14</v>
      </c>
      <c r="G2172" t="s">
        <v>18</v>
      </c>
      <c r="I2172">
        <v>71000</v>
      </c>
      <c r="J2172">
        <v>312000</v>
      </c>
      <c r="K2172">
        <v>71000</v>
      </c>
      <c r="L2172">
        <v>311000</v>
      </c>
    </row>
    <row r="2173" spans="1:12" ht="15" customHeight="1">
      <c r="A2173" t="s">
        <v>7458</v>
      </c>
      <c r="B2173" t="s">
        <v>4943</v>
      </c>
      <c r="C2173" t="s">
        <v>12</v>
      </c>
      <c r="D2173" t="s">
        <v>4944</v>
      </c>
      <c r="E2173" t="s">
        <v>1642</v>
      </c>
      <c r="F2173" t="s">
        <v>14</v>
      </c>
      <c r="G2173" t="s">
        <v>18</v>
      </c>
    </row>
    <row r="2174" spans="1:12" ht="15" customHeight="1">
      <c r="A2174" t="s">
        <v>7459</v>
      </c>
      <c r="B2174" t="s">
        <v>4945</v>
      </c>
      <c r="C2174" t="s">
        <v>12</v>
      </c>
      <c r="D2174" t="s">
        <v>4946</v>
      </c>
      <c r="E2174" t="s">
        <v>1517</v>
      </c>
      <c r="F2174" t="s">
        <v>14</v>
      </c>
      <c r="G2174" t="s">
        <v>302</v>
      </c>
      <c r="H2174" t="s">
        <v>302</v>
      </c>
      <c r="I2174">
        <v>67915000</v>
      </c>
      <c r="J2174">
        <v>73755000</v>
      </c>
      <c r="K2174">
        <v>67459000</v>
      </c>
      <c r="L2174">
        <v>74899000</v>
      </c>
    </row>
    <row r="2175" spans="1:12" ht="15" customHeight="1">
      <c r="A2175" t="s">
        <v>7460</v>
      </c>
      <c r="B2175" t="s">
        <v>4947</v>
      </c>
      <c r="C2175" t="s">
        <v>12</v>
      </c>
      <c r="D2175" t="s">
        <v>4948</v>
      </c>
      <c r="E2175" t="s">
        <v>1580</v>
      </c>
      <c r="F2175" t="s">
        <v>14</v>
      </c>
      <c r="G2175" t="s">
        <v>18</v>
      </c>
      <c r="I2175">
        <v>508000</v>
      </c>
      <c r="J2175">
        <v>1771000</v>
      </c>
      <c r="K2175">
        <v>88000</v>
      </c>
      <c r="L2175">
        <v>2023000</v>
      </c>
    </row>
    <row r="2176" spans="1:12" ht="15" customHeight="1">
      <c r="A2176" t="s">
        <v>7461</v>
      </c>
      <c r="B2176" t="s">
        <v>4949</v>
      </c>
      <c r="C2176" t="s">
        <v>12</v>
      </c>
      <c r="D2176" t="s">
        <v>4950</v>
      </c>
      <c r="E2176" t="s">
        <v>1509</v>
      </c>
      <c r="F2176" t="s">
        <v>25</v>
      </c>
      <c r="G2176" t="s">
        <v>18</v>
      </c>
      <c r="I2176">
        <v>5000000</v>
      </c>
      <c r="J2176">
        <v>1092000</v>
      </c>
      <c r="K2176">
        <v>3601000</v>
      </c>
      <c r="L2176">
        <v>949000</v>
      </c>
    </row>
    <row r="2177" spans="1:12" ht="15" customHeight="1">
      <c r="A2177" t="s">
        <v>7462</v>
      </c>
      <c r="B2177" t="s">
        <v>4951</v>
      </c>
      <c r="C2177" t="s">
        <v>12</v>
      </c>
      <c r="D2177" t="s">
        <v>4952</v>
      </c>
      <c r="E2177" t="s">
        <v>1526</v>
      </c>
      <c r="F2177" t="s">
        <v>25</v>
      </c>
      <c r="G2177" t="s">
        <v>18</v>
      </c>
    </row>
    <row r="2178" spans="1:12" ht="15" customHeight="1">
      <c r="A2178" t="s">
        <v>7463</v>
      </c>
      <c r="B2178" t="s">
        <v>4953</v>
      </c>
      <c r="C2178" t="s">
        <v>12</v>
      </c>
      <c r="D2178" t="s">
        <v>4954</v>
      </c>
      <c r="E2178" t="s">
        <v>1526</v>
      </c>
      <c r="F2178" t="s">
        <v>14</v>
      </c>
      <c r="G2178" t="s">
        <v>18</v>
      </c>
      <c r="I2178">
        <v>245000</v>
      </c>
      <c r="J2178">
        <v>316000</v>
      </c>
      <c r="K2178">
        <v>264000</v>
      </c>
      <c r="L2178">
        <v>351000</v>
      </c>
    </row>
    <row r="2179" spans="1:12" ht="15" customHeight="1">
      <c r="A2179" t="s">
        <v>7464</v>
      </c>
      <c r="B2179" t="s">
        <v>4955</v>
      </c>
      <c r="C2179" t="s">
        <v>12</v>
      </c>
      <c r="D2179" t="s">
        <v>4956</v>
      </c>
      <c r="E2179" t="s">
        <v>1532</v>
      </c>
      <c r="F2179" t="s">
        <v>14</v>
      </c>
      <c r="G2179" t="s">
        <v>18</v>
      </c>
      <c r="I2179">
        <v>5000</v>
      </c>
      <c r="J2179">
        <v>7000</v>
      </c>
      <c r="K2179">
        <v>4000</v>
      </c>
      <c r="L2179">
        <v>5000</v>
      </c>
    </row>
    <row r="2180" spans="1:12" ht="15" customHeight="1">
      <c r="A2180" t="s">
        <v>7465</v>
      </c>
      <c r="B2180" t="s">
        <v>4957</v>
      </c>
      <c r="C2180" t="s">
        <v>12</v>
      </c>
      <c r="D2180" t="s">
        <v>4958</v>
      </c>
      <c r="E2180" t="s">
        <v>1519</v>
      </c>
      <c r="F2180" t="s">
        <v>14</v>
      </c>
      <c r="G2180" t="s">
        <v>18</v>
      </c>
      <c r="I2180">
        <v>808000</v>
      </c>
      <c r="J2180">
        <v>110000</v>
      </c>
      <c r="K2180">
        <v>493000</v>
      </c>
      <c r="L2180">
        <v>450000</v>
      </c>
    </row>
    <row r="2181" spans="1:12" ht="15" customHeight="1">
      <c r="A2181" t="s">
        <v>7466</v>
      </c>
      <c r="B2181" t="s">
        <v>4959</v>
      </c>
      <c r="C2181" t="s">
        <v>12</v>
      </c>
      <c r="D2181" t="s">
        <v>4960</v>
      </c>
      <c r="E2181" t="s">
        <v>1510</v>
      </c>
      <c r="F2181" t="s">
        <v>14</v>
      </c>
      <c r="G2181" t="s">
        <v>18</v>
      </c>
      <c r="I2181">
        <v>17000</v>
      </c>
      <c r="J2181">
        <v>50000</v>
      </c>
      <c r="K2181">
        <v>17000</v>
      </c>
      <c r="L2181">
        <v>45000</v>
      </c>
    </row>
    <row r="2182" spans="1:12" ht="15" customHeight="1">
      <c r="A2182" t="s">
        <v>7467</v>
      </c>
      <c r="B2182" t="s">
        <v>4961</v>
      </c>
      <c r="C2182" t="s">
        <v>12</v>
      </c>
      <c r="D2182" t="s">
        <v>4962</v>
      </c>
      <c r="E2182" t="s">
        <v>1532</v>
      </c>
      <c r="F2182" t="s">
        <v>14</v>
      </c>
      <c r="G2182" t="s">
        <v>18</v>
      </c>
      <c r="I2182">
        <v>191000</v>
      </c>
      <c r="J2182">
        <v>364000</v>
      </c>
      <c r="K2182">
        <v>30000</v>
      </c>
      <c r="L2182">
        <v>283000</v>
      </c>
    </row>
    <row r="2183" spans="1:12" ht="15" customHeight="1">
      <c r="A2183" t="s">
        <v>7468</v>
      </c>
      <c r="B2183" t="s">
        <v>4963</v>
      </c>
      <c r="C2183" t="s">
        <v>12</v>
      </c>
      <c r="D2183" t="s">
        <v>4964</v>
      </c>
      <c r="E2183" t="s">
        <v>1558</v>
      </c>
      <c r="F2183" t="s">
        <v>14</v>
      </c>
      <c r="G2183" t="s">
        <v>18</v>
      </c>
      <c r="I2183">
        <v>2213000</v>
      </c>
      <c r="J2183">
        <v>51000</v>
      </c>
      <c r="K2183">
        <v>827000</v>
      </c>
      <c r="L2183">
        <v>149000</v>
      </c>
    </row>
    <row r="2184" spans="1:12" ht="15" customHeight="1">
      <c r="A2184" t="s">
        <v>7469</v>
      </c>
      <c r="B2184" t="s">
        <v>4965</v>
      </c>
      <c r="C2184" t="s">
        <v>12</v>
      </c>
      <c r="D2184" t="s">
        <v>4966</v>
      </c>
      <c r="E2184" t="s">
        <v>1580</v>
      </c>
      <c r="F2184" t="s">
        <v>14</v>
      </c>
      <c r="G2184" t="s">
        <v>18</v>
      </c>
      <c r="I2184">
        <v>19783000</v>
      </c>
      <c r="J2184">
        <v>5222000</v>
      </c>
      <c r="K2184">
        <v>19384000</v>
      </c>
      <c r="L2184">
        <v>10360000</v>
      </c>
    </row>
    <row r="2185" spans="1:12" ht="15" customHeight="1">
      <c r="A2185" t="s">
        <v>7470</v>
      </c>
      <c r="B2185" t="s">
        <v>4967</v>
      </c>
      <c r="C2185" t="s">
        <v>12</v>
      </c>
      <c r="D2185" t="s">
        <v>4968</v>
      </c>
      <c r="E2185" t="s">
        <v>1524</v>
      </c>
      <c r="F2185" t="s">
        <v>14</v>
      </c>
      <c r="G2185" t="s">
        <v>18</v>
      </c>
      <c r="I2185">
        <v>28613000</v>
      </c>
      <c r="J2185">
        <v>27657000</v>
      </c>
      <c r="K2185">
        <v>28635000</v>
      </c>
      <c r="L2185">
        <v>27052000</v>
      </c>
    </row>
    <row r="2186" spans="1:12" ht="15" customHeight="1">
      <c r="A2186" t="s">
        <v>7471</v>
      </c>
      <c r="B2186" t="s">
        <v>4969</v>
      </c>
      <c r="C2186" t="s">
        <v>12</v>
      </c>
      <c r="D2186" t="s">
        <v>4970</v>
      </c>
      <c r="E2186" t="s">
        <v>1532</v>
      </c>
      <c r="F2186" t="s">
        <v>14</v>
      </c>
      <c r="G2186" t="s">
        <v>18</v>
      </c>
    </row>
    <row r="2187" spans="1:12" ht="15" customHeight="1">
      <c r="A2187" t="s">
        <v>7472</v>
      </c>
      <c r="B2187" t="s">
        <v>4971</v>
      </c>
      <c r="C2187" t="s">
        <v>12</v>
      </c>
      <c r="D2187" t="s">
        <v>4972</v>
      </c>
      <c r="E2187" t="s">
        <v>1820</v>
      </c>
      <c r="F2187" t="s">
        <v>14</v>
      </c>
      <c r="G2187" t="s">
        <v>22</v>
      </c>
      <c r="I2187">
        <v>7947000</v>
      </c>
      <c r="J2187">
        <v>15451000</v>
      </c>
      <c r="K2187">
        <v>9887000</v>
      </c>
      <c r="L2187">
        <v>14056000</v>
      </c>
    </row>
    <row r="2188" spans="1:12" ht="15" customHeight="1">
      <c r="A2188" t="s">
        <v>7473</v>
      </c>
      <c r="B2188" t="s">
        <v>4973</v>
      </c>
      <c r="C2188" t="s">
        <v>12</v>
      </c>
      <c r="D2188" t="s">
        <v>4974</v>
      </c>
      <c r="E2188" t="s">
        <v>1516</v>
      </c>
      <c r="F2188" t="s">
        <v>14</v>
      </c>
      <c r="G2188" t="s">
        <v>18</v>
      </c>
      <c r="I2188">
        <v>593000</v>
      </c>
      <c r="J2188">
        <v>1101000</v>
      </c>
      <c r="K2188">
        <v>578000</v>
      </c>
      <c r="L2188">
        <v>1112000</v>
      </c>
    </row>
    <row r="2189" spans="1:12" ht="15" customHeight="1">
      <c r="A2189" t="s">
        <v>7474</v>
      </c>
      <c r="B2189" t="s">
        <v>4975</v>
      </c>
      <c r="C2189" t="s">
        <v>12</v>
      </c>
      <c r="D2189" t="s">
        <v>4976</v>
      </c>
      <c r="E2189" t="s">
        <v>1533</v>
      </c>
      <c r="F2189" t="s">
        <v>14</v>
      </c>
      <c r="G2189" t="s">
        <v>18</v>
      </c>
      <c r="I2189">
        <v>60000</v>
      </c>
      <c r="J2189">
        <v>91000</v>
      </c>
      <c r="K2189">
        <v>4000</v>
      </c>
      <c r="L2189">
        <v>172000</v>
      </c>
    </row>
    <row r="2190" spans="1:12" ht="15" customHeight="1">
      <c r="A2190" t="s">
        <v>7475</v>
      </c>
      <c r="B2190" t="s">
        <v>4977</v>
      </c>
      <c r="C2190" t="s">
        <v>12</v>
      </c>
      <c r="D2190" t="s">
        <v>4978</v>
      </c>
      <c r="E2190" t="s">
        <v>1509</v>
      </c>
      <c r="F2190" t="s">
        <v>14</v>
      </c>
      <c r="G2190" t="s">
        <v>18</v>
      </c>
      <c r="I2190">
        <v>35294000</v>
      </c>
      <c r="J2190">
        <v>30931000</v>
      </c>
      <c r="K2190">
        <v>20817000</v>
      </c>
      <c r="L2190">
        <v>31739000</v>
      </c>
    </row>
    <row r="2191" spans="1:12" ht="15" customHeight="1">
      <c r="A2191" t="s">
        <v>7476</v>
      </c>
      <c r="B2191" t="s">
        <v>4979</v>
      </c>
      <c r="C2191" t="s">
        <v>12</v>
      </c>
      <c r="D2191" t="s">
        <v>4980</v>
      </c>
      <c r="E2191" t="s">
        <v>1525</v>
      </c>
      <c r="F2191" t="s">
        <v>14</v>
      </c>
      <c r="G2191" t="s">
        <v>18</v>
      </c>
      <c r="I2191">
        <v>2740400</v>
      </c>
      <c r="K2191">
        <v>3298191</v>
      </c>
    </row>
    <row r="2192" spans="1:12" ht="15" customHeight="1">
      <c r="A2192" t="s">
        <v>7477</v>
      </c>
      <c r="B2192" t="s">
        <v>4981</v>
      </c>
      <c r="C2192" t="s">
        <v>12</v>
      </c>
      <c r="D2192" t="s">
        <v>4982</v>
      </c>
      <c r="E2192" t="s">
        <v>1532</v>
      </c>
      <c r="F2192" t="s">
        <v>14</v>
      </c>
      <c r="G2192" t="s">
        <v>18</v>
      </c>
      <c r="I2192">
        <v>2674000</v>
      </c>
      <c r="J2192">
        <v>3513000</v>
      </c>
      <c r="K2192">
        <v>820000</v>
      </c>
      <c r="L2192">
        <v>4028000</v>
      </c>
    </row>
    <row r="2193" spans="1:12" ht="15" customHeight="1">
      <c r="A2193" t="s">
        <v>7478</v>
      </c>
      <c r="B2193" t="s">
        <v>4983</v>
      </c>
      <c r="C2193" t="s">
        <v>12</v>
      </c>
      <c r="D2193" t="s">
        <v>4984</v>
      </c>
      <c r="E2193" t="s">
        <v>1532</v>
      </c>
      <c r="F2193" t="s">
        <v>14</v>
      </c>
      <c r="G2193" t="s">
        <v>18</v>
      </c>
    </row>
    <row r="2194" spans="1:12" ht="15" customHeight="1">
      <c r="A2194" t="s">
        <v>7478</v>
      </c>
      <c r="B2194" t="s">
        <v>4985</v>
      </c>
      <c r="C2194" t="s">
        <v>12</v>
      </c>
      <c r="D2194" t="s">
        <v>4986</v>
      </c>
      <c r="E2194" t="s">
        <v>1801</v>
      </c>
      <c r="F2194" t="s">
        <v>14</v>
      </c>
      <c r="G2194" t="s">
        <v>18</v>
      </c>
      <c r="I2194">
        <v>3780000</v>
      </c>
      <c r="J2194">
        <v>3975000</v>
      </c>
      <c r="K2194">
        <v>7491000</v>
      </c>
      <c r="L2194">
        <v>7896000</v>
      </c>
    </row>
    <row r="2195" spans="1:12" ht="15" customHeight="1">
      <c r="A2195" t="s">
        <v>7479</v>
      </c>
      <c r="B2195" t="s">
        <v>4987</v>
      </c>
      <c r="C2195" t="s">
        <v>12</v>
      </c>
      <c r="D2195" t="s">
        <v>4988</v>
      </c>
      <c r="E2195" t="s">
        <v>1592</v>
      </c>
      <c r="F2195" t="s">
        <v>14</v>
      </c>
      <c r="G2195" t="s">
        <v>18</v>
      </c>
    </row>
    <row r="2196" spans="1:12" ht="15" customHeight="1">
      <c r="A2196" t="s">
        <v>7480</v>
      </c>
      <c r="B2196" t="s">
        <v>4989</v>
      </c>
      <c r="C2196" t="s">
        <v>12</v>
      </c>
      <c r="D2196" t="s">
        <v>4990</v>
      </c>
      <c r="E2196" t="s">
        <v>1532</v>
      </c>
      <c r="F2196" t="s">
        <v>14</v>
      </c>
      <c r="G2196" t="s">
        <v>18</v>
      </c>
      <c r="I2196">
        <v>31156000</v>
      </c>
      <c r="J2196">
        <v>23724000</v>
      </c>
      <c r="K2196">
        <v>29506000</v>
      </c>
      <c r="L2196">
        <v>27531000</v>
      </c>
    </row>
    <row r="2197" spans="1:12" ht="15" customHeight="1">
      <c r="A2197" t="s">
        <v>7481</v>
      </c>
      <c r="B2197" t="s">
        <v>4991</v>
      </c>
      <c r="C2197" t="s">
        <v>12</v>
      </c>
      <c r="D2197" t="s">
        <v>4992</v>
      </c>
      <c r="E2197" t="s">
        <v>1524</v>
      </c>
      <c r="F2197" t="s">
        <v>14</v>
      </c>
      <c r="G2197" t="s">
        <v>18</v>
      </c>
      <c r="I2197">
        <v>2767000</v>
      </c>
      <c r="J2197">
        <v>2602000</v>
      </c>
      <c r="K2197">
        <v>2711000</v>
      </c>
      <c r="L2197">
        <v>2530000</v>
      </c>
    </row>
    <row r="2198" spans="1:12" ht="15" customHeight="1">
      <c r="A2198" t="s">
        <v>7482</v>
      </c>
      <c r="B2198" t="s">
        <v>4993</v>
      </c>
      <c r="C2198" t="s">
        <v>12</v>
      </c>
      <c r="D2198" t="s">
        <v>4994</v>
      </c>
      <c r="E2198" t="s">
        <v>1592</v>
      </c>
      <c r="F2198" t="s">
        <v>14</v>
      </c>
      <c r="G2198" t="s">
        <v>18</v>
      </c>
    </row>
    <row r="2199" spans="1:12" ht="15" customHeight="1">
      <c r="A2199" t="s">
        <v>7483</v>
      </c>
      <c r="B2199" t="s">
        <v>4995</v>
      </c>
      <c r="C2199" t="s">
        <v>12</v>
      </c>
      <c r="D2199" t="s">
        <v>4996</v>
      </c>
      <c r="E2199" t="s">
        <v>1526</v>
      </c>
      <c r="F2199" t="s">
        <v>14</v>
      </c>
      <c r="G2199" t="s">
        <v>18</v>
      </c>
      <c r="I2199">
        <v>80000</v>
      </c>
      <c r="K2199">
        <v>80000</v>
      </c>
    </row>
    <row r="2200" spans="1:12" ht="15" customHeight="1">
      <c r="A2200" t="s">
        <v>7484</v>
      </c>
      <c r="B2200" t="s">
        <v>4997</v>
      </c>
      <c r="C2200" t="s">
        <v>12</v>
      </c>
      <c r="D2200" t="s">
        <v>4998</v>
      </c>
      <c r="E2200" t="s">
        <v>1754</v>
      </c>
      <c r="F2200" t="s">
        <v>14</v>
      </c>
      <c r="G2200" t="s">
        <v>18</v>
      </c>
    </row>
    <row r="2201" spans="1:12" ht="15" customHeight="1">
      <c r="A2201" t="s">
        <v>7485</v>
      </c>
      <c r="B2201" t="s">
        <v>4999</v>
      </c>
      <c r="C2201" t="s">
        <v>12</v>
      </c>
      <c r="D2201" t="s">
        <v>5000</v>
      </c>
      <c r="E2201" t="s">
        <v>1524</v>
      </c>
      <c r="F2201" t="s">
        <v>25</v>
      </c>
      <c r="G2201" t="s">
        <v>18</v>
      </c>
      <c r="I2201">
        <v>235000</v>
      </c>
      <c r="J2201">
        <v>211000</v>
      </c>
      <c r="K2201">
        <v>205000</v>
      </c>
      <c r="L2201">
        <v>210000</v>
      </c>
    </row>
    <row r="2202" spans="1:12" ht="15" customHeight="1">
      <c r="A2202" t="s">
        <v>7486</v>
      </c>
      <c r="B2202" t="s">
        <v>5001</v>
      </c>
      <c r="C2202" t="s">
        <v>12</v>
      </c>
      <c r="D2202" t="s">
        <v>5002</v>
      </c>
      <c r="E2202" t="s">
        <v>1524</v>
      </c>
      <c r="F2202" t="s">
        <v>14</v>
      </c>
      <c r="G2202" t="s">
        <v>18</v>
      </c>
      <c r="I2202">
        <v>836000</v>
      </c>
      <c r="J2202">
        <v>980000</v>
      </c>
      <c r="K2202">
        <v>888000</v>
      </c>
      <c r="L2202">
        <v>839000</v>
      </c>
    </row>
    <row r="2203" spans="1:12" ht="15" customHeight="1">
      <c r="A2203" t="s">
        <v>7487</v>
      </c>
      <c r="B2203" t="s">
        <v>5003</v>
      </c>
      <c r="C2203" t="s">
        <v>12</v>
      </c>
      <c r="D2203" t="s">
        <v>5004</v>
      </c>
      <c r="E2203" t="s">
        <v>1524</v>
      </c>
      <c r="F2203" t="s">
        <v>14</v>
      </c>
      <c r="G2203" t="s">
        <v>18</v>
      </c>
      <c r="I2203">
        <v>208000</v>
      </c>
      <c r="K2203">
        <v>95000</v>
      </c>
      <c r="L2203">
        <v>113000</v>
      </c>
    </row>
    <row r="2204" spans="1:12" ht="15" customHeight="1">
      <c r="A2204" t="s">
        <v>7488</v>
      </c>
      <c r="B2204" t="s">
        <v>5005</v>
      </c>
      <c r="C2204" t="s">
        <v>12</v>
      </c>
      <c r="D2204" t="s">
        <v>5006</v>
      </c>
      <c r="E2204" t="s">
        <v>1532</v>
      </c>
      <c r="F2204" t="s">
        <v>14</v>
      </c>
      <c r="G2204" t="s">
        <v>18</v>
      </c>
      <c r="K2204">
        <v>2569000</v>
      </c>
      <c r="L2204">
        <v>5209000</v>
      </c>
    </row>
    <row r="2205" spans="1:12" ht="15" customHeight="1">
      <c r="A2205" t="s">
        <v>7489</v>
      </c>
      <c r="B2205" t="s">
        <v>5007</v>
      </c>
      <c r="C2205" t="s">
        <v>12</v>
      </c>
      <c r="D2205" t="s">
        <v>5008</v>
      </c>
      <c r="E2205" t="s">
        <v>1532</v>
      </c>
      <c r="F2205" t="s">
        <v>14</v>
      </c>
      <c r="G2205" t="s">
        <v>18</v>
      </c>
      <c r="I2205">
        <v>2192000</v>
      </c>
      <c r="J2205">
        <v>2140000</v>
      </c>
      <c r="K2205">
        <v>1834000</v>
      </c>
      <c r="L2205">
        <v>1990000</v>
      </c>
    </row>
    <row r="2206" spans="1:12" ht="15" customHeight="1">
      <c r="A2206" t="s">
        <v>7490</v>
      </c>
      <c r="B2206" t="s">
        <v>5009</v>
      </c>
      <c r="C2206" t="s">
        <v>12</v>
      </c>
      <c r="D2206" t="s">
        <v>5010</v>
      </c>
      <c r="E2206" t="s">
        <v>1532</v>
      </c>
      <c r="F2206" t="s">
        <v>14</v>
      </c>
      <c r="G2206" t="s">
        <v>18</v>
      </c>
      <c r="I2206">
        <v>62000</v>
      </c>
      <c r="J2206">
        <v>800000</v>
      </c>
      <c r="K2206">
        <v>57000</v>
      </c>
      <c r="L2206">
        <v>769000</v>
      </c>
    </row>
    <row r="2207" spans="1:12" ht="15" customHeight="1">
      <c r="A2207" t="s">
        <v>7491</v>
      </c>
      <c r="B2207" t="s">
        <v>5011</v>
      </c>
      <c r="C2207" t="s">
        <v>12</v>
      </c>
      <c r="D2207" t="s">
        <v>5012</v>
      </c>
      <c r="E2207" t="s">
        <v>1524</v>
      </c>
      <c r="F2207" t="s">
        <v>25</v>
      </c>
      <c r="G2207" t="s">
        <v>18</v>
      </c>
      <c r="K2207">
        <v>51000</v>
      </c>
      <c r="L2207">
        <v>5000</v>
      </c>
    </row>
    <row r="2208" spans="1:12" ht="15" customHeight="1">
      <c r="A2208" t="s">
        <v>7492</v>
      </c>
      <c r="B2208" t="s">
        <v>5013</v>
      </c>
      <c r="C2208" t="s">
        <v>12</v>
      </c>
      <c r="D2208" t="s">
        <v>5014</v>
      </c>
      <c r="E2208" t="s">
        <v>1516</v>
      </c>
      <c r="F2208" t="s">
        <v>14</v>
      </c>
      <c r="G2208" t="s">
        <v>18</v>
      </c>
      <c r="I2208">
        <v>5604000</v>
      </c>
      <c r="J2208">
        <v>5705000</v>
      </c>
      <c r="K2208">
        <v>17206000</v>
      </c>
      <c r="L2208">
        <v>14585000</v>
      </c>
    </row>
    <row r="2209" spans="1:12" ht="15" customHeight="1">
      <c r="A2209" t="s">
        <v>7493</v>
      </c>
      <c r="B2209" t="s">
        <v>5015</v>
      </c>
      <c r="C2209" t="s">
        <v>12</v>
      </c>
      <c r="D2209" t="s">
        <v>5016</v>
      </c>
      <c r="E2209" t="s">
        <v>1580</v>
      </c>
      <c r="F2209" t="s">
        <v>25</v>
      </c>
      <c r="G2209" t="s">
        <v>18</v>
      </c>
      <c r="I2209">
        <v>663000</v>
      </c>
      <c r="J2209">
        <v>1295000</v>
      </c>
      <c r="K2209">
        <v>663000</v>
      </c>
      <c r="L2209">
        <v>1168000</v>
      </c>
    </row>
    <row r="2210" spans="1:12" ht="15" customHeight="1">
      <c r="A2210" t="s">
        <v>7494</v>
      </c>
      <c r="B2210" t="s">
        <v>5017</v>
      </c>
      <c r="C2210" t="s">
        <v>12</v>
      </c>
      <c r="D2210" t="s">
        <v>5018</v>
      </c>
      <c r="E2210" t="s">
        <v>1559</v>
      </c>
      <c r="F2210" t="s">
        <v>14</v>
      </c>
      <c r="G2210" t="s">
        <v>77</v>
      </c>
      <c r="I2210">
        <v>10753000</v>
      </c>
      <c r="J2210">
        <v>3065000</v>
      </c>
      <c r="K2210">
        <v>10174000</v>
      </c>
      <c r="L2210">
        <v>3054000</v>
      </c>
    </row>
    <row r="2211" spans="1:12" ht="15" customHeight="1">
      <c r="A2211" t="s">
        <v>7495</v>
      </c>
      <c r="B2211" t="s">
        <v>5019</v>
      </c>
      <c r="C2211" t="s">
        <v>12</v>
      </c>
      <c r="D2211" t="s">
        <v>5020</v>
      </c>
      <c r="E2211" t="s">
        <v>1829</v>
      </c>
      <c r="F2211" t="s">
        <v>25</v>
      </c>
      <c r="G2211" t="s">
        <v>18</v>
      </c>
    </row>
    <row r="2212" spans="1:12" ht="15" customHeight="1">
      <c r="A2212" t="s">
        <v>7496</v>
      </c>
      <c r="B2212" t="s">
        <v>5021</v>
      </c>
      <c r="C2212" t="s">
        <v>12</v>
      </c>
      <c r="D2212" t="s">
        <v>5022</v>
      </c>
      <c r="E2212" t="s">
        <v>1524</v>
      </c>
      <c r="F2212" t="s">
        <v>14</v>
      </c>
      <c r="G2212" t="s">
        <v>18</v>
      </c>
      <c r="I2212">
        <v>260000</v>
      </c>
      <c r="K2212">
        <v>288000</v>
      </c>
      <c r="L2212">
        <v>25000</v>
      </c>
    </row>
    <row r="2213" spans="1:12" ht="15" customHeight="1">
      <c r="A2213" t="s">
        <v>7497</v>
      </c>
      <c r="B2213" t="s">
        <v>5023</v>
      </c>
      <c r="C2213" t="s">
        <v>12</v>
      </c>
      <c r="D2213" t="s">
        <v>5024</v>
      </c>
      <c r="E2213" t="s">
        <v>1512</v>
      </c>
      <c r="F2213" t="s">
        <v>14</v>
      </c>
      <c r="G2213" t="s">
        <v>22</v>
      </c>
      <c r="I2213">
        <v>1537000</v>
      </c>
      <c r="K2213">
        <v>1535000</v>
      </c>
    </row>
    <row r="2214" spans="1:12" ht="15" customHeight="1">
      <c r="A2214" t="s">
        <v>7498</v>
      </c>
      <c r="B2214" t="s">
        <v>5025</v>
      </c>
      <c r="C2214" t="s">
        <v>12</v>
      </c>
      <c r="D2214" t="s">
        <v>5026</v>
      </c>
      <c r="E2214" t="s">
        <v>1532</v>
      </c>
      <c r="F2214" t="s">
        <v>14</v>
      </c>
      <c r="G2214" t="s">
        <v>18</v>
      </c>
    </row>
    <row r="2215" spans="1:12" ht="15" customHeight="1">
      <c r="A2215" t="s">
        <v>7499</v>
      </c>
      <c r="B2215" t="s">
        <v>5027</v>
      </c>
      <c r="C2215" t="s">
        <v>12</v>
      </c>
      <c r="D2215" t="s">
        <v>5028</v>
      </c>
      <c r="E2215" t="s">
        <v>1619</v>
      </c>
      <c r="F2215" t="s">
        <v>25</v>
      </c>
      <c r="G2215" t="s">
        <v>18</v>
      </c>
      <c r="I2215">
        <v>2500000</v>
      </c>
      <c r="K2215">
        <v>2500000</v>
      </c>
    </row>
    <row r="2216" spans="1:12" ht="15" customHeight="1">
      <c r="A2216" t="s">
        <v>7500</v>
      </c>
      <c r="B2216" t="s">
        <v>5029</v>
      </c>
      <c r="C2216" t="s">
        <v>12</v>
      </c>
      <c r="D2216" t="s">
        <v>5030</v>
      </c>
      <c r="E2216" t="s">
        <v>1516</v>
      </c>
      <c r="F2216" t="s">
        <v>14</v>
      </c>
      <c r="G2216" t="s">
        <v>18</v>
      </c>
      <c r="I2216">
        <v>277000</v>
      </c>
      <c r="J2216">
        <v>2169000</v>
      </c>
      <c r="K2216">
        <v>21000</v>
      </c>
      <c r="L2216">
        <v>2228000</v>
      </c>
    </row>
    <row r="2217" spans="1:12" ht="15" customHeight="1">
      <c r="A2217" t="s">
        <v>7501</v>
      </c>
      <c r="B2217" t="s">
        <v>5031</v>
      </c>
      <c r="C2217" t="s">
        <v>12</v>
      </c>
      <c r="D2217" t="s">
        <v>5032</v>
      </c>
      <c r="E2217" t="s">
        <v>1517</v>
      </c>
      <c r="F2217" t="s">
        <v>25</v>
      </c>
      <c r="G2217" t="s">
        <v>18</v>
      </c>
    </row>
    <row r="2218" spans="1:12" ht="15" customHeight="1">
      <c r="A2218" t="s">
        <v>7502</v>
      </c>
      <c r="B2218" t="s">
        <v>5033</v>
      </c>
      <c r="C2218" t="s">
        <v>12</v>
      </c>
      <c r="D2218" t="s">
        <v>5034</v>
      </c>
      <c r="E2218" t="s">
        <v>1516</v>
      </c>
      <c r="F2218" t="s">
        <v>14</v>
      </c>
      <c r="G2218" t="s">
        <v>18</v>
      </c>
    </row>
    <row r="2219" spans="1:12" ht="15" customHeight="1">
      <c r="A2219" t="s">
        <v>7503</v>
      </c>
      <c r="B2219" t="s">
        <v>5035</v>
      </c>
      <c r="C2219" t="s">
        <v>12</v>
      </c>
      <c r="D2219" t="s">
        <v>5036</v>
      </c>
      <c r="E2219" t="s">
        <v>1558</v>
      </c>
      <c r="F2219" t="s">
        <v>14</v>
      </c>
      <c r="G2219" t="s">
        <v>18</v>
      </c>
      <c r="I2219">
        <v>2299000</v>
      </c>
      <c r="J2219">
        <v>2548000</v>
      </c>
      <c r="K2219">
        <v>2297000</v>
      </c>
      <c r="L2219">
        <v>2549000</v>
      </c>
    </row>
    <row r="2220" spans="1:12" ht="15" customHeight="1">
      <c r="A2220" t="s">
        <v>7504</v>
      </c>
      <c r="B2220" t="s">
        <v>5037</v>
      </c>
      <c r="C2220" t="s">
        <v>12</v>
      </c>
      <c r="D2220" t="s">
        <v>5038</v>
      </c>
      <c r="E2220" t="s">
        <v>1558</v>
      </c>
      <c r="F2220" t="s">
        <v>14</v>
      </c>
      <c r="G2220" t="s">
        <v>18</v>
      </c>
    </row>
    <row r="2221" spans="1:12" ht="15" customHeight="1">
      <c r="A2221" t="s">
        <v>7505</v>
      </c>
      <c r="B2221" t="s">
        <v>5039</v>
      </c>
      <c r="C2221" t="s">
        <v>12</v>
      </c>
      <c r="D2221" t="s">
        <v>5040</v>
      </c>
      <c r="E2221" t="s">
        <v>1820</v>
      </c>
      <c r="F2221" t="s">
        <v>25</v>
      </c>
      <c r="G2221" t="s">
        <v>18</v>
      </c>
      <c r="I2221">
        <v>6122000</v>
      </c>
      <c r="J2221">
        <v>10304000</v>
      </c>
      <c r="K2221">
        <v>5796000</v>
      </c>
      <c r="L2221">
        <v>9608000</v>
      </c>
    </row>
    <row r="2222" spans="1:12" ht="15" customHeight="1">
      <c r="A2222" t="s">
        <v>7506</v>
      </c>
      <c r="B2222" t="s">
        <v>5041</v>
      </c>
      <c r="C2222" t="s">
        <v>12</v>
      </c>
      <c r="D2222" t="s">
        <v>5042</v>
      </c>
      <c r="E2222" t="s">
        <v>1558</v>
      </c>
      <c r="F2222" t="s">
        <v>14</v>
      </c>
      <c r="G2222" t="s">
        <v>18</v>
      </c>
      <c r="I2222">
        <v>1234000</v>
      </c>
      <c r="J2222">
        <v>1444000</v>
      </c>
      <c r="K2222">
        <v>1360000</v>
      </c>
      <c r="L2222">
        <v>1121000</v>
      </c>
    </row>
    <row r="2223" spans="1:12" ht="15" customHeight="1">
      <c r="A2223" t="s">
        <v>7507</v>
      </c>
      <c r="B2223" t="s">
        <v>5043</v>
      </c>
      <c r="C2223" t="s">
        <v>12</v>
      </c>
      <c r="D2223" t="s">
        <v>5044</v>
      </c>
      <c r="E2223" t="s">
        <v>1534</v>
      </c>
      <c r="F2223" t="s">
        <v>14</v>
      </c>
      <c r="G2223" t="s">
        <v>18</v>
      </c>
      <c r="I2223">
        <v>206445000</v>
      </c>
      <c r="J2223">
        <v>86531000</v>
      </c>
      <c r="K2223">
        <v>177683000</v>
      </c>
      <c r="L2223">
        <v>119154000</v>
      </c>
    </row>
    <row r="2224" spans="1:12" ht="15" customHeight="1">
      <c r="A2224" t="s">
        <v>7508</v>
      </c>
      <c r="B2224" t="s">
        <v>5045</v>
      </c>
      <c r="C2224" t="s">
        <v>12</v>
      </c>
      <c r="D2224" t="s">
        <v>5046</v>
      </c>
      <c r="E2224" t="s">
        <v>1532</v>
      </c>
      <c r="F2224" t="s">
        <v>14</v>
      </c>
      <c r="G2224" t="s">
        <v>18</v>
      </c>
      <c r="I2224">
        <v>800000</v>
      </c>
      <c r="J2224">
        <v>650000</v>
      </c>
      <c r="K2224">
        <v>702000</v>
      </c>
      <c r="L2224">
        <v>509000</v>
      </c>
    </row>
    <row r="2225" spans="1:12" ht="15" customHeight="1">
      <c r="A2225" t="s">
        <v>7509</v>
      </c>
      <c r="B2225" t="s">
        <v>5047</v>
      </c>
      <c r="C2225" t="s">
        <v>12</v>
      </c>
      <c r="D2225" t="s">
        <v>5048</v>
      </c>
      <c r="E2225" t="s">
        <v>1558</v>
      </c>
      <c r="F2225" t="s">
        <v>14</v>
      </c>
      <c r="G2225" t="s">
        <v>18</v>
      </c>
      <c r="I2225">
        <v>1060000</v>
      </c>
      <c r="J2225">
        <v>977000</v>
      </c>
      <c r="K2225">
        <v>1195000</v>
      </c>
      <c r="L2225">
        <v>886000</v>
      </c>
    </row>
    <row r="2226" spans="1:12" ht="15" customHeight="1">
      <c r="A2226" t="s">
        <v>7510</v>
      </c>
      <c r="B2226" t="s">
        <v>5049</v>
      </c>
      <c r="C2226" t="s">
        <v>12</v>
      </c>
      <c r="D2226" t="s">
        <v>5050</v>
      </c>
      <c r="E2226" t="s">
        <v>1558</v>
      </c>
      <c r="F2226" t="s">
        <v>14</v>
      </c>
      <c r="G2226" t="s">
        <v>18</v>
      </c>
      <c r="I2226">
        <v>1390000</v>
      </c>
      <c r="J2226">
        <v>1377000</v>
      </c>
      <c r="K2226">
        <v>1411000</v>
      </c>
      <c r="L2226">
        <v>1403000</v>
      </c>
    </row>
    <row r="2227" spans="1:12" ht="15" customHeight="1">
      <c r="A2227" t="s">
        <v>7511</v>
      </c>
      <c r="B2227" t="s">
        <v>5051</v>
      </c>
      <c r="C2227" t="s">
        <v>12</v>
      </c>
      <c r="D2227" t="s">
        <v>5052</v>
      </c>
      <c r="E2227" t="s">
        <v>1504</v>
      </c>
      <c r="F2227" t="s">
        <v>14</v>
      </c>
      <c r="G2227" t="s">
        <v>18</v>
      </c>
      <c r="I2227">
        <v>3579000</v>
      </c>
      <c r="J2227">
        <v>3077000</v>
      </c>
      <c r="K2227">
        <v>3579000</v>
      </c>
      <c r="L2227">
        <v>2993000</v>
      </c>
    </row>
    <row r="2228" spans="1:12" ht="15" customHeight="1">
      <c r="A2228" t="s">
        <v>7512</v>
      </c>
      <c r="B2228" t="s">
        <v>5053</v>
      </c>
      <c r="C2228" t="s">
        <v>12</v>
      </c>
      <c r="D2228" t="s">
        <v>5054</v>
      </c>
      <c r="E2228" t="s">
        <v>1583</v>
      </c>
      <c r="F2228" t="s">
        <v>14</v>
      </c>
      <c r="G2228" t="s">
        <v>18</v>
      </c>
      <c r="I2228">
        <v>78000</v>
      </c>
      <c r="K2228">
        <v>104000</v>
      </c>
      <c r="L2228">
        <v>2000</v>
      </c>
    </row>
    <row r="2229" spans="1:12" ht="15" customHeight="1">
      <c r="A2229" t="s">
        <v>7512</v>
      </c>
      <c r="B2229" t="s">
        <v>5055</v>
      </c>
      <c r="C2229" t="s">
        <v>12</v>
      </c>
      <c r="D2229" t="s">
        <v>5056</v>
      </c>
      <c r="E2229" t="s">
        <v>1565</v>
      </c>
      <c r="F2229" t="s">
        <v>14</v>
      </c>
      <c r="G2229" t="s">
        <v>18</v>
      </c>
      <c r="I2229">
        <v>2037000</v>
      </c>
      <c r="J2229">
        <v>1275000</v>
      </c>
      <c r="K2229">
        <v>3738000</v>
      </c>
      <c r="L2229">
        <v>3063000</v>
      </c>
    </row>
    <row r="2230" spans="1:12" ht="15" customHeight="1">
      <c r="A2230" t="s">
        <v>7512</v>
      </c>
      <c r="B2230" t="s">
        <v>5057</v>
      </c>
      <c r="C2230" t="s">
        <v>12</v>
      </c>
      <c r="D2230" t="s">
        <v>5058</v>
      </c>
      <c r="E2230" t="s">
        <v>1662</v>
      </c>
      <c r="F2230" t="s">
        <v>14</v>
      </c>
      <c r="G2230" t="s">
        <v>18</v>
      </c>
      <c r="I2230">
        <v>20993000</v>
      </c>
      <c r="J2230">
        <v>67277000</v>
      </c>
      <c r="K2230">
        <v>20993000</v>
      </c>
      <c r="L2230">
        <v>67027000</v>
      </c>
    </row>
    <row r="2231" spans="1:12" ht="15" customHeight="1">
      <c r="A2231" t="s">
        <v>7513</v>
      </c>
      <c r="B2231" t="s">
        <v>5059</v>
      </c>
      <c r="C2231" t="s">
        <v>12</v>
      </c>
      <c r="D2231" t="s">
        <v>5060</v>
      </c>
      <c r="E2231" t="s">
        <v>1646</v>
      </c>
      <c r="F2231" t="s">
        <v>14</v>
      </c>
      <c r="G2231" t="s">
        <v>18</v>
      </c>
      <c r="I2231">
        <v>496000</v>
      </c>
      <c r="J2231">
        <v>1247000</v>
      </c>
      <c r="K2231">
        <v>803000</v>
      </c>
      <c r="L2231">
        <v>1244000</v>
      </c>
    </row>
    <row r="2232" spans="1:12" ht="15" customHeight="1">
      <c r="A2232" t="s">
        <v>7514</v>
      </c>
      <c r="B2232" t="s">
        <v>5061</v>
      </c>
      <c r="C2232" t="s">
        <v>12</v>
      </c>
      <c r="D2232" t="s">
        <v>5062</v>
      </c>
      <c r="E2232" t="s">
        <v>1628</v>
      </c>
      <c r="F2232" t="s">
        <v>14</v>
      </c>
      <c r="G2232" t="s">
        <v>18</v>
      </c>
    </row>
    <row r="2233" spans="1:12" ht="15" customHeight="1">
      <c r="A2233" t="s">
        <v>7514</v>
      </c>
      <c r="B2233" t="s">
        <v>5063</v>
      </c>
      <c r="C2233" t="s">
        <v>12</v>
      </c>
      <c r="D2233" t="s">
        <v>5064</v>
      </c>
      <c r="E2233" t="s">
        <v>1868</v>
      </c>
      <c r="F2233" t="s">
        <v>14</v>
      </c>
      <c r="G2233" t="s">
        <v>77</v>
      </c>
      <c r="I2233">
        <v>17897000</v>
      </c>
      <c r="J2233">
        <v>20932000</v>
      </c>
      <c r="K2233">
        <v>18335000</v>
      </c>
      <c r="L2233">
        <v>21568000</v>
      </c>
    </row>
    <row r="2234" spans="1:12" ht="15" customHeight="1">
      <c r="A2234" t="s">
        <v>7514</v>
      </c>
      <c r="B2234" t="s">
        <v>5065</v>
      </c>
      <c r="C2234" t="s">
        <v>12</v>
      </c>
      <c r="D2234" t="s">
        <v>5066</v>
      </c>
      <c r="E2234" t="s">
        <v>1754</v>
      </c>
      <c r="F2234" t="s">
        <v>14</v>
      </c>
      <c r="G2234" t="s">
        <v>18</v>
      </c>
      <c r="I2234">
        <v>5899000</v>
      </c>
      <c r="J2234">
        <v>5687000</v>
      </c>
      <c r="K2234">
        <v>4717000</v>
      </c>
      <c r="L2234">
        <v>6692000</v>
      </c>
    </row>
    <row r="2235" spans="1:12" ht="15" customHeight="1">
      <c r="A2235" t="s">
        <v>7514</v>
      </c>
      <c r="B2235" t="s">
        <v>5067</v>
      </c>
      <c r="C2235" t="s">
        <v>12</v>
      </c>
      <c r="D2235" t="s">
        <v>5068</v>
      </c>
      <c r="E2235" t="s">
        <v>1667</v>
      </c>
      <c r="F2235" t="s">
        <v>14</v>
      </c>
      <c r="G2235" t="s">
        <v>18</v>
      </c>
      <c r="I2235">
        <v>60000</v>
      </c>
      <c r="J2235">
        <v>425000</v>
      </c>
      <c r="K2235">
        <v>8000</v>
      </c>
      <c r="L2235">
        <v>243000</v>
      </c>
    </row>
    <row r="2236" spans="1:12" ht="15" customHeight="1">
      <c r="A2236" t="s">
        <v>7514</v>
      </c>
      <c r="B2236" t="s">
        <v>5069</v>
      </c>
      <c r="C2236" t="s">
        <v>12</v>
      </c>
      <c r="D2236" t="s">
        <v>5070</v>
      </c>
      <c r="E2236" t="s">
        <v>1532</v>
      </c>
      <c r="F2236" t="s">
        <v>14</v>
      </c>
      <c r="G2236" t="s">
        <v>18</v>
      </c>
      <c r="I2236">
        <v>19000</v>
      </c>
      <c r="J2236">
        <v>2000</v>
      </c>
      <c r="K2236">
        <v>19000</v>
      </c>
      <c r="L2236">
        <v>2000</v>
      </c>
    </row>
    <row r="2237" spans="1:12" ht="15" customHeight="1">
      <c r="A2237" t="s">
        <v>7515</v>
      </c>
      <c r="B2237" t="s">
        <v>5071</v>
      </c>
      <c r="C2237" t="s">
        <v>12</v>
      </c>
      <c r="D2237" t="s">
        <v>5072</v>
      </c>
      <c r="E2237" t="s">
        <v>1533</v>
      </c>
      <c r="F2237" t="s">
        <v>14</v>
      </c>
      <c r="G2237" t="s">
        <v>18</v>
      </c>
      <c r="I2237">
        <v>256477000</v>
      </c>
      <c r="J2237">
        <v>216509000</v>
      </c>
      <c r="K2237">
        <v>297625000</v>
      </c>
      <c r="L2237">
        <v>163717000</v>
      </c>
    </row>
    <row r="2238" spans="1:12" ht="15" customHeight="1">
      <c r="A2238" t="s">
        <v>7516</v>
      </c>
      <c r="B2238" t="s">
        <v>5073</v>
      </c>
      <c r="C2238" t="s">
        <v>12</v>
      </c>
      <c r="D2238" t="s">
        <v>5074</v>
      </c>
      <c r="E2238" t="s">
        <v>1516</v>
      </c>
      <c r="F2238" t="s">
        <v>14</v>
      </c>
      <c r="G2238" t="s">
        <v>18</v>
      </c>
    </row>
    <row r="2239" spans="1:12" ht="15" customHeight="1">
      <c r="A2239" t="s">
        <v>7517</v>
      </c>
      <c r="B2239" t="s">
        <v>5075</v>
      </c>
      <c r="C2239" t="s">
        <v>12</v>
      </c>
      <c r="D2239" t="s">
        <v>5076</v>
      </c>
      <c r="E2239" t="s">
        <v>1535</v>
      </c>
      <c r="F2239" t="s">
        <v>25</v>
      </c>
      <c r="G2239" t="s">
        <v>18</v>
      </c>
    </row>
    <row r="2240" spans="1:12" ht="15" customHeight="1">
      <c r="A2240" t="s">
        <v>7518</v>
      </c>
      <c r="B2240" t="s">
        <v>5077</v>
      </c>
      <c r="C2240" t="s">
        <v>12</v>
      </c>
      <c r="D2240" t="s">
        <v>5078</v>
      </c>
      <c r="E2240" t="s">
        <v>1517</v>
      </c>
      <c r="F2240" t="s">
        <v>25</v>
      </c>
      <c r="G2240" t="s">
        <v>22</v>
      </c>
    </row>
    <row r="2241" spans="1:12" ht="15" customHeight="1">
      <c r="A2241" t="s">
        <v>7519</v>
      </c>
      <c r="B2241" t="s">
        <v>5079</v>
      </c>
      <c r="C2241" t="s">
        <v>12</v>
      </c>
      <c r="D2241" t="s">
        <v>5080</v>
      </c>
      <c r="E2241" t="s">
        <v>1532</v>
      </c>
      <c r="F2241" t="s">
        <v>14</v>
      </c>
      <c r="G2241" t="s">
        <v>18</v>
      </c>
      <c r="I2241">
        <v>40033000</v>
      </c>
      <c r="J2241">
        <v>42150000</v>
      </c>
      <c r="K2241">
        <v>40380000</v>
      </c>
      <c r="L2241">
        <v>40975000</v>
      </c>
    </row>
    <row r="2242" spans="1:12" ht="15" customHeight="1">
      <c r="A2242" t="s">
        <v>7520</v>
      </c>
      <c r="B2242" t="s">
        <v>5081</v>
      </c>
      <c r="C2242" t="s">
        <v>12</v>
      </c>
      <c r="D2242" t="s">
        <v>5082</v>
      </c>
      <c r="E2242" t="s">
        <v>1629</v>
      </c>
      <c r="F2242" t="s">
        <v>14</v>
      </c>
      <c r="G2242" t="s">
        <v>18</v>
      </c>
      <c r="I2242">
        <v>1147209000</v>
      </c>
      <c r="J2242">
        <v>1546803000</v>
      </c>
      <c r="K2242">
        <v>850870000</v>
      </c>
      <c r="L2242">
        <v>1642016000</v>
      </c>
    </row>
    <row r="2243" spans="1:12" ht="15" customHeight="1">
      <c r="A2243" t="s">
        <v>7521</v>
      </c>
      <c r="B2243" t="s">
        <v>5083</v>
      </c>
      <c r="C2243" t="s">
        <v>12</v>
      </c>
      <c r="D2243" t="s">
        <v>5084</v>
      </c>
      <c r="E2243" t="s">
        <v>1517</v>
      </c>
      <c r="F2243" t="s">
        <v>25</v>
      </c>
      <c r="G2243" t="s">
        <v>18</v>
      </c>
      <c r="I2243">
        <v>985000</v>
      </c>
      <c r="J2243">
        <v>725000</v>
      </c>
      <c r="K2243">
        <v>934000</v>
      </c>
      <c r="L2243">
        <v>793000</v>
      </c>
    </row>
    <row r="2244" spans="1:12" ht="15" customHeight="1">
      <c r="A2244" t="s">
        <v>7522</v>
      </c>
      <c r="B2244" t="s">
        <v>5085</v>
      </c>
      <c r="C2244" t="s">
        <v>12</v>
      </c>
      <c r="D2244" t="s">
        <v>5086</v>
      </c>
      <c r="E2244" t="s">
        <v>1508</v>
      </c>
      <c r="F2244" t="s">
        <v>14</v>
      </c>
      <c r="G2244" t="s">
        <v>18</v>
      </c>
    </row>
    <row r="2245" spans="1:12" ht="15" customHeight="1">
      <c r="A2245" t="s">
        <v>7523</v>
      </c>
      <c r="B2245" t="s">
        <v>5087</v>
      </c>
      <c r="C2245" t="s">
        <v>12</v>
      </c>
      <c r="D2245" t="s">
        <v>5088</v>
      </c>
      <c r="E2245" t="s">
        <v>1565</v>
      </c>
      <c r="F2245" t="s">
        <v>25</v>
      </c>
      <c r="G2245" t="s">
        <v>18</v>
      </c>
      <c r="I2245">
        <v>7000000</v>
      </c>
      <c r="K2245">
        <v>7015000</v>
      </c>
      <c r="L2245">
        <v>16000</v>
      </c>
    </row>
    <row r="2246" spans="1:12" ht="15" customHeight="1">
      <c r="A2246" t="s">
        <v>7524</v>
      </c>
      <c r="B2246" t="s">
        <v>5089</v>
      </c>
      <c r="C2246" t="s">
        <v>12</v>
      </c>
      <c r="D2246" t="s">
        <v>5090</v>
      </c>
      <c r="E2246" t="s">
        <v>1517</v>
      </c>
      <c r="F2246" t="s">
        <v>14</v>
      </c>
      <c r="G2246" t="s">
        <v>18</v>
      </c>
      <c r="I2246">
        <v>2182000</v>
      </c>
      <c r="J2246">
        <v>3184000</v>
      </c>
      <c r="K2246">
        <v>2354000</v>
      </c>
      <c r="L2246">
        <v>3125000</v>
      </c>
    </row>
    <row r="2247" spans="1:12" ht="15" customHeight="1">
      <c r="A2247" t="s">
        <v>7525</v>
      </c>
      <c r="B2247" t="s">
        <v>5091</v>
      </c>
      <c r="C2247" t="s">
        <v>12</v>
      </c>
      <c r="D2247" t="s">
        <v>5092</v>
      </c>
      <c r="E2247" t="s">
        <v>1517</v>
      </c>
      <c r="F2247" t="s">
        <v>25</v>
      </c>
      <c r="G2247" t="s">
        <v>18</v>
      </c>
      <c r="I2247">
        <v>216592000</v>
      </c>
      <c r="J2247">
        <v>367164000</v>
      </c>
      <c r="K2247">
        <v>220023000</v>
      </c>
      <c r="L2247">
        <v>360254000</v>
      </c>
    </row>
    <row r="2248" spans="1:12" ht="15" customHeight="1">
      <c r="A2248" t="s">
        <v>7526</v>
      </c>
      <c r="B2248" t="s">
        <v>5093</v>
      </c>
      <c r="C2248" t="s">
        <v>12</v>
      </c>
      <c r="D2248" t="s">
        <v>5094</v>
      </c>
      <c r="E2248" t="s">
        <v>1532</v>
      </c>
      <c r="F2248" t="s">
        <v>25</v>
      </c>
      <c r="G2248" t="s">
        <v>18</v>
      </c>
    </row>
    <row r="2249" spans="1:12" ht="15" customHeight="1">
      <c r="A2249" t="s">
        <v>7527</v>
      </c>
      <c r="B2249" t="s">
        <v>5095</v>
      </c>
      <c r="C2249" t="s">
        <v>12</v>
      </c>
      <c r="D2249" t="s">
        <v>5096</v>
      </c>
      <c r="E2249" t="s">
        <v>1649</v>
      </c>
      <c r="F2249" t="s">
        <v>14</v>
      </c>
      <c r="G2249" t="s">
        <v>18</v>
      </c>
      <c r="I2249">
        <v>1844000</v>
      </c>
      <c r="J2249">
        <v>2277000</v>
      </c>
      <c r="K2249">
        <v>1502000</v>
      </c>
      <c r="L2249">
        <v>2006000</v>
      </c>
    </row>
    <row r="2250" spans="1:12" ht="15" customHeight="1">
      <c r="A2250" t="s">
        <v>7528</v>
      </c>
      <c r="B2250" t="s">
        <v>5097</v>
      </c>
      <c r="C2250" t="s">
        <v>12</v>
      </c>
      <c r="D2250" t="s">
        <v>5098</v>
      </c>
      <c r="E2250" t="s">
        <v>1524</v>
      </c>
      <c r="F2250" t="s">
        <v>14</v>
      </c>
      <c r="G2250" t="s">
        <v>18</v>
      </c>
      <c r="I2250">
        <v>4775000</v>
      </c>
      <c r="J2250">
        <v>3039000</v>
      </c>
      <c r="K2250">
        <v>4708000</v>
      </c>
      <c r="L2250">
        <v>3066000</v>
      </c>
    </row>
    <row r="2251" spans="1:12" ht="15" customHeight="1">
      <c r="A2251" t="s">
        <v>7529</v>
      </c>
      <c r="B2251" t="s">
        <v>5099</v>
      </c>
      <c r="C2251" t="s">
        <v>12</v>
      </c>
      <c r="D2251" t="s">
        <v>5100</v>
      </c>
      <c r="E2251" t="s">
        <v>1667</v>
      </c>
      <c r="F2251" t="s">
        <v>14</v>
      </c>
      <c r="G2251" t="s">
        <v>18</v>
      </c>
      <c r="I2251">
        <v>33000</v>
      </c>
      <c r="K2251">
        <v>47000</v>
      </c>
    </row>
    <row r="2252" spans="1:12" ht="15" customHeight="1">
      <c r="A2252" t="s">
        <v>7530</v>
      </c>
      <c r="B2252" t="s">
        <v>5101</v>
      </c>
      <c r="C2252" t="s">
        <v>12</v>
      </c>
      <c r="D2252" t="s">
        <v>5102</v>
      </c>
      <c r="E2252" t="s">
        <v>1524</v>
      </c>
      <c r="F2252" t="s">
        <v>14</v>
      </c>
      <c r="G2252" t="s">
        <v>18</v>
      </c>
      <c r="I2252">
        <v>8773000</v>
      </c>
      <c r="J2252">
        <v>10187000</v>
      </c>
      <c r="K2252">
        <v>5991000</v>
      </c>
      <c r="L2252">
        <v>11287000</v>
      </c>
    </row>
    <row r="2253" spans="1:12" ht="15" customHeight="1">
      <c r="A2253" t="s">
        <v>7531</v>
      </c>
      <c r="B2253" t="s">
        <v>5103</v>
      </c>
      <c r="C2253" t="s">
        <v>12</v>
      </c>
      <c r="D2253" t="s">
        <v>5104</v>
      </c>
      <c r="E2253" t="s">
        <v>1589</v>
      </c>
      <c r="F2253" t="s">
        <v>14</v>
      </c>
      <c r="G2253" t="s">
        <v>18</v>
      </c>
      <c r="I2253">
        <v>805000</v>
      </c>
      <c r="J2253">
        <v>1194000</v>
      </c>
      <c r="K2253">
        <v>96000</v>
      </c>
      <c r="L2253">
        <v>374000</v>
      </c>
    </row>
    <row r="2254" spans="1:12" ht="15" customHeight="1">
      <c r="A2254" t="s">
        <v>7532</v>
      </c>
      <c r="B2254" t="s">
        <v>5105</v>
      </c>
      <c r="C2254" t="s">
        <v>12</v>
      </c>
      <c r="D2254" t="s">
        <v>5106</v>
      </c>
      <c r="E2254" t="s">
        <v>1558</v>
      </c>
      <c r="F2254" t="s">
        <v>14</v>
      </c>
      <c r="G2254" t="s">
        <v>18</v>
      </c>
      <c r="I2254">
        <v>420000</v>
      </c>
      <c r="J2254">
        <v>431000</v>
      </c>
      <c r="K2254">
        <v>454000</v>
      </c>
      <c r="L2254">
        <v>347000</v>
      </c>
    </row>
    <row r="2255" spans="1:12" ht="15" customHeight="1">
      <c r="A2255" t="s">
        <v>7533</v>
      </c>
      <c r="B2255" t="s">
        <v>5107</v>
      </c>
      <c r="C2255" t="s">
        <v>12</v>
      </c>
      <c r="D2255" t="s">
        <v>5108</v>
      </c>
      <c r="E2255" t="s">
        <v>1504</v>
      </c>
      <c r="F2255" t="s">
        <v>14</v>
      </c>
      <c r="G2255" t="s">
        <v>18</v>
      </c>
      <c r="I2255">
        <v>1216000</v>
      </c>
      <c r="J2255">
        <v>1216000</v>
      </c>
      <c r="K2255">
        <v>1215000</v>
      </c>
      <c r="L2255">
        <v>1315000</v>
      </c>
    </row>
    <row r="2256" spans="1:12" ht="15" customHeight="1">
      <c r="A2256" t="s">
        <v>7534</v>
      </c>
      <c r="B2256" t="s">
        <v>5109</v>
      </c>
      <c r="C2256" t="s">
        <v>12</v>
      </c>
      <c r="D2256" t="s">
        <v>5110</v>
      </c>
      <c r="E2256" t="s">
        <v>1580</v>
      </c>
      <c r="F2256" t="s">
        <v>14</v>
      </c>
      <c r="G2256" t="s">
        <v>18</v>
      </c>
      <c r="I2256">
        <v>681000</v>
      </c>
      <c r="J2256">
        <v>983000</v>
      </c>
      <c r="K2256">
        <v>833000</v>
      </c>
      <c r="L2256">
        <v>1068000</v>
      </c>
    </row>
    <row r="2257" spans="1:12" ht="15" customHeight="1">
      <c r="A2257" t="s">
        <v>7534</v>
      </c>
      <c r="B2257" t="s">
        <v>5111</v>
      </c>
      <c r="C2257" t="s">
        <v>12</v>
      </c>
      <c r="D2257" t="s">
        <v>5112</v>
      </c>
      <c r="E2257" t="s">
        <v>1618</v>
      </c>
      <c r="F2257" t="s">
        <v>14</v>
      </c>
      <c r="G2257" t="s">
        <v>18</v>
      </c>
      <c r="I2257">
        <v>134860000</v>
      </c>
      <c r="J2257">
        <v>98472000</v>
      </c>
      <c r="K2257">
        <v>128879000</v>
      </c>
      <c r="L2257">
        <v>102512000</v>
      </c>
    </row>
    <row r="2258" spans="1:12" ht="15" customHeight="1">
      <c r="A2258" t="s">
        <v>7535</v>
      </c>
      <c r="B2258" t="s">
        <v>5113</v>
      </c>
      <c r="C2258" t="s">
        <v>12</v>
      </c>
      <c r="D2258" t="s">
        <v>5114</v>
      </c>
      <c r="E2258" t="s">
        <v>1509</v>
      </c>
      <c r="F2258" t="s">
        <v>14</v>
      </c>
      <c r="G2258" t="s">
        <v>18</v>
      </c>
      <c r="I2258">
        <v>2208000</v>
      </c>
      <c r="J2258">
        <v>1267000</v>
      </c>
      <c r="K2258">
        <v>2586000</v>
      </c>
      <c r="L2258">
        <v>967000</v>
      </c>
    </row>
    <row r="2259" spans="1:12" ht="15" customHeight="1">
      <c r="A2259" t="s">
        <v>7536</v>
      </c>
      <c r="B2259" t="s">
        <v>5115</v>
      </c>
      <c r="C2259" t="s">
        <v>12</v>
      </c>
      <c r="D2259" t="s">
        <v>5116</v>
      </c>
      <c r="E2259" t="s">
        <v>1520</v>
      </c>
      <c r="F2259" t="s">
        <v>14</v>
      </c>
      <c r="G2259" t="s">
        <v>18</v>
      </c>
    </row>
    <row r="2260" spans="1:12" ht="15" customHeight="1">
      <c r="A2260" t="s">
        <v>7537</v>
      </c>
      <c r="B2260" t="s">
        <v>5117</v>
      </c>
      <c r="C2260" t="s">
        <v>12</v>
      </c>
      <c r="D2260" t="s">
        <v>5118</v>
      </c>
      <c r="E2260" t="s">
        <v>1576</v>
      </c>
      <c r="F2260" t="s">
        <v>14</v>
      </c>
      <c r="G2260" t="s">
        <v>18</v>
      </c>
    </row>
    <row r="2261" spans="1:12" ht="15" customHeight="1">
      <c r="A2261" t="s">
        <v>7538</v>
      </c>
      <c r="B2261" t="s">
        <v>5119</v>
      </c>
      <c r="C2261" t="s">
        <v>12</v>
      </c>
      <c r="D2261" t="s">
        <v>5120</v>
      </c>
      <c r="E2261" t="s">
        <v>1504</v>
      </c>
      <c r="F2261" t="s">
        <v>14</v>
      </c>
      <c r="G2261" t="s">
        <v>18</v>
      </c>
      <c r="I2261">
        <v>387000</v>
      </c>
      <c r="J2261">
        <v>310000</v>
      </c>
      <c r="K2261">
        <v>410000</v>
      </c>
      <c r="L2261">
        <v>282000</v>
      </c>
    </row>
    <row r="2262" spans="1:12" ht="15" customHeight="1">
      <c r="A2262" t="s">
        <v>7539</v>
      </c>
      <c r="B2262" t="s">
        <v>5121</v>
      </c>
      <c r="C2262" t="s">
        <v>12</v>
      </c>
      <c r="D2262" t="s">
        <v>5122</v>
      </c>
      <c r="E2262" t="s">
        <v>1526</v>
      </c>
      <c r="F2262" t="s">
        <v>14</v>
      </c>
      <c r="G2262" t="s">
        <v>18</v>
      </c>
      <c r="I2262">
        <v>74000</v>
      </c>
      <c r="K2262">
        <v>55000</v>
      </c>
    </row>
    <row r="2263" spans="1:12" ht="15" customHeight="1">
      <c r="A2263" t="s">
        <v>7540</v>
      </c>
      <c r="B2263" t="s">
        <v>5123</v>
      </c>
      <c r="C2263" t="s">
        <v>12</v>
      </c>
      <c r="D2263" t="s">
        <v>5124</v>
      </c>
      <c r="E2263" t="s">
        <v>1524</v>
      </c>
      <c r="F2263" t="s">
        <v>14</v>
      </c>
      <c r="G2263" t="s">
        <v>23</v>
      </c>
      <c r="H2263" t="s">
        <v>23</v>
      </c>
      <c r="I2263">
        <v>64631000</v>
      </c>
      <c r="J2263">
        <v>71152000</v>
      </c>
      <c r="K2263">
        <v>55875000</v>
      </c>
      <c r="L2263">
        <v>64023000</v>
      </c>
    </row>
    <row r="2264" spans="1:12" ht="15" customHeight="1">
      <c r="A2264" t="s">
        <v>7541</v>
      </c>
      <c r="B2264" t="s">
        <v>5125</v>
      </c>
      <c r="C2264" t="s">
        <v>12</v>
      </c>
      <c r="D2264" t="s">
        <v>5126</v>
      </c>
      <c r="E2264" t="s">
        <v>1520</v>
      </c>
      <c r="F2264" t="s">
        <v>14</v>
      </c>
      <c r="G2264" t="s">
        <v>18</v>
      </c>
      <c r="I2264">
        <v>656000</v>
      </c>
      <c r="J2264">
        <v>1735000</v>
      </c>
      <c r="K2264">
        <v>676000</v>
      </c>
      <c r="L2264">
        <v>888000</v>
      </c>
    </row>
    <row r="2265" spans="1:12" ht="15" customHeight="1">
      <c r="A2265" t="s">
        <v>7542</v>
      </c>
      <c r="B2265" t="s">
        <v>5127</v>
      </c>
      <c r="C2265" t="s">
        <v>12</v>
      </c>
      <c r="D2265" t="s">
        <v>5128</v>
      </c>
      <c r="E2265" t="s">
        <v>1579</v>
      </c>
      <c r="F2265" t="s">
        <v>14</v>
      </c>
      <c r="G2265" t="s">
        <v>22</v>
      </c>
      <c r="I2265">
        <v>24601000</v>
      </c>
      <c r="J2265">
        <v>23834000</v>
      </c>
      <c r="K2265">
        <v>24558000</v>
      </c>
      <c r="L2265">
        <v>23638000</v>
      </c>
    </row>
    <row r="2266" spans="1:12" ht="15" customHeight="1">
      <c r="A2266" t="s">
        <v>7543</v>
      </c>
      <c r="B2266" t="s">
        <v>5129</v>
      </c>
      <c r="C2266" t="s">
        <v>12</v>
      </c>
      <c r="D2266" t="s">
        <v>5130</v>
      </c>
      <c r="E2266" t="s">
        <v>1524</v>
      </c>
      <c r="F2266" t="s">
        <v>14</v>
      </c>
      <c r="G2266" t="s">
        <v>22</v>
      </c>
      <c r="I2266">
        <v>63245000</v>
      </c>
      <c r="K2266">
        <v>60782000</v>
      </c>
    </row>
    <row r="2267" spans="1:12" ht="15" customHeight="1">
      <c r="A2267" t="s">
        <v>7544</v>
      </c>
      <c r="B2267" t="s">
        <v>5131</v>
      </c>
      <c r="C2267" t="s">
        <v>12</v>
      </c>
      <c r="D2267" t="s">
        <v>5132</v>
      </c>
      <c r="E2267" t="s">
        <v>1532</v>
      </c>
      <c r="F2267" t="s">
        <v>14</v>
      </c>
      <c r="G2267" t="s">
        <v>18</v>
      </c>
      <c r="I2267">
        <v>7163000</v>
      </c>
      <c r="J2267">
        <v>7839000</v>
      </c>
      <c r="K2267">
        <v>9294000</v>
      </c>
      <c r="L2267">
        <v>9728000</v>
      </c>
    </row>
    <row r="2268" spans="1:12" ht="15" customHeight="1">
      <c r="A2268" t="s">
        <v>7545</v>
      </c>
      <c r="B2268" t="s">
        <v>5133</v>
      </c>
      <c r="C2268" t="s">
        <v>12</v>
      </c>
      <c r="D2268" t="s">
        <v>5134</v>
      </c>
      <c r="E2268" t="s">
        <v>1516</v>
      </c>
      <c r="F2268" t="s">
        <v>14</v>
      </c>
      <c r="G2268" t="s">
        <v>18</v>
      </c>
      <c r="I2268">
        <v>909000</v>
      </c>
      <c r="J2268">
        <v>22000</v>
      </c>
      <c r="K2268">
        <v>1467000</v>
      </c>
      <c r="L2268">
        <v>27000</v>
      </c>
    </row>
    <row r="2269" spans="1:12" ht="15" customHeight="1">
      <c r="A2269" t="s">
        <v>7546</v>
      </c>
      <c r="B2269" t="s">
        <v>5135</v>
      </c>
      <c r="C2269" t="s">
        <v>12</v>
      </c>
      <c r="D2269" t="s">
        <v>5136</v>
      </c>
      <c r="E2269" t="s">
        <v>1558</v>
      </c>
      <c r="F2269" t="s">
        <v>14</v>
      </c>
      <c r="G2269" t="s">
        <v>18</v>
      </c>
      <c r="I2269">
        <v>360000</v>
      </c>
      <c r="J2269">
        <v>294000</v>
      </c>
      <c r="K2269">
        <v>352000</v>
      </c>
      <c r="L2269">
        <v>276000</v>
      </c>
    </row>
    <row r="2270" spans="1:12" ht="15" customHeight="1">
      <c r="A2270" t="s">
        <v>7547</v>
      </c>
      <c r="B2270" t="s">
        <v>5137</v>
      </c>
      <c r="C2270" t="s">
        <v>12</v>
      </c>
      <c r="D2270" t="s">
        <v>5138</v>
      </c>
      <c r="E2270" t="s">
        <v>1629</v>
      </c>
      <c r="F2270" t="s">
        <v>14</v>
      </c>
      <c r="G2270" t="s">
        <v>18</v>
      </c>
      <c r="I2270">
        <v>9194000</v>
      </c>
      <c r="J2270">
        <v>7779000</v>
      </c>
      <c r="K2270">
        <v>118023000</v>
      </c>
      <c r="L2270">
        <v>5473000</v>
      </c>
    </row>
    <row r="2271" spans="1:12" ht="15" customHeight="1">
      <c r="A2271" t="s">
        <v>7548</v>
      </c>
      <c r="B2271" t="s">
        <v>5139</v>
      </c>
      <c r="C2271" t="s">
        <v>12</v>
      </c>
      <c r="D2271" t="s">
        <v>5140</v>
      </c>
      <c r="E2271" t="s">
        <v>1754</v>
      </c>
      <c r="F2271" t="s">
        <v>14</v>
      </c>
      <c r="G2271" t="s">
        <v>18</v>
      </c>
      <c r="I2271">
        <v>15816000</v>
      </c>
      <c r="J2271">
        <v>11010000</v>
      </c>
      <c r="K2271">
        <v>13572000</v>
      </c>
      <c r="L2271">
        <v>12815000</v>
      </c>
    </row>
    <row r="2272" spans="1:12" ht="15" customHeight="1">
      <c r="A2272" t="s">
        <v>7549</v>
      </c>
      <c r="B2272" t="s">
        <v>5141</v>
      </c>
      <c r="C2272" t="s">
        <v>12</v>
      </c>
      <c r="D2272" t="s">
        <v>5142</v>
      </c>
      <c r="E2272" t="s">
        <v>1881</v>
      </c>
      <c r="F2272" t="s">
        <v>14</v>
      </c>
      <c r="G2272" t="s">
        <v>18</v>
      </c>
    </row>
    <row r="2273" spans="1:12" ht="15" customHeight="1">
      <c r="A2273" t="s">
        <v>7550</v>
      </c>
      <c r="B2273" t="s">
        <v>5143</v>
      </c>
      <c r="C2273" t="s">
        <v>12</v>
      </c>
      <c r="D2273" t="s">
        <v>5144</v>
      </c>
      <c r="E2273" t="s">
        <v>1642</v>
      </c>
      <c r="F2273" t="s">
        <v>14</v>
      </c>
      <c r="G2273" t="s">
        <v>18</v>
      </c>
      <c r="I2273">
        <v>2456000</v>
      </c>
      <c r="J2273">
        <v>1682000</v>
      </c>
      <c r="K2273">
        <v>2281000</v>
      </c>
      <c r="L2273">
        <v>1452000</v>
      </c>
    </row>
    <row r="2274" spans="1:12" ht="15" customHeight="1">
      <c r="A2274" t="s">
        <v>7551</v>
      </c>
      <c r="B2274" t="s">
        <v>5145</v>
      </c>
      <c r="C2274" t="s">
        <v>12</v>
      </c>
      <c r="D2274" t="s">
        <v>5146</v>
      </c>
      <c r="E2274" t="s">
        <v>1533</v>
      </c>
      <c r="F2274" t="s">
        <v>25</v>
      </c>
      <c r="G2274" t="s">
        <v>18</v>
      </c>
      <c r="I2274">
        <v>2236000</v>
      </c>
      <c r="J2274">
        <v>1116000</v>
      </c>
      <c r="K2274">
        <v>2213000</v>
      </c>
      <c r="L2274">
        <v>1089000</v>
      </c>
    </row>
    <row r="2275" spans="1:12" ht="15" customHeight="1">
      <c r="A2275" t="s">
        <v>7553</v>
      </c>
      <c r="B2275" t="s">
        <v>5147</v>
      </c>
      <c r="C2275" t="s">
        <v>12</v>
      </c>
      <c r="D2275" t="s">
        <v>5148</v>
      </c>
      <c r="E2275" t="s">
        <v>1532</v>
      </c>
      <c r="F2275" t="s">
        <v>14</v>
      </c>
      <c r="G2275" t="s">
        <v>18</v>
      </c>
      <c r="K2275">
        <v>2000</v>
      </c>
    </row>
    <row r="2276" spans="1:12" ht="15" customHeight="1">
      <c r="A2276" t="s">
        <v>7552</v>
      </c>
      <c r="B2276" t="s">
        <v>5149</v>
      </c>
      <c r="C2276" t="s">
        <v>12</v>
      </c>
      <c r="D2276" t="s">
        <v>5150</v>
      </c>
      <c r="E2276" t="s">
        <v>1544</v>
      </c>
      <c r="F2276" t="s">
        <v>14</v>
      </c>
      <c r="G2276" t="s">
        <v>22</v>
      </c>
      <c r="J2276">
        <v>16915000</v>
      </c>
      <c r="L2276">
        <v>17282000</v>
      </c>
    </row>
    <row r="2277" spans="1:12" ht="15" customHeight="1">
      <c r="A2277" t="s">
        <v>7554</v>
      </c>
      <c r="B2277" t="s">
        <v>5151</v>
      </c>
      <c r="C2277" t="s">
        <v>12</v>
      </c>
      <c r="D2277" t="s">
        <v>5152</v>
      </c>
      <c r="E2277" t="s">
        <v>1533</v>
      </c>
      <c r="F2277" t="s">
        <v>25</v>
      </c>
      <c r="G2277" t="s">
        <v>18</v>
      </c>
      <c r="I2277">
        <v>868000</v>
      </c>
      <c r="J2277">
        <v>1108000</v>
      </c>
      <c r="K2277">
        <v>625000</v>
      </c>
      <c r="L2277">
        <v>993000</v>
      </c>
    </row>
    <row r="2278" spans="1:12" ht="15" customHeight="1">
      <c r="A2278" t="s">
        <v>7555</v>
      </c>
      <c r="B2278" t="s">
        <v>5153</v>
      </c>
      <c r="C2278" t="s">
        <v>12</v>
      </c>
      <c r="D2278" t="s">
        <v>5154</v>
      </c>
      <c r="E2278" t="s">
        <v>1532</v>
      </c>
      <c r="F2278" t="s">
        <v>14</v>
      </c>
      <c r="G2278" t="s">
        <v>18</v>
      </c>
    </row>
    <row r="2279" spans="1:12" ht="15" customHeight="1">
      <c r="A2279" t="s">
        <v>7556</v>
      </c>
      <c r="B2279" t="s">
        <v>5155</v>
      </c>
      <c r="C2279" t="s">
        <v>12</v>
      </c>
      <c r="D2279" t="s">
        <v>5156</v>
      </c>
      <c r="E2279" t="s">
        <v>1532</v>
      </c>
      <c r="F2279" t="s">
        <v>14</v>
      </c>
      <c r="G2279" t="s">
        <v>18</v>
      </c>
    </row>
    <row r="2280" spans="1:12" ht="15" customHeight="1">
      <c r="A2280" t="s">
        <v>7556</v>
      </c>
      <c r="B2280" t="s">
        <v>5157</v>
      </c>
      <c r="C2280" t="s">
        <v>12</v>
      </c>
      <c r="D2280" t="s">
        <v>5158</v>
      </c>
      <c r="E2280" t="s">
        <v>1628</v>
      </c>
      <c r="F2280" t="s">
        <v>14</v>
      </c>
      <c r="G2280" t="s">
        <v>18</v>
      </c>
      <c r="I2280">
        <v>3452000</v>
      </c>
      <c r="J2280">
        <v>6110000</v>
      </c>
      <c r="K2280">
        <v>3359000</v>
      </c>
      <c r="L2280">
        <v>5221000</v>
      </c>
    </row>
    <row r="2281" spans="1:12" ht="15" customHeight="1">
      <c r="A2281" t="s">
        <v>7557</v>
      </c>
      <c r="B2281" t="s">
        <v>5159</v>
      </c>
      <c r="C2281" t="s">
        <v>12</v>
      </c>
      <c r="D2281" t="s">
        <v>5160</v>
      </c>
      <c r="E2281" t="s">
        <v>1628</v>
      </c>
      <c r="F2281" t="s">
        <v>14</v>
      </c>
      <c r="G2281" t="s">
        <v>18</v>
      </c>
      <c r="I2281">
        <v>2517000</v>
      </c>
      <c r="J2281">
        <v>192000</v>
      </c>
      <c r="K2281">
        <v>283000</v>
      </c>
      <c r="L2281">
        <v>2201000</v>
      </c>
    </row>
    <row r="2282" spans="1:12" ht="15" customHeight="1">
      <c r="A2282" t="s">
        <v>7558</v>
      </c>
      <c r="B2282" t="s">
        <v>5161</v>
      </c>
      <c r="C2282" t="s">
        <v>12</v>
      </c>
      <c r="D2282" t="s">
        <v>5162</v>
      </c>
      <c r="E2282" t="s">
        <v>1544</v>
      </c>
      <c r="F2282" t="s">
        <v>14</v>
      </c>
      <c r="G2282" t="s">
        <v>18</v>
      </c>
    </row>
    <row r="2283" spans="1:12" ht="15" customHeight="1">
      <c r="A2283" t="s">
        <v>7559</v>
      </c>
      <c r="B2283" t="s">
        <v>5163</v>
      </c>
      <c r="C2283" t="s">
        <v>12</v>
      </c>
      <c r="D2283" t="s">
        <v>5164</v>
      </c>
      <c r="E2283" t="s">
        <v>1798</v>
      </c>
      <c r="F2283" t="s">
        <v>25</v>
      </c>
      <c r="G2283" t="s">
        <v>18</v>
      </c>
      <c r="J2283">
        <v>6919000</v>
      </c>
      <c r="L2283">
        <v>6236000</v>
      </c>
    </row>
    <row r="2284" spans="1:12" ht="15" customHeight="1">
      <c r="A2284" t="s">
        <v>7560</v>
      </c>
      <c r="B2284" t="s">
        <v>5165</v>
      </c>
      <c r="C2284" t="s">
        <v>12</v>
      </c>
      <c r="D2284" t="s">
        <v>5166</v>
      </c>
      <c r="E2284" t="s">
        <v>1534</v>
      </c>
      <c r="F2284" t="s">
        <v>14</v>
      </c>
      <c r="G2284" t="s">
        <v>18</v>
      </c>
      <c r="I2284">
        <v>3879000</v>
      </c>
      <c r="J2284">
        <v>3273000</v>
      </c>
      <c r="K2284">
        <v>2602000</v>
      </c>
      <c r="L2284">
        <v>4318000</v>
      </c>
    </row>
    <row r="2285" spans="1:12" ht="15" customHeight="1">
      <c r="A2285" t="s">
        <v>7561</v>
      </c>
      <c r="B2285" t="s">
        <v>5167</v>
      </c>
      <c r="C2285" t="s">
        <v>12</v>
      </c>
      <c r="D2285" t="s">
        <v>5168</v>
      </c>
      <c r="E2285" t="s">
        <v>1580</v>
      </c>
      <c r="F2285" t="s">
        <v>14</v>
      </c>
      <c r="G2285" t="s">
        <v>18</v>
      </c>
      <c r="I2285">
        <v>8489000</v>
      </c>
      <c r="J2285">
        <v>6806000</v>
      </c>
      <c r="K2285">
        <v>7036000</v>
      </c>
      <c r="L2285">
        <v>8262000</v>
      </c>
    </row>
    <row r="2286" spans="1:12" ht="15" customHeight="1">
      <c r="A2286" t="s">
        <v>7562</v>
      </c>
      <c r="B2286" t="s">
        <v>5169</v>
      </c>
      <c r="C2286" t="s">
        <v>12</v>
      </c>
      <c r="D2286" t="s">
        <v>5170</v>
      </c>
      <c r="E2286" t="s">
        <v>1579</v>
      </c>
      <c r="F2286" t="s">
        <v>25</v>
      </c>
      <c r="G2286" t="s">
        <v>18</v>
      </c>
    </row>
    <row r="2287" spans="1:12" ht="15" customHeight="1">
      <c r="A2287" t="s">
        <v>7563</v>
      </c>
      <c r="B2287" t="s">
        <v>5171</v>
      </c>
      <c r="C2287" t="s">
        <v>12</v>
      </c>
      <c r="D2287" t="s">
        <v>5172</v>
      </c>
      <c r="E2287" t="s">
        <v>1576</v>
      </c>
      <c r="F2287" t="s">
        <v>14</v>
      </c>
      <c r="G2287" t="s">
        <v>18</v>
      </c>
      <c r="I2287">
        <v>1254000</v>
      </c>
      <c r="J2287">
        <v>1558000</v>
      </c>
      <c r="K2287">
        <v>1296000</v>
      </c>
      <c r="L2287">
        <v>1562000</v>
      </c>
    </row>
    <row r="2288" spans="1:12" ht="15" customHeight="1">
      <c r="A2288" t="s">
        <v>7564</v>
      </c>
      <c r="B2288" t="s">
        <v>5173</v>
      </c>
      <c r="C2288" t="s">
        <v>12</v>
      </c>
      <c r="D2288" t="s">
        <v>5174</v>
      </c>
      <c r="E2288" t="s">
        <v>1620</v>
      </c>
      <c r="F2288" t="s">
        <v>14</v>
      </c>
      <c r="G2288" t="s">
        <v>18</v>
      </c>
      <c r="I2288">
        <v>174000</v>
      </c>
      <c r="J2288">
        <v>4119000</v>
      </c>
      <c r="K2288">
        <v>124000</v>
      </c>
      <c r="L2288">
        <v>4084000</v>
      </c>
    </row>
    <row r="2289" spans="1:12" ht="15" customHeight="1">
      <c r="A2289" t="s">
        <v>7565</v>
      </c>
      <c r="B2289" t="s">
        <v>5175</v>
      </c>
      <c r="C2289" t="s">
        <v>12</v>
      </c>
      <c r="D2289" t="s">
        <v>5176</v>
      </c>
      <c r="E2289" t="s">
        <v>1820</v>
      </c>
      <c r="F2289" t="s">
        <v>14</v>
      </c>
      <c r="G2289" t="s">
        <v>18</v>
      </c>
      <c r="I2289">
        <v>28465000</v>
      </c>
      <c r="J2289">
        <v>29223000</v>
      </c>
      <c r="K2289">
        <v>19185000</v>
      </c>
      <c r="L2289">
        <v>31460000</v>
      </c>
    </row>
    <row r="2290" spans="1:12" ht="15" customHeight="1">
      <c r="A2290" t="s">
        <v>7566</v>
      </c>
      <c r="B2290" t="s">
        <v>5177</v>
      </c>
      <c r="C2290" t="s">
        <v>12</v>
      </c>
      <c r="D2290" t="s">
        <v>5178</v>
      </c>
      <c r="E2290" t="s">
        <v>1526</v>
      </c>
      <c r="F2290" t="s">
        <v>14</v>
      </c>
      <c r="G2290" t="s">
        <v>18</v>
      </c>
      <c r="I2290">
        <v>5253000</v>
      </c>
      <c r="K2290">
        <v>5234000</v>
      </c>
    </row>
    <row r="2291" spans="1:12" ht="15" customHeight="1">
      <c r="A2291" t="s">
        <v>7567</v>
      </c>
      <c r="B2291" t="s">
        <v>5179</v>
      </c>
      <c r="C2291" t="s">
        <v>12</v>
      </c>
      <c r="D2291" t="s">
        <v>5180</v>
      </c>
      <c r="E2291" t="s">
        <v>1560</v>
      </c>
      <c r="F2291" t="s">
        <v>14</v>
      </c>
      <c r="G2291" t="s">
        <v>18</v>
      </c>
    </row>
    <row r="2292" spans="1:12" ht="15" customHeight="1">
      <c r="A2292" t="s">
        <v>7568</v>
      </c>
      <c r="B2292" t="s">
        <v>5181</v>
      </c>
      <c r="C2292" t="s">
        <v>12</v>
      </c>
      <c r="D2292" t="s">
        <v>5182</v>
      </c>
      <c r="E2292" t="s">
        <v>1619</v>
      </c>
      <c r="F2292" t="s">
        <v>25</v>
      </c>
      <c r="G2292" t="s">
        <v>18</v>
      </c>
      <c r="I2292">
        <v>2750000</v>
      </c>
      <c r="K2292">
        <v>2750000</v>
      </c>
    </row>
    <row r="2293" spans="1:12" ht="15" customHeight="1">
      <c r="A2293" t="s">
        <v>7569</v>
      </c>
      <c r="B2293" t="s">
        <v>5183</v>
      </c>
      <c r="C2293" t="s">
        <v>12</v>
      </c>
      <c r="D2293" t="s">
        <v>5184</v>
      </c>
      <c r="E2293" t="s">
        <v>1533</v>
      </c>
      <c r="F2293" t="s">
        <v>249</v>
      </c>
      <c r="G2293" t="s">
        <v>18</v>
      </c>
      <c r="I2293">
        <v>2178000</v>
      </c>
      <c r="J2293">
        <v>200000</v>
      </c>
      <c r="K2293">
        <v>1692000</v>
      </c>
      <c r="L2293">
        <v>716000</v>
      </c>
    </row>
    <row r="2294" spans="1:12" ht="15" customHeight="1">
      <c r="A2294" t="s">
        <v>7570</v>
      </c>
      <c r="B2294" t="s">
        <v>5185</v>
      </c>
      <c r="C2294" t="s">
        <v>12</v>
      </c>
      <c r="D2294" t="s">
        <v>5186</v>
      </c>
      <c r="E2294" t="s">
        <v>1560</v>
      </c>
      <c r="F2294" t="s">
        <v>25</v>
      </c>
      <c r="G2294" t="s">
        <v>18</v>
      </c>
    </row>
    <row r="2295" spans="1:12" ht="15" customHeight="1">
      <c r="A2295" t="s">
        <v>7571</v>
      </c>
      <c r="B2295" t="s">
        <v>5187</v>
      </c>
      <c r="C2295" t="s">
        <v>12</v>
      </c>
      <c r="D2295" t="s">
        <v>5188</v>
      </c>
      <c r="E2295" t="s">
        <v>1749</v>
      </c>
      <c r="F2295" t="s">
        <v>25</v>
      </c>
      <c r="G2295" t="s">
        <v>18</v>
      </c>
      <c r="I2295">
        <v>707000</v>
      </c>
      <c r="J2295">
        <v>289000</v>
      </c>
      <c r="K2295">
        <v>118000</v>
      </c>
      <c r="L2295">
        <v>891000</v>
      </c>
    </row>
    <row r="2296" spans="1:12" ht="15" customHeight="1">
      <c r="A2296" t="s">
        <v>7572</v>
      </c>
      <c r="B2296" t="s">
        <v>5189</v>
      </c>
      <c r="C2296" t="s">
        <v>12</v>
      </c>
      <c r="D2296" t="s">
        <v>5190</v>
      </c>
      <c r="E2296" t="s">
        <v>1558</v>
      </c>
      <c r="F2296" t="s">
        <v>25</v>
      </c>
      <c r="G2296" t="s">
        <v>18</v>
      </c>
      <c r="I2296">
        <v>504000</v>
      </c>
      <c r="J2296">
        <v>1044000</v>
      </c>
      <c r="K2296">
        <v>464000</v>
      </c>
      <c r="L2296">
        <v>439000</v>
      </c>
    </row>
    <row r="2297" spans="1:12" ht="15" customHeight="1">
      <c r="A2297" t="s">
        <v>7573</v>
      </c>
      <c r="B2297" t="s">
        <v>5191</v>
      </c>
      <c r="C2297" t="s">
        <v>12</v>
      </c>
      <c r="D2297" t="s">
        <v>5192</v>
      </c>
      <c r="E2297" t="s">
        <v>1516</v>
      </c>
      <c r="F2297" t="s">
        <v>14</v>
      </c>
      <c r="G2297" t="s">
        <v>22</v>
      </c>
    </row>
    <row r="2298" spans="1:12" ht="15" customHeight="1">
      <c r="A2298" t="s">
        <v>7574</v>
      </c>
      <c r="B2298" t="s">
        <v>5193</v>
      </c>
      <c r="C2298" t="s">
        <v>12</v>
      </c>
      <c r="D2298" t="s">
        <v>5194</v>
      </c>
      <c r="E2298" t="s">
        <v>1667</v>
      </c>
      <c r="F2298" t="s">
        <v>14</v>
      </c>
      <c r="G2298" t="s">
        <v>18</v>
      </c>
      <c r="I2298">
        <v>4990000</v>
      </c>
      <c r="J2298">
        <v>5860000</v>
      </c>
      <c r="K2298">
        <v>4980000</v>
      </c>
      <c r="L2298">
        <v>5860000</v>
      </c>
    </row>
    <row r="2299" spans="1:12" ht="15" customHeight="1">
      <c r="A2299" t="s">
        <v>7575</v>
      </c>
      <c r="B2299" t="s">
        <v>5195</v>
      </c>
      <c r="C2299" t="s">
        <v>12</v>
      </c>
      <c r="D2299" t="s">
        <v>5196</v>
      </c>
      <c r="E2299" t="s">
        <v>1588</v>
      </c>
      <c r="F2299" t="s">
        <v>25</v>
      </c>
      <c r="G2299" t="s">
        <v>18</v>
      </c>
      <c r="I2299">
        <v>829000</v>
      </c>
      <c r="J2299">
        <v>638000</v>
      </c>
      <c r="K2299">
        <v>829000</v>
      </c>
      <c r="L2299">
        <v>638000</v>
      </c>
    </row>
    <row r="2300" spans="1:12" ht="15" customHeight="1">
      <c r="A2300" t="s">
        <v>7576</v>
      </c>
      <c r="B2300" t="s">
        <v>5197</v>
      </c>
      <c r="C2300" t="s">
        <v>12</v>
      </c>
      <c r="D2300" t="s">
        <v>5198</v>
      </c>
      <c r="E2300" t="s">
        <v>1512</v>
      </c>
      <c r="F2300" t="s">
        <v>14</v>
      </c>
      <c r="G2300" t="s">
        <v>18</v>
      </c>
      <c r="I2300">
        <v>465000</v>
      </c>
      <c r="J2300">
        <v>413000</v>
      </c>
      <c r="K2300">
        <v>462000</v>
      </c>
      <c r="L2300">
        <v>410000</v>
      </c>
    </row>
    <row r="2301" spans="1:12" ht="15" customHeight="1">
      <c r="A2301" t="s">
        <v>7577</v>
      </c>
      <c r="B2301" t="s">
        <v>5199</v>
      </c>
      <c r="C2301" t="s">
        <v>12</v>
      </c>
      <c r="D2301" t="s">
        <v>5200</v>
      </c>
      <c r="E2301" t="s">
        <v>1588</v>
      </c>
      <c r="F2301" t="s">
        <v>25</v>
      </c>
      <c r="G2301" t="s">
        <v>18</v>
      </c>
      <c r="I2301">
        <v>508000</v>
      </c>
      <c r="K2301">
        <v>508000</v>
      </c>
    </row>
    <row r="2302" spans="1:12" ht="15" customHeight="1">
      <c r="A2302" t="s">
        <v>7578</v>
      </c>
      <c r="B2302" t="s">
        <v>5201</v>
      </c>
      <c r="C2302" t="s">
        <v>12</v>
      </c>
      <c r="D2302" t="s">
        <v>5202</v>
      </c>
      <c r="E2302" t="s">
        <v>1558</v>
      </c>
      <c r="F2302" t="s">
        <v>14</v>
      </c>
      <c r="G2302" t="s">
        <v>18</v>
      </c>
      <c r="I2302">
        <v>550000</v>
      </c>
      <c r="J2302">
        <v>119000</v>
      </c>
      <c r="K2302">
        <v>643000</v>
      </c>
      <c r="L2302">
        <v>135000</v>
      </c>
    </row>
    <row r="2303" spans="1:12" ht="15" customHeight="1">
      <c r="A2303" t="s">
        <v>7579</v>
      </c>
      <c r="B2303" t="s">
        <v>5203</v>
      </c>
      <c r="C2303" t="s">
        <v>12</v>
      </c>
      <c r="D2303" t="s">
        <v>5204</v>
      </c>
      <c r="E2303" t="s">
        <v>1588</v>
      </c>
      <c r="F2303" t="s">
        <v>25</v>
      </c>
      <c r="G2303" t="s">
        <v>18</v>
      </c>
      <c r="I2303">
        <v>1231000</v>
      </c>
      <c r="J2303">
        <v>1035000</v>
      </c>
      <c r="K2303">
        <v>1117000</v>
      </c>
      <c r="L2303">
        <v>1089000</v>
      </c>
    </row>
    <row r="2304" spans="1:12" ht="15" customHeight="1">
      <c r="A2304" t="s">
        <v>7580</v>
      </c>
      <c r="B2304" t="s">
        <v>5205</v>
      </c>
      <c r="C2304" t="s">
        <v>12</v>
      </c>
      <c r="D2304" t="s">
        <v>5206</v>
      </c>
      <c r="E2304" t="s">
        <v>1532</v>
      </c>
      <c r="F2304" t="s">
        <v>25</v>
      </c>
      <c r="G2304" t="s">
        <v>18</v>
      </c>
    </row>
    <row r="2305" spans="1:12" ht="15" customHeight="1">
      <c r="A2305" t="s">
        <v>7581</v>
      </c>
      <c r="B2305" t="s">
        <v>5207</v>
      </c>
      <c r="C2305" t="s">
        <v>12</v>
      </c>
      <c r="D2305" t="s">
        <v>5208</v>
      </c>
      <c r="E2305" t="s">
        <v>1658</v>
      </c>
      <c r="F2305" t="s">
        <v>14</v>
      </c>
      <c r="G2305" t="s">
        <v>18</v>
      </c>
    </row>
    <row r="2306" spans="1:12" ht="15" customHeight="1">
      <c r="A2306" t="s">
        <v>7582</v>
      </c>
      <c r="B2306" t="s">
        <v>5209</v>
      </c>
      <c r="C2306" t="s">
        <v>12</v>
      </c>
      <c r="D2306" t="s">
        <v>5210</v>
      </c>
      <c r="E2306" t="s">
        <v>1517</v>
      </c>
      <c r="F2306" t="s">
        <v>25</v>
      </c>
      <c r="G2306" t="s">
        <v>18</v>
      </c>
      <c r="I2306">
        <v>821000</v>
      </c>
      <c r="J2306">
        <v>1214000</v>
      </c>
      <c r="K2306">
        <v>821000</v>
      </c>
      <c r="L2306">
        <v>1214000</v>
      </c>
    </row>
    <row r="2307" spans="1:12" ht="15" customHeight="1">
      <c r="A2307" t="s">
        <v>7583</v>
      </c>
      <c r="B2307" t="s">
        <v>5211</v>
      </c>
      <c r="C2307" t="s">
        <v>12</v>
      </c>
      <c r="D2307" t="s">
        <v>5212</v>
      </c>
      <c r="E2307" t="s">
        <v>1532</v>
      </c>
      <c r="F2307" t="s">
        <v>14</v>
      </c>
      <c r="G2307" t="s">
        <v>18</v>
      </c>
      <c r="I2307">
        <v>1466000</v>
      </c>
      <c r="J2307">
        <v>2122000</v>
      </c>
      <c r="K2307">
        <v>1466000</v>
      </c>
      <c r="L2307">
        <v>2122000</v>
      </c>
    </row>
    <row r="2308" spans="1:12" ht="15" customHeight="1">
      <c r="A2308" t="s">
        <v>7584</v>
      </c>
      <c r="B2308" t="s">
        <v>5213</v>
      </c>
      <c r="C2308" t="s">
        <v>12</v>
      </c>
      <c r="D2308" t="s">
        <v>5214</v>
      </c>
      <c r="E2308" t="s">
        <v>1532</v>
      </c>
      <c r="F2308" t="s">
        <v>14</v>
      </c>
      <c r="G2308" t="s">
        <v>18</v>
      </c>
      <c r="I2308">
        <v>130000</v>
      </c>
      <c r="K2308">
        <v>19000</v>
      </c>
    </row>
    <row r="2309" spans="1:12" ht="15" customHeight="1">
      <c r="A2309" t="s">
        <v>7585</v>
      </c>
      <c r="B2309" t="s">
        <v>5215</v>
      </c>
      <c r="C2309" t="s">
        <v>12</v>
      </c>
      <c r="D2309" t="s">
        <v>5216</v>
      </c>
      <c r="E2309" t="s">
        <v>1504</v>
      </c>
      <c r="F2309" t="s">
        <v>14</v>
      </c>
      <c r="G2309" t="s">
        <v>18</v>
      </c>
      <c r="I2309">
        <v>464000</v>
      </c>
      <c r="K2309">
        <v>464000</v>
      </c>
    </row>
    <row r="2310" spans="1:12" ht="15" customHeight="1">
      <c r="A2310" t="s">
        <v>7586</v>
      </c>
      <c r="B2310" t="s">
        <v>5217</v>
      </c>
      <c r="C2310" t="s">
        <v>12</v>
      </c>
      <c r="D2310" t="s">
        <v>5218</v>
      </c>
      <c r="E2310" t="s">
        <v>1620</v>
      </c>
      <c r="F2310" t="s">
        <v>14</v>
      </c>
      <c r="G2310" t="s">
        <v>18</v>
      </c>
      <c r="J2310">
        <v>2430000</v>
      </c>
      <c r="L2310">
        <v>2417000</v>
      </c>
    </row>
    <row r="2311" spans="1:12" ht="15" customHeight="1">
      <c r="A2311" t="s">
        <v>7587</v>
      </c>
      <c r="B2311" t="s">
        <v>5219</v>
      </c>
      <c r="C2311" t="s">
        <v>12</v>
      </c>
      <c r="D2311" t="s">
        <v>5220</v>
      </c>
      <c r="E2311" t="s">
        <v>1532</v>
      </c>
      <c r="F2311" t="s">
        <v>14</v>
      </c>
      <c r="G2311" t="s">
        <v>18</v>
      </c>
      <c r="I2311">
        <v>38879000</v>
      </c>
      <c r="J2311">
        <v>39174000</v>
      </c>
      <c r="K2311">
        <v>38214000</v>
      </c>
      <c r="L2311">
        <v>39483000</v>
      </c>
    </row>
    <row r="2312" spans="1:12" ht="15" customHeight="1">
      <c r="A2312" t="s">
        <v>7588</v>
      </c>
      <c r="B2312" t="s">
        <v>5221</v>
      </c>
      <c r="C2312" t="s">
        <v>12</v>
      </c>
      <c r="D2312" t="s">
        <v>5222</v>
      </c>
      <c r="E2312" t="s">
        <v>1526</v>
      </c>
      <c r="F2312" t="s">
        <v>14</v>
      </c>
      <c r="G2312" t="s">
        <v>18</v>
      </c>
    </row>
    <row r="2313" spans="1:12" ht="15" customHeight="1">
      <c r="A2313" t="s">
        <v>7589</v>
      </c>
      <c r="B2313" t="s">
        <v>5223</v>
      </c>
      <c r="C2313" t="s">
        <v>12</v>
      </c>
      <c r="D2313" t="s">
        <v>5224</v>
      </c>
      <c r="E2313" t="s">
        <v>1512</v>
      </c>
      <c r="F2313" t="s">
        <v>14</v>
      </c>
      <c r="G2313" t="s">
        <v>18</v>
      </c>
      <c r="I2313">
        <v>1660000</v>
      </c>
      <c r="J2313">
        <v>8784000</v>
      </c>
      <c r="K2313">
        <v>2196000</v>
      </c>
      <c r="L2313">
        <v>8339000</v>
      </c>
    </row>
    <row r="2314" spans="1:12" ht="15" customHeight="1">
      <c r="A2314" t="s">
        <v>7590</v>
      </c>
      <c r="B2314" t="s">
        <v>5225</v>
      </c>
      <c r="C2314" t="s">
        <v>12</v>
      </c>
      <c r="D2314" t="s">
        <v>5226</v>
      </c>
      <c r="E2314" t="s">
        <v>1579</v>
      </c>
      <c r="F2314" t="s">
        <v>14</v>
      </c>
      <c r="G2314" t="s">
        <v>18</v>
      </c>
    </row>
    <row r="2315" spans="1:12" ht="15" customHeight="1">
      <c r="A2315" t="s">
        <v>7591</v>
      </c>
      <c r="B2315" t="s">
        <v>5227</v>
      </c>
      <c r="C2315" t="s">
        <v>12</v>
      </c>
      <c r="D2315" t="s">
        <v>5228</v>
      </c>
      <c r="E2315" t="s">
        <v>1520</v>
      </c>
      <c r="F2315" t="s">
        <v>14</v>
      </c>
      <c r="G2315" t="s">
        <v>18</v>
      </c>
    </row>
    <row r="2316" spans="1:12" ht="15" customHeight="1">
      <c r="A2316" t="s">
        <v>7592</v>
      </c>
      <c r="B2316" t="s">
        <v>5229</v>
      </c>
      <c r="C2316" t="s">
        <v>12</v>
      </c>
      <c r="D2316" t="s">
        <v>5230</v>
      </c>
      <c r="E2316" t="s">
        <v>1798</v>
      </c>
      <c r="F2316" t="s">
        <v>14</v>
      </c>
      <c r="G2316" t="s">
        <v>18</v>
      </c>
      <c r="I2316">
        <v>12556000</v>
      </c>
      <c r="J2316">
        <v>33836000</v>
      </c>
      <c r="K2316">
        <v>9213000</v>
      </c>
      <c r="L2316">
        <v>33092000</v>
      </c>
    </row>
    <row r="2317" spans="1:12" ht="15" customHeight="1">
      <c r="A2317" t="s">
        <v>7593</v>
      </c>
      <c r="B2317" t="s">
        <v>5231</v>
      </c>
      <c r="C2317" t="s">
        <v>12</v>
      </c>
      <c r="D2317" t="s">
        <v>5232</v>
      </c>
      <c r="E2317" t="s">
        <v>1524</v>
      </c>
      <c r="F2317" t="s">
        <v>14</v>
      </c>
      <c r="G2317" t="s">
        <v>77</v>
      </c>
      <c r="I2317">
        <v>3843000</v>
      </c>
      <c r="J2317">
        <v>3151000</v>
      </c>
      <c r="K2317">
        <v>3559000</v>
      </c>
      <c r="L2317">
        <v>3936000</v>
      </c>
    </row>
    <row r="2318" spans="1:12" ht="15" customHeight="1">
      <c r="A2318" t="s">
        <v>7594</v>
      </c>
      <c r="B2318" t="s">
        <v>5233</v>
      </c>
      <c r="C2318" t="s">
        <v>12</v>
      </c>
      <c r="D2318" t="s">
        <v>5234</v>
      </c>
      <c r="E2318" t="s">
        <v>1532</v>
      </c>
      <c r="F2318" t="s">
        <v>25</v>
      </c>
      <c r="G2318" t="s">
        <v>18</v>
      </c>
      <c r="I2318">
        <v>2454000</v>
      </c>
      <c r="K2318">
        <v>2461000</v>
      </c>
    </row>
    <row r="2319" spans="1:12" ht="15" customHeight="1">
      <c r="A2319" t="s">
        <v>7595</v>
      </c>
      <c r="B2319" t="s">
        <v>5235</v>
      </c>
      <c r="C2319" t="s">
        <v>12</v>
      </c>
      <c r="D2319" t="s">
        <v>5236</v>
      </c>
      <c r="E2319" t="s">
        <v>1667</v>
      </c>
      <c r="F2319" t="s">
        <v>14</v>
      </c>
      <c r="G2319" t="s">
        <v>18</v>
      </c>
      <c r="I2319">
        <v>16245000</v>
      </c>
      <c r="J2319">
        <v>11275000</v>
      </c>
      <c r="K2319">
        <v>1433000</v>
      </c>
      <c r="L2319">
        <v>25721000</v>
      </c>
    </row>
    <row r="2320" spans="1:12" ht="15" customHeight="1">
      <c r="A2320" t="s">
        <v>7596</v>
      </c>
      <c r="B2320" t="s">
        <v>5237</v>
      </c>
      <c r="C2320" t="s">
        <v>12</v>
      </c>
      <c r="D2320" t="s">
        <v>5238</v>
      </c>
      <c r="E2320" t="s">
        <v>1504</v>
      </c>
      <c r="F2320" t="s">
        <v>14</v>
      </c>
      <c r="G2320" t="s">
        <v>18</v>
      </c>
      <c r="I2320">
        <v>10183000</v>
      </c>
      <c r="K2320">
        <v>10233000</v>
      </c>
    </row>
    <row r="2321" spans="1:12" ht="15" customHeight="1">
      <c r="A2321" t="s">
        <v>7597</v>
      </c>
      <c r="B2321" t="s">
        <v>5239</v>
      </c>
      <c r="C2321" t="s">
        <v>12</v>
      </c>
      <c r="D2321" t="s">
        <v>5240</v>
      </c>
      <c r="E2321" t="s">
        <v>1524</v>
      </c>
      <c r="F2321" t="s">
        <v>25</v>
      </c>
      <c r="G2321" t="s">
        <v>18</v>
      </c>
      <c r="I2321">
        <v>50000</v>
      </c>
      <c r="J2321">
        <v>150000</v>
      </c>
      <c r="K2321">
        <v>125000</v>
      </c>
      <c r="L2321">
        <v>130000</v>
      </c>
    </row>
    <row r="2322" spans="1:12" ht="15" customHeight="1">
      <c r="A2322" t="s">
        <v>7598</v>
      </c>
      <c r="B2322" t="s">
        <v>5241</v>
      </c>
      <c r="C2322" t="s">
        <v>12</v>
      </c>
      <c r="D2322" t="s">
        <v>5242</v>
      </c>
      <c r="E2322" t="s">
        <v>1580</v>
      </c>
      <c r="F2322" t="s">
        <v>14</v>
      </c>
      <c r="G2322" t="s">
        <v>18</v>
      </c>
    </row>
    <row r="2323" spans="1:12" ht="15" customHeight="1">
      <c r="A2323" t="s">
        <v>7599</v>
      </c>
      <c r="B2323" t="s">
        <v>5243</v>
      </c>
      <c r="C2323" t="s">
        <v>12</v>
      </c>
      <c r="D2323" t="s">
        <v>5244</v>
      </c>
      <c r="E2323" t="s">
        <v>1532</v>
      </c>
      <c r="F2323" t="s">
        <v>14</v>
      </c>
      <c r="G2323" t="s">
        <v>18</v>
      </c>
      <c r="I2323">
        <v>5547000</v>
      </c>
      <c r="K2323">
        <v>5720000</v>
      </c>
    </row>
    <row r="2324" spans="1:12" ht="15" customHeight="1">
      <c r="A2324" t="s">
        <v>7600</v>
      </c>
      <c r="B2324" t="s">
        <v>5245</v>
      </c>
      <c r="C2324" t="s">
        <v>12</v>
      </c>
      <c r="D2324" t="s">
        <v>5246</v>
      </c>
      <c r="E2324" t="s">
        <v>1558</v>
      </c>
      <c r="F2324" t="s">
        <v>14</v>
      </c>
      <c r="G2324" t="s">
        <v>18</v>
      </c>
    </row>
    <row r="2325" spans="1:12" ht="15" customHeight="1">
      <c r="A2325" t="s">
        <v>7601</v>
      </c>
      <c r="B2325" t="s">
        <v>5247</v>
      </c>
      <c r="C2325" t="s">
        <v>12</v>
      </c>
      <c r="D2325" t="s">
        <v>5248</v>
      </c>
      <c r="E2325" t="s">
        <v>1579</v>
      </c>
      <c r="F2325" t="s">
        <v>14</v>
      </c>
      <c r="G2325" t="s">
        <v>18</v>
      </c>
      <c r="I2325">
        <v>5527000</v>
      </c>
      <c r="J2325">
        <v>7473000</v>
      </c>
      <c r="K2325">
        <v>3073000</v>
      </c>
      <c r="L2325">
        <v>7427000</v>
      </c>
    </row>
    <row r="2326" spans="1:12" ht="15" customHeight="1">
      <c r="A2326" t="s">
        <v>7602</v>
      </c>
      <c r="B2326" t="s">
        <v>5249</v>
      </c>
      <c r="C2326" t="s">
        <v>12</v>
      </c>
      <c r="D2326" t="s">
        <v>5250</v>
      </c>
      <c r="E2326" t="s">
        <v>1619</v>
      </c>
      <c r="F2326" t="s">
        <v>25</v>
      </c>
      <c r="G2326" t="s">
        <v>18</v>
      </c>
      <c r="I2326">
        <v>3290000</v>
      </c>
      <c r="J2326">
        <v>24425000</v>
      </c>
      <c r="K2326">
        <v>4337000</v>
      </c>
      <c r="L2326">
        <v>12262000</v>
      </c>
    </row>
    <row r="2327" spans="1:12" ht="15" customHeight="1">
      <c r="A2327" t="s">
        <v>7603</v>
      </c>
      <c r="B2327" t="s">
        <v>5251</v>
      </c>
      <c r="C2327" t="s">
        <v>12</v>
      </c>
      <c r="D2327" t="s">
        <v>5252</v>
      </c>
      <c r="E2327" t="s">
        <v>1532</v>
      </c>
      <c r="F2327" t="s">
        <v>25</v>
      </c>
      <c r="G2327" t="s">
        <v>18</v>
      </c>
      <c r="K2327">
        <v>10000</v>
      </c>
    </row>
    <row r="2328" spans="1:12" ht="15" customHeight="1">
      <c r="A2328" t="s">
        <v>7604</v>
      </c>
      <c r="B2328" t="s">
        <v>5253</v>
      </c>
      <c r="C2328" t="s">
        <v>12</v>
      </c>
      <c r="D2328" t="s">
        <v>5254</v>
      </c>
      <c r="E2328" t="s">
        <v>1588</v>
      </c>
      <c r="F2328" t="s">
        <v>14</v>
      </c>
      <c r="G2328" t="s">
        <v>18</v>
      </c>
      <c r="I2328">
        <v>143000</v>
      </c>
      <c r="J2328">
        <v>199000</v>
      </c>
      <c r="K2328">
        <v>146000</v>
      </c>
      <c r="L2328">
        <v>175000</v>
      </c>
    </row>
    <row r="2329" spans="1:12" ht="15" customHeight="1">
      <c r="A2329" t="s">
        <v>7605</v>
      </c>
      <c r="B2329" t="s">
        <v>5255</v>
      </c>
      <c r="C2329" t="s">
        <v>12</v>
      </c>
      <c r="D2329" t="s">
        <v>5256</v>
      </c>
      <c r="E2329" t="s">
        <v>1589</v>
      </c>
      <c r="F2329" t="s">
        <v>14</v>
      </c>
      <c r="G2329" t="s">
        <v>18</v>
      </c>
      <c r="I2329">
        <v>317000</v>
      </c>
      <c r="J2329">
        <v>139000</v>
      </c>
      <c r="K2329">
        <v>291000</v>
      </c>
      <c r="L2329">
        <v>118000</v>
      </c>
    </row>
    <row r="2330" spans="1:12" ht="15" customHeight="1">
      <c r="A2330" t="s">
        <v>7606</v>
      </c>
      <c r="B2330" t="s">
        <v>5257</v>
      </c>
      <c r="C2330" t="s">
        <v>12</v>
      </c>
      <c r="D2330" t="s">
        <v>5258</v>
      </c>
      <c r="E2330" t="s">
        <v>1519</v>
      </c>
      <c r="F2330" t="s">
        <v>14</v>
      </c>
      <c r="G2330" t="s">
        <v>18</v>
      </c>
      <c r="I2330">
        <v>5131000</v>
      </c>
      <c r="J2330">
        <v>2001000</v>
      </c>
      <c r="K2330">
        <v>3391000</v>
      </c>
      <c r="L2330">
        <v>3724000</v>
      </c>
    </row>
    <row r="2331" spans="1:12" ht="15" customHeight="1">
      <c r="A2331" t="s">
        <v>7607</v>
      </c>
      <c r="B2331" t="s">
        <v>5259</v>
      </c>
      <c r="C2331" t="s">
        <v>12</v>
      </c>
      <c r="D2331" t="s">
        <v>5260</v>
      </c>
      <c r="E2331" t="s">
        <v>1526</v>
      </c>
      <c r="F2331" t="s">
        <v>14</v>
      </c>
      <c r="G2331" t="s">
        <v>18</v>
      </c>
      <c r="I2331">
        <v>6659000</v>
      </c>
      <c r="J2331">
        <v>5421000</v>
      </c>
      <c r="K2331">
        <v>4187000</v>
      </c>
      <c r="L2331">
        <v>8421000</v>
      </c>
    </row>
    <row r="2332" spans="1:12" ht="15" customHeight="1">
      <c r="A2332" t="s">
        <v>7608</v>
      </c>
      <c r="B2332" t="s">
        <v>5261</v>
      </c>
      <c r="C2332" t="s">
        <v>12</v>
      </c>
      <c r="D2332" t="s">
        <v>5262</v>
      </c>
      <c r="E2332" t="s">
        <v>1560</v>
      </c>
      <c r="F2332" t="s">
        <v>14</v>
      </c>
      <c r="G2332" t="s">
        <v>18</v>
      </c>
      <c r="I2332">
        <v>4331000</v>
      </c>
      <c r="J2332">
        <v>174289000</v>
      </c>
      <c r="K2332">
        <v>4050000</v>
      </c>
      <c r="L2332">
        <v>119062000</v>
      </c>
    </row>
    <row r="2333" spans="1:12" ht="15" customHeight="1">
      <c r="A2333" t="s">
        <v>7609</v>
      </c>
      <c r="B2333" t="s">
        <v>5263</v>
      </c>
      <c r="C2333" t="s">
        <v>12</v>
      </c>
      <c r="D2333" t="s">
        <v>5264</v>
      </c>
      <c r="E2333" t="s">
        <v>1535</v>
      </c>
      <c r="F2333" t="s">
        <v>14</v>
      </c>
      <c r="G2333" t="s">
        <v>18</v>
      </c>
      <c r="I2333">
        <v>5525000</v>
      </c>
      <c r="J2333">
        <v>2385000</v>
      </c>
      <c r="K2333">
        <v>5525000</v>
      </c>
      <c r="L2333">
        <v>2356000</v>
      </c>
    </row>
    <row r="2334" spans="1:12" ht="15" customHeight="1">
      <c r="A2334" t="s">
        <v>7610</v>
      </c>
      <c r="B2334" t="s">
        <v>5265</v>
      </c>
      <c r="C2334" t="s">
        <v>12</v>
      </c>
      <c r="D2334" t="s">
        <v>5266</v>
      </c>
      <c r="E2334" t="s">
        <v>1532</v>
      </c>
      <c r="F2334" t="s">
        <v>14</v>
      </c>
      <c r="G2334" t="s">
        <v>18</v>
      </c>
      <c r="I2334">
        <v>5800000</v>
      </c>
      <c r="J2334">
        <v>3445000</v>
      </c>
      <c r="K2334">
        <v>5958000</v>
      </c>
      <c r="L2334">
        <v>3472000</v>
      </c>
    </row>
    <row r="2335" spans="1:12" ht="15" customHeight="1">
      <c r="A2335" t="s">
        <v>7611</v>
      </c>
      <c r="B2335" t="s">
        <v>5267</v>
      </c>
      <c r="C2335" t="s">
        <v>12</v>
      </c>
      <c r="D2335" t="s">
        <v>5268</v>
      </c>
      <c r="E2335" t="s">
        <v>1532</v>
      </c>
      <c r="F2335" t="s">
        <v>14</v>
      </c>
      <c r="G2335" t="s">
        <v>18</v>
      </c>
      <c r="I2335">
        <v>28000</v>
      </c>
      <c r="K2335">
        <v>33000</v>
      </c>
    </row>
    <row r="2336" spans="1:12" ht="15" customHeight="1">
      <c r="A2336" t="s">
        <v>7612</v>
      </c>
      <c r="B2336" t="s">
        <v>5269</v>
      </c>
      <c r="C2336" t="s">
        <v>12</v>
      </c>
      <c r="D2336" t="s">
        <v>5270</v>
      </c>
      <c r="E2336" t="s">
        <v>1565</v>
      </c>
      <c r="F2336" t="s">
        <v>25</v>
      </c>
      <c r="G2336" t="s">
        <v>18</v>
      </c>
    </row>
    <row r="2337" spans="1:12" ht="15" customHeight="1">
      <c r="A2337" t="s">
        <v>7613</v>
      </c>
      <c r="B2337" t="s">
        <v>5271</v>
      </c>
      <c r="C2337" t="s">
        <v>12</v>
      </c>
      <c r="D2337" t="s">
        <v>5272</v>
      </c>
      <c r="E2337" t="s">
        <v>1560</v>
      </c>
      <c r="F2337" t="s">
        <v>14</v>
      </c>
      <c r="G2337" t="s">
        <v>18</v>
      </c>
      <c r="J2337">
        <v>7083000</v>
      </c>
      <c r="L2337">
        <v>6766000</v>
      </c>
    </row>
    <row r="2338" spans="1:12" ht="15" customHeight="1">
      <c r="A2338" t="s">
        <v>7614</v>
      </c>
      <c r="B2338" t="s">
        <v>5273</v>
      </c>
      <c r="C2338" t="s">
        <v>12</v>
      </c>
      <c r="D2338" t="s">
        <v>5274</v>
      </c>
      <c r="E2338" t="s">
        <v>1532</v>
      </c>
      <c r="F2338" t="s">
        <v>14</v>
      </c>
      <c r="G2338" t="s">
        <v>18</v>
      </c>
    </row>
    <row r="2339" spans="1:12" ht="15" customHeight="1">
      <c r="A2339" t="s">
        <v>7615</v>
      </c>
      <c r="B2339" t="s">
        <v>5275</v>
      </c>
      <c r="C2339" t="s">
        <v>12</v>
      </c>
      <c r="D2339" t="s">
        <v>5276</v>
      </c>
      <c r="E2339" t="s">
        <v>1532</v>
      </c>
      <c r="F2339" t="s">
        <v>14</v>
      </c>
      <c r="G2339" t="s">
        <v>18</v>
      </c>
    </row>
    <row r="2340" spans="1:12" ht="15" customHeight="1">
      <c r="A2340" t="s">
        <v>7616</v>
      </c>
      <c r="B2340" t="s">
        <v>5277</v>
      </c>
      <c r="C2340" t="s">
        <v>12</v>
      </c>
      <c r="D2340" t="s">
        <v>5278</v>
      </c>
      <c r="E2340" t="s">
        <v>1524</v>
      </c>
      <c r="F2340" t="s">
        <v>14</v>
      </c>
      <c r="G2340" t="s">
        <v>18</v>
      </c>
      <c r="I2340">
        <v>29000</v>
      </c>
      <c r="K2340">
        <v>105000</v>
      </c>
    </row>
    <row r="2341" spans="1:12" ht="15" customHeight="1">
      <c r="A2341" t="s">
        <v>7617</v>
      </c>
      <c r="B2341" t="s">
        <v>5279</v>
      </c>
      <c r="C2341" t="s">
        <v>12</v>
      </c>
      <c r="D2341" t="s">
        <v>5280</v>
      </c>
      <c r="E2341" t="s">
        <v>1533</v>
      </c>
      <c r="F2341" t="s">
        <v>14</v>
      </c>
      <c r="G2341" t="s">
        <v>18</v>
      </c>
      <c r="I2341">
        <v>26318000</v>
      </c>
      <c r="J2341">
        <v>18024000</v>
      </c>
      <c r="K2341">
        <v>20740000</v>
      </c>
      <c r="L2341">
        <v>6093000</v>
      </c>
    </row>
    <row r="2342" spans="1:12" ht="15" customHeight="1">
      <c r="A2342" t="s">
        <v>7618</v>
      </c>
      <c r="B2342" t="s">
        <v>5281</v>
      </c>
      <c r="C2342" t="s">
        <v>12</v>
      </c>
      <c r="D2342" t="s">
        <v>5282</v>
      </c>
      <c r="E2342" t="s">
        <v>1532</v>
      </c>
      <c r="F2342" t="s">
        <v>14</v>
      </c>
      <c r="G2342" t="s">
        <v>22</v>
      </c>
      <c r="I2342">
        <v>77573000</v>
      </c>
      <c r="J2342">
        <v>56094000</v>
      </c>
      <c r="K2342">
        <v>73408000</v>
      </c>
      <c r="L2342">
        <v>61747000</v>
      </c>
    </row>
    <row r="2343" spans="1:12" ht="15" customHeight="1">
      <c r="A2343" t="s">
        <v>7619</v>
      </c>
      <c r="B2343" t="s">
        <v>5283</v>
      </c>
      <c r="C2343" t="s">
        <v>12</v>
      </c>
      <c r="D2343" t="s">
        <v>5284</v>
      </c>
      <c r="E2343" t="s">
        <v>1508</v>
      </c>
      <c r="F2343" t="s">
        <v>14</v>
      </c>
      <c r="H2343" t="s">
        <v>23</v>
      </c>
      <c r="I2343">
        <v>81006000</v>
      </c>
      <c r="J2343">
        <v>10913000</v>
      </c>
      <c r="K2343">
        <v>73219000</v>
      </c>
      <c r="L2343">
        <v>18192000</v>
      </c>
    </row>
    <row r="2344" spans="1:12" ht="15" customHeight="1">
      <c r="A2344" t="s">
        <v>7620</v>
      </c>
      <c r="B2344" t="s">
        <v>5285</v>
      </c>
      <c r="C2344" t="s">
        <v>12</v>
      </c>
      <c r="D2344" t="s">
        <v>5286</v>
      </c>
      <c r="E2344" t="s">
        <v>1619</v>
      </c>
      <c r="F2344" t="s">
        <v>25</v>
      </c>
      <c r="G2344" t="s">
        <v>18</v>
      </c>
    </row>
    <row r="2345" spans="1:12" ht="15" customHeight="1">
      <c r="A2345" t="s">
        <v>7621</v>
      </c>
      <c r="B2345" t="s">
        <v>5287</v>
      </c>
      <c r="C2345" t="s">
        <v>12</v>
      </c>
      <c r="D2345" t="s">
        <v>5288</v>
      </c>
      <c r="E2345" t="s">
        <v>1544</v>
      </c>
      <c r="F2345" t="s">
        <v>14</v>
      </c>
      <c r="G2345" t="s">
        <v>18</v>
      </c>
    </row>
    <row r="2346" spans="1:12" ht="15" customHeight="1">
      <c r="A2346" t="s">
        <v>7622</v>
      </c>
      <c r="B2346" t="s">
        <v>5289</v>
      </c>
      <c r="C2346" t="s">
        <v>12</v>
      </c>
      <c r="D2346" t="s">
        <v>5290</v>
      </c>
      <c r="E2346" t="s">
        <v>1620</v>
      </c>
      <c r="F2346" t="s">
        <v>14</v>
      </c>
      <c r="G2346" t="s">
        <v>18</v>
      </c>
      <c r="J2346">
        <v>17662000</v>
      </c>
      <c r="L2346">
        <v>17400000</v>
      </c>
    </row>
    <row r="2347" spans="1:12" ht="15" customHeight="1">
      <c r="A2347" t="s">
        <v>7623</v>
      </c>
      <c r="B2347" t="s">
        <v>5291</v>
      </c>
      <c r="C2347" t="s">
        <v>12</v>
      </c>
      <c r="D2347" t="s">
        <v>5292</v>
      </c>
      <c r="E2347" t="s">
        <v>1504</v>
      </c>
      <c r="F2347" t="s">
        <v>14</v>
      </c>
      <c r="G2347" t="s">
        <v>18</v>
      </c>
      <c r="I2347">
        <v>1482000</v>
      </c>
      <c r="J2347">
        <v>1435000</v>
      </c>
      <c r="K2347">
        <v>1266000</v>
      </c>
      <c r="L2347">
        <v>1409000</v>
      </c>
    </row>
    <row r="2348" spans="1:12" ht="15" customHeight="1">
      <c r="A2348" t="s">
        <v>7624</v>
      </c>
      <c r="B2348" t="s">
        <v>5293</v>
      </c>
      <c r="C2348" t="s">
        <v>12</v>
      </c>
      <c r="D2348" t="s">
        <v>5294</v>
      </c>
      <c r="E2348" t="s">
        <v>1533</v>
      </c>
      <c r="F2348" t="s">
        <v>14</v>
      </c>
      <c r="G2348" t="s">
        <v>18</v>
      </c>
      <c r="I2348">
        <v>245000</v>
      </c>
      <c r="K2348">
        <v>245000</v>
      </c>
    </row>
    <row r="2349" spans="1:12" ht="15" customHeight="1">
      <c r="A2349" t="s">
        <v>7625</v>
      </c>
      <c r="B2349" t="s">
        <v>5295</v>
      </c>
      <c r="C2349" t="s">
        <v>12</v>
      </c>
      <c r="D2349" t="s">
        <v>5296</v>
      </c>
      <c r="E2349" t="s">
        <v>1516</v>
      </c>
      <c r="F2349" t="s">
        <v>14</v>
      </c>
      <c r="G2349" t="s">
        <v>18</v>
      </c>
      <c r="I2349">
        <v>9968000</v>
      </c>
      <c r="J2349">
        <v>15368000</v>
      </c>
      <c r="K2349">
        <v>9022000</v>
      </c>
      <c r="L2349">
        <v>15096000</v>
      </c>
    </row>
    <row r="2350" spans="1:12" ht="15" customHeight="1">
      <c r="A2350" t="s">
        <v>7626</v>
      </c>
      <c r="B2350" t="s">
        <v>5297</v>
      </c>
      <c r="C2350" t="s">
        <v>12</v>
      </c>
      <c r="D2350" t="s">
        <v>5298</v>
      </c>
      <c r="E2350" t="s">
        <v>1508</v>
      </c>
      <c r="F2350" t="s">
        <v>14</v>
      </c>
      <c r="G2350" t="s">
        <v>18</v>
      </c>
      <c r="I2350">
        <v>4401000</v>
      </c>
      <c r="J2350">
        <v>66000</v>
      </c>
      <c r="K2350">
        <v>4526000</v>
      </c>
      <c r="L2350">
        <v>203000</v>
      </c>
    </row>
    <row r="2351" spans="1:12" ht="15" customHeight="1">
      <c r="A2351" t="s">
        <v>7627</v>
      </c>
      <c r="B2351" t="s">
        <v>5299</v>
      </c>
      <c r="C2351" t="s">
        <v>12</v>
      </c>
      <c r="D2351" t="s">
        <v>5300</v>
      </c>
      <c r="E2351" t="s">
        <v>1508</v>
      </c>
      <c r="F2351" t="s">
        <v>14</v>
      </c>
      <c r="G2351" t="s">
        <v>18</v>
      </c>
      <c r="I2351">
        <v>4341000</v>
      </c>
      <c r="J2351">
        <v>4382000</v>
      </c>
      <c r="K2351">
        <v>4442000</v>
      </c>
      <c r="L2351">
        <v>4010000</v>
      </c>
    </row>
    <row r="2352" spans="1:12" ht="15" customHeight="1">
      <c r="A2352" t="s">
        <v>7628</v>
      </c>
      <c r="B2352" t="s">
        <v>5301</v>
      </c>
      <c r="C2352" t="s">
        <v>12</v>
      </c>
      <c r="D2352" t="s">
        <v>5302</v>
      </c>
      <c r="E2352" t="s">
        <v>1508</v>
      </c>
      <c r="F2352" t="s">
        <v>14</v>
      </c>
      <c r="G2352" t="s">
        <v>18</v>
      </c>
    </row>
    <row r="2353" spans="1:12" ht="15" customHeight="1">
      <c r="A2353" t="s">
        <v>7629</v>
      </c>
      <c r="B2353" t="s">
        <v>5303</v>
      </c>
      <c r="C2353" t="s">
        <v>12</v>
      </c>
      <c r="D2353" t="s">
        <v>5304</v>
      </c>
      <c r="E2353" t="s">
        <v>1512</v>
      </c>
      <c r="F2353" t="s">
        <v>14</v>
      </c>
      <c r="G2353" t="s">
        <v>18</v>
      </c>
      <c r="I2353">
        <v>8919000</v>
      </c>
      <c r="J2353">
        <v>9124000</v>
      </c>
      <c r="K2353">
        <v>7765000</v>
      </c>
      <c r="L2353">
        <v>10432000</v>
      </c>
    </row>
    <row r="2354" spans="1:12" ht="15" customHeight="1">
      <c r="A2354" t="s">
        <v>7630</v>
      </c>
      <c r="B2354" t="s">
        <v>5305</v>
      </c>
      <c r="C2354" t="s">
        <v>12</v>
      </c>
      <c r="D2354" t="s">
        <v>5306</v>
      </c>
      <c r="E2354" t="s">
        <v>1504</v>
      </c>
      <c r="F2354" t="s">
        <v>14</v>
      </c>
      <c r="G2354" t="s">
        <v>18</v>
      </c>
      <c r="I2354">
        <v>9060000</v>
      </c>
      <c r="J2354">
        <v>8792000</v>
      </c>
      <c r="K2354">
        <v>9245000</v>
      </c>
      <c r="L2354">
        <v>5846000</v>
      </c>
    </row>
    <row r="2355" spans="1:12" ht="15" customHeight="1">
      <c r="A2355" t="s">
        <v>7631</v>
      </c>
      <c r="B2355" t="s">
        <v>5307</v>
      </c>
      <c r="C2355" t="s">
        <v>12</v>
      </c>
      <c r="D2355" t="s">
        <v>5308</v>
      </c>
      <c r="E2355" t="s">
        <v>1524</v>
      </c>
      <c r="F2355" t="s">
        <v>14</v>
      </c>
      <c r="G2355" t="s">
        <v>18</v>
      </c>
      <c r="I2355">
        <v>1788000</v>
      </c>
      <c r="J2355">
        <v>1361000</v>
      </c>
      <c r="K2355">
        <v>1764000</v>
      </c>
      <c r="L2355">
        <v>1368000</v>
      </c>
    </row>
    <row r="2356" spans="1:12" ht="15" customHeight="1">
      <c r="A2356" t="s">
        <v>7632</v>
      </c>
      <c r="B2356" t="s">
        <v>5309</v>
      </c>
      <c r="C2356" t="s">
        <v>12</v>
      </c>
      <c r="D2356" t="s">
        <v>5310</v>
      </c>
      <c r="E2356" t="s">
        <v>1508</v>
      </c>
      <c r="F2356" t="s">
        <v>25</v>
      </c>
      <c r="G2356" t="s">
        <v>23</v>
      </c>
      <c r="H2356" t="s">
        <v>23</v>
      </c>
      <c r="I2356">
        <v>81043000</v>
      </c>
      <c r="J2356">
        <v>141272000</v>
      </c>
      <c r="K2356">
        <v>80721000</v>
      </c>
      <c r="L2356">
        <v>134790000</v>
      </c>
    </row>
    <row r="2357" spans="1:12" ht="15" customHeight="1">
      <c r="A2357" t="s">
        <v>7633</v>
      </c>
      <c r="B2357" t="s">
        <v>5311</v>
      </c>
      <c r="C2357" t="s">
        <v>12</v>
      </c>
      <c r="D2357" t="s">
        <v>5312</v>
      </c>
      <c r="E2357" t="s">
        <v>1524</v>
      </c>
      <c r="F2357" t="s">
        <v>25</v>
      </c>
      <c r="G2357" t="s">
        <v>18</v>
      </c>
      <c r="I2357">
        <v>803000</v>
      </c>
      <c r="K2357">
        <v>811000</v>
      </c>
    </row>
    <row r="2358" spans="1:12" ht="15" customHeight="1">
      <c r="A2358" t="s">
        <v>7634</v>
      </c>
      <c r="B2358" t="s">
        <v>5313</v>
      </c>
      <c r="C2358" t="s">
        <v>12</v>
      </c>
      <c r="D2358" t="s">
        <v>5314</v>
      </c>
      <c r="E2358" t="s">
        <v>1532</v>
      </c>
      <c r="F2358" t="s">
        <v>14</v>
      </c>
      <c r="G2358" t="s">
        <v>18</v>
      </c>
      <c r="I2358">
        <v>22214000</v>
      </c>
      <c r="J2358">
        <v>3107000</v>
      </c>
      <c r="K2358">
        <v>14294000</v>
      </c>
      <c r="L2358">
        <v>7419000</v>
      </c>
    </row>
    <row r="2359" spans="1:12" ht="15" customHeight="1">
      <c r="A2359" t="s">
        <v>7635</v>
      </c>
      <c r="B2359" t="s">
        <v>5315</v>
      </c>
      <c r="C2359" t="s">
        <v>12</v>
      </c>
      <c r="D2359" t="s">
        <v>5316</v>
      </c>
      <c r="E2359" t="s">
        <v>1517</v>
      </c>
      <c r="F2359" t="s">
        <v>14</v>
      </c>
      <c r="G2359" t="s">
        <v>22</v>
      </c>
      <c r="I2359">
        <v>23646000</v>
      </c>
      <c r="J2359">
        <v>37539000</v>
      </c>
      <c r="K2359">
        <v>21890000</v>
      </c>
      <c r="L2359">
        <v>38373000</v>
      </c>
    </row>
    <row r="2360" spans="1:12" ht="15" customHeight="1">
      <c r="A2360" t="s">
        <v>7636</v>
      </c>
      <c r="B2360" t="s">
        <v>5317</v>
      </c>
      <c r="C2360" t="s">
        <v>12</v>
      </c>
      <c r="D2360" t="s">
        <v>5318</v>
      </c>
      <c r="E2360" t="s">
        <v>1509</v>
      </c>
      <c r="F2360" t="s">
        <v>14</v>
      </c>
      <c r="G2360" t="s">
        <v>18</v>
      </c>
      <c r="I2360">
        <v>14600000</v>
      </c>
      <c r="J2360">
        <v>21400000</v>
      </c>
      <c r="K2360">
        <v>14552000</v>
      </c>
      <c r="L2360">
        <v>21464000</v>
      </c>
    </row>
    <row r="2361" spans="1:12" ht="15" customHeight="1">
      <c r="A2361" t="s">
        <v>7637</v>
      </c>
      <c r="B2361" t="s">
        <v>5319</v>
      </c>
      <c r="C2361" t="s">
        <v>12</v>
      </c>
      <c r="D2361" t="s">
        <v>5320</v>
      </c>
      <c r="E2361" t="s">
        <v>1516</v>
      </c>
      <c r="F2361" t="s">
        <v>25</v>
      </c>
      <c r="G2361" t="s">
        <v>18</v>
      </c>
    </row>
    <row r="2362" spans="1:12" ht="15" customHeight="1">
      <c r="A2362" t="s">
        <v>7638</v>
      </c>
      <c r="B2362" t="s">
        <v>5321</v>
      </c>
      <c r="C2362" t="s">
        <v>12</v>
      </c>
      <c r="D2362" t="s">
        <v>5322</v>
      </c>
      <c r="E2362" t="s">
        <v>1508</v>
      </c>
      <c r="F2362" t="s">
        <v>14</v>
      </c>
      <c r="G2362" t="s">
        <v>18</v>
      </c>
      <c r="I2362">
        <v>3316000</v>
      </c>
      <c r="J2362">
        <v>2418000</v>
      </c>
      <c r="K2362">
        <v>3318000</v>
      </c>
      <c r="L2362">
        <v>2475000</v>
      </c>
    </row>
    <row r="2363" spans="1:12" ht="15" customHeight="1">
      <c r="A2363" t="s">
        <v>7639</v>
      </c>
      <c r="B2363" t="s">
        <v>5323</v>
      </c>
      <c r="C2363" t="s">
        <v>12</v>
      </c>
      <c r="D2363" t="s">
        <v>5324</v>
      </c>
      <c r="E2363" t="s">
        <v>1524</v>
      </c>
      <c r="F2363" t="s">
        <v>14</v>
      </c>
      <c r="G2363" t="s">
        <v>18</v>
      </c>
      <c r="I2363">
        <v>18000</v>
      </c>
      <c r="J2363">
        <v>7000</v>
      </c>
      <c r="K2363">
        <v>9000</v>
      </c>
      <c r="L2363">
        <v>5000</v>
      </c>
    </row>
    <row r="2364" spans="1:12" ht="15" customHeight="1">
      <c r="A2364" t="s">
        <v>7640</v>
      </c>
      <c r="B2364" t="s">
        <v>5325</v>
      </c>
      <c r="C2364" t="s">
        <v>12</v>
      </c>
      <c r="D2364" t="s">
        <v>5326</v>
      </c>
      <c r="E2364" t="s">
        <v>1781</v>
      </c>
      <c r="F2364" t="s">
        <v>14</v>
      </c>
      <c r="G2364" t="s">
        <v>18</v>
      </c>
      <c r="I2364">
        <v>2606000</v>
      </c>
      <c r="J2364">
        <v>2552000</v>
      </c>
      <c r="K2364">
        <v>2382000</v>
      </c>
      <c r="L2364">
        <v>2825000</v>
      </c>
    </row>
    <row r="2365" spans="1:12" ht="15" customHeight="1">
      <c r="A2365" t="s">
        <v>7640</v>
      </c>
      <c r="B2365" t="s">
        <v>5327</v>
      </c>
      <c r="C2365" t="s">
        <v>12</v>
      </c>
      <c r="D2365" t="s">
        <v>5328</v>
      </c>
      <c r="E2365" t="s">
        <v>1521</v>
      </c>
      <c r="F2365" t="s">
        <v>14</v>
      </c>
      <c r="G2365" t="s">
        <v>18</v>
      </c>
      <c r="J2365">
        <v>3903000</v>
      </c>
      <c r="L2365">
        <v>3699000</v>
      </c>
    </row>
    <row r="2366" spans="1:12" ht="15" customHeight="1">
      <c r="A2366" t="s">
        <v>7641</v>
      </c>
      <c r="B2366" t="s">
        <v>5329</v>
      </c>
      <c r="C2366" t="s">
        <v>12</v>
      </c>
      <c r="D2366" t="s">
        <v>5330</v>
      </c>
      <c r="E2366" t="s">
        <v>1517</v>
      </c>
      <c r="F2366" t="s">
        <v>25</v>
      </c>
      <c r="G2366" t="s">
        <v>18</v>
      </c>
      <c r="I2366">
        <v>1592000</v>
      </c>
      <c r="K2366">
        <v>2310000</v>
      </c>
      <c r="L2366">
        <v>1000</v>
      </c>
    </row>
    <row r="2367" spans="1:12" ht="15" customHeight="1">
      <c r="A2367" t="s">
        <v>7642</v>
      </c>
      <c r="B2367" t="s">
        <v>5331</v>
      </c>
      <c r="C2367" t="s">
        <v>12</v>
      </c>
      <c r="D2367" t="s">
        <v>5332</v>
      </c>
      <c r="E2367" t="s">
        <v>1508</v>
      </c>
      <c r="F2367" t="s">
        <v>14</v>
      </c>
      <c r="G2367" t="s">
        <v>18</v>
      </c>
    </row>
    <row r="2368" spans="1:12" ht="15" customHeight="1">
      <c r="A2368" t="s">
        <v>7643</v>
      </c>
      <c r="B2368" t="s">
        <v>5333</v>
      </c>
      <c r="C2368" t="s">
        <v>12</v>
      </c>
      <c r="D2368" t="s">
        <v>5334</v>
      </c>
      <c r="E2368" t="s">
        <v>1508</v>
      </c>
      <c r="F2368" t="s">
        <v>14</v>
      </c>
      <c r="G2368" t="s">
        <v>77</v>
      </c>
      <c r="I2368">
        <v>415495000</v>
      </c>
      <c r="J2368">
        <v>821200000</v>
      </c>
      <c r="K2368">
        <v>427203000</v>
      </c>
      <c r="L2368">
        <v>827126000</v>
      </c>
    </row>
    <row r="2369" spans="1:12" ht="15" customHeight="1">
      <c r="A2369" t="s">
        <v>7644</v>
      </c>
      <c r="B2369" t="s">
        <v>5335</v>
      </c>
      <c r="C2369" t="s">
        <v>12</v>
      </c>
      <c r="D2369" t="s">
        <v>5336</v>
      </c>
      <c r="E2369" t="s">
        <v>1505</v>
      </c>
      <c r="F2369" t="s">
        <v>14</v>
      </c>
      <c r="G2369" t="s">
        <v>18</v>
      </c>
      <c r="J2369">
        <v>123204000</v>
      </c>
      <c r="K2369">
        <v>18000</v>
      </c>
      <c r="L2369">
        <v>117586000</v>
      </c>
    </row>
    <row r="2370" spans="1:12" ht="15" customHeight="1">
      <c r="A2370" t="s">
        <v>7645</v>
      </c>
      <c r="B2370" t="s">
        <v>5337</v>
      </c>
      <c r="C2370" t="s">
        <v>12</v>
      </c>
      <c r="D2370" t="s">
        <v>5338</v>
      </c>
      <c r="E2370" t="s">
        <v>1533</v>
      </c>
      <c r="F2370" t="s">
        <v>14</v>
      </c>
      <c r="G2370" t="s">
        <v>18</v>
      </c>
      <c r="I2370">
        <v>4175000</v>
      </c>
      <c r="J2370">
        <v>3313000</v>
      </c>
      <c r="K2370">
        <v>4168000</v>
      </c>
      <c r="L2370">
        <v>2592000</v>
      </c>
    </row>
    <row r="2371" spans="1:12" ht="15" customHeight="1">
      <c r="A2371" t="s">
        <v>7646</v>
      </c>
      <c r="B2371" t="s">
        <v>5339</v>
      </c>
      <c r="C2371" t="s">
        <v>12</v>
      </c>
      <c r="D2371" t="s">
        <v>5340</v>
      </c>
      <c r="E2371" t="s">
        <v>1829</v>
      </c>
      <c r="F2371" t="s">
        <v>14</v>
      </c>
      <c r="G2371" t="s">
        <v>18</v>
      </c>
      <c r="K2371">
        <v>69000</v>
      </c>
      <c r="L2371">
        <v>95000</v>
      </c>
    </row>
    <row r="2372" spans="1:12" ht="15" customHeight="1">
      <c r="A2372" t="s">
        <v>7647</v>
      </c>
      <c r="B2372" t="s">
        <v>5341</v>
      </c>
      <c r="C2372" t="s">
        <v>12</v>
      </c>
      <c r="D2372" t="s">
        <v>5342</v>
      </c>
      <c r="E2372" t="s">
        <v>1558</v>
      </c>
      <c r="F2372" t="s">
        <v>14</v>
      </c>
      <c r="G2372" t="s">
        <v>18</v>
      </c>
    </row>
    <row r="2373" spans="1:12" ht="15" customHeight="1">
      <c r="A2373" t="s">
        <v>7648</v>
      </c>
      <c r="B2373" t="s">
        <v>5343</v>
      </c>
      <c r="C2373" t="s">
        <v>12</v>
      </c>
      <c r="D2373" t="s">
        <v>5344</v>
      </c>
      <c r="E2373" t="s">
        <v>1505</v>
      </c>
      <c r="F2373" t="s">
        <v>14</v>
      </c>
      <c r="G2373" t="s">
        <v>18</v>
      </c>
      <c r="I2373">
        <v>1078000</v>
      </c>
      <c r="J2373">
        <v>1065000</v>
      </c>
      <c r="K2373">
        <v>1095000</v>
      </c>
      <c r="L2373">
        <v>1142000</v>
      </c>
    </row>
    <row r="2374" spans="1:12" ht="15" customHeight="1">
      <c r="A2374" t="s">
        <v>7649</v>
      </c>
      <c r="B2374" t="s">
        <v>5345</v>
      </c>
      <c r="C2374" t="s">
        <v>12</v>
      </c>
      <c r="D2374" t="s">
        <v>5346</v>
      </c>
      <c r="E2374" t="s">
        <v>1532</v>
      </c>
      <c r="F2374" t="s">
        <v>14</v>
      </c>
      <c r="G2374" t="s">
        <v>22</v>
      </c>
      <c r="I2374">
        <v>2251000</v>
      </c>
      <c r="J2374">
        <v>6252000</v>
      </c>
      <c r="K2374">
        <v>2555000</v>
      </c>
      <c r="L2374">
        <v>3958000</v>
      </c>
    </row>
    <row r="2375" spans="1:12" ht="15" customHeight="1">
      <c r="A2375" t="s">
        <v>7650</v>
      </c>
      <c r="B2375" t="s">
        <v>5347</v>
      </c>
      <c r="C2375" t="s">
        <v>12</v>
      </c>
      <c r="D2375" t="s">
        <v>5348</v>
      </c>
      <c r="E2375" t="s">
        <v>1532</v>
      </c>
      <c r="F2375" t="s">
        <v>14</v>
      </c>
      <c r="G2375" t="s">
        <v>18</v>
      </c>
      <c r="I2375">
        <v>7653000</v>
      </c>
      <c r="J2375">
        <v>9000000</v>
      </c>
      <c r="K2375">
        <v>8417000</v>
      </c>
      <c r="L2375">
        <v>8750000</v>
      </c>
    </row>
    <row r="2376" spans="1:12" ht="15" customHeight="1">
      <c r="A2376" t="s">
        <v>7651</v>
      </c>
      <c r="B2376" t="s">
        <v>5349</v>
      </c>
      <c r="C2376" t="s">
        <v>12</v>
      </c>
      <c r="D2376" t="s">
        <v>5350</v>
      </c>
      <c r="E2376" t="s">
        <v>1532</v>
      </c>
      <c r="F2376" t="s">
        <v>14</v>
      </c>
      <c r="G2376" t="s">
        <v>18</v>
      </c>
      <c r="J2376">
        <v>11000</v>
      </c>
      <c r="L2376">
        <v>23000</v>
      </c>
    </row>
    <row r="2377" spans="1:12" ht="15" customHeight="1">
      <c r="A2377" t="s">
        <v>7652</v>
      </c>
      <c r="B2377" t="s">
        <v>5351</v>
      </c>
      <c r="C2377" t="s">
        <v>12</v>
      </c>
      <c r="D2377" t="s">
        <v>5352</v>
      </c>
      <c r="E2377" t="s">
        <v>1532</v>
      </c>
      <c r="F2377" t="s">
        <v>25</v>
      </c>
      <c r="G2377" t="s">
        <v>18</v>
      </c>
    </row>
    <row r="2378" spans="1:12" ht="15" customHeight="1">
      <c r="A2378" t="s">
        <v>7653</v>
      </c>
      <c r="B2378" t="s">
        <v>5353</v>
      </c>
      <c r="C2378" t="s">
        <v>12</v>
      </c>
      <c r="D2378" t="s">
        <v>5354</v>
      </c>
      <c r="E2378" t="s">
        <v>1588</v>
      </c>
      <c r="F2378" t="s">
        <v>14</v>
      </c>
      <c r="G2378" t="s">
        <v>18</v>
      </c>
      <c r="I2378">
        <v>153000</v>
      </c>
      <c r="K2378">
        <v>155000</v>
      </c>
    </row>
    <row r="2379" spans="1:12" ht="15" customHeight="1">
      <c r="A2379" t="s">
        <v>7654</v>
      </c>
      <c r="B2379" t="s">
        <v>5355</v>
      </c>
      <c r="C2379" t="s">
        <v>12</v>
      </c>
      <c r="D2379" t="s">
        <v>5356</v>
      </c>
      <c r="E2379" t="s">
        <v>1512</v>
      </c>
      <c r="F2379" t="s">
        <v>14</v>
      </c>
      <c r="G2379" t="s">
        <v>18</v>
      </c>
      <c r="I2379">
        <v>527000</v>
      </c>
      <c r="J2379">
        <v>370000</v>
      </c>
      <c r="K2379">
        <v>613000</v>
      </c>
      <c r="L2379">
        <v>273000</v>
      </c>
    </row>
    <row r="2380" spans="1:12" ht="15" customHeight="1">
      <c r="A2380" t="s">
        <v>7655</v>
      </c>
      <c r="B2380" t="s">
        <v>5357</v>
      </c>
      <c r="C2380" t="s">
        <v>12</v>
      </c>
      <c r="D2380" t="s">
        <v>5358</v>
      </c>
      <c r="E2380" t="s">
        <v>1575</v>
      </c>
      <c r="F2380" t="s">
        <v>14</v>
      </c>
      <c r="G2380" t="s">
        <v>18</v>
      </c>
      <c r="I2380">
        <v>890874</v>
      </c>
      <c r="J2380">
        <v>918499</v>
      </c>
      <c r="K2380">
        <v>856414</v>
      </c>
      <c r="L2380">
        <v>901386</v>
      </c>
    </row>
    <row r="2381" spans="1:12" ht="15" customHeight="1">
      <c r="A2381" t="s">
        <v>7656</v>
      </c>
      <c r="B2381" t="s">
        <v>5359</v>
      </c>
      <c r="C2381" t="s">
        <v>12</v>
      </c>
      <c r="D2381" t="s">
        <v>5360</v>
      </c>
      <c r="E2381" t="s">
        <v>1532</v>
      </c>
      <c r="F2381" t="s">
        <v>14</v>
      </c>
      <c r="G2381" t="s">
        <v>18</v>
      </c>
      <c r="J2381">
        <v>9516000</v>
      </c>
      <c r="L2381">
        <v>9002000</v>
      </c>
    </row>
    <row r="2382" spans="1:12" ht="15" customHeight="1">
      <c r="A2382" t="s">
        <v>7657</v>
      </c>
      <c r="B2382" t="s">
        <v>5361</v>
      </c>
      <c r="C2382" t="s">
        <v>12</v>
      </c>
      <c r="D2382" t="s">
        <v>5362</v>
      </c>
      <c r="E2382" t="s">
        <v>1579</v>
      </c>
      <c r="F2382" t="s">
        <v>14</v>
      </c>
      <c r="G2382" t="s">
        <v>77</v>
      </c>
      <c r="I2382">
        <v>2174000</v>
      </c>
      <c r="J2382">
        <v>2390000</v>
      </c>
      <c r="K2382">
        <v>2174000</v>
      </c>
      <c r="L2382">
        <v>2390000</v>
      </c>
    </row>
    <row r="2383" spans="1:12" ht="15" customHeight="1">
      <c r="A2383" t="s">
        <v>7658</v>
      </c>
      <c r="B2383" t="s">
        <v>5363</v>
      </c>
      <c r="C2383" t="s">
        <v>12</v>
      </c>
      <c r="D2383" t="s">
        <v>5364</v>
      </c>
      <c r="E2383" t="s">
        <v>1532</v>
      </c>
      <c r="F2383" t="s">
        <v>14</v>
      </c>
      <c r="G2383" t="s">
        <v>18</v>
      </c>
    </row>
    <row r="2384" spans="1:12" ht="15" customHeight="1">
      <c r="A2384" t="s">
        <v>7659</v>
      </c>
      <c r="B2384" t="s">
        <v>5365</v>
      </c>
      <c r="C2384" t="s">
        <v>12</v>
      </c>
      <c r="D2384" t="s">
        <v>5366</v>
      </c>
      <c r="E2384" t="s">
        <v>1532</v>
      </c>
      <c r="F2384" t="s">
        <v>14</v>
      </c>
      <c r="G2384" t="s">
        <v>18</v>
      </c>
    </row>
    <row r="2385" spans="1:12" ht="15" customHeight="1">
      <c r="A2385" t="s">
        <v>7660</v>
      </c>
      <c r="B2385" t="s">
        <v>5367</v>
      </c>
      <c r="C2385" t="s">
        <v>12</v>
      </c>
      <c r="D2385" t="s">
        <v>5368</v>
      </c>
      <c r="E2385" t="s">
        <v>1525</v>
      </c>
      <c r="F2385" t="s">
        <v>14</v>
      </c>
      <c r="G2385" t="s">
        <v>18</v>
      </c>
      <c r="I2385">
        <v>5136000</v>
      </c>
      <c r="J2385">
        <v>2296000</v>
      </c>
      <c r="K2385">
        <v>33559000</v>
      </c>
      <c r="L2385">
        <v>17390000</v>
      </c>
    </row>
    <row r="2386" spans="1:12" ht="15" customHeight="1">
      <c r="A2386" t="s">
        <v>7660</v>
      </c>
      <c r="B2386" t="s">
        <v>5369</v>
      </c>
      <c r="C2386" t="s">
        <v>12</v>
      </c>
      <c r="D2386" t="s">
        <v>5370</v>
      </c>
      <c r="E2386" t="s">
        <v>1580</v>
      </c>
      <c r="F2386" t="s">
        <v>14</v>
      </c>
      <c r="G2386" t="s">
        <v>18</v>
      </c>
    </row>
    <row r="2387" spans="1:12" ht="15" customHeight="1">
      <c r="A2387" t="s">
        <v>7661</v>
      </c>
      <c r="B2387" t="s">
        <v>5371</v>
      </c>
      <c r="C2387" t="s">
        <v>12</v>
      </c>
      <c r="D2387" t="s">
        <v>5372</v>
      </c>
      <c r="E2387" t="s">
        <v>1754</v>
      </c>
      <c r="F2387" t="s">
        <v>14</v>
      </c>
      <c r="G2387" t="s">
        <v>18</v>
      </c>
      <c r="I2387">
        <v>69835000</v>
      </c>
      <c r="J2387">
        <v>52160000</v>
      </c>
      <c r="K2387">
        <v>72426000</v>
      </c>
      <c r="L2387">
        <v>50640000</v>
      </c>
    </row>
    <row r="2388" spans="1:12" ht="15" customHeight="1">
      <c r="A2388" t="s">
        <v>7662</v>
      </c>
      <c r="B2388" t="s">
        <v>5373</v>
      </c>
      <c r="C2388" t="s">
        <v>12</v>
      </c>
      <c r="D2388" t="s">
        <v>5374</v>
      </c>
      <c r="E2388" t="s">
        <v>1583</v>
      </c>
      <c r="F2388" t="s">
        <v>14</v>
      </c>
      <c r="G2388" t="s">
        <v>18</v>
      </c>
    </row>
    <row r="2389" spans="1:12" ht="15" customHeight="1">
      <c r="A2389" t="s">
        <v>7663</v>
      </c>
      <c r="B2389" t="s">
        <v>5375</v>
      </c>
      <c r="C2389" t="s">
        <v>12</v>
      </c>
      <c r="D2389" t="s">
        <v>5376</v>
      </c>
      <c r="E2389" t="s">
        <v>1547</v>
      </c>
      <c r="F2389" t="s">
        <v>25</v>
      </c>
      <c r="G2389" t="s">
        <v>18</v>
      </c>
    </row>
    <row r="2390" spans="1:12" ht="15" customHeight="1">
      <c r="A2390" t="s">
        <v>7664</v>
      </c>
      <c r="B2390" t="s">
        <v>5377</v>
      </c>
      <c r="C2390" t="s">
        <v>12</v>
      </c>
      <c r="D2390" t="s">
        <v>5378</v>
      </c>
      <c r="E2390" t="s">
        <v>1547</v>
      </c>
      <c r="F2390" t="s">
        <v>14</v>
      </c>
      <c r="G2390" t="s">
        <v>18</v>
      </c>
      <c r="I2390">
        <v>18035000</v>
      </c>
      <c r="J2390">
        <v>9295000</v>
      </c>
      <c r="K2390">
        <v>17561000</v>
      </c>
      <c r="L2390">
        <v>9046000</v>
      </c>
    </row>
    <row r="2391" spans="1:12" ht="15" customHeight="1">
      <c r="A2391" t="s">
        <v>7665</v>
      </c>
      <c r="B2391" t="s">
        <v>5379</v>
      </c>
      <c r="C2391" t="s">
        <v>12</v>
      </c>
      <c r="D2391" t="s">
        <v>5380</v>
      </c>
      <c r="E2391" t="s">
        <v>1532</v>
      </c>
      <c r="F2391" t="s">
        <v>14</v>
      </c>
      <c r="G2391" t="s">
        <v>77</v>
      </c>
    </row>
    <row r="2392" spans="1:12" ht="15" customHeight="1">
      <c r="A2392" t="s">
        <v>7666</v>
      </c>
      <c r="B2392" t="s">
        <v>5381</v>
      </c>
      <c r="C2392" t="s">
        <v>12</v>
      </c>
      <c r="D2392" t="s">
        <v>5382</v>
      </c>
      <c r="E2392" t="s">
        <v>1580</v>
      </c>
      <c r="F2392" t="s">
        <v>14</v>
      </c>
      <c r="G2392" t="s">
        <v>22</v>
      </c>
      <c r="I2392">
        <v>3710000</v>
      </c>
      <c r="J2392">
        <v>7162000</v>
      </c>
      <c r="K2392">
        <v>2233000</v>
      </c>
      <c r="L2392">
        <v>8866000</v>
      </c>
    </row>
    <row r="2393" spans="1:12" ht="15" customHeight="1">
      <c r="A2393" t="s">
        <v>7667</v>
      </c>
      <c r="B2393" t="s">
        <v>5383</v>
      </c>
      <c r="C2393" t="s">
        <v>12</v>
      </c>
      <c r="D2393" t="s">
        <v>5384</v>
      </c>
      <c r="E2393" t="s">
        <v>1512</v>
      </c>
      <c r="F2393" t="s">
        <v>14</v>
      </c>
      <c r="G2393" t="s">
        <v>18</v>
      </c>
    </row>
    <row r="2394" spans="1:12" ht="15" customHeight="1">
      <c r="A2394" t="s">
        <v>7668</v>
      </c>
      <c r="B2394" t="s">
        <v>5385</v>
      </c>
      <c r="C2394" t="s">
        <v>12</v>
      </c>
      <c r="D2394" t="s">
        <v>5386</v>
      </c>
      <c r="E2394" t="s">
        <v>1532</v>
      </c>
      <c r="F2394" t="s">
        <v>14</v>
      </c>
      <c r="G2394" t="s">
        <v>18</v>
      </c>
      <c r="J2394">
        <v>2795000</v>
      </c>
      <c r="L2394">
        <v>-2888000</v>
      </c>
    </row>
    <row r="2395" spans="1:12" ht="15" customHeight="1">
      <c r="A2395" t="s">
        <v>7669</v>
      </c>
      <c r="B2395" t="s">
        <v>5387</v>
      </c>
      <c r="C2395" t="s">
        <v>12</v>
      </c>
      <c r="D2395" t="s">
        <v>5388</v>
      </c>
      <c r="E2395" t="s">
        <v>1508</v>
      </c>
      <c r="F2395" t="s">
        <v>14</v>
      </c>
      <c r="H2395" t="s">
        <v>23</v>
      </c>
    </row>
    <row r="2396" spans="1:12" ht="15" customHeight="1">
      <c r="A2396" t="s">
        <v>7670</v>
      </c>
      <c r="B2396" t="s">
        <v>5389</v>
      </c>
      <c r="C2396" t="s">
        <v>12</v>
      </c>
      <c r="D2396" t="s">
        <v>5390</v>
      </c>
      <c r="E2396" t="s">
        <v>1532</v>
      </c>
      <c r="F2396" t="s">
        <v>14</v>
      </c>
      <c r="G2396" t="s">
        <v>18</v>
      </c>
      <c r="J2396">
        <v>337000</v>
      </c>
      <c r="L2396">
        <v>344000</v>
      </c>
    </row>
    <row r="2397" spans="1:12" ht="15" customHeight="1">
      <c r="A2397" t="s">
        <v>7671</v>
      </c>
      <c r="B2397" t="s">
        <v>5391</v>
      </c>
      <c r="C2397" t="s">
        <v>12</v>
      </c>
      <c r="D2397" t="s">
        <v>5392</v>
      </c>
      <c r="E2397" t="s">
        <v>1604</v>
      </c>
      <c r="F2397" t="s">
        <v>14</v>
      </c>
      <c r="G2397" t="s">
        <v>18</v>
      </c>
      <c r="I2397">
        <v>1700000</v>
      </c>
      <c r="J2397">
        <v>2341000</v>
      </c>
      <c r="K2397">
        <v>1650000</v>
      </c>
      <c r="L2397">
        <v>2356000</v>
      </c>
    </row>
    <row r="2398" spans="1:12" ht="15" customHeight="1">
      <c r="A2398" t="s">
        <v>7672</v>
      </c>
      <c r="B2398" t="s">
        <v>5393</v>
      </c>
      <c r="C2398" t="s">
        <v>12</v>
      </c>
      <c r="D2398" t="s">
        <v>5394</v>
      </c>
      <c r="E2398" t="s">
        <v>1518</v>
      </c>
      <c r="F2398" t="s">
        <v>14</v>
      </c>
      <c r="G2398" t="s">
        <v>18</v>
      </c>
      <c r="I2398">
        <v>8658000</v>
      </c>
      <c r="J2398">
        <v>6999000</v>
      </c>
      <c r="K2398">
        <v>7090000</v>
      </c>
      <c r="L2398">
        <v>8001000</v>
      </c>
    </row>
    <row r="2399" spans="1:12" ht="15" customHeight="1">
      <c r="A2399" t="s">
        <v>7673</v>
      </c>
      <c r="B2399" t="s">
        <v>5395</v>
      </c>
      <c r="C2399" t="s">
        <v>12</v>
      </c>
      <c r="D2399" t="s">
        <v>5396</v>
      </c>
      <c r="E2399" t="s">
        <v>1527</v>
      </c>
      <c r="F2399" t="s">
        <v>25</v>
      </c>
      <c r="G2399" t="s">
        <v>18</v>
      </c>
      <c r="K2399">
        <v>16000</v>
      </c>
    </row>
    <row r="2400" spans="1:12" ht="15" customHeight="1">
      <c r="A2400" t="s">
        <v>7674</v>
      </c>
      <c r="B2400" t="s">
        <v>5397</v>
      </c>
      <c r="C2400" t="s">
        <v>12</v>
      </c>
      <c r="D2400" t="s">
        <v>5398</v>
      </c>
      <c r="E2400" t="s">
        <v>1566</v>
      </c>
      <c r="F2400" t="s">
        <v>14</v>
      </c>
      <c r="G2400" t="s">
        <v>22</v>
      </c>
    </row>
    <row r="2401" spans="1:12" ht="15" customHeight="1">
      <c r="A2401" t="s">
        <v>7675</v>
      </c>
      <c r="B2401" t="s">
        <v>5399</v>
      </c>
      <c r="C2401" t="s">
        <v>12</v>
      </c>
      <c r="D2401" t="s">
        <v>5400</v>
      </c>
      <c r="E2401" t="s">
        <v>1526</v>
      </c>
      <c r="F2401" t="s">
        <v>14</v>
      </c>
      <c r="G2401" t="s">
        <v>18</v>
      </c>
    </row>
    <row r="2402" spans="1:12" ht="15" customHeight="1">
      <c r="A2402" t="s">
        <v>7676</v>
      </c>
      <c r="B2402" t="s">
        <v>5401</v>
      </c>
      <c r="C2402" t="s">
        <v>12</v>
      </c>
      <c r="D2402" t="s">
        <v>5402</v>
      </c>
      <c r="E2402" t="s">
        <v>1518</v>
      </c>
      <c r="F2402" t="s">
        <v>14</v>
      </c>
      <c r="G2402" t="s">
        <v>18</v>
      </c>
    </row>
    <row r="2403" spans="1:12" ht="15" customHeight="1">
      <c r="A2403" t="s">
        <v>7677</v>
      </c>
      <c r="B2403" t="s">
        <v>5403</v>
      </c>
      <c r="C2403" t="s">
        <v>12</v>
      </c>
      <c r="D2403" t="s">
        <v>5404</v>
      </c>
      <c r="E2403" t="s">
        <v>1544</v>
      </c>
      <c r="F2403" t="s">
        <v>14</v>
      </c>
      <c r="G2403" t="s">
        <v>18</v>
      </c>
    </row>
    <row r="2404" spans="1:12" ht="15" customHeight="1">
      <c r="A2404" t="s">
        <v>7678</v>
      </c>
      <c r="B2404" t="s">
        <v>5405</v>
      </c>
      <c r="C2404" t="s">
        <v>12</v>
      </c>
      <c r="D2404" t="s">
        <v>5406</v>
      </c>
      <c r="E2404" t="s">
        <v>1535</v>
      </c>
      <c r="F2404" t="s">
        <v>14</v>
      </c>
      <c r="G2404" t="s">
        <v>18</v>
      </c>
      <c r="I2404">
        <v>1926000</v>
      </c>
      <c r="J2404">
        <v>2599000</v>
      </c>
      <c r="K2404">
        <v>2012000</v>
      </c>
      <c r="L2404">
        <v>2238000</v>
      </c>
    </row>
    <row r="2405" spans="1:12" ht="15" customHeight="1">
      <c r="A2405" t="s">
        <v>7679</v>
      </c>
      <c r="B2405" t="s">
        <v>5407</v>
      </c>
      <c r="C2405" t="s">
        <v>12</v>
      </c>
      <c r="D2405" t="s">
        <v>5408</v>
      </c>
      <c r="E2405" t="s">
        <v>1524</v>
      </c>
      <c r="F2405" t="s">
        <v>14</v>
      </c>
      <c r="G2405" t="s">
        <v>18</v>
      </c>
      <c r="I2405">
        <v>11288000</v>
      </c>
      <c r="J2405">
        <v>15189000</v>
      </c>
      <c r="K2405">
        <v>11288000</v>
      </c>
      <c r="L2405">
        <v>15189000</v>
      </c>
    </row>
    <row r="2406" spans="1:12" ht="15" customHeight="1">
      <c r="A2406" t="s">
        <v>7680</v>
      </c>
      <c r="B2406" t="s">
        <v>5409</v>
      </c>
      <c r="C2406" t="s">
        <v>12</v>
      </c>
      <c r="D2406" t="s">
        <v>5410</v>
      </c>
      <c r="E2406" t="s">
        <v>2139</v>
      </c>
      <c r="F2406" t="s">
        <v>24</v>
      </c>
      <c r="G2406" t="s">
        <v>77</v>
      </c>
      <c r="I2406">
        <v>22122000</v>
      </c>
      <c r="J2406">
        <v>42682000</v>
      </c>
      <c r="K2406">
        <v>22904000</v>
      </c>
      <c r="L2406">
        <v>24684000</v>
      </c>
    </row>
    <row r="2407" spans="1:12" ht="15" customHeight="1">
      <c r="A2407" t="s">
        <v>7681</v>
      </c>
      <c r="B2407" t="s">
        <v>5411</v>
      </c>
      <c r="C2407" t="s">
        <v>12</v>
      </c>
      <c r="D2407" t="s">
        <v>5412</v>
      </c>
      <c r="E2407" t="s">
        <v>1509</v>
      </c>
      <c r="F2407" t="s">
        <v>14</v>
      </c>
      <c r="G2407" t="s">
        <v>18</v>
      </c>
      <c r="I2407">
        <v>118000</v>
      </c>
      <c r="J2407">
        <v>458000</v>
      </c>
      <c r="K2407">
        <v>118000</v>
      </c>
      <c r="L2407">
        <v>458000</v>
      </c>
    </row>
    <row r="2408" spans="1:12" ht="15" customHeight="1">
      <c r="A2408" t="s">
        <v>7682</v>
      </c>
      <c r="B2408" t="s">
        <v>5413</v>
      </c>
      <c r="C2408" t="s">
        <v>12</v>
      </c>
      <c r="D2408" t="s">
        <v>5414</v>
      </c>
      <c r="E2408" t="s">
        <v>1565</v>
      </c>
      <c r="F2408" t="s">
        <v>14</v>
      </c>
      <c r="G2408" t="s">
        <v>18</v>
      </c>
      <c r="I2408">
        <v>217000</v>
      </c>
      <c r="K2408">
        <v>215000</v>
      </c>
    </row>
    <row r="2409" spans="1:12" ht="15" customHeight="1">
      <c r="A2409" t="s">
        <v>7683</v>
      </c>
      <c r="B2409" t="s">
        <v>5415</v>
      </c>
      <c r="C2409" t="s">
        <v>12</v>
      </c>
      <c r="D2409" t="s">
        <v>5416</v>
      </c>
      <c r="E2409" t="s">
        <v>1580</v>
      </c>
      <c r="F2409" t="s">
        <v>14</v>
      </c>
      <c r="G2409" t="s">
        <v>18</v>
      </c>
    </row>
    <row r="2410" spans="1:12" ht="15" customHeight="1">
      <c r="A2410" t="s">
        <v>7684</v>
      </c>
      <c r="B2410" t="s">
        <v>5417</v>
      </c>
      <c r="C2410" t="s">
        <v>12</v>
      </c>
      <c r="D2410" t="s">
        <v>5418</v>
      </c>
      <c r="E2410" t="s">
        <v>1518</v>
      </c>
      <c r="F2410" t="s">
        <v>14</v>
      </c>
      <c r="G2410" t="s">
        <v>22</v>
      </c>
      <c r="I2410">
        <v>73700000</v>
      </c>
      <c r="J2410">
        <v>292895000</v>
      </c>
      <c r="K2410">
        <v>1193978000</v>
      </c>
      <c r="L2410">
        <v>4111902000</v>
      </c>
    </row>
    <row r="2411" spans="1:12" ht="15" customHeight="1">
      <c r="A2411" t="s">
        <v>7685</v>
      </c>
      <c r="B2411" t="s">
        <v>5419</v>
      </c>
      <c r="C2411" t="s">
        <v>12</v>
      </c>
      <c r="D2411" t="s">
        <v>5420</v>
      </c>
      <c r="E2411" t="s">
        <v>1579</v>
      </c>
      <c r="F2411" t="s">
        <v>25</v>
      </c>
      <c r="G2411" t="s">
        <v>18</v>
      </c>
      <c r="I2411">
        <v>32000</v>
      </c>
      <c r="J2411">
        <v>5000</v>
      </c>
      <c r="K2411">
        <v>33000</v>
      </c>
      <c r="L2411">
        <v>7000</v>
      </c>
    </row>
    <row r="2412" spans="1:12" ht="15" customHeight="1">
      <c r="A2412" t="s">
        <v>7686</v>
      </c>
      <c r="B2412" t="s">
        <v>5421</v>
      </c>
      <c r="C2412" t="s">
        <v>12</v>
      </c>
      <c r="D2412" t="s">
        <v>5422</v>
      </c>
      <c r="E2412" t="s">
        <v>1579</v>
      </c>
      <c r="F2412" t="s">
        <v>25</v>
      </c>
      <c r="G2412" t="s">
        <v>18</v>
      </c>
      <c r="J2412">
        <v>1000</v>
      </c>
      <c r="L2412">
        <v>1000</v>
      </c>
    </row>
    <row r="2413" spans="1:12" ht="15" customHeight="1">
      <c r="A2413" t="s">
        <v>7687</v>
      </c>
      <c r="B2413" t="s">
        <v>5423</v>
      </c>
      <c r="C2413" t="s">
        <v>12</v>
      </c>
      <c r="D2413" t="s">
        <v>5424</v>
      </c>
      <c r="E2413" t="s">
        <v>1558</v>
      </c>
      <c r="F2413" t="s">
        <v>14</v>
      </c>
      <c r="G2413" t="s">
        <v>18</v>
      </c>
    </row>
    <row r="2414" spans="1:12" ht="15" customHeight="1">
      <c r="A2414" t="s">
        <v>7688</v>
      </c>
      <c r="B2414" t="s">
        <v>5425</v>
      </c>
      <c r="C2414" t="s">
        <v>12</v>
      </c>
      <c r="D2414" t="s">
        <v>5426</v>
      </c>
      <c r="E2414" t="s">
        <v>1618</v>
      </c>
      <c r="F2414" t="s">
        <v>14</v>
      </c>
      <c r="G2414" t="s">
        <v>18</v>
      </c>
      <c r="I2414">
        <v>1243000</v>
      </c>
      <c r="J2414">
        <v>519000</v>
      </c>
      <c r="K2414">
        <v>991000</v>
      </c>
      <c r="L2414">
        <v>772000</v>
      </c>
    </row>
    <row r="2415" spans="1:12" ht="15" customHeight="1">
      <c r="A2415" t="s">
        <v>7689</v>
      </c>
      <c r="B2415" t="s">
        <v>5427</v>
      </c>
      <c r="C2415" t="s">
        <v>12</v>
      </c>
      <c r="D2415" t="s">
        <v>5428</v>
      </c>
      <c r="E2415" t="s">
        <v>1524</v>
      </c>
      <c r="F2415" t="s">
        <v>25</v>
      </c>
      <c r="G2415" t="s">
        <v>18</v>
      </c>
      <c r="I2415">
        <v>95000</v>
      </c>
      <c r="J2415">
        <v>25000</v>
      </c>
      <c r="K2415">
        <v>91000</v>
      </c>
      <c r="L2415">
        <v>34000</v>
      </c>
    </row>
    <row r="2416" spans="1:12" ht="15" customHeight="1">
      <c r="A2416" t="s">
        <v>7690</v>
      </c>
      <c r="B2416" t="s">
        <v>5429</v>
      </c>
      <c r="C2416" t="s">
        <v>12</v>
      </c>
      <c r="D2416" t="s">
        <v>5430</v>
      </c>
      <c r="E2416" t="s">
        <v>1604</v>
      </c>
      <c r="F2416" t="s">
        <v>14</v>
      </c>
      <c r="G2416" t="s">
        <v>18</v>
      </c>
      <c r="I2416">
        <v>769000</v>
      </c>
      <c r="J2416">
        <v>888000</v>
      </c>
      <c r="K2416">
        <v>692000</v>
      </c>
      <c r="L2416">
        <v>889000</v>
      </c>
    </row>
    <row r="2417" spans="1:12" ht="15" customHeight="1">
      <c r="A2417" t="s">
        <v>7691</v>
      </c>
      <c r="B2417" t="s">
        <v>5431</v>
      </c>
      <c r="C2417" t="s">
        <v>12</v>
      </c>
      <c r="D2417" t="s">
        <v>5432</v>
      </c>
      <c r="E2417" t="s">
        <v>1662</v>
      </c>
      <c r="F2417" t="s">
        <v>14</v>
      </c>
      <c r="G2417" t="s">
        <v>18</v>
      </c>
      <c r="I2417">
        <v>460000</v>
      </c>
      <c r="J2417">
        <v>635000</v>
      </c>
      <c r="K2417">
        <v>416000</v>
      </c>
      <c r="L2417">
        <v>617000</v>
      </c>
    </row>
    <row r="2418" spans="1:12" ht="15" customHeight="1">
      <c r="A2418" t="s">
        <v>7692</v>
      </c>
      <c r="B2418" t="s">
        <v>5433</v>
      </c>
      <c r="C2418" t="s">
        <v>12</v>
      </c>
      <c r="D2418" t="s">
        <v>5434</v>
      </c>
      <c r="E2418" t="s">
        <v>1620</v>
      </c>
      <c r="F2418" t="s">
        <v>25</v>
      </c>
      <c r="G2418" t="s">
        <v>18</v>
      </c>
      <c r="I2418">
        <v>2950000</v>
      </c>
      <c r="J2418">
        <v>8614000</v>
      </c>
      <c r="K2418">
        <v>5993000</v>
      </c>
      <c r="L2418">
        <v>4750000</v>
      </c>
    </row>
    <row r="2419" spans="1:12" ht="15" customHeight="1">
      <c r="A2419" t="s">
        <v>7693</v>
      </c>
      <c r="B2419" t="s">
        <v>5435</v>
      </c>
      <c r="C2419" t="s">
        <v>12</v>
      </c>
      <c r="D2419" t="s">
        <v>5436</v>
      </c>
      <c r="E2419" t="s">
        <v>1661</v>
      </c>
      <c r="F2419" t="s">
        <v>14</v>
      </c>
      <c r="G2419" t="s">
        <v>18</v>
      </c>
      <c r="I2419">
        <v>1205000</v>
      </c>
      <c r="J2419">
        <v>72000</v>
      </c>
      <c r="K2419">
        <v>1267000</v>
      </c>
      <c r="L2419">
        <v>138000</v>
      </c>
    </row>
    <row r="2420" spans="1:12" ht="15" customHeight="1">
      <c r="A2420" t="s">
        <v>7694</v>
      </c>
      <c r="B2420" t="s">
        <v>5437</v>
      </c>
      <c r="C2420" t="s">
        <v>12</v>
      </c>
      <c r="D2420" t="s">
        <v>5438</v>
      </c>
      <c r="E2420" t="s">
        <v>1662</v>
      </c>
      <c r="F2420" t="s">
        <v>14</v>
      </c>
      <c r="G2420" t="s">
        <v>18</v>
      </c>
      <c r="I2420">
        <v>7336000</v>
      </c>
      <c r="J2420">
        <v>8625000</v>
      </c>
      <c r="K2420">
        <v>7040000</v>
      </c>
      <c r="L2420">
        <v>6902000</v>
      </c>
    </row>
    <row r="2421" spans="1:12" ht="15" customHeight="1">
      <c r="A2421" t="s">
        <v>7695</v>
      </c>
      <c r="B2421" t="s">
        <v>5439</v>
      </c>
      <c r="C2421" t="s">
        <v>12</v>
      </c>
      <c r="D2421" t="s">
        <v>5440</v>
      </c>
      <c r="E2421" t="s">
        <v>1532</v>
      </c>
      <c r="F2421" t="s">
        <v>14</v>
      </c>
      <c r="G2421" t="s">
        <v>18</v>
      </c>
      <c r="I2421">
        <v>629000</v>
      </c>
      <c r="K2421">
        <v>628000</v>
      </c>
    </row>
    <row r="2422" spans="1:12" ht="15" customHeight="1">
      <c r="A2422" t="s">
        <v>7696</v>
      </c>
      <c r="B2422" t="s">
        <v>5441</v>
      </c>
      <c r="C2422" t="s">
        <v>12</v>
      </c>
      <c r="D2422" t="s">
        <v>5442</v>
      </c>
      <c r="E2422" t="s">
        <v>1535</v>
      </c>
      <c r="F2422" t="s">
        <v>14</v>
      </c>
      <c r="G2422" t="s">
        <v>18</v>
      </c>
      <c r="I2422">
        <v>550000</v>
      </c>
      <c r="J2422">
        <v>63000</v>
      </c>
      <c r="K2422">
        <v>790000</v>
      </c>
      <c r="L2422">
        <v>25000</v>
      </c>
    </row>
    <row r="2423" spans="1:12" ht="15" customHeight="1">
      <c r="A2423" t="s">
        <v>7697</v>
      </c>
      <c r="B2423" t="s">
        <v>5443</v>
      </c>
      <c r="C2423" t="s">
        <v>12</v>
      </c>
      <c r="D2423" t="s">
        <v>5444</v>
      </c>
      <c r="E2423" t="s">
        <v>1558</v>
      </c>
      <c r="F2423" t="s">
        <v>14</v>
      </c>
      <c r="G2423" t="s">
        <v>18</v>
      </c>
      <c r="I2423">
        <v>4000</v>
      </c>
      <c r="K2423">
        <v>8000</v>
      </c>
      <c r="L2423">
        <v>42000</v>
      </c>
    </row>
    <row r="2424" spans="1:12" ht="15" customHeight="1">
      <c r="A2424" t="s">
        <v>7698</v>
      </c>
      <c r="B2424" t="s">
        <v>5445</v>
      </c>
      <c r="C2424" t="s">
        <v>12</v>
      </c>
      <c r="D2424" t="s">
        <v>5446</v>
      </c>
      <c r="E2424" t="s">
        <v>1579</v>
      </c>
      <c r="F2424" t="s">
        <v>14</v>
      </c>
      <c r="G2424" t="s">
        <v>18</v>
      </c>
      <c r="I2424">
        <v>326000</v>
      </c>
      <c r="J2424">
        <v>834000</v>
      </c>
      <c r="K2424">
        <v>377000</v>
      </c>
      <c r="L2424">
        <v>644000</v>
      </c>
    </row>
    <row r="2425" spans="1:12" ht="15" customHeight="1">
      <c r="A2425" t="s">
        <v>7699</v>
      </c>
      <c r="B2425" t="s">
        <v>5447</v>
      </c>
      <c r="C2425" t="s">
        <v>12</v>
      </c>
      <c r="D2425" t="s">
        <v>5448</v>
      </c>
      <c r="E2425" t="s">
        <v>1532</v>
      </c>
      <c r="F2425" t="s">
        <v>14</v>
      </c>
      <c r="G2425" t="s">
        <v>18</v>
      </c>
    </row>
    <row r="2426" spans="1:12" ht="15" customHeight="1">
      <c r="A2426" t="s">
        <v>7700</v>
      </c>
      <c r="B2426" t="s">
        <v>5449</v>
      </c>
      <c r="C2426" t="s">
        <v>12</v>
      </c>
      <c r="D2426" t="s">
        <v>5450</v>
      </c>
      <c r="E2426" t="s">
        <v>1532</v>
      </c>
      <c r="F2426" t="s">
        <v>14</v>
      </c>
      <c r="G2426" t="s">
        <v>18</v>
      </c>
      <c r="I2426">
        <v>225000</v>
      </c>
      <c r="J2426">
        <v>151000</v>
      </c>
      <c r="K2426">
        <v>225000</v>
      </c>
      <c r="L2426">
        <v>151000</v>
      </c>
    </row>
    <row r="2427" spans="1:12" ht="15" customHeight="1">
      <c r="A2427" t="s">
        <v>7701</v>
      </c>
      <c r="B2427" t="s">
        <v>5451</v>
      </c>
      <c r="C2427" t="s">
        <v>12</v>
      </c>
      <c r="D2427" t="s">
        <v>5452</v>
      </c>
      <c r="E2427" t="s">
        <v>1532</v>
      </c>
      <c r="F2427" t="s">
        <v>14</v>
      </c>
      <c r="G2427" t="s">
        <v>18</v>
      </c>
    </row>
    <row r="2428" spans="1:12" ht="15" customHeight="1">
      <c r="A2428" t="s">
        <v>7702</v>
      </c>
      <c r="B2428" t="s">
        <v>5453</v>
      </c>
      <c r="C2428" t="s">
        <v>12</v>
      </c>
      <c r="D2428" t="s">
        <v>5454</v>
      </c>
      <c r="E2428" t="s">
        <v>1504</v>
      </c>
      <c r="F2428" t="s">
        <v>14</v>
      </c>
      <c r="G2428" t="s">
        <v>18</v>
      </c>
      <c r="I2428">
        <v>2305000</v>
      </c>
      <c r="J2428">
        <v>8355000</v>
      </c>
      <c r="K2428">
        <v>2305000</v>
      </c>
      <c r="L2428">
        <v>6355000</v>
      </c>
    </row>
    <row r="2429" spans="1:12" ht="15" customHeight="1">
      <c r="A2429" t="s">
        <v>7703</v>
      </c>
      <c r="B2429" t="s">
        <v>5455</v>
      </c>
      <c r="C2429" t="s">
        <v>12</v>
      </c>
      <c r="D2429" t="s">
        <v>5456</v>
      </c>
      <c r="E2429" t="s">
        <v>1532</v>
      </c>
      <c r="F2429" t="s">
        <v>14</v>
      </c>
      <c r="G2429" t="s">
        <v>18</v>
      </c>
    </row>
    <row r="2430" spans="1:12" ht="15" customHeight="1">
      <c r="A2430" t="s">
        <v>7704</v>
      </c>
      <c r="B2430" t="s">
        <v>5457</v>
      </c>
      <c r="C2430" t="s">
        <v>12</v>
      </c>
      <c r="D2430" t="s">
        <v>5458</v>
      </c>
      <c r="E2430" t="s">
        <v>1532</v>
      </c>
      <c r="F2430" t="s">
        <v>14</v>
      </c>
      <c r="G2430" t="s">
        <v>18</v>
      </c>
      <c r="I2430">
        <v>318000</v>
      </c>
      <c r="J2430">
        <v>303000</v>
      </c>
      <c r="K2430">
        <v>338000</v>
      </c>
      <c r="L2430">
        <v>336000</v>
      </c>
    </row>
    <row r="2431" spans="1:12" ht="15" customHeight="1">
      <c r="A2431" t="s">
        <v>7705</v>
      </c>
      <c r="B2431" t="s">
        <v>5459</v>
      </c>
      <c r="C2431" t="s">
        <v>12</v>
      </c>
      <c r="D2431" t="s">
        <v>5460</v>
      </c>
      <c r="E2431" t="s">
        <v>1575</v>
      </c>
      <c r="F2431" t="s">
        <v>25</v>
      </c>
      <c r="G2431" t="s">
        <v>18</v>
      </c>
      <c r="I2431">
        <v>2579000</v>
      </c>
      <c r="J2431">
        <v>4131000</v>
      </c>
      <c r="K2431">
        <v>2038000</v>
      </c>
      <c r="L2431">
        <v>4567000</v>
      </c>
    </row>
    <row r="2432" spans="1:12" ht="15" customHeight="1">
      <c r="A2432" t="s">
        <v>7706</v>
      </c>
      <c r="B2432" t="s">
        <v>5461</v>
      </c>
      <c r="C2432" t="s">
        <v>12</v>
      </c>
      <c r="D2432" t="s">
        <v>5462</v>
      </c>
      <c r="E2432" t="s">
        <v>1576</v>
      </c>
      <c r="F2432" t="s">
        <v>25</v>
      </c>
      <c r="G2432" t="s">
        <v>18</v>
      </c>
    </row>
    <row r="2433" spans="1:12" ht="15" customHeight="1">
      <c r="A2433" t="s">
        <v>7707</v>
      </c>
      <c r="B2433" t="s">
        <v>5463</v>
      </c>
      <c r="C2433" t="s">
        <v>12</v>
      </c>
      <c r="D2433" t="s">
        <v>5464</v>
      </c>
      <c r="E2433" t="s">
        <v>1512</v>
      </c>
      <c r="F2433" t="s">
        <v>14</v>
      </c>
      <c r="G2433" t="s">
        <v>18</v>
      </c>
      <c r="I2433">
        <v>1409000</v>
      </c>
      <c r="J2433">
        <v>7601000</v>
      </c>
      <c r="K2433">
        <v>1412000</v>
      </c>
      <c r="L2433">
        <v>7558000</v>
      </c>
    </row>
    <row r="2434" spans="1:12" ht="15" customHeight="1">
      <c r="A2434" t="s">
        <v>7708</v>
      </c>
      <c r="B2434" t="s">
        <v>5465</v>
      </c>
      <c r="C2434" t="s">
        <v>12</v>
      </c>
      <c r="D2434" t="s">
        <v>5466</v>
      </c>
      <c r="E2434" t="s">
        <v>1620</v>
      </c>
      <c r="F2434" t="s">
        <v>14</v>
      </c>
      <c r="G2434" t="s">
        <v>18</v>
      </c>
      <c r="J2434">
        <v>784000</v>
      </c>
      <c r="L2434">
        <v>896000</v>
      </c>
    </row>
    <row r="2435" spans="1:12" ht="15" customHeight="1">
      <c r="A2435" t="s">
        <v>7709</v>
      </c>
      <c r="B2435" t="s">
        <v>5467</v>
      </c>
      <c r="C2435" t="s">
        <v>12</v>
      </c>
      <c r="D2435" t="s">
        <v>5468</v>
      </c>
      <c r="E2435" t="s">
        <v>1532</v>
      </c>
      <c r="F2435" t="s">
        <v>14</v>
      </c>
      <c r="G2435" t="s">
        <v>18</v>
      </c>
      <c r="I2435">
        <v>17686000</v>
      </c>
      <c r="J2435">
        <v>18000000</v>
      </c>
      <c r="K2435">
        <v>17603000</v>
      </c>
      <c r="L2435">
        <v>17875000</v>
      </c>
    </row>
    <row r="2436" spans="1:12" ht="15" customHeight="1">
      <c r="A2436" t="s">
        <v>7710</v>
      </c>
      <c r="B2436" t="s">
        <v>5469</v>
      </c>
      <c r="C2436" t="s">
        <v>12</v>
      </c>
      <c r="D2436" t="s">
        <v>5470</v>
      </c>
      <c r="E2436" t="s">
        <v>1510</v>
      </c>
      <c r="F2436" t="s">
        <v>14</v>
      </c>
      <c r="G2436" t="s">
        <v>18</v>
      </c>
      <c r="I2436">
        <v>350000</v>
      </c>
      <c r="J2436">
        <v>627000</v>
      </c>
      <c r="K2436">
        <v>357000</v>
      </c>
      <c r="L2436">
        <v>632000</v>
      </c>
    </row>
    <row r="2437" spans="1:12" ht="15" customHeight="1">
      <c r="A2437" t="s">
        <v>7711</v>
      </c>
      <c r="B2437" t="s">
        <v>5471</v>
      </c>
      <c r="C2437" t="s">
        <v>12</v>
      </c>
      <c r="D2437" t="s">
        <v>5472</v>
      </c>
      <c r="E2437" t="s">
        <v>1580</v>
      </c>
      <c r="F2437" t="s">
        <v>14</v>
      </c>
      <c r="G2437" t="s">
        <v>18</v>
      </c>
      <c r="J2437">
        <v>4470000</v>
      </c>
      <c r="L2437">
        <v>3971000</v>
      </c>
    </row>
    <row r="2438" spans="1:12" ht="15" customHeight="1">
      <c r="A2438" t="s">
        <v>7712</v>
      </c>
      <c r="B2438" t="s">
        <v>5473</v>
      </c>
      <c r="C2438" t="s">
        <v>12</v>
      </c>
      <c r="D2438" t="s">
        <v>5474</v>
      </c>
      <c r="E2438" t="s">
        <v>1560</v>
      </c>
      <c r="F2438" t="s">
        <v>25</v>
      </c>
      <c r="G2438" t="s">
        <v>18</v>
      </c>
      <c r="I2438">
        <v>1809000</v>
      </c>
      <c r="K2438">
        <v>2071000</v>
      </c>
    </row>
    <row r="2439" spans="1:12" ht="15" customHeight="1">
      <c r="A2439" t="s">
        <v>7713</v>
      </c>
      <c r="B2439" t="s">
        <v>5475</v>
      </c>
      <c r="C2439" t="s">
        <v>12</v>
      </c>
      <c r="D2439" t="s">
        <v>5476</v>
      </c>
      <c r="E2439" t="s">
        <v>1532</v>
      </c>
      <c r="F2439" t="s">
        <v>25</v>
      </c>
      <c r="G2439" t="s">
        <v>18</v>
      </c>
    </row>
    <row r="2440" spans="1:12" ht="15" customHeight="1">
      <c r="A2440" t="s">
        <v>7713</v>
      </c>
      <c r="B2440" t="s">
        <v>5477</v>
      </c>
      <c r="C2440" t="s">
        <v>12</v>
      </c>
      <c r="D2440" t="s">
        <v>5478</v>
      </c>
      <c r="E2440" t="s">
        <v>1619</v>
      </c>
      <c r="F2440" t="s">
        <v>14</v>
      </c>
      <c r="G2440" t="s">
        <v>18</v>
      </c>
      <c r="I2440">
        <v>1312000</v>
      </c>
      <c r="J2440">
        <v>604000</v>
      </c>
      <c r="K2440">
        <v>1320000</v>
      </c>
      <c r="L2440">
        <v>621000</v>
      </c>
    </row>
    <row r="2441" spans="1:12" ht="15" customHeight="1">
      <c r="A2441" t="s">
        <v>7714</v>
      </c>
      <c r="B2441" t="s">
        <v>5479</v>
      </c>
      <c r="C2441" t="s">
        <v>12</v>
      </c>
      <c r="D2441" t="s">
        <v>5480</v>
      </c>
      <c r="E2441" t="s">
        <v>1532</v>
      </c>
      <c r="F2441" t="s">
        <v>14</v>
      </c>
      <c r="G2441" t="s">
        <v>18</v>
      </c>
      <c r="I2441">
        <v>29903000</v>
      </c>
      <c r="J2441">
        <v>21142000</v>
      </c>
      <c r="K2441">
        <v>45300000</v>
      </c>
      <c r="L2441">
        <v>25533000</v>
      </c>
    </row>
    <row r="2442" spans="1:12" ht="15" customHeight="1">
      <c r="A2442" t="s">
        <v>7715</v>
      </c>
      <c r="B2442" t="s">
        <v>5481</v>
      </c>
      <c r="C2442" t="s">
        <v>12</v>
      </c>
      <c r="D2442" t="s">
        <v>5482</v>
      </c>
      <c r="E2442" t="s">
        <v>1560</v>
      </c>
      <c r="F2442" t="s">
        <v>25</v>
      </c>
      <c r="G2442" t="s">
        <v>77</v>
      </c>
      <c r="I2442">
        <v>159615000</v>
      </c>
      <c r="J2442">
        <v>110972000</v>
      </c>
      <c r="K2442">
        <v>82060000</v>
      </c>
      <c r="L2442">
        <v>151590000</v>
      </c>
    </row>
    <row r="2443" spans="1:12" ht="15" customHeight="1">
      <c r="A2443" t="s">
        <v>7716</v>
      </c>
      <c r="B2443" t="s">
        <v>5483</v>
      </c>
      <c r="C2443" t="s">
        <v>12</v>
      </c>
      <c r="D2443" t="s">
        <v>5484</v>
      </c>
      <c r="E2443" t="s">
        <v>1532</v>
      </c>
      <c r="F2443" t="s">
        <v>14</v>
      </c>
      <c r="G2443" t="s">
        <v>18</v>
      </c>
      <c r="J2443">
        <v>19580000</v>
      </c>
      <c r="L2443">
        <v>32625000</v>
      </c>
    </row>
    <row r="2444" spans="1:12" ht="15" customHeight="1">
      <c r="A2444" t="s">
        <v>7717</v>
      </c>
      <c r="B2444" t="s">
        <v>5485</v>
      </c>
      <c r="C2444" t="s">
        <v>12</v>
      </c>
      <c r="D2444" t="s">
        <v>5486</v>
      </c>
      <c r="E2444" t="s">
        <v>1504</v>
      </c>
      <c r="F2444" t="s">
        <v>14</v>
      </c>
      <c r="G2444" t="s">
        <v>18</v>
      </c>
      <c r="I2444">
        <v>5522000</v>
      </c>
      <c r="J2444">
        <v>5703000</v>
      </c>
      <c r="K2444">
        <v>5441000</v>
      </c>
      <c r="L2444">
        <v>5028000</v>
      </c>
    </row>
    <row r="2445" spans="1:12" ht="15" customHeight="1">
      <c r="A2445" t="s">
        <v>7718</v>
      </c>
      <c r="B2445" t="s">
        <v>5487</v>
      </c>
      <c r="C2445" t="s">
        <v>12</v>
      </c>
      <c r="D2445" t="s">
        <v>5488</v>
      </c>
      <c r="E2445" t="s">
        <v>1560</v>
      </c>
      <c r="F2445" t="s">
        <v>14</v>
      </c>
      <c r="G2445" t="s">
        <v>18</v>
      </c>
      <c r="I2445">
        <v>538000</v>
      </c>
      <c r="K2445">
        <v>562000</v>
      </c>
    </row>
    <row r="2446" spans="1:12" ht="15" customHeight="1">
      <c r="A2446" t="s">
        <v>7719</v>
      </c>
      <c r="B2446" t="s">
        <v>5489</v>
      </c>
      <c r="C2446" t="s">
        <v>12</v>
      </c>
      <c r="D2446" t="s">
        <v>5490</v>
      </c>
      <c r="E2446" t="s">
        <v>1524</v>
      </c>
      <c r="F2446" t="s">
        <v>25</v>
      </c>
      <c r="G2446" t="s">
        <v>22</v>
      </c>
      <c r="I2446">
        <v>160000</v>
      </c>
      <c r="J2446">
        <v>143000</v>
      </c>
      <c r="K2446">
        <v>811000</v>
      </c>
      <c r="L2446">
        <v>187000</v>
      </c>
    </row>
    <row r="2447" spans="1:12" ht="15" customHeight="1">
      <c r="A2447" t="s">
        <v>7720</v>
      </c>
      <c r="B2447" t="s">
        <v>5491</v>
      </c>
      <c r="C2447" t="s">
        <v>12</v>
      </c>
      <c r="D2447" t="s">
        <v>5492</v>
      </c>
      <c r="E2447" t="s">
        <v>1532</v>
      </c>
      <c r="F2447" t="s">
        <v>14</v>
      </c>
      <c r="G2447" t="s">
        <v>18</v>
      </c>
    </row>
    <row r="2448" spans="1:12" ht="15" customHeight="1">
      <c r="A2448" t="s">
        <v>7721</v>
      </c>
      <c r="B2448" t="s">
        <v>5493</v>
      </c>
      <c r="C2448" t="s">
        <v>12</v>
      </c>
      <c r="D2448" t="s">
        <v>5494</v>
      </c>
      <c r="E2448" t="s">
        <v>1509</v>
      </c>
      <c r="F2448" t="s">
        <v>14</v>
      </c>
      <c r="G2448" t="s">
        <v>18</v>
      </c>
    </row>
    <row r="2449" spans="1:12" ht="15" customHeight="1">
      <c r="A2449" t="s">
        <v>7722</v>
      </c>
      <c r="B2449" t="s">
        <v>5495</v>
      </c>
      <c r="C2449" t="s">
        <v>12</v>
      </c>
      <c r="D2449" t="s">
        <v>5496</v>
      </c>
      <c r="E2449" t="s">
        <v>1580</v>
      </c>
      <c r="F2449" t="s">
        <v>14</v>
      </c>
      <c r="G2449" t="s">
        <v>18</v>
      </c>
      <c r="I2449">
        <v>21000</v>
      </c>
      <c r="J2449">
        <v>16000</v>
      </c>
      <c r="K2449">
        <v>21000</v>
      </c>
      <c r="L2449">
        <v>16000</v>
      </c>
    </row>
    <row r="2450" spans="1:12" ht="15" customHeight="1">
      <c r="A2450" t="s">
        <v>7723</v>
      </c>
      <c r="B2450" t="s">
        <v>5497</v>
      </c>
      <c r="C2450" t="s">
        <v>12</v>
      </c>
      <c r="D2450" t="s">
        <v>5498</v>
      </c>
      <c r="E2450" t="s">
        <v>1560</v>
      </c>
      <c r="F2450" t="s">
        <v>25</v>
      </c>
      <c r="G2450" t="s">
        <v>18</v>
      </c>
      <c r="I2450">
        <v>23000000</v>
      </c>
      <c r="J2450">
        <v>24900000</v>
      </c>
      <c r="K2450">
        <v>31215000</v>
      </c>
      <c r="L2450">
        <v>35584000</v>
      </c>
    </row>
    <row r="2451" spans="1:12" ht="15" customHeight="1">
      <c r="A2451" t="s">
        <v>7724</v>
      </c>
      <c r="B2451" t="s">
        <v>5499</v>
      </c>
      <c r="C2451" t="s">
        <v>12</v>
      </c>
      <c r="D2451" t="s">
        <v>5500</v>
      </c>
      <c r="E2451" t="s">
        <v>1532</v>
      </c>
      <c r="F2451" t="s">
        <v>14</v>
      </c>
      <c r="G2451" t="s">
        <v>18</v>
      </c>
    </row>
    <row r="2452" spans="1:12" ht="15" customHeight="1">
      <c r="A2452" t="s">
        <v>7725</v>
      </c>
      <c r="B2452" t="s">
        <v>5501</v>
      </c>
      <c r="C2452" t="s">
        <v>12</v>
      </c>
      <c r="D2452" t="s">
        <v>5502</v>
      </c>
      <c r="E2452" t="s">
        <v>1532</v>
      </c>
      <c r="F2452" t="s">
        <v>14</v>
      </c>
      <c r="G2452" t="s">
        <v>18</v>
      </c>
    </row>
    <row r="2453" spans="1:12" ht="15" customHeight="1">
      <c r="A2453" t="s">
        <v>7726</v>
      </c>
      <c r="B2453" t="s">
        <v>5503</v>
      </c>
      <c r="C2453" t="s">
        <v>12</v>
      </c>
      <c r="D2453" t="s">
        <v>5504</v>
      </c>
      <c r="E2453" t="s">
        <v>1517</v>
      </c>
      <c r="F2453" t="s">
        <v>24</v>
      </c>
      <c r="G2453" t="s">
        <v>23</v>
      </c>
      <c r="H2453" t="s">
        <v>23</v>
      </c>
      <c r="I2453">
        <v>3226282000</v>
      </c>
      <c r="J2453">
        <v>3482906000</v>
      </c>
      <c r="K2453">
        <v>3029121000</v>
      </c>
      <c r="L2453">
        <v>3578104000</v>
      </c>
    </row>
    <row r="2454" spans="1:12" ht="15" customHeight="1">
      <c r="A2454" t="s">
        <v>7727</v>
      </c>
      <c r="B2454" t="s">
        <v>5505</v>
      </c>
      <c r="C2454" t="s">
        <v>12</v>
      </c>
      <c r="D2454" t="s">
        <v>5506</v>
      </c>
      <c r="E2454" t="s">
        <v>1532</v>
      </c>
      <c r="F2454" t="s">
        <v>14</v>
      </c>
      <c r="G2454" t="s">
        <v>18</v>
      </c>
      <c r="I2454">
        <v>23807000</v>
      </c>
      <c r="J2454">
        <v>8987000</v>
      </c>
      <c r="K2454">
        <v>13420000</v>
      </c>
      <c r="L2454">
        <v>15518000</v>
      </c>
    </row>
    <row r="2455" spans="1:12" ht="15" customHeight="1">
      <c r="A2455" t="s">
        <v>7728</v>
      </c>
      <c r="B2455" t="s">
        <v>5507</v>
      </c>
      <c r="C2455" t="s">
        <v>12</v>
      </c>
      <c r="D2455" t="s">
        <v>5508</v>
      </c>
      <c r="E2455" t="s">
        <v>1504</v>
      </c>
      <c r="F2455" t="s">
        <v>14</v>
      </c>
      <c r="G2455" t="s">
        <v>18</v>
      </c>
      <c r="I2455">
        <v>1503000</v>
      </c>
      <c r="J2455">
        <v>1101000</v>
      </c>
      <c r="K2455">
        <v>1299000</v>
      </c>
      <c r="L2455">
        <v>1248000</v>
      </c>
    </row>
    <row r="2456" spans="1:12" ht="15" customHeight="1">
      <c r="A2456" t="s">
        <v>7729</v>
      </c>
      <c r="B2456" t="s">
        <v>5509</v>
      </c>
      <c r="C2456" t="s">
        <v>12</v>
      </c>
      <c r="D2456" t="s">
        <v>5510</v>
      </c>
      <c r="E2456" t="s">
        <v>1509</v>
      </c>
      <c r="F2456" t="s">
        <v>14</v>
      </c>
      <c r="G2456" t="s">
        <v>18</v>
      </c>
    </row>
    <row r="2457" spans="1:12" ht="15" customHeight="1">
      <c r="A2457" t="s">
        <v>7730</v>
      </c>
      <c r="B2457" t="s">
        <v>5511</v>
      </c>
      <c r="C2457" t="s">
        <v>12</v>
      </c>
      <c r="D2457" t="s">
        <v>5512</v>
      </c>
      <c r="E2457" t="s">
        <v>1509</v>
      </c>
      <c r="F2457" t="s">
        <v>14</v>
      </c>
      <c r="G2457" t="s">
        <v>18</v>
      </c>
      <c r="I2457">
        <v>2369000</v>
      </c>
      <c r="J2457">
        <v>1021000</v>
      </c>
      <c r="K2457">
        <v>2273000</v>
      </c>
      <c r="L2457">
        <v>1101000</v>
      </c>
    </row>
    <row r="2458" spans="1:12" ht="15" customHeight="1">
      <c r="A2458" t="s">
        <v>7731</v>
      </c>
      <c r="B2458" t="s">
        <v>5513</v>
      </c>
      <c r="C2458" t="s">
        <v>12</v>
      </c>
      <c r="D2458" t="s">
        <v>5514</v>
      </c>
      <c r="E2458" t="s">
        <v>1509</v>
      </c>
      <c r="F2458" t="s">
        <v>14</v>
      </c>
      <c r="G2458" t="s">
        <v>23</v>
      </c>
      <c r="I2458">
        <v>8061000</v>
      </c>
      <c r="J2458">
        <v>16486000</v>
      </c>
      <c r="K2458">
        <v>7663000</v>
      </c>
      <c r="L2458">
        <v>16493000</v>
      </c>
    </row>
    <row r="2459" spans="1:12" ht="15" customHeight="1">
      <c r="A2459" t="s">
        <v>7732</v>
      </c>
      <c r="B2459" t="s">
        <v>5515</v>
      </c>
      <c r="C2459" t="s">
        <v>12</v>
      </c>
      <c r="D2459" t="s">
        <v>5516</v>
      </c>
      <c r="E2459" t="s">
        <v>1560</v>
      </c>
      <c r="F2459" t="s">
        <v>25</v>
      </c>
      <c r="G2459" t="s">
        <v>77</v>
      </c>
      <c r="I2459">
        <v>263699000</v>
      </c>
      <c r="J2459">
        <v>270815000</v>
      </c>
      <c r="K2459">
        <v>255008000</v>
      </c>
      <c r="L2459">
        <v>264027000</v>
      </c>
    </row>
    <row r="2460" spans="1:12" ht="15" customHeight="1">
      <c r="A2460" t="s">
        <v>7733</v>
      </c>
      <c r="B2460" t="s">
        <v>5517</v>
      </c>
      <c r="C2460" t="s">
        <v>12</v>
      </c>
      <c r="D2460" t="s">
        <v>5518</v>
      </c>
      <c r="E2460" t="s">
        <v>1605</v>
      </c>
      <c r="F2460" t="s">
        <v>25</v>
      </c>
      <c r="G2460" t="s">
        <v>18</v>
      </c>
      <c r="I2460">
        <v>226000</v>
      </c>
      <c r="K2460">
        <v>4000</v>
      </c>
    </row>
    <row r="2461" spans="1:12" ht="15" customHeight="1">
      <c r="A2461" t="s">
        <v>7734</v>
      </c>
      <c r="B2461" t="s">
        <v>5519</v>
      </c>
      <c r="C2461" t="s">
        <v>12</v>
      </c>
      <c r="D2461" t="s">
        <v>5520</v>
      </c>
      <c r="E2461" t="s">
        <v>1512</v>
      </c>
      <c r="F2461" t="s">
        <v>14</v>
      </c>
      <c r="G2461" t="s">
        <v>18</v>
      </c>
      <c r="I2461">
        <v>365000</v>
      </c>
      <c r="J2461">
        <v>660000</v>
      </c>
      <c r="K2461">
        <v>410000</v>
      </c>
      <c r="L2461">
        <v>594000</v>
      </c>
    </row>
    <row r="2462" spans="1:12" ht="15" customHeight="1">
      <c r="A2462" t="s">
        <v>7735</v>
      </c>
      <c r="B2462" t="s">
        <v>5521</v>
      </c>
      <c r="C2462" t="s">
        <v>12</v>
      </c>
      <c r="D2462" t="s">
        <v>5522</v>
      </c>
      <c r="E2462" t="s">
        <v>1532</v>
      </c>
      <c r="F2462" t="s">
        <v>14</v>
      </c>
      <c r="G2462" t="s">
        <v>18</v>
      </c>
    </row>
    <row r="2463" spans="1:12" ht="15" customHeight="1">
      <c r="A2463" t="s">
        <v>7736</v>
      </c>
      <c r="B2463" t="s">
        <v>5523</v>
      </c>
      <c r="C2463" t="s">
        <v>12</v>
      </c>
      <c r="D2463" t="s">
        <v>5524</v>
      </c>
      <c r="E2463" t="s">
        <v>1658</v>
      </c>
      <c r="F2463" t="s">
        <v>14</v>
      </c>
      <c r="G2463" t="s">
        <v>18</v>
      </c>
    </row>
    <row r="2464" spans="1:12" ht="15" customHeight="1">
      <c r="A2464" t="s">
        <v>7737</v>
      </c>
      <c r="B2464" t="s">
        <v>5525</v>
      </c>
      <c r="C2464" t="s">
        <v>12</v>
      </c>
      <c r="D2464" t="s">
        <v>5526</v>
      </c>
      <c r="E2464" t="s">
        <v>1524</v>
      </c>
      <c r="F2464" t="s">
        <v>25</v>
      </c>
      <c r="G2464" t="s">
        <v>18</v>
      </c>
    </row>
    <row r="2465" spans="1:12" ht="15" customHeight="1">
      <c r="A2465" t="s">
        <v>7738</v>
      </c>
      <c r="B2465" t="s">
        <v>5527</v>
      </c>
      <c r="C2465" t="s">
        <v>12</v>
      </c>
      <c r="D2465" t="s">
        <v>5528</v>
      </c>
      <c r="E2465" t="s">
        <v>1535</v>
      </c>
      <c r="F2465" t="s">
        <v>14</v>
      </c>
      <c r="G2465" t="s">
        <v>18</v>
      </c>
      <c r="K2465">
        <v>160000</v>
      </c>
    </row>
    <row r="2466" spans="1:12" ht="15" customHeight="1">
      <c r="A2466" t="s">
        <v>7739</v>
      </c>
      <c r="B2466" t="s">
        <v>5529</v>
      </c>
      <c r="C2466" t="s">
        <v>12</v>
      </c>
      <c r="D2466" t="s">
        <v>5530</v>
      </c>
      <c r="E2466" t="s">
        <v>1558</v>
      </c>
      <c r="F2466" t="s">
        <v>25</v>
      </c>
      <c r="G2466" t="s">
        <v>18</v>
      </c>
      <c r="I2466">
        <v>1342000</v>
      </c>
      <c r="K2466">
        <v>1293000</v>
      </c>
    </row>
    <row r="2467" spans="1:12" ht="15" customHeight="1">
      <c r="A2467" t="s">
        <v>7740</v>
      </c>
      <c r="B2467" t="s">
        <v>5531</v>
      </c>
      <c r="C2467" t="s">
        <v>12</v>
      </c>
      <c r="D2467" t="s">
        <v>5532</v>
      </c>
      <c r="E2467" t="s">
        <v>1579</v>
      </c>
      <c r="F2467" t="s">
        <v>14</v>
      </c>
      <c r="G2467" t="s">
        <v>18</v>
      </c>
      <c r="I2467">
        <v>370000</v>
      </c>
      <c r="K2467">
        <v>43000</v>
      </c>
    </row>
    <row r="2468" spans="1:12" ht="15" customHeight="1">
      <c r="A2468" t="s">
        <v>7741</v>
      </c>
      <c r="B2468" t="s">
        <v>5533</v>
      </c>
      <c r="C2468" t="s">
        <v>12</v>
      </c>
      <c r="D2468" t="s">
        <v>5534</v>
      </c>
      <c r="E2468" t="s">
        <v>1588</v>
      </c>
      <c r="F2468" t="s">
        <v>14</v>
      </c>
      <c r="G2468" t="s">
        <v>18</v>
      </c>
      <c r="I2468">
        <v>3209000</v>
      </c>
      <c r="J2468">
        <v>4110000</v>
      </c>
      <c r="K2468">
        <v>2846000</v>
      </c>
      <c r="L2468">
        <v>4414000</v>
      </c>
    </row>
    <row r="2469" spans="1:12" ht="15" customHeight="1">
      <c r="A2469" t="s">
        <v>7742</v>
      </c>
      <c r="B2469" t="s">
        <v>5535</v>
      </c>
      <c r="C2469" t="s">
        <v>12</v>
      </c>
      <c r="D2469" t="s">
        <v>5536</v>
      </c>
      <c r="E2469" t="s">
        <v>1512</v>
      </c>
      <c r="F2469" t="s">
        <v>25</v>
      </c>
      <c r="G2469" t="s">
        <v>18</v>
      </c>
      <c r="I2469">
        <v>3668000</v>
      </c>
      <c r="J2469">
        <v>6095000</v>
      </c>
      <c r="K2469">
        <v>3757000</v>
      </c>
      <c r="L2469">
        <v>4766000</v>
      </c>
    </row>
    <row r="2470" spans="1:12" ht="15" customHeight="1">
      <c r="A2470" t="s">
        <v>7743</v>
      </c>
      <c r="B2470" t="s">
        <v>5537</v>
      </c>
      <c r="C2470" t="s">
        <v>12</v>
      </c>
      <c r="D2470" t="s">
        <v>5538</v>
      </c>
      <c r="E2470" t="s">
        <v>1558</v>
      </c>
      <c r="F2470" t="s">
        <v>14</v>
      </c>
      <c r="G2470" t="s">
        <v>18</v>
      </c>
      <c r="I2470">
        <v>1585000</v>
      </c>
      <c r="J2470">
        <v>1862000</v>
      </c>
      <c r="K2470">
        <v>1564000</v>
      </c>
      <c r="L2470">
        <v>1803000</v>
      </c>
    </row>
    <row r="2471" spans="1:12" ht="15" customHeight="1">
      <c r="A2471" t="s">
        <v>7744</v>
      </c>
      <c r="B2471" t="s">
        <v>5539</v>
      </c>
      <c r="C2471" t="s">
        <v>12</v>
      </c>
      <c r="D2471" t="s">
        <v>5540</v>
      </c>
      <c r="E2471" t="s">
        <v>1512</v>
      </c>
      <c r="F2471" t="s">
        <v>25</v>
      </c>
      <c r="G2471" t="s">
        <v>18</v>
      </c>
      <c r="I2471">
        <v>1241000</v>
      </c>
      <c r="J2471">
        <v>1671000</v>
      </c>
      <c r="K2471">
        <v>1240000</v>
      </c>
      <c r="L2471">
        <v>1671000</v>
      </c>
    </row>
    <row r="2472" spans="1:12" ht="15" customHeight="1">
      <c r="A2472" t="s">
        <v>7745</v>
      </c>
      <c r="B2472" t="s">
        <v>5541</v>
      </c>
      <c r="C2472" t="s">
        <v>12</v>
      </c>
      <c r="D2472" t="s">
        <v>5542</v>
      </c>
      <c r="E2472" t="s">
        <v>1661</v>
      </c>
      <c r="F2472" t="s">
        <v>14</v>
      </c>
      <c r="G2472" t="s">
        <v>18</v>
      </c>
      <c r="I2472">
        <v>624000</v>
      </c>
      <c r="J2472">
        <v>660000</v>
      </c>
      <c r="K2472">
        <v>789000</v>
      </c>
      <c r="L2472">
        <v>644000</v>
      </c>
    </row>
    <row r="2473" spans="1:12" ht="15" customHeight="1">
      <c r="A2473" t="s">
        <v>7746</v>
      </c>
      <c r="B2473" t="s">
        <v>5543</v>
      </c>
      <c r="C2473" t="s">
        <v>12</v>
      </c>
      <c r="D2473" t="s">
        <v>5544</v>
      </c>
      <c r="E2473" t="s">
        <v>1560</v>
      </c>
      <c r="F2473" t="s">
        <v>14</v>
      </c>
      <c r="G2473" t="s">
        <v>18</v>
      </c>
    </row>
    <row r="2474" spans="1:12" ht="15" customHeight="1">
      <c r="A2474" t="s">
        <v>7747</v>
      </c>
      <c r="B2474" t="s">
        <v>5545</v>
      </c>
      <c r="C2474" t="s">
        <v>12</v>
      </c>
      <c r="D2474" t="s">
        <v>5546</v>
      </c>
      <c r="E2474" t="s">
        <v>1619</v>
      </c>
      <c r="F2474" t="s">
        <v>14</v>
      </c>
      <c r="G2474" t="s">
        <v>18</v>
      </c>
    </row>
    <row r="2475" spans="1:12" ht="15" customHeight="1">
      <c r="A2475" t="s">
        <v>7748</v>
      </c>
      <c r="B2475" t="s">
        <v>5547</v>
      </c>
      <c r="C2475" t="s">
        <v>12</v>
      </c>
      <c r="D2475" t="s">
        <v>5548</v>
      </c>
      <c r="E2475" t="s">
        <v>1520</v>
      </c>
      <c r="F2475" t="s">
        <v>14</v>
      </c>
      <c r="G2475" t="s">
        <v>18</v>
      </c>
      <c r="I2475">
        <v>1144000</v>
      </c>
      <c r="K2475">
        <v>1133000</v>
      </c>
    </row>
    <row r="2476" spans="1:12" ht="15" customHeight="1">
      <c r="A2476" t="s">
        <v>7749</v>
      </c>
      <c r="B2476" t="s">
        <v>5549</v>
      </c>
      <c r="C2476" t="s">
        <v>12</v>
      </c>
      <c r="D2476" t="s">
        <v>5550</v>
      </c>
      <c r="E2476" t="s">
        <v>1520</v>
      </c>
      <c r="F2476" t="s">
        <v>14</v>
      </c>
      <c r="G2476" t="s">
        <v>18</v>
      </c>
      <c r="I2476">
        <v>307000</v>
      </c>
      <c r="J2476">
        <v>11174000</v>
      </c>
      <c r="L2476">
        <v>431000</v>
      </c>
    </row>
    <row r="2477" spans="1:12" ht="15" customHeight="1">
      <c r="A2477" t="s">
        <v>7750</v>
      </c>
      <c r="B2477" t="s">
        <v>5551</v>
      </c>
      <c r="C2477" t="s">
        <v>12</v>
      </c>
      <c r="D2477" t="s">
        <v>5552</v>
      </c>
      <c r="E2477" t="s">
        <v>1868</v>
      </c>
      <c r="F2477" t="s">
        <v>25</v>
      </c>
      <c r="G2477" t="s">
        <v>18</v>
      </c>
      <c r="I2477">
        <v>1250000</v>
      </c>
      <c r="J2477">
        <v>1550000</v>
      </c>
      <c r="K2477">
        <v>132000</v>
      </c>
      <c r="L2477">
        <v>2315000</v>
      </c>
    </row>
    <row r="2478" spans="1:12" ht="15" customHeight="1">
      <c r="A2478" t="s">
        <v>7751</v>
      </c>
      <c r="B2478" t="s">
        <v>5553</v>
      </c>
      <c r="C2478" t="s">
        <v>12</v>
      </c>
      <c r="D2478" t="s">
        <v>5554</v>
      </c>
      <c r="E2478" t="s">
        <v>1532</v>
      </c>
      <c r="F2478" t="s">
        <v>14</v>
      </c>
      <c r="G2478" t="s">
        <v>18</v>
      </c>
      <c r="I2478">
        <v>8000</v>
      </c>
      <c r="J2478">
        <v>8279000</v>
      </c>
      <c r="L2478">
        <v>390452000</v>
      </c>
    </row>
    <row r="2479" spans="1:12" ht="15" customHeight="1">
      <c r="A2479" t="s">
        <v>7752</v>
      </c>
      <c r="B2479" t="s">
        <v>5555</v>
      </c>
      <c r="C2479" t="s">
        <v>12</v>
      </c>
      <c r="D2479" t="s">
        <v>5556</v>
      </c>
      <c r="E2479" t="s">
        <v>1619</v>
      </c>
      <c r="F2479" t="s">
        <v>25</v>
      </c>
      <c r="G2479" t="s">
        <v>18</v>
      </c>
      <c r="I2479">
        <v>1221000</v>
      </c>
      <c r="J2479">
        <v>373000</v>
      </c>
      <c r="K2479">
        <v>1131000</v>
      </c>
      <c r="L2479">
        <v>429000</v>
      </c>
    </row>
    <row r="2480" spans="1:12" ht="15" customHeight="1">
      <c r="A2480" t="s">
        <v>7753</v>
      </c>
      <c r="B2480" t="s">
        <v>5557</v>
      </c>
      <c r="C2480" t="s">
        <v>12</v>
      </c>
      <c r="D2480" t="s">
        <v>5558</v>
      </c>
      <c r="E2480" t="s">
        <v>1558</v>
      </c>
      <c r="F2480" t="s">
        <v>14</v>
      </c>
      <c r="G2480" t="s">
        <v>18</v>
      </c>
      <c r="I2480">
        <v>398000</v>
      </c>
      <c r="J2480">
        <v>361000</v>
      </c>
      <c r="K2480">
        <v>451000</v>
      </c>
      <c r="L2480">
        <v>388000</v>
      </c>
    </row>
    <row r="2481" spans="1:12" ht="15" customHeight="1">
      <c r="A2481" t="s">
        <v>7754</v>
      </c>
      <c r="B2481" t="s">
        <v>5559</v>
      </c>
      <c r="C2481" t="s">
        <v>12</v>
      </c>
      <c r="D2481" t="s">
        <v>5560</v>
      </c>
      <c r="E2481" t="s">
        <v>1509</v>
      </c>
      <c r="F2481" t="s">
        <v>14</v>
      </c>
      <c r="G2481" t="s">
        <v>18</v>
      </c>
      <c r="I2481">
        <v>20407000</v>
      </c>
      <c r="J2481">
        <v>5650000</v>
      </c>
      <c r="K2481">
        <v>17939000</v>
      </c>
      <c r="L2481">
        <v>9179000</v>
      </c>
    </row>
    <row r="2482" spans="1:12" ht="15" customHeight="1">
      <c r="A2482" t="s">
        <v>7755</v>
      </c>
      <c r="B2482" t="s">
        <v>5561</v>
      </c>
      <c r="C2482" t="s">
        <v>12</v>
      </c>
      <c r="D2482" t="s">
        <v>5562</v>
      </c>
      <c r="E2482" t="s">
        <v>1509</v>
      </c>
      <c r="F2482" t="s">
        <v>25</v>
      </c>
      <c r="G2482" t="s">
        <v>18</v>
      </c>
      <c r="I2482">
        <v>1424000</v>
      </c>
      <c r="J2482">
        <v>1332000</v>
      </c>
      <c r="K2482">
        <v>1420000</v>
      </c>
      <c r="L2482">
        <v>1320000</v>
      </c>
    </row>
    <row r="2483" spans="1:12" ht="15" customHeight="1">
      <c r="A2483" t="s">
        <v>7756</v>
      </c>
      <c r="B2483" t="s">
        <v>5563</v>
      </c>
      <c r="C2483" t="s">
        <v>12</v>
      </c>
      <c r="D2483" t="s">
        <v>5564</v>
      </c>
      <c r="E2483" t="s">
        <v>1508</v>
      </c>
      <c r="F2483" t="s">
        <v>14</v>
      </c>
      <c r="G2483" t="s">
        <v>18</v>
      </c>
      <c r="I2483">
        <v>1745000</v>
      </c>
      <c r="J2483">
        <v>1788000</v>
      </c>
      <c r="K2483">
        <v>1746000</v>
      </c>
      <c r="L2483">
        <v>1752000</v>
      </c>
    </row>
    <row r="2484" spans="1:12" ht="15" customHeight="1">
      <c r="A2484" t="s">
        <v>7757</v>
      </c>
      <c r="B2484" t="s">
        <v>5565</v>
      </c>
      <c r="C2484" t="s">
        <v>12</v>
      </c>
      <c r="D2484" t="s">
        <v>5566</v>
      </c>
      <c r="E2484" t="s">
        <v>1619</v>
      </c>
      <c r="F2484" t="s">
        <v>14</v>
      </c>
      <c r="G2484" t="s">
        <v>18</v>
      </c>
      <c r="I2484">
        <v>23271000</v>
      </c>
      <c r="J2484">
        <v>5251000</v>
      </c>
      <c r="K2484">
        <v>12868000</v>
      </c>
      <c r="L2484">
        <v>8217000</v>
      </c>
    </row>
    <row r="2485" spans="1:12" ht="15" customHeight="1">
      <c r="A2485" t="s">
        <v>7758</v>
      </c>
      <c r="B2485" t="s">
        <v>5567</v>
      </c>
      <c r="C2485" t="s">
        <v>12</v>
      </c>
      <c r="D2485" t="s">
        <v>5568</v>
      </c>
      <c r="E2485" t="s">
        <v>1560</v>
      </c>
      <c r="F2485" t="s">
        <v>25</v>
      </c>
      <c r="G2485" t="s">
        <v>18</v>
      </c>
      <c r="I2485">
        <v>2593000</v>
      </c>
      <c r="J2485">
        <v>2413000</v>
      </c>
      <c r="K2485">
        <v>2278000</v>
      </c>
      <c r="L2485">
        <v>2525000</v>
      </c>
    </row>
    <row r="2486" spans="1:12" ht="15" customHeight="1">
      <c r="A2486" t="s">
        <v>7759</v>
      </c>
      <c r="B2486" t="s">
        <v>5569</v>
      </c>
      <c r="C2486" t="s">
        <v>12</v>
      </c>
      <c r="D2486" t="s">
        <v>5570</v>
      </c>
      <c r="E2486" t="s">
        <v>1533</v>
      </c>
      <c r="F2486" t="s">
        <v>14</v>
      </c>
      <c r="G2486" t="s">
        <v>77</v>
      </c>
      <c r="I2486">
        <v>29187000</v>
      </c>
      <c r="J2486">
        <v>27719000</v>
      </c>
      <c r="K2486">
        <v>23176000</v>
      </c>
      <c r="L2486">
        <v>32698000</v>
      </c>
    </row>
    <row r="2487" spans="1:12" ht="15" customHeight="1">
      <c r="A2487" t="s">
        <v>7760</v>
      </c>
      <c r="B2487" t="s">
        <v>5571</v>
      </c>
      <c r="C2487" t="s">
        <v>12</v>
      </c>
      <c r="D2487" t="s">
        <v>5572</v>
      </c>
      <c r="E2487" t="s">
        <v>1508</v>
      </c>
      <c r="F2487" t="s">
        <v>14</v>
      </c>
      <c r="G2487" t="s">
        <v>18</v>
      </c>
      <c r="I2487">
        <v>2747000</v>
      </c>
      <c r="J2487">
        <v>2902000</v>
      </c>
      <c r="K2487">
        <v>2727000</v>
      </c>
      <c r="L2487">
        <v>3180000</v>
      </c>
    </row>
    <row r="2488" spans="1:12" ht="15" customHeight="1">
      <c r="A2488" t="s">
        <v>7761</v>
      </c>
      <c r="B2488" t="s">
        <v>5573</v>
      </c>
      <c r="C2488" t="s">
        <v>12</v>
      </c>
      <c r="D2488" t="s">
        <v>5574</v>
      </c>
      <c r="E2488" t="s">
        <v>1558</v>
      </c>
      <c r="F2488" t="s">
        <v>14</v>
      </c>
      <c r="G2488" t="s">
        <v>18</v>
      </c>
    </row>
    <row r="2489" spans="1:12" ht="15" customHeight="1">
      <c r="A2489" t="s">
        <v>7762</v>
      </c>
      <c r="B2489" t="s">
        <v>5575</v>
      </c>
      <c r="C2489" t="s">
        <v>12</v>
      </c>
      <c r="D2489" t="s">
        <v>5576</v>
      </c>
      <c r="E2489" t="s">
        <v>1524</v>
      </c>
      <c r="F2489" t="s">
        <v>14</v>
      </c>
      <c r="G2489" t="s">
        <v>18</v>
      </c>
    </row>
    <row r="2490" spans="1:12" ht="15" customHeight="1">
      <c r="A2490" t="s">
        <v>7763</v>
      </c>
      <c r="B2490" t="s">
        <v>5577</v>
      </c>
      <c r="C2490" t="s">
        <v>12</v>
      </c>
      <c r="D2490" t="s">
        <v>5578</v>
      </c>
      <c r="E2490" t="s">
        <v>1532</v>
      </c>
      <c r="F2490" t="s">
        <v>14</v>
      </c>
      <c r="G2490" t="s">
        <v>18</v>
      </c>
      <c r="I2490">
        <v>5775000</v>
      </c>
      <c r="K2490">
        <v>5598000</v>
      </c>
    </row>
    <row r="2491" spans="1:12" ht="15" customHeight="1">
      <c r="A2491" t="s">
        <v>7764</v>
      </c>
      <c r="B2491" t="s">
        <v>5579</v>
      </c>
      <c r="C2491" t="s">
        <v>12</v>
      </c>
      <c r="D2491" t="s">
        <v>5580</v>
      </c>
      <c r="E2491" t="s">
        <v>1524</v>
      </c>
      <c r="F2491" t="s">
        <v>25</v>
      </c>
      <c r="G2491" t="s">
        <v>18</v>
      </c>
      <c r="I2491">
        <v>9176000</v>
      </c>
      <c r="J2491">
        <v>7977000</v>
      </c>
      <c r="K2491">
        <v>12611000</v>
      </c>
      <c r="L2491">
        <v>10187000</v>
      </c>
    </row>
    <row r="2492" spans="1:12" ht="15" customHeight="1">
      <c r="A2492" t="s">
        <v>7765</v>
      </c>
      <c r="B2492" t="s">
        <v>5581</v>
      </c>
      <c r="C2492" t="s">
        <v>12</v>
      </c>
      <c r="D2492" t="s">
        <v>5582</v>
      </c>
      <c r="E2492" t="s">
        <v>1560</v>
      </c>
      <c r="F2492" t="s">
        <v>25</v>
      </c>
      <c r="G2492" t="s">
        <v>18</v>
      </c>
      <c r="I2492">
        <v>604000</v>
      </c>
      <c r="J2492">
        <v>1150000</v>
      </c>
      <c r="K2492">
        <v>987000</v>
      </c>
      <c r="L2492">
        <v>997000</v>
      </c>
    </row>
    <row r="2493" spans="1:12" ht="15" customHeight="1">
      <c r="A2493" t="s">
        <v>7766</v>
      </c>
      <c r="B2493" t="s">
        <v>5583</v>
      </c>
      <c r="C2493" t="s">
        <v>12</v>
      </c>
      <c r="D2493" t="s">
        <v>5584</v>
      </c>
      <c r="E2493" t="s">
        <v>1794</v>
      </c>
      <c r="F2493" t="s">
        <v>14</v>
      </c>
      <c r="G2493" t="s">
        <v>18</v>
      </c>
      <c r="I2493">
        <v>118984000</v>
      </c>
      <c r="J2493">
        <v>43289000</v>
      </c>
      <c r="K2493">
        <v>38623000</v>
      </c>
      <c r="L2493">
        <v>236698000</v>
      </c>
    </row>
    <row r="2494" spans="1:12" ht="15" customHeight="1">
      <c r="A2494" t="s">
        <v>7767</v>
      </c>
      <c r="B2494" t="s">
        <v>5585</v>
      </c>
      <c r="C2494" t="s">
        <v>12</v>
      </c>
      <c r="D2494" t="s">
        <v>5586</v>
      </c>
      <c r="E2494" t="s">
        <v>1532</v>
      </c>
      <c r="F2494" t="s">
        <v>25</v>
      </c>
      <c r="G2494" t="s">
        <v>18</v>
      </c>
    </row>
    <row r="2495" spans="1:12" ht="15" customHeight="1">
      <c r="A2495" t="s">
        <v>7768</v>
      </c>
      <c r="B2495" t="s">
        <v>5587</v>
      </c>
      <c r="C2495" t="s">
        <v>12</v>
      </c>
      <c r="D2495" t="s">
        <v>5588</v>
      </c>
      <c r="E2495" t="s">
        <v>1533</v>
      </c>
      <c r="F2495" t="s">
        <v>14</v>
      </c>
      <c r="G2495" t="s">
        <v>18</v>
      </c>
      <c r="I2495">
        <v>1031000</v>
      </c>
      <c r="J2495">
        <v>1016000</v>
      </c>
      <c r="K2495">
        <v>934000</v>
      </c>
      <c r="L2495">
        <v>995000</v>
      </c>
    </row>
    <row r="2496" spans="1:12" ht="15" customHeight="1">
      <c r="A2496" t="s">
        <v>7769</v>
      </c>
      <c r="B2496" t="s">
        <v>5589</v>
      </c>
      <c r="C2496" t="s">
        <v>12</v>
      </c>
      <c r="D2496" t="s">
        <v>5590</v>
      </c>
      <c r="E2496" t="s">
        <v>1532</v>
      </c>
      <c r="F2496" t="s">
        <v>14</v>
      </c>
      <c r="G2496" t="s">
        <v>18</v>
      </c>
    </row>
    <row r="2497" spans="1:12" ht="15" customHeight="1">
      <c r="A2497" t="s">
        <v>7770</v>
      </c>
      <c r="B2497" t="s">
        <v>5591</v>
      </c>
      <c r="C2497" t="s">
        <v>12</v>
      </c>
      <c r="D2497" t="s">
        <v>5592</v>
      </c>
      <c r="E2497" t="s">
        <v>1560</v>
      </c>
      <c r="F2497" t="s">
        <v>25</v>
      </c>
      <c r="G2497" t="s">
        <v>18</v>
      </c>
      <c r="I2497">
        <v>8887000</v>
      </c>
      <c r="J2497">
        <v>10742000</v>
      </c>
      <c r="K2497">
        <v>8971000</v>
      </c>
      <c r="L2497">
        <v>10946000</v>
      </c>
    </row>
    <row r="2498" spans="1:12" ht="15" customHeight="1">
      <c r="A2498" t="s">
        <v>7771</v>
      </c>
      <c r="B2498" t="s">
        <v>5593</v>
      </c>
      <c r="C2498" t="s">
        <v>12</v>
      </c>
      <c r="D2498" t="s">
        <v>5594</v>
      </c>
      <c r="E2498" t="s">
        <v>1560</v>
      </c>
      <c r="F2498" t="s">
        <v>25</v>
      </c>
      <c r="G2498" t="s">
        <v>18</v>
      </c>
      <c r="I2498">
        <v>50000</v>
      </c>
      <c r="K2498">
        <v>59000</v>
      </c>
      <c r="L2498">
        <v>3000</v>
      </c>
    </row>
    <row r="2499" spans="1:12" ht="15" customHeight="1">
      <c r="A2499" t="s">
        <v>7772</v>
      </c>
      <c r="B2499" t="s">
        <v>5595</v>
      </c>
      <c r="C2499" t="s">
        <v>12</v>
      </c>
      <c r="D2499" t="s">
        <v>5596</v>
      </c>
      <c r="E2499" t="s">
        <v>1560</v>
      </c>
      <c r="F2499" t="s">
        <v>25</v>
      </c>
      <c r="G2499" t="s">
        <v>18</v>
      </c>
    </row>
    <row r="2500" spans="1:12" ht="15" customHeight="1">
      <c r="A2500" t="s">
        <v>7773</v>
      </c>
      <c r="B2500" t="s">
        <v>5597</v>
      </c>
      <c r="C2500" t="s">
        <v>12</v>
      </c>
      <c r="D2500" t="s">
        <v>5598</v>
      </c>
      <c r="E2500" t="s">
        <v>1820</v>
      </c>
      <c r="F2500" t="s">
        <v>25</v>
      </c>
      <c r="G2500" t="s">
        <v>77</v>
      </c>
      <c r="I2500">
        <v>31765000</v>
      </c>
      <c r="J2500">
        <v>70040000</v>
      </c>
      <c r="K2500">
        <v>34134000</v>
      </c>
      <c r="L2500">
        <v>71152000</v>
      </c>
    </row>
    <row r="2501" spans="1:12" ht="15" customHeight="1">
      <c r="A2501" t="s">
        <v>7774</v>
      </c>
      <c r="B2501" t="s">
        <v>5599</v>
      </c>
      <c r="C2501" t="s">
        <v>12</v>
      </c>
      <c r="D2501" t="s">
        <v>5600</v>
      </c>
      <c r="E2501" t="s">
        <v>1509</v>
      </c>
      <c r="F2501" t="s">
        <v>14</v>
      </c>
      <c r="G2501" t="s">
        <v>18</v>
      </c>
      <c r="I2501">
        <v>561000</v>
      </c>
      <c r="J2501">
        <v>565000</v>
      </c>
      <c r="K2501">
        <v>628000</v>
      </c>
      <c r="L2501">
        <v>388000</v>
      </c>
    </row>
    <row r="2502" spans="1:12" ht="15" customHeight="1">
      <c r="A2502" t="s">
        <v>7775</v>
      </c>
      <c r="B2502" t="s">
        <v>5601</v>
      </c>
      <c r="C2502" t="s">
        <v>12</v>
      </c>
      <c r="D2502" t="s">
        <v>5602</v>
      </c>
      <c r="E2502" t="s">
        <v>1509</v>
      </c>
      <c r="F2502" t="s">
        <v>25</v>
      </c>
      <c r="G2502" t="s">
        <v>18</v>
      </c>
      <c r="I2502">
        <v>764000</v>
      </c>
      <c r="J2502">
        <v>1760000</v>
      </c>
      <c r="K2502">
        <v>764000</v>
      </c>
      <c r="L2502">
        <v>1759000</v>
      </c>
    </row>
    <row r="2503" spans="1:12" ht="15" customHeight="1">
      <c r="A2503" t="s">
        <v>7776</v>
      </c>
      <c r="B2503" t="s">
        <v>5603</v>
      </c>
      <c r="C2503" t="s">
        <v>12</v>
      </c>
      <c r="D2503" t="s">
        <v>5604</v>
      </c>
      <c r="E2503" t="s">
        <v>1776</v>
      </c>
      <c r="F2503" t="s">
        <v>25</v>
      </c>
      <c r="G2503" t="s">
        <v>18</v>
      </c>
      <c r="I2503">
        <v>5425000</v>
      </c>
      <c r="J2503">
        <v>26000</v>
      </c>
      <c r="K2503">
        <v>5419000</v>
      </c>
      <c r="L2503">
        <v>26000</v>
      </c>
    </row>
    <row r="2504" spans="1:12" ht="15" customHeight="1">
      <c r="A2504" t="s">
        <v>7777</v>
      </c>
      <c r="B2504" t="s">
        <v>5605</v>
      </c>
      <c r="C2504" t="s">
        <v>12</v>
      </c>
      <c r="D2504" t="s">
        <v>5606</v>
      </c>
      <c r="E2504" t="s">
        <v>1560</v>
      </c>
      <c r="F2504" t="s">
        <v>25</v>
      </c>
      <c r="G2504" t="s">
        <v>18</v>
      </c>
    </row>
    <row r="2505" spans="1:12" ht="15" customHeight="1">
      <c r="A2505" t="s">
        <v>7778</v>
      </c>
      <c r="B2505" t="s">
        <v>5607</v>
      </c>
      <c r="C2505" t="s">
        <v>12</v>
      </c>
      <c r="D2505" t="s">
        <v>5608</v>
      </c>
      <c r="E2505" t="s">
        <v>1517</v>
      </c>
      <c r="F2505" t="s">
        <v>25</v>
      </c>
      <c r="G2505" t="s">
        <v>18</v>
      </c>
    </row>
    <row r="2506" spans="1:12" ht="15" customHeight="1">
      <c r="A2506" t="s">
        <v>7779</v>
      </c>
      <c r="B2506" t="s">
        <v>5609</v>
      </c>
      <c r="C2506" t="s">
        <v>12</v>
      </c>
      <c r="D2506" t="s">
        <v>5610</v>
      </c>
      <c r="E2506" t="s">
        <v>1505</v>
      </c>
      <c r="F2506" t="s">
        <v>24</v>
      </c>
      <c r="G2506" t="s">
        <v>18</v>
      </c>
    </row>
    <row r="2507" spans="1:12" ht="15" customHeight="1">
      <c r="A2507" t="s">
        <v>7780</v>
      </c>
      <c r="B2507" t="s">
        <v>5611</v>
      </c>
      <c r="C2507" t="s">
        <v>12</v>
      </c>
      <c r="D2507" t="s">
        <v>5612</v>
      </c>
      <c r="E2507" t="s">
        <v>1619</v>
      </c>
      <c r="F2507" t="s">
        <v>25</v>
      </c>
      <c r="G2507" t="s">
        <v>23</v>
      </c>
    </row>
    <row r="2508" spans="1:12" ht="15" customHeight="1">
      <c r="A2508" t="s">
        <v>7781</v>
      </c>
      <c r="B2508" t="s">
        <v>5613</v>
      </c>
      <c r="C2508" t="s">
        <v>12</v>
      </c>
      <c r="D2508" t="s">
        <v>5614</v>
      </c>
      <c r="E2508" t="s">
        <v>1820</v>
      </c>
      <c r="F2508" t="s">
        <v>25</v>
      </c>
      <c r="G2508" t="s">
        <v>18</v>
      </c>
      <c r="I2508">
        <v>82308000</v>
      </c>
      <c r="J2508">
        <v>181838000</v>
      </c>
      <c r="K2508">
        <v>78395000</v>
      </c>
      <c r="L2508">
        <v>52732000</v>
      </c>
    </row>
    <row r="2509" spans="1:12" ht="15" customHeight="1">
      <c r="A2509" t="s">
        <v>7782</v>
      </c>
      <c r="B2509" t="s">
        <v>5615</v>
      </c>
      <c r="C2509" t="s">
        <v>12</v>
      </c>
      <c r="D2509" t="s">
        <v>5616</v>
      </c>
      <c r="E2509" t="s">
        <v>1560</v>
      </c>
      <c r="F2509" t="s">
        <v>25</v>
      </c>
      <c r="G2509" t="s">
        <v>18</v>
      </c>
      <c r="I2509">
        <v>12048000</v>
      </c>
      <c r="J2509">
        <v>9535000</v>
      </c>
      <c r="K2509">
        <v>12048000</v>
      </c>
      <c r="L2509">
        <v>9535000</v>
      </c>
    </row>
    <row r="2510" spans="1:12" ht="15" customHeight="1">
      <c r="A2510" t="s">
        <v>7783</v>
      </c>
      <c r="B2510" t="s">
        <v>5617</v>
      </c>
      <c r="C2510" t="s">
        <v>12</v>
      </c>
      <c r="D2510" t="s">
        <v>5618</v>
      </c>
      <c r="E2510" t="s">
        <v>1576</v>
      </c>
      <c r="F2510" t="s">
        <v>14</v>
      </c>
      <c r="G2510" t="s">
        <v>22</v>
      </c>
    </row>
    <row r="2511" spans="1:12" ht="15" customHeight="1">
      <c r="A2511" t="s">
        <v>7784</v>
      </c>
      <c r="B2511" t="s">
        <v>5619</v>
      </c>
      <c r="C2511" t="s">
        <v>12</v>
      </c>
      <c r="D2511" t="s">
        <v>5620</v>
      </c>
      <c r="E2511" t="s">
        <v>1620</v>
      </c>
      <c r="F2511" t="s">
        <v>14</v>
      </c>
      <c r="G2511" t="s">
        <v>22</v>
      </c>
      <c r="I2511">
        <v>787000</v>
      </c>
      <c r="J2511">
        <v>317000</v>
      </c>
      <c r="K2511">
        <v>2786000</v>
      </c>
      <c r="L2511">
        <v>2446000</v>
      </c>
    </row>
    <row r="2512" spans="1:12" ht="15" customHeight="1">
      <c r="A2512" t="s">
        <v>7785</v>
      </c>
      <c r="B2512" t="s">
        <v>5621</v>
      </c>
      <c r="C2512" t="s">
        <v>12</v>
      </c>
      <c r="D2512" t="s">
        <v>5622</v>
      </c>
      <c r="E2512" t="s">
        <v>1532</v>
      </c>
      <c r="F2512" t="s">
        <v>14</v>
      </c>
      <c r="G2512" t="s">
        <v>18</v>
      </c>
    </row>
    <row r="2513" spans="1:12" ht="15" customHeight="1">
      <c r="A2513" t="s">
        <v>7786</v>
      </c>
      <c r="B2513" t="s">
        <v>5623</v>
      </c>
      <c r="C2513" t="s">
        <v>12</v>
      </c>
      <c r="D2513" t="s">
        <v>5624</v>
      </c>
      <c r="E2513" t="s">
        <v>1511</v>
      </c>
      <c r="F2513" t="s">
        <v>14</v>
      </c>
      <c r="G2513" t="s">
        <v>18</v>
      </c>
      <c r="I2513">
        <v>25905000</v>
      </c>
      <c r="J2513">
        <v>23556000</v>
      </c>
      <c r="K2513">
        <v>26371000</v>
      </c>
      <c r="L2513">
        <v>24275000</v>
      </c>
    </row>
    <row r="2514" spans="1:12" ht="15" customHeight="1">
      <c r="A2514" t="s">
        <v>7787</v>
      </c>
      <c r="B2514" t="s">
        <v>5625</v>
      </c>
      <c r="C2514" t="s">
        <v>12</v>
      </c>
      <c r="D2514" t="s">
        <v>5626</v>
      </c>
      <c r="E2514" t="s">
        <v>1526</v>
      </c>
      <c r="F2514" t="s">
        <v>14</v>
      </c>
      <c r="G2514" t="s">
        <v>22</v>
      </c>
      <c r="I2514">
        <v>5933000</v>
      </c>
      <c r="K2514">
        <v>6059000</v>
      </c>
    </row>
    <row r="2515" spans="1:12" ht="15" customHeight="1">
      <c r="A2515" t="s">
        <v>7788</v>
      </c>
      <c r="B2515" t="s">
        <v>5627</v>
      </c>
      <c r="C2515" t="s">
        <v>12</v>
      </c>
      <c r="D2515" t="s">
        <v>5628</v>
      </c>
      <c r="E2515" t="s">
        <v>1521</v>
      </c>
      <c r="F2515" t="s">
        <v>14</v>
      </c>
      <c r="G2515" t="s">
        <v>807</v>
      </c>
      <c r="H2515" t="s">
        <v>280</v>
      </c>
      <c r="I2515">
        <v>61367000</v>
      </c>
      <c r="J2515">
        <v>70891000</v>
      </c>
      <c r="K2515">
        <v>61661000</v>
      </c>
      <c r="L2515">
        <v>70487000</v>
      </c>
    </row>
    <row r="2516" spans="1:12" ht="15" customHeight="1">
      <c r="A2516" t="s">
        <v>7789</v>
      </c>
      <c r="B2516" t="s">
        <v>5629</v>
      </c>
      <c r="C2516" t="s">
        <v>12</v>
      </c>
      <c r="D2516" t="s">
        <v>5630</v>
      </c>
      <c r="E2516" t="s">
        <v>1517</v>
      </c>
      <c r="F2516" t="s">
        <v>14</v>
      </c>
      <c r="G2516" t="s">
        <v>18</v>
      </c>
      <c r="I2516">
        <v>1038000</v>
      </c>
      <c r="J2516">
        <v>714000</v>
      </c>
      <c r="K2516">
        <v>1657000</v>
      </c>
      <c r="L2516">
        <v>436000</v>
      </c>
    </row>
    <row r="2517" spans="1:12" ht="15" customHeight="1">
      <c r="A2517" t="s">
        <v>7790</v>
      </c>
      <c r="B2517" t="s">
        <v>5631</v>
      </c>
      <c r="C2517" t="s">
        <v>12</v>
      </c>
      <c r="D2517" t="s">
        <v>5632</v>
      </c>
      <c r="E2517" t="s">
        <v>1510</v>
      </c>
      <c r="F2517" t="s">
        <v>14</v>
      </c>
      <c r="G2517" t="s">
        <v>23</v>
      </c>
      <c r="H2517" t="s">
        <v>23</v>
      </c>
      <c r="I2517">
        <v>25311000</v>
      </c>
      <c r="J2517">
        <v>34964000</v>
      </c>
      <c r="K2517">
        <v>25228000</v>
      </c>
      <c r="L2517">
        <v>34972000</v>
      </c>
    </row>
    <row r="2518" spans="1:12" ht="15" customHeight="1">
      <c r="A2518" t="s">
        <v>7791</v>
      </c>
      <c r="B2518" t="s">
        <v>5633</v>
      </c>
      <c r="C2518" t="s">
        <v>12</v>
      </c>
      <c r="D2518" t="s">
        <v>5634</v>
      </c>
      <c r="E2518" t="s">
        <v>1532</v>
      </c>
      <c r="F2518" t="s">
        <v>14</v>
      </c>
      <c r="G2518" t="s">
        <v>18</v>
      </c>
    </row>
    <row r="2519" spans="1:12" ht="15" customHeight="1">
      <c r="A2519" t="s">
        <v>7792</v>
      </c>
      <c r="B2519" t="s">
        <v>5635</v>
      </c>
      <c r="C2519" t="s">
        <v>12</v>
      </c>
      <c r="D2519" t="s">
        <v>5636</v>
      </c>
      <c r="E2519" t="s">
        <v>1662</v>
      </c>
      <c r="F2519" t="s">
        <v>14</v>
      </c>
      <c r="G2519" t="s">
        <v>18</v>
      </c>
      <c r="I2519">
        <v>5070000</v>
      </c>
      <c r="J2519">
        <v>6087000</v>
      </c>
      <c r="K2519">
        <v>5510000</v>
      </c>
      <c r="L2519">
        <v>6409000</v>
      </c>
    </row>
    <row r="2520" spans="1:12" ht="15" customHeight="1">
      <c r="A2520" t="s">
        <v>7793</v>
      </c>
      <c r="B2520" t="s">
        <v>5637</v>
      </c>
      <c r="C2520" t="s">
        <v>12</v>
      </c>
      <c r="D2520" t="s">
        <v>5638</v>
      </c>
      <c r="E2520" t="s">
        <v>1560</v>
      </c>
      <c r="F2520" t="s">
        <v>25</v>
      </c>
      <c r="G2520" t="s">
        <v>18</v>
      </c>
    </row>
    <row r="2521" spans="1:12" ht="15" customHeight="1">
      <c r="A2521" t="s">
        <v>7794</v>
      </c>
      <c r="B2521" t="s">
        <v>5639</v>
      </c>
      <c r="C2521" t="s">
        <v>12</v>
      </c>
      <c r="D2521" t="s">
        <v>5640</v>
      </c>
      <c r="E2521" t="s">
        <v>1620</v>
      </c>
      <c r="F2521" t="s">
        <v>25</v>
      </c>
      <c r="G2521" t="s">
        <v>18</v>
      </c>
      <c r="I2521">
        <v>3840000</v>
      </c>
      <c r="J2521">
        <v>5274000</v>
      </c>
      <c r="K2521">
        <v>3840000</v>
      </c>
      <c r="L2521">
        <v>5274000</v>
      </c>
    </row>
    <row r="2522" spans="1:12" ht="15" customHeight="1">
      <c r="A2522" t="s">
        <v>7795</v>
      </c>
      <c r="B2522" t="s">
        <v>5641</v>
      </c>
      <c r="C2522" t="s">
        <v>12</v>
      </c>
      <c r="D2522" t="s">
        <v>5642</v>
      </c>
      <c r="E2522" t="s">
        <v>1662</v>
      </c>
      <c r="F2522" t="s">
        <v>14</v>
      </c>
      <c r="G2522" t="s">
        <v>18</v>
      </c>
      <c r="I2522">
        <v>4185000</v>
      </c>
      <c r="J2522">
        <v>4484000</v>
      </c>
      <c r="K2522">
        <v>3606000</v>
      </c>
      <c r="L2522">
        <v>4783000</v>
      </c>
    </row>
    <row r="2523" spans="1:12" ht="15" customHeight="1">
      <c r="A2523" t="s">
        <v>7796</v>
      </c>
      <c r="B2523" t="s">
        <v>5643</v>
      </c>
      <c r="C2523" t="s">
        <v>12</v>
      </c>
      <c r="D2523" t="s">
        <v>5644</v>
      </c>
      <c r="E2523" t="s">
        <v>1661</v>
      </c>
      <c r="F2523" t="s">
        <v>14</v>
      </c>
      <c r="G2523" t="s">
        <v>22</v>
      </c>
      <c r="I2523">
        <v>1416000</v>
      </c>
      <c r="K2523">
        <v>1519000</v>
      </c>
    </row>
    <row r="2524" spans="1:12" ht="15" customHeight="1">
      <c r="A2524" t="s">
        <v>7797</v>
      </c>
      <c r="B2524" t="s">
        <v>5645</v>
      </c>
      <c r="C2524" t="s">
        <v>12</v>
      </c>
      <c r="D2524" t="s">
        <v>5646</v>
      </c>
      <c r="E2524" t="s">
        <v>1643</v>
      </c>
      <c r="F2524" t="s">
        <v>25</v>
      </c>
      <c r="G2524" t="s">
        <v>23</v>
      </c>
      <c r="H2524" t="s">
        <v>23</v>
      </c>
      <c r="I2524">
        <v>23834000</v>
      </c>
      <c r="J2524">
        <v>27352000</v>
      </c>
      <c r="K2524">
        <v>23717000</v>
      </c>
      <c r="L2524">
        <v>27122000</v>
      </c>
    </row>
    <row r="2525" spans="1:12" ht="15" customHeight="1">
      <c r="A2525" t="s">
        <v>7798</v>
      </c>
      <c r="B2525" t="s">
        <v>5647</v>
      </c>
      <c r="C2525" t="s">
        <v>12</v>
      </c>
      <c r="D2525" t="s">
        <v>5648</v>
      </c>
      <c r="E2525" t="s">
        <v>1508</v>
      </c>
      <c r="F2525" t="s">
        <v>14</v>
      </c>
      <c r="G2525" t="s">
        <v>23</v>
      </c>
      <c r="H2525" t="s">
        <v>302</v>
      </c>
      <c r="I2525">
        <v>29407000</v>
      </c>
      <c r="J2525">
        <v>39799000</v>
      </c>
      <c r="K2525">
        <v>28853000</v>
      </c>
      <c r="L2525">
        <v>40614000</v>
      </c>
    </row>
    <row r="2526" spans="1:12" ht="15" customHeight="1">
      <c r="A2526" t="s">
        <v>7799</v>
      </c>
      <c r="B2526" t="s">
        <v>5649</v>
      </c>
      <c r="C2526" t="s">
        <v>12</v>
      </c>
      <c r="D2526" t="s">
        <v>5650</v>
      </c>
      <c r="E2526" t="s">
        <v>1560</v>
      </c>
      <c r="F2526" t="s">
        <v>14</v>
      </c>
      <c r="G2526" t="s">
        <v>23</v>
      </c>
      <c r="H2526" t="s">
        <v>23</v>
      </c>
      <c r="I2526">
        <v>38447000</v>
      </c>
      <c r="J2526">
        <v>46365000</v>
      </c>
      <c r="K2526">
        <v>38389000</v>
      </c>
      <c r="L2526">
        <v>45726000</v>
      </c>
    </row>
    <row r="2527" spans="1:12" ht="15" customHeight="1">
      <c r="A2527" t="s">
        <v>7800</v>
      </c>
      <c r="B2527" t="s">
        <v>5651</v>
      </c>
      <c r="C2527" t="s">
        <v>12</v>
      </c>
      <c r="D2527" t="s">
        <v>5652</v>
      </c>
      <c r="E2527" t="s">
        <v>1642</v>
      </c>
      <c r="F2527" t="s">
        <v>14</v>
      </c>
      <c r="G2527" t="s">
        <v>23</v>
      </c>
      <c r="H2527" t="s">
        <v>23</v>
      </c>
      <c r="I2527">
        <v>22798000</v>
      </c>
      <c r="J2527">
        <v>37020000</v>
      </c>
      <c r="K2527">
        <v>22374000</v>
      </c>
      <c r="L2527">
        <v>36940000</v>
      </c>
    </row>
    <row r="2528" spans="1:12" ht="15" customHeight="1">
      <c r="A2528" t="s">
        <v>7801</v>
      </c>
      <c r="B2528" t="s">
        <v>5653</v>
      </c>
      <c r="C2528" t="s">
        <v>12</v>
      </c>
      <c r="D2528" t="s">
        <v>5654</v>
      </c>
      <c r="E2528" t="s">
        <v>1535</v>
      </c>
      <c r="F2528" t="s">
        <v>14</v>
      </c>
      <c r="G2528" t="s">
        <v>23</v>
      </c>
      <c r="H2528" t="s">
        <v>23</v>
      </c>
      <c r="I2528">
        <v>19355000</v>
      </c>
      <c r="J2528">
        <v>21694000</v>
      </c>
      <c r="K2528">
        <v>17444000</v>
      </c>
      <c r="L2528">
        <v>22363000</v>
      </c>
    </row>
    <row r="2529" spans="1:12" ht="15" customHeight="1">
      <c r="A2529" t="s">
        <v>7802</v>
      </c>
      <c r="B2529" t="s">
        <v>5655</v>
      </c>
      <c r="C2529" t="s">
        <v>12</v>
      </c>
      <c r="D2529" t="s">
        <v>5656</v>
      </c>
      <c r="E2529" t="s">
        <v>1532</v>
      </c>
      <c r="F2529" t="s">
        <v>14</v>
      </c>
      <c r="G2529" t="s">
        <v>18</v>
      </c>
      <c r="I2529">
        <v>10400000</v>
      </c>
      <c r="J2529">
        <v>6000000</v>
      </c>
      <c r="K2529">
        <v>8102000</v>
      </c>
      <c r="L2529">
        <v>7518000</v>
      </c>
    </row>
    <row r="2530" spans="1:12" ht="15" customHeight="1">
      <c r="A2530" t="s">
        <v>7803</v>
      </c>
      <c r="B2530" t="s">
        <v>5657</v>
      </c>
      <c r="C2530" t="s">
        <v>12</v>
      </c>
      <c r="D2530" t="s">
        <v>5658</v>
      </c>
      <c r="E2530" t="s">
        <v>1508</v>
      </c>
      <c r="F2530" t="s">
        <v>14</v>
      </c>
      <c r="G2530" t="s">
        <v>18</v>
      </c>
      <c r="I2530">
        <v>306000</v>
      </c>
      <c r="J2530">
        <v>530000</v>
      </c>
      <c r="K2530">
        <v>92000</v>
      </c>
      <c r="L2530">
        <v>501000</v>
      </c>
    </row>
    <row r="2531" spans="1:12" ht="15" customHeight="1">
      <c r="A2531" t="s">
        <v>7804</v>
      </c>
      <c r="B2531" t="s">
        <v>5659</v>
      </c>
      <c r="C2531" t="s">
        <v>12</v>
      </c>
      <c r="D2531" t="s">
        <v>5660</v>
      </c>
      <c r="E2531" t="s">
        <v>1629</v>
      </c>
      <c r="F2531" t="s">
        <v>25</v>
      </c>
      <c r="G2531" t="s">
        <v>18</v>
      </c>
    </row>
    <row r="2532" spans="1:12" ht="15" customHeight="1">
      <c r="A2532" t="s">
        <v>7805</v>
      </c>
      <c r="B2532" t="s">
        <v>5661</v>
      </c>
      <c r="C2532" t="s">
        <v>12</v>
      </c>
      <c r="D2532" t="s">
        <v>5662</v>
      </c>
      <c r="E2532" t="s">
        <v>1533</v>
      </c>
      <c r="F2532" t="s">
        <v>25</v>
      </c>
      <c r="G2532" t="s">
        <v>18</v>
      </c>
    </row>
    <row r="2533" spans="1:12" ht="15" customHeight="1">
      <c r="A2533" t="s">
        <v>7806</v>
      </c>
      <c r="B2533" t="s">
        <v>5663</v>
      </c>
      <c r="C2533" t="s">
        <v>12</v>
      </c>
      <c r="D2533" t="s">
        <v>5664</v>
      </c>
      <c r="E2533" t="s">
        <v>1508</v>
      </c>
      <c r="F2533" t="s">
        <v>14</v>
      </c>
      <c r="G2533" t="s">
        <v>77</v>
      </c>
      <c r="I2533">
        <v>387000</v>
      </c>
      <c r="J2533">
        <v>164000</v>
      </c>
      <c r="K2533">
        <v>543000</v>
      </c>
      <c r="L2533">
        <v>481000</v>
      </c>
    </row>
    <row r="2534" spans="1:12" ht="15" customHeight="1">
      <c r="A2534" t="s">
        <v>7807</v>
      </c>
      <c r="B2534" t="s">
        <v>5665</v>
      </c>
      <c r="C2534" t="s">
        <v>12</v>
      </c>
      <c r="D2534" t="s">
        <v>5666</v>
      </c>
      <c r="E2534" t="s">
        <v>1629</v>
      </c>
      <c r="F2534" t="s">
        <v>25</v>
      </c>
      <c r="G2534" t="s">
        <v>18</v>
      </c>
    </row>
    <row r="2535" spans="1:12" ht="15" customHeight="1">
      <c r="A2535" t="s">
        <v>7808</v>
      </c>
      <c r="B2535" t="s">
        <v>5667</v>
      </c>
      <c r="C2535" t="s">
        <v>12</v>
      </c>
      <c r="D2535" t="s">
        <v>5668</v>
      </c>
      <c r="E2535" t="s">
        <v>1509</v>
      </c>
      <c r="F2535" t="s">
        <v>25</v>
      </c>
      <c r="G2535" t="s">
        <v>18</v>
      </c>
    </row>
    <row r="2536" spans="1:12" ht="15" customHeight="1">
      <c r="A2536" t="s">
        <v>7809</v>
      </c>
      <c r="B2536" t="s">
        <v>5669</v>
      </c>
      <c r="C2536" t="s">
        <v>12</v>
      </c>
      <c r="D2536" t="s">
        <v>5670</v>
      </c>
      <c r="E2536" t="s">
        <v>1749</v>
      </c>
      <c r="F2536" t="s">
        <v>25</v>
      </c>
      <c r="G2536" t="s">
        <v>77</v>
      </c>
      <c r="I2536">
        <v>6000</v>
      </c>
      <c r="J2536">
        <v>7000</v>
      </c>
    </row>
    <row r="2537" spans="1:12" ht="15" customHeight="1">
      <c r="A2537" t="s">
        <v>7810</v>
      </c>
      <c r="B2537" t="s">
        <v>5671</v>
      </c>
      <c r="C2537" t="s">
        <v>12</v>
      </c>
      <c r="D2537" t="s">
        <v>5672</v>
      </c>
      <c r="E2537" t="s">
        <v>1524</v>
      </c>
      <c r="F2537" t="s">
        <v>25</v>
      </c>
      <c r="G2537" t="s">
        <v>18</v>
      </c>
      <c r="I2537">
        <v>773000</v>
      </c>
      <c r="J2537">
        <v>841000</v>
      </c>
      <c r="K2537">
        <v>779000</v>
      </c>
      <c r="L2537">
        <v>787000</v>
      </c>
    </row>
    <row r="2538" spans="1:12" ht="15" customHeight="1">
      <c r="A2538" t="s">
        <v>7811</v>
      </c>
      <c r="B2538" t="s">
        <v>5673</v>
      </c>
      <c r="C2538" t="s">
        <v>12</v>
      </c>
      <c r="D2538" t="s">
        <v>5674</v>
      </c>
      <c r="E2538" t="s">
        <v>1535</v>
      </c>
      <c r="F2538" t="s">
        <v>14</v>
      </c>
      <c r="G2538" t="s">
        <v>18</v>
      </c>
      <c r="I2538">
        <v>4131000</v>
      </c>
      <c r="J2538">
        <v>12539000</v>
      </c>
      <c r="K2538">
        <v>4118000</v>
      </c>
      <c r="L2538">
        <v>7657000</v>
      </c>
    </row>
    <row r="2539" spans="1:12" ht="15" customHeight="1">
      <c r="A2539" t="s">
        <v>7812</v>
      </c>
      <c r="B2539" t="s">
        <v>5675</v>
      </c>
      <c r="C2539" t="s">
        <v>12</v>
      </c>
      <c r="D2539" t="s">
        <v>5676</v>
      </c>
      <c r="E2539" t="s">
        <v>1504</v>
      </c>
      <c r="F2539" t="s">
        <v>25</v>
      </c>
      <c r="G2539" t="s">
        <v>18</v>
      </c>
      <c r="J2539">
        <v>636000</v>
      </c>
      <c r="L2539">
        <v>683000</v>
      </c>
    </row>
    <row r="2540" spans="1:12" ht="15" customHeight="1">
      <c r="A2540" t="s">
        <v>7813</v>
      </c>
      <c r="B2540" t="s">
        <v>5677</v>
      </c>
      <c r="C2540" t="s">
        <v>12</v>
      </c>
      <c r="D2540" t="s">
        <v>5678</v>
      </c>
      <c r="E2540" t="s">
        <v>1516</v>
      </c>
      <c r="F2540" t="s">
        <v>14</v>
      </c>
      <c r="G2540" t="s">
        <v>18</v>
      </c>
      <c r="I2540">
        <v>595000</v>
      </c>
      <c r="J2540">
        <v>538000</v>
      </c>
      <c r="K2540">
        <v>594000</v>
      </c>
      <c r="L2540">
        <v>532000</v>
      </c>
    </row>
    <row r="2541" spans="1:12" ht="15" customHeight="1">
      <c r="A2541" t="s">
        <v>7814</v>
      </c>
      <c r="B2541" t="s">
        <v>5679</v>
      </c>
      <c r="C2541" t="s">
        <v>12</v>
      </c>
      <c r="D2541" t="s">
        <v>5680</v>
      </c>
      <c r="E2541" t="s">
        <v>1532</v>
      </c>
      <c r="F2541" t="s">
        <v>14</v>
      </c>
      <c r="G2541" t="s">
        <v>22</v>
      </c>
      <c r="I2541">
        <v>23321000</v>
      </c>
      <c r="J2541">
        <v>16496000</v>
      </c>
      <c r="K2541">
        <v>22731000</v>
      </c>
      <c r="L2541">
        <v>17938000</v>
      </c>
    </row>
    <row r="2542" spans="1:12" ht="15" customHeight="1">
      <c r="A2542" t="s">
        <v>7815</v>
      </c>
      <c r="B2542" t="s">
        <v>5681</v>
      </c>
      <c r="C2542" t="s">
        <v>12</v>
      </c>
      <c r="D2542" t="s">
        <v>5682</v>
      </c>
      <c r="E2542" t="s">
        <v>1532</v>
      </c>
      <c r="F2542" t="s">
        <v>14</v>
      </c>
      <c r="G2542" t="s">
        <v>22</v>
      </c>
      <c r="I2542">
        <v>8030000</v>
      </c>
      <c r="J2542">
        <v>12003000</v>
      </c>
      <c r="K2542">
        <v>5350000</v>
      </c>
      <c r="L2542">
        <v>13763000</v>
      </c>
    </row>
    <row r="2543" spans="1:12" ht="15" customHeight="1">
      <c r="A2543" t="s">
        <v>7816</v>
      </c>
      <c r="B2543" t="s">
        <v>5683</v>
      </c>
      <c r="C2543" t="s">
        <v>12</v>
      </c>
      <c r="D2543" t="s">
        <v>5684</v>
      </c>
      <c r="E2543" t="s">
        <v>1520</v>
      </c>
      <c r="F2543" t="s">
        <v>14</v>
      </c>
      <c r="G2543" t="s">
        <v>18</v>
      </c>
      <c r="I2543">
        <v>1930000</v>
      </c>
      <c r="J2543">
        <v>3245000</v>
      </c>
      <c r="K2543">
        <v>1948000</v>
      </c>
      <c r="L2543">
        <v>3233000</v>
      </c>
    </row>
    <row r="2544" spans="1:12" ht="15" customHeight="1">
      <c r="A2544" t="s">
        <v>7817</v>
      </c>
      <c r="B2544" t="s">
        <v>5685</v>
      </c>
      <c r="C2544" t="s">
        <v>12</v>
      </c>
      <c r="D2544" t="s">
        <v>5686</v>
      </c>
      <c r="E2544" t="s">
        <v>1532</v>
      </c>
      <c r="F2544" t="s">
        <v>25</v>
      </c>
      <c r="G2544" t="s">
        <v>18</v>
      </c>
      <c r="I2544">
        <v>48550000</v>
      </c>
      <c r="J2544">
        <v>41700000</v>
      </c>
      <c r="K2544">
        <v>50669000</v>
      </c>
      <c r="L2544">
        <v>43361000</v>
      </c>
    </row>
    <row r="2545" spans="1:12" ht="15" customHeight="1">
      <c r="A2545" t="s">
        <v>7818</v>
      </c>
      <c r="B2545" t="s">
        <v>5687</v>
      </c>
      <c r="C2545" t="s">
        <v>12</v>
      </c>
      <c r="D2545" t="s">
        <v>5688</v>
      </c>
      <c r="E2545" t="s">
        <v>1532</v>
      </c>
      <c r="F2545" t="s">
        <v>14</v>
      </c>
      <c r="G2545" t="s">
        <v>18</v>
      </c>
    </row>
    <row r="2546" spans="1:12" ht="15" customHeight="1">
      <c r="A2546" t="s">
        <v>7819</v>
      </c>
      <c r="B2546" t="s">
        <v>5689</v>
      </c>
      <c r="C2546" t="s">
        <v>12</v>
      </c>
      <c r="D2546" t="s">
        <v>5690</v>
      </c>
      <c r="E2546" t="s">
        <v>1560</v>
      </c>
      <c r="F2546" t="s">
        <v>25</v>
      </c>
      <c r="G2546" t="s">
        <v>18</v>
      </c>
    </row>
    <row r="2547" spans="1:12" ht="15" customHeight="1">
      <c r="A2547" t="s">
        <v>7820</v>
      </c>
      <c r="B2547" t="s">
        <v>5691</v>
      </c>
      <c r="C2547" t="s">
        <v>12</v>
      </c>
      <c r="D2547" t="s">
        <v>5692</v>
      </c>
      <c r="E2547" t="s">
        <v>1532</v>
      </c>
      <c r="F2547" t="s">
        <v>25</v>
      </c>
      <c r="G2547" t="s">
        <v>22</v>
      </c>
    </row>
    <row r="2548" spans="1:12" ht="15" customHeight="1">
      <c r="A2548" t="s">
        <v>7821</v>
      </c>
      <c r="B2548" t="s">
        <v>5693</v>
      </c>
      <c r="C2548" t="s">
        <v>12</v>
      </c>
      <c r="D2548" t="s">
        <v>5694</v>
      </c>
      <c r="E2548" t="s">
        <v>1547</v>
      </c>
      <c r="F2548" t="s">
        <v>14</v>
      </c>
      <c r="G2548" t="s">
        <v>22</v>
      </c>
      <c r="J2548">
        <v>16406000</v>
      </c>
      <c r="L2548">
        <v>17056000</v>
      </c>
    </row>
    <row r="2549" spans="1:12" ht="15" customHeight="1">
      <c r="A2549" t="s">
        <v>7822</v>
      </c>
      <c r="B2549" t="s">
        <v>5695</v>
      </c>
      <c r="C2549" t="s">
        <v>12</v>
      </c>
      <c r="D2549" t="s">
        <v>5696</v>
      </c>
      <c r="E2549" t="s">
        <v>1767</v>
      </c>
      <c r="F2549" t="s">
        <v>25</v>
      </c>
      <c r="G2549" t="s">
        <v>18</v>
      </c>
      <c r="I2549">
        <v>925000</v>
      </c>
      <c r="J2549">
        <v>800000</v>
      </c>
      <c r="K2549">
        <v>1035000</v>
      </c>
      <c r="L2549">
        <v>740000</v>
      </c>
    </row>
    <row r="2550" spans="1:12" ht="15" customHeight="1">
      <c r="A2550" t="s">
        <v>7823</v>
      </c>
      <c r="B2550" t="s">
        <v>5697</v>
      </c>
      <c r="C2550" t="s">
        <v>12</v>
      </c>
      <c r="D2550" t="s">
        <v>5698</v>
      </c>
      <c r="E2550" t="s">
        <v>1661</v>
      </c>
      <c r="F2550" t="s">
        <v>14</v>
      </c>
      <c r="G2550" t="s">
        <v>18</v>
      </c>
      <c r="I2550">
        <v>684000</v>
      </c>
      <c r="J2550">
        <v>544000</v>
      </c>
      <c r="K2550">
        <v>775000</v>
      </c>
      <c r="L2550">
        <v>588000</v>
      </c>
    </row>
    <row r="2551" spans="1:12" ht="15" customHeight="1">
      <c r="A2551" t="s">
        <v>7824</v>
      </c>
      <c r="B2551" t="s">
        <v>5699</v>
      </c>
      <c r="C2551" t="s">
        <v>12</v>
      </c>
      <c r="D2551" t="s">
        <v>5700</v>
      </c>
      <c r="E2551" t="s">
        <v>1505</v>
      </c>
      <c r="F2551" t="s">
        <v>25</v>
      </c>
      <c r="G2551" t="s">
        <v>18</v>
      </c>
    </row>
    <row r="2552" spans="1:12" ht="15" customHeight="1">
      <c r="A2552" t="s">
        <v>7825</v>
      </c>
      <c r="B2552" t="s">
        <v>5701</v>
      </c>
      <c r="C2552" t="s">
        <v>12</v>
      </c>
      <c r="D2552" t="s">
        <v>5702</v>
      </c>
      <c r="E2552" t="s">
        <v>1516</v>
      </c>
      <c r="F2552" t="s">
        <v>14</v>
      </c>
      <c r="G2552" t="s">
        <v>302</v>
      </c>
      <c r="H2552" t="s">
        <v>280</v>
      </c>
      <c r="I2552">
        <v>803889000</v>
      </c>
      <c r="J2552">
        <v>995636000</v>
      </c>
      <c r="K2552">
        <v>797290000</v>
      </c>
      <c r="L2552">
        <v>985164000</v>
      </c>
    </row>
    <row r="2553" spans="1:12" ht="15" customHeight="1">
      <c r="A2553" t="s">
        <v>7826</v>
      </c>
      <c r="B2553" t="s">
        <v>5703</v>
      </c>
      <c r="C2553" t="s">
        <v>12</v>
      </c>
      <c r="D2553" t="s">
        <v>5704</v>
      </c>
      <c r="E2553" t="s">
        <v>1618</v>
      </c>
      <c r="F2553" t="s">
        <v>14</v>
      </c>
      <c r="G2553" t="s">
        <v>18</v>
      </c>
    </row>
    <row r="2554" spans="1:12" ht="15" customHeight="1">
      <c r="A2554" t="s">
        <v>7827</v>
      </c>
      <c r="B2554" t="s">
        <v>5705</v>
      </c>
      <c r="C2554" t="s">
        <v>12</v>
      </c>
      <c r="D2554" t="s">
        <v>5706</v>
      </c>
      <c r="E2554" t="s">
        <v>1629</v>
      </c>
      <c r="F2554" t="s">
        <v>25</v>
      </c>
      <c r="G2554" t="s">
        <v>18</v>
      </c>
    </row>
    <row r="2555" spans="1:12" ht="15" customHeight="1">
      <c r="A2555" t="s">
        <v>7828</v>
      </c>
      <c r="B2555" t="s">
        <v>5707</v>
      </c>
      <c r="C2555" t="s">
        <v>12</v>
      </c>
      <c r="D2555" t="s">
        <v>5708</v>
      </c>
      <c r="E2555" t="s">
        <v>1767</v>
      </c>
      <c r="F2555" t="s">
        <v>14</v>
      </c>
      <c r="G2555" t="s">
        <v>18</v>
      </c>
      <c r="J2555">
        <v>613000</v>
      </c>
      <c r="L2555">
        <v>979000</v>
      </c>
    </row>
    <row r="2556" spans="1:12" ht="15" customHeight="1">
      <c r="A2556" t="s">
        <v>7829</v>
      </c>
      <c r="B2556" t="s">
        <v>5709</v>
      </c>
      <c r="C2556" t="s">
        <v>12</v>
      </c>
      <c r="D2556" t="s">
        <v>5710</v>
      </c>
      <c r="E2556" t="s">
        <v>1754</v>
      </c>
      <c r="F2556" t="s">
        <v>14</v>
      </c>
      <c r="G2556" t="s">
        <v>18</v>
      </c>
    </row>
    <row r="2557" spans="1:12" ht="15" customHeight="1">
      <c r="A2557" t="s">
        <v>7830</v>
      </c>
      <c r="B2557" t="s">
        <v>5711</v>
      </c>
      <c r="C2557" t="s">
        <v>12</v>
      </c>
      <c r="D2557" t="s">
        <v>5712</v>
      </c>
      <c r="E2557" t="s">
        <v>1565</v>
      </c>
      <c r="F2557" t="s">
        <v>25</v>
      </c>
      <c r="G2557" t="s">
        <v>18</v>
      </c>
      <c r="I2557">
        <v>15604000</v>
      </c>
      <c r="J2557">
        <v>2389000</v>
      </c>
      <c r="K2557">
        <v>15641000</v>
      </c>
      <c r="L2557">
        <v>2362000</v>
      </c>
    </row>
    <row r="2558" spans="1:12" ht="15" customHeight="1">
      <c r="A2558" t="s">
        <v>7831</v>
      </c>
      <c r="B2558" t="s">
        <v>5713</v>
      </c>
      <c r="C2558" t="s">
        <v>12</v>
      </c>
      <c r="D2558" t="s">
        <v>5714</v>
      </c>
      <c r="E2558" t="s">
        <v>1754</v>
      </c>
      <c r="F2558" t="s">
        <v>14</v>
      </c>
      <c r="G2558" t="s">
        <v>18</v>
      </c>
    </row>
    <row r="2559" spans="1:12" ht="15" customHeight="1">
      <c r="A2559" t="s">
        <v>7832</v>
      </c>
      <c r="B2559" t="s">
        <v>5715</v>
      </c>
      <c r="C2559" t="s">
        <v>12</v>
      </c>
      <c r="D2559" t="s">
        <v>5716</v>
      </c>
      <c r="E2559" t="s">
        <v>1520</v>
      </c>
      <c r="F2559" t="s">
        <v>14</v>
      </c>
      <c r="G2559" t="s">
        <v>18</v>
      </c>
      <c r="I2559">
        <v>9601000</v>
      </c>
      <c r="J2559">
        <v>9218000</v>
      </c>
      <c r="K2559">
        <v>8712000</v>
      </c>
      <c r="L2559">
        <v>8238000</v>
      </c>
    </row>
    <row r="2560" spans="1:12" ht="15" customHeight="1">
      <c r="A2560" t="s">
        <v>7832</v>
      </c>
      <c r="B2560" t="s">
        <v>5717</v>
      </c>
      <c r="C2560" t="s">
        <v>12</v>
      </c>
      <c r="D2560" t="s">
        <v>5718</v>
      </c>
      <c r="E2560" t="s">
        <v>1532</v>
      </c>
      <c r="F2560" t="s">
        <v>14</v>
      </c>
      <c r="G2560" t="s">
        <v>18</v>
      </c>
    </row>
    <row r="2561" spans="1:12" ht="15" customHeight="1">
      <c r="A2561" t="s">
        <v>7833</v>
      </c>
      <c r="B2561" t="s">
        <v>5719</v>
      </c>
      <c r="C2561" t="s">
        <v>12</v>
      </c>
      <c r="D2561" t="s">
        <v>5720</v>
      </c>
      <c r="E2561" t="s">
        <v>1518</v>
      </c>
      <c r="F2561" t="s">
        <v>14</v>
      </c>
      <c r="G2561" t="s">
        <v>18</v>
      </c>
    </row>
    <row r="2562" spans="1:12" ht="15" customHeight="1">
      <c r="A2562" t="s">
        <v>7833</v>
      </c>
      <c r="B2562" t="s">
        <v>5721</v>
      </c>
      <c r="C2562" t="s">
        <v>12</v>
      </c>
      <c r="D2562" t="s">
        <v>5722</v>
      </c>
      <c r="E2562" t="s">
        <v>1525</v>
      </c>
      <c r="F2562" t="s">
        <v>14</v>
      </c>
      <c r="G2562" t="s">
        <v>18</v>
      </c>
    </row>
    <row r="2563" spans="1:12" ht="15" customHeight="1">
      <c r="A2563" t="s">
        <v>7834</v>
      </c>
      <c r="B2563" t="s">
        <v>5723</v>
      </c>
      <c r="C2563" t="s">
        <v>12</v>
      </c>
      <c r="D2563" t="s">
        <v>5724</v>
      </c>
      <c r="E2563" t="s">
        <v>1532</v>
      </c>
      <c r="F2563" t="s">
        <v>14</v>
      </c>
      <c r="G2563" t="s">
        <v>18</v>
      </c>
      <c r="J2563">
        <v>1879000</v>
      </c>
      <c r="L2563">
        <v>1872000</v>
      </c>
    </row>
    <row r="2564" spans="1:12" ht="15" customHeight="1">
      <c r="A2564" t="s">
        <v>7835</v>
      </c>
      <c r="B2564" t="s">
        <v>5725</v>
      </c>
      <c r="C2564" t="s">
        <v>12</v>
      </c>
      <c r="D2564" t="s">
        <v>5726</v>
      </c>
      <c r="E2564" t="s">
        <v>1579</v>
      </c>
      <c r="F2564" t="s">
        <v>25</v>
      </c>
      <c r="G2564" t="s">
        <v>18</v>
      </c>
      <c r="I2564">
        <v>50000</v>
      </c>
      <c r="K2564">
        <v>50000</v>
      </c>
    </row>
    <row r="2565" spans="1:12" ht="15" customHeight="1">
      <c r="A2565" t="s">
        <v>7836</v>
      </c>
      <c r="B2565" t="s">
        <v>5727</v>
      </c>
      <c r="C2565" t="s">
        <v>12</v>
      </c>
      <c r="D2565" t="s">
        <v>5728</v>
      </c>
      <c r="E2565" t="s">
        <v>1580</v>
      </c>
      <c r="F2565" t="s">
        <v>14</v>
      </c>
      <c r="G2565" t="s">
        <v>18</v>
      </c>
      <c r="I2565">
        <v>569000</v>
      </c>
      <c r="J2565">
        <v>574000</v>
      </c>
      <c r="K2565">
        <v>809000</v>
      </c>
      <c r="L2565">
        <v>537000</v>
      </c>
    </row>
    <row r="2566" spans="1:12" ht="15" customHeight="1">
      <c r="A2566" t="s">
        <v>7837</v>
      </c>
      <c r="B2566" t="s">
        <v>5729</v>
      </c>
      <c r="C2566" t="s">
        <v>12</v>
      </c>
      <c r="D2566" t="s">
        <v>5730</v>
      </c>
      <c r="E2566" t="s">
        <v>1801</v>
      </c>
      <c r="F2566" t="s">
        <v>14</v>
      </c>
      <c r="G2566" t="s">
        <v>18</v>
      </c>
      <c r="I2566">
        <v>2816000</v>
      </c>
      <c r="J2566">
        <v>2987000</v>
      </c>
      <c r="K2566">
        <v>2593000</v>
      </c>
      <c r="L2566">
        <v>2810000</v>
      </c>
    </row>
    <row r="2567" spans="1:12" ht="15" customHeight="1">
      <c r="A2567" t="s">
        <v>7838</v>
      </c>
      <c r="B2567" t="s">
        <v>5731</v>
      </c>
      <c r="C2567" t="s">
        <v>12</v>
      </c>
      <c r="D2567" t="s">
        <v>5732</v>
      </c>
      <c r="E2567" t="s">
        <v>1898</v>
      </c>
      <c r="F2567" t="s">
        <v>14</v>
      </c>
      <c r="G2567" t="s">
        <v>18</v>
      </c>
      <c r="I2567">
        <v>3203000</v>
      </c>
      <c r="J2567">
        <v>2947000</v>
      </c>
      <c r="K2567">
        <v>2795000</v>
      </c>
      <c r="L2567">
        <v>3449000</v>
      </c>
    </row>
    <row r="2568" spans="1:12" ht="15" customHeight="1">
      <c r="A2568" t="s">
        <v>7839</v>
      </c>
      <c r="B2568" t="s">
        <v>5733</v>
      </c>
      <c r="C2568" t="s">
        <v>12</v>
      </c>
      <c r="D2568" t="s">
        <v>5734</v>
      </c>
      <c r="E2568" t="s">
        <v>1508</v>
      </c>
      <c r="F2568" t="s">
        <v>14</v>
      </c>
      <c r="G2568" t="s">
        <v>18</v>
      </c>
      <c r="J2568">
        <v>706000</v>
      </c>
      <c r="L2568">
        <v>682000</v>
      </c>
    </row>
    <row r="2569" spans="1:12" ht="15" customHeight="1">
      <c r="A2569" t="s">
        <v>7840</v>
      </c>
      <c r="B2569" t="s">
        <v>5735</v>
      </c>
      <c r="C2569" t="s">
        <v>12</v>
      </c>
      <c r="D2569" t="s">
        <v>5736</v>
      </c>
      <c r="E2569" t="s">
        <v>1532</v>
      </c>
      <c r="F2569" t="s">
        <v>14</v>
      </c>
      <c r="G2569" t="s">
        <v>18</v>
      </c>
      <c r="J2569">
        <v>29889000</v>
      </c>
      <c r="L2569">
        <v>26979000</v>
      </c>
    </row>
    <row r="2570" spans="1:12" ht="15" customHeight="1">
      <c r="A2570" t="s">
        <v>7841</v>
      </c>
      <c r="B2570" t="s">
        <v>5737</v>
      </c>
      <c r="C2570" t="s">
        <v>12</v>
      </c>
      <c r="D2570" t="s">
        <v>5738</v>
      </c>
      <c r="E2570" t="s">
        <v>1516</v>
      </c>
      <c r="F2570" t="s">
        <v>14</v>
      </c>
      <c r="G2570" t="s">
        <v>18</v>
      </c>
      <c r="I2570">
        <v>746000</v>
      </c>
      <c r="J2570">
        <v>875000</v>
      </c>
      <c r="K2570">
        <v>712000</v>
      </c>
      <c r="L2570">
        <v>1026000</v>
      </c>
    </row>
    <row r="2571" spans="1:12" ht="15" customHeight="1">
      <c r="A2571" t="s">
        <v>7842</v>
      </c>
      <c r="B2571" t="s">
        <v>5739</v>
      </c>
      <c r="C2571" t="s">
        <v>12</v>
      </c>
      <c r="D2571" t="s">
        <v>5740</v>
      </c>
      <c r="E2571" t="s">
        <v>1662</v>
      </c>
      <c r="F2571" t="s">
        <v>14</v>
      </c>
      <c r="G2571" t="s">
        <v>18</v>
      </c>
      <c r="I2571">
        <v>377000</v>
      </c>
    </row>
    <row r="2572" spans="1:12" ht="15" customHeight="1">
      <c r="A2572" t="s">
        <v>7843</v>
      </c>
      <c r="B2572" t="s">
        <v>5741</v>
      </c>
      <c r="C2572" t="s">
        <v>12</v>
      </c>
      <c r="D2572" t="s">
        <v>5742</v>
      </c>
      <c r="E2572" t="s">
        <v>1801</v>
      </c>
      <c r="F2572" t="s">
        <v>14</v>
      </c>
      <c r="G2572" t="s">
        <v>18</v>
      </c>
    </row>
    <row r="2573" spans="1:12" ht="15" customHeight="1">
      <c r="A2573" t="s">
        <v>7844</v>
      </c>
      <c r="B2573" t="s">
        <v>5743</v>
      </c>
      <c r="C2573" t="s">
        <v>12</v>
      </c>
      <c r="D2573" t="s">
        <v>5744</v>
      </c>
      <c r="E2573" t="s">
        <v>1579</v>
      </c>
      <c r="F2573" t="s">
        <v>14</v>
      </c>
      <c r="G2573" t="s">
        <v>18</v>
      </c>
    </row>
    <row r="2574" spans="1:12" ht="15" customHeight="1">
      <c r="A2574" t="s">
        <v>7845</v>
      </c>
      <c r="B2574" t="s">
        <v>5745</v>
      </c>
      <c r="C2574" t="s">
        <v>12</v>
      </c>
      <c r="D2574" t="s">
        <v>5746</v>
      </c>
      <c r="E2574" t="s">
        <v>1512</v>
      </c>
      <c r="F2574" t="s">
        <v>25</v>
      </c>
      <c r="G2574" t="s">
        <v>18</v>
      </c>
      <c r="I2574">
        <v>15687000</v>
      </c>
      <c r="J2574">
        <v>15528000</v>
      </c>
      <c r="K2574">
        <v>16605000</v>
      </c>
      <c r="L2574">
        <v>14387000</v>
      </c>
    </row>
    <row r="2575" spans="1:12" ht="15" customHeight="1">
      <c r="A2575" t="s">
        <v>7846</v>
      </c>
      <c r="B2575" t="s">
        <v>5747</v>
      </c>
      <c r="C2575" t="s">
        <v>12</v>
      </c>
      <c r="D2575" t="s">
        <v>5748</v>
      </c>
      <c r="E2575" t="s">
        <v>1512</v>
      </c>
      <c r="F2575" t="s">
        <v>14</v>
      </c>
      <c r="G2575" t="s">
        <v>18</v>
      </c>
      <c r="I2575">
        <v>5072000</v>
      </c>
      <c r="J2575">
        <v>7504000</v>
      </c>
      <c r="K2575">
        <v>5210000</v>
      </c>
      <c r="L2575">
        <v>7688000</v>
      </c>
    </row>
    <row r="2576" spans="1:12" ht="15" customHeight="1">
      <c r="A2576" t="s">
        <v>7847</v>
      </c>
      <c r="B2576" t="s">
        <v>5749</v>
      </c>
      <c r="C2576" t="s">
        <v>12</v>
      </c>
      <c r="D2576" t="s">
        <v>5750</v>
      </c>
      <c r="E2576" t="s">
        <v>1525</v>
      </c>
      <c r="F2576" t="s">
        <v>14</v>
      </c>
      <c r="G2576" t="s">
        <v>18</v>
      </c>
      <c r="I2576">
        <v>1222000</v>
      </c>
      <c r="K2576">
        <v>1222000</v>
      </c>
    </row>
    <row r="2577" spans="1:12" ht="15" customHeight="1">
      <c r="A2577" t="s">
        <v>7848</v>
      </c>
      <c r="B2577" t="s">
        <v>5751</v>
      </c>
      <c r="C2577" t="s">
        <v>12</v>
      </c>
      <c r="D2577" t="s">
        <v>5752</v>
      </c>
      <c r="E2577" t="s">
        <v>1576</v>
      </c>
      <c r="F2577" t="s">
        <v>14</v>
      </c>
      <c r="G2577" t="s">
        <v>18</v>
      </c>
      <c r="J2577">
        <v>35000</v>
      </c>
      <c r="L2577">
        <v>35000</v>
      </c>
    </row>
    <row r="2578" spans="1:12" ht="15" customHeight="1">
      <c r="A2578" t="s">
        <v>7849</v>
      </c>
      <c r="B2578" t="s">
        <v>5753</v>
      </c>
      <c r="C2578" t="s">
        <v>12</v>
      </c>
      <c r="D2578" t="s">
        <v>5754</v>
      </c>
      <c r="E2578" t="s">
        <v>1595</v>
      </c>
      <c r="F2578" t="s">
        <v>14</v>
      </c>
      <c r="G2578" t="s">
        <v>22</v>
      </c>
      <c r="I2578">
        <v>82176000</v>
      </c>
      <c r="J2578">
        <v>37073000</v>
      </c>
      <c r="K2578">
        <v>20911000</v>
      </c>
      <c r="L2578">
        <v>29302000</v>
      </c>
    </row>
    <row r="2579" spans="1:12" ht="15" customHeight="1">
      <c r="A2579" t="s">
        <v>7850</v>
      </c>
      <c r="B2579" t="s">
        <v>5755</v>
      </c>
      <c r="C2579" t="s">
        <v>12</v>
      </c>
      <c r="D2579" t="s">
        <v>5756</v>
      </c>
      <c r="E2579" t="s">
        <v>1508</v>
      </c>
      <c r="F2579" t="s">
        <v>14</v>
      </c>
      <c r="G2579" t="s">
        <v>18</v>
      </c>
    </row>
    <row r="2580" spans="1:12" ht="15" customHeight="1">
      <c r="A2580" t="s">
        <v>7851</v>
      </c>
      <c r="B2580" t="s">
        <v>5757</v>
      </c>
      <c r="C2580" t="s">
        <v>12</v>
      </c>
      <c r="D2580" t="s">
        <v>5758</v>
      </c>
      <c r="E2580" t="s">
        <v>1508</v>
      </c>
      <c r="F2580" t="s">
        <v>14</v>
      </c>
      <c r="G2580" t="s">
        <v>18</v>
      </c>
      <c r="I2580">
        <v>1791000</v>
      </c>
      <c r="J2580">
        <v>1885000</v>
      </c>
      <c r="K2580">
        <v>1875000</v>
      </c>
      <c r="L2580">
        <v>1870000</v>
      </c>
    </row>
    <row r="2581" spans="1:12" ht="15" customHeight="1">
      <c r="A2581" t="s">
        <v>7852</v>
      </c>
      <c r="B2581" t="s">
        <v>5759</v>
      </c>
      <c r="C2581" t="s">
        <v>12</v>
      </c>
      <c r="D2581" t="s">
        <v>5760</v>
      </c>
      <c r="E2581" t="s">
        <v>1532</v>
      </c>
      <c r="F2581" t="s">
        <v>14</v>
      </c>
      <c r="G2581" t="s">
        <v>18</v>
      </c>
      <c r="J2581">
        <v>56000</v>
      </c>
      <c r="L2581">
        <v>34000</v>
      </c>
    </row>
    <row r="2582" spans="1:12" ht="15" customHeight="1">
      <c r="A2582" t="s">
        <v>7853</v>
      </c>
      <c r="B2582" t="s">
        <v>5761</v>
      </c>
      <c r="C2582" t="s">
        <v>12</v>
      </c>
      <c r="D2582" t="s">
        <v>5762</v>
      </c>
      <c r="E2582" t="s">
        <v>1579</v>
      </c>
      <c r="F2582" t="s">
        <v>14</v>
      </c>
      <c r="G2582" t="s">
        <v>18</v>
      </c>
      <c r="I2582">
        <v>64000</v>
      </c>
      <c r="J2582">
        <v>63000</v>
      </c>
      <c r="K2582">
        <v>64000</v>
      </c>
      <c r="L2582">
        <v>63000</v>
      </c>
    </row>
    <row r="2583" spans="1:12" ht="15" customHeight="1">
      <c r="A2583" t="s">
        <v>7854</v>
      </c>
      <c r="B2583" t="s">
        <v>5763</v>
      </c>
      <c r="C2583" t="s">
        <v>12</v>
      </c>
      <c r="D2583" t="s">
        <v>5764</v>
      </c>
      <c r="E2583" t="s">
        <v>1504</v>
      </c>
      <c r="F2583" t="s">
        <v>25</v>
      </c>
      <c r="G2583" t="s">
        <v>18</v>
      </c>
      <c r="K2583">
        <v>5000</v>
      </c>
    </row>
    <row r="2584" spans="1:12" ht="15" customHeight="1">
      <c r="A2584" t="s">
        <v>7855</v>
      </c>
      <c r="B2584" t="s">
        <v>5765</v>
      </c>
      <c r="C2584" t="s">
        <v>12</v>
      </c>
      <c r="D2584" t="s">
        <v>5766</v>
      </c>
      <c r="E2584" t="s">
        <v>1532</v>
      </c>
      <c r="F2584" t="s">
        <v>14</v>
      </c>
      <c r="G2584" t="s">
        <v>18</v>
      </c>
    </row>
    <row r="2585" spans="1:12" ht="15" customHeight="1">
      <c r="A2585" t="s">
        <v>7856</v>
      </c>
      <c r="B2585" t="s">
        <v>5767</v>
      </c>
      <c r="C2585" t="s">
        <v>12</v>
      </c>
      <c r="D2585" t="s">
        <v>5768</v>
      </c>
      <c r="E2585" t="s">
        <v>1526</v>
      </c>
      <c r="F2585" t="s">
        <v>14</v>
      </c>
      <c r="G2585" t="s">
        <v>18</v>
      </c>
      <c r="J2585">
        <v>498000</v>
      </c>
      <c r="L2585">
        <v>189000</v>
      </c>
    </row>
    <row r="2586" spans="1:12" ht="15" customHeight="1">
      <c r="A2586" t="s">
        <v>7857</v>
      </c>
      <c r="B2586" t="s">
        <v>5769</v>
      </c>
      <c r="C2586" t="s">
        <v>12</v>
      </c>
      <c r="D2586" t="s">
        <v>5770</v>
      </c>
      <c r="E2586" t="s">
        <v>1605</v>
      </c>
      <c r="F2586" t="s">
        <v>249</v>
      </c>
      <c r="G2586" t="s">
        <v>18</v>
      </c>
      <c r="J2586">
        <v>859000</v>
      </c>
      <c r="L2586">
        <v>3861000</v>
      </c>
    </row>
    <row r="2587" spans="1:12" ht="15" customHeight="1">
      <c r="A2587" t="s">
        <v>7858</v>
      </c>
      <c r="B2587" t="s">
        <v>5771</v>
      </c>
      <c r="C2587" t="s">
        <v>12</v>
      </c>
      <c r="D2587" t="s">
        <v>5772</v>
      </c>
      <c r="E2587" t="s">
        <v>1519</v>
      </c>
      <c r="F2587" t="s">
        <v>249</v>
      </c>
      <c r="G2587" t="s">
        <v>18</v>
      </c>
    </row>
    <row r="2588" spans="1:12" ht="15" customHeight="1">
      <c r="A2588" t="s">
        <v>7859</v>
      </c>
      <c r="B2588" t="s">
        <v>5773</v>
      </c>
      <c r="C2588" t="s">
        <v>12</v>
      </c>
      <c r="D2588" t="s">
        <v>5774</v>
      </c>
      <c r="E2588" t="s">
        <v>1509</v>
      </c>
      <c r="F2588" t="s">
        <v>14</v>
      </c>
      <c r="G2588" t="s">
        <v>18</v>
      </c>
      <c r="I2588">
        <v>49813000</v>
      </c>
      <c r="J2588">
        <v>43022000</v>
      </c>
      <c r="K2588">
        <v>46691000</v>
      </c>
      <c r="L2588">
        <v>44958000</v>
      </c>
    </row>
    <row r="2589" spans="1:12" ht="15" customHeight="1">
      <c r="A2589" t="s">
        <v>7860</v>
      </c>
      <c r="B2589" t="s">
        <v>5775</v>
      </c>
      <c r="C2589" t="s">
        <v>12</v>
      </c>
      <c r="D2589" t="s">
        <v>5776</v>
      </c>
      <c r="E2589" t="s">
        <v>1532</v>
      </c>
      <c r="F2589" t="s">
        <v>14</v>
      </c>
      <c r="G2589" t="s">
        <v>18</v>
      </c>
    </row>
    <row r="2590" spans="1:12" ht="15" customHeight="1">
      <c r="A2590" t="s">
        <v>7861</v>
      </c>
      <c r="B2590" t="s">
        <v>5777</v>
      </c>
      <c r="C2590" t="s">
        <v>12</v>
      </c>
      <c r="D2590" t="s">
        <v>5778</v>
      </c>
      <c r="E2590" t="s">
        <v>1516</v>
      </c>
      <c r="F2590" t="s">
        <v>14</v>
      </c>
      <c r="G2590" t="s">
        <v>18</v>
      </c>
      <c r="J2590">
        <v>2188000</v>
      </c>
      <c r="L2590">
        <v>2188000</v>
      </c>
    </row>
    <row r="2591" spans="1:12" ht="15" customHeight="1">
      <c r="A2591" t="s">
        <v>7862</v>
      </c>
      <c r="B2591" t="s">
        <v>5779</v>
      </c>
      <c r="C2591" t="s">
        <v>12</v>
      </c>
      <c r="D2591" t="s">
        <v>5780</v>
      </c>
      <c r="E2591" t="s">
        <v>1589</v>
      </c>
      <c r="F2591" t="s">
        <v>14</v>
      </c>
      <c r="G2591" t="s">
        <v>18</v>
      </c>
      <c r="J2591">
        <v>44035000</v>
      </c>
      <c r="L2591">
        <v>42539000</v>
      </c>
    </row>
    <row r="2592" spans="1:12" ht="15" customHeight="1">
      <c r="A2592" t="s">
        <v>7863</v>
      </c>
      <c r="B2592" t="s">
        <v>5781</v>
      </c>
      <c r="C2592" t="s">
        <v>12</v>
      </c>
      <c r="D2592" t="s">
        <v>5782</v>
      </c>
      <c r="E2592" t="s">
        <v>1532</v>
      </c>
      <c r="F2592" t="s">
        <v>14</v>
      </c>
      <c r="G2592" t="s">
        <v>18</v>
      </c>
    </row>
    <row r="2593" spans="1:12" ht="15" customHeight="1">
      <c r="A2593" t="s">
        <v>7864</v>
      </c>
      <c r="B2593" t="s">
        <v>5783</v>
      </c>
      <c r="C2593" t="s">
        <v>12</v>
      </c>
      <c r="D2593" t="s">
        <v>5784</v>
      </c>
      <c r="E2593" t="s">
        <v>1508</v>
      </c>
      <c r="F2593" t="s">
        <v>14</v>
      </c>
      <c r="G2593" t="s">
        <v>18</v>
      </c>
      <c r="I2593">
        <v>200000</v>
      </c>
      <c r="J2593">
        <v>134000</v>
      </c>
      <c r="K2593">
        <v>272000</v>
      </c>
      <c r="L2593">
        <v>174000</v>
      </c>
    </row>
    <row r="2594" spans="1:12" ht="15" customHeight="1">
      <c r="A2594" t="s">
        <v>7865</v>
      </c>
      <c r="B2594" t="s">
        <v>5785</v>
      </c>
      <c r="C2594" t="s">
        <v>12</v>
      </c>
      <c r="D2594" t="s">
        <v>5786</v>
      </c>
      <c r="E2594" t="s">
        <v>1509</v>
      </c>
      <c r="F2594" t="s">
        <v>25</v>
      </c>
      <c r="G2594" t="s">
        <v>23</v>
      </c>
      <c r="I2594">
        <v>17537000</v>
      </c>
      <c r="J2594">
        <v>9568000</v>
      </c>
      <c r="K2594">
        <v>17366000</v>
      </c>
      <c r="L2594">
        <v>10104000</v>
      </c>
    </row>
    <row r="2595" spans="1:12" ht="15" customHeight="1">
      <c r="A2595" t="s">
        <v>7866</v>
      </c>
      <c r="B2595" t="s">
        <v>5787</v>
      </c>
      <c r="C2595" t="s">
        <v>12</v>
      </c>
      <c r="D2595" t="s">
        <v>5788</v>
      </c>
      <c r="E2595" t="s">
        <v>1535</v>
      </c>
      <c r="F2595" t="s">
        <v>14</v>
      </c>
      <c r="G2595" t="s">
        <v>18</v>
      </c>
      <c r="I2595">
        <v>7328000</v>
      </c>
      <c r="J2595">
        <v>5899000</v>
      </c>
      <c r="K2595">
        <v>6879000</v>
      </c>
      <c r="L2595">
        <v>6269000</v>
      </c>
    </row>
    <row r="2596" spans="1:12" ht="15" customHeight="1">
      <c r="A2596" t="s">
        <v>7867</v>
      </c>
      <c r="B2596" t="s">
        <v>5789</v>
      </c>
      <c r="C2596" t="s">
        <v>12</v>
      </c>
      <c r="D2596" t="s">
        <v>5790</v>
      </c>
      <c r="E2596" t="s">
        <v>1544</v>
      </c>
      <c r="F2596" t="s">
        <v>25</v>
      </c>
      <c r="G2596" t="s">
        <v>18</v>
      </c>
    </row>
    <row r="2597" spans="1:12" ht="15" customHeight="1">
      <c r="A2597" t="s">
        <v>7868</v>
      </c>
      <c r="B2597" t="s">
        <v>5791</v>
      </c>
      <c r="C2597" t="s">
        <v>12</v>
      </c>
      <c r="D2597" t="s">
        <v>5792</v>
      </c>
      <c r="E2597" t="s">
        <v>1661</v>
      </c>
      <c r="F2597" t="s">
        <v>25</v>
      </c>
      <c r="G2597" t="s">
        <v>18</v>
      </c>
      <c r="I2597">
        <v>256000</v>
      </c>
      <c r="K2597">
        <v>243000</v>
      </c>
    </row>
    <row r="2598" spans="1:12" ht="15" customHeight="1">
      <c r="A2598" t="s">
        <v>7869</v>
      </c>
      <c r="B2598" t="s">
        <v>5793</v>
      </c>
      <c r="C2598" t="s">
        <v>12</v>
      </c>
      <c r="D2598" t="s">
        <v>5794</v>
      </c>
      <c r="E2598" t="s">
        <v>1868</v>
      </c>
      <c r="F2598" t="s">
        <v>14</v>
      </c>
      <c r="G2598" t="s">
        <v>77</v>
      </c>
      <c r="I2598">
        <v>12726000</v>
      </c>
      <c r="J2598">
        <v>9325000</v>
      </c>
      <c r="K2598">
        <v>12263000</v>
      </c>
      <c r="L2598">
        <v>10819000</v>
      </c>
    </row>
    <row r="2599" spans="1:12" ht="15" customHeight="1">
      <c r="A2599" t="s">
        <v>7870</v>
      </c>
      <c r="B2599" t="s">
        <v>5795</v>
      </c>
      <c r="C2599" t="s">
        <v>12</v>
      </c>
      <c r="D2599" t="s">
        <v>5796</v>
      </c>
      <c r="E2599" t="s">
        <v>1544</v>
      </c>
      <c r="F2599" t="s">
        <v>14</v>
      </c>
      <c r="G2599" t="s">
        <v>18</v>
      </c>
    </row>
    <row r="2600" spans="1:12" ht="15" customHeight="1">
      <c r="A2600" t="s">
        <v>7871</v>
      </c>
      <c r="B2600" t="s">
        <v>5797</v>
      </c>
      <c r="C2600" t="s">
        <v>12</v>
      </c>
      <c r="D2600" t="s">
        <v>5798</v>
      </c>
      <c r="E2600" t="s">
        <v>1532</v>
      </c>
      <c r="F2600" t="s">
        <v>25</v>
      </c>
      <c r="G2600" t="s">
        <v>18</v>
      </c>
      <c r="I2600">
        <v>4635000</v>
      </c>
      <c r="J2600">
        <v>6183000</v>
      </c>
      <c r="K2600">
        <v>4917000</v>
      </c>
      <c r="L2600">
        <v>5237000</v>
      </c>
    </row>
    <row r="2601" spans="1:12" ht="15" customHeight="1">
      <c r="A2601" t="s">
        <v>7872</v>
      </c>
      <c r="B2601" t="s">
        <v>5799</v>
      </c>
      <c r="C2601" t="s">
        <v>12</v>
      </c>
      <c r="D2601" t="s">
        <v>5800</v>
      </c>
      <c r="E2601" t="s">
        <v>1521</v>
      </c>
      <c r="F2601" t="s">
        <v>14</v>
      </c>
      <c r="G2601" t="s">
        <v>18</v>
      </c>
      <c r="I2601">
        <v>3141000</v>
      </c>
      <c r="K2601">
        <v>3090000</v>
      </c>
      <c r="L2601">
        <v>80000</v>
      </c>
    </row>
    <row r="2602" spans="1:12" ht="15" customHeight="1">
      <c r="A2602" t="s">
        <v>7873</v>
      </c>
      <c r="B2602" t="s">
        <v>5801</v>
      </c>
      <c r="C2602" t="s">
        <v>12</v>
      </c>
      <c r="D2602" t="s">
        <v>5802</v>
      </c>
      <c r="E2602" t="s">
        <v>1618</v>
      </c>
      <c r="F2602" t="s">
        <v>14</v>
      </c>
      <c r="G2602" t="s">
        <v>18</v>
      </c>
    </row>
    <row r="2603" spans="1:12" ht="15" customHeight="1">
      <c r="A2603" t="s">
        <v>7874</v>
      </c>
      <c r="B2603" t="s">
        <v>5803</v>
      </c>
      <c r="C2603" t="s">
        <v>12</v>
      </c>
      <c r="D2603" t="s">
        <v>5804</v>
      </c>
      <c r="E2603" t="s">
        <v>1512</v>
      </c>
      <c r="F2603" t="s">
        <v>14</v>
      </c>
      <c r="G2603" t="s">
        <v>18</v>
      </c>
      <c r="I2603">
        <v>2915000</v>
      </c>
      <c r="J2603">
        <v>2316000</v>
      </c>
      <c r="K2603">
        <v>2794000</v>
      </c>
      <c r="L2603">
        <v>2387000</v>
      </c>
    </row>
    <row r="2604" spans="1:12" ht="15" customHeight="1">
      <c r="A2604" t="s">
        <v>7875</v>
      </c>
      <c r="B2604" t="s">
        <v>5805</v>
      </c>
      <c r="C2604" t="s">
        <v>12</v>
      </c>
      <c r="D2604" t="s">
        <v>5806</v>
      </c>
      <c r="E2604" t="s">
        <v>1580</v>
      </c>
      <c r="F2604" t="s">
        <v>14</v>
      </c>
      <c r="G2604" t="s">
        <v>18</v>
      </c>
      <c r="I2604">
        <v>699000</v>
      </c>
      <c r="J2604">
        <v>497000</v>
      </c>
      <c r="K2604">
        <v>706000</v>
      </c>
      <c r="L2604">
        <v>495000</v>
      </c>
    </row>
    <row r="2605" spans="1:12" ht="15" customHeight="1">
      <c r="A2605" t="s">
        <v>7876</v>
      </c>
      <c r="B2605" t="s">
        <v>5807</v>
      </c>
      <c r="C2605" t="s">
        <v>12</v>
      </c>
      <c r="D2605" t="s">
        <v>5808</v>
      </c>
      <c r="E2605" t="s">
        <v>1524</v>
      </c>
      <c r="F2605" t="s">
        <v>14</v>
      </c>
      <c r="G2605" t="s">
        <v>18</v>
      </c>
    </row>
    <row r="2606" spans="1:12" ht="15" customHeight="1">
      <c r="A2606" t="s">
        <v>7877</v>
      </c>
      <c r="B2606" t="s">
        <v>5809</v>
      </c>
      <c r="C2606" t="s">
        <v>12</v>
      </c>
      <c r="D2606" t="s">
        <v>5810</v>
      </c>
      <c r="E2606" t="s">
        <v>1580</v>
      </c>
      <c r="F2606" t="s">
        <v>14</v>
      </c>
      <c r="G2606" t="s">
        <v>22</v>
      </c>
      <c r="J2606">
        <v>13074000</v>
      </c>
      <c r="L2606">
        <v>18655000</v>
      </c>
    </row>
    <row r="2607" spans="1:12" ht="15" customHeight="1">
      <c r="A2607" t="s">
        <v>7878</v>
      </c>
      <c r="B2607" t="s">
        <v>5811</v>
      </c>
      <c r="C2607" t="s">
        <v>12</v>
      </c>
      <c r="D2607" t="s">
        <v>5812</v>
      </c>
      <c r="E2607" t="s">
        <v>1518</v>
      </c>
      <c r="F2607" t="s">
        <v>14</v>
      </c>
      <c r="G2607" t="s">
        <v>18</v>
      </c>
      <c r="I2607">
        <v>39931000</v>
      </c>
      <c r="J2607">
        <v>34590000</v>
      </c>
      <c r="K2607">
        <v>40087000</v>
      </c>
      <c r="L2607">
        <v>49381000</v>
      </c>
    </row>
    <row r="2608" spans="1:12" ht="15" customHeight="1">
      <c r="A2608" t="s">
        <v>7879</v>
      </c>
      <c r="B2608" t="s">
        <v>5813</v>
      </c>
      <c r="C2608" t="s">
        <v>12</v>
      </c>
      <c r="D2608" t="s">
        <v>5814</v>
      </c>
      <c r="E2608" t="s">
        <v>1517</v>
      </c>
      <c r="F2608" t="s">
        <v>25</v>
      </c>
      <c r="G2608" t="s">
        <v>18</v>
      </c>
    </row>
    <row r="2609" spans="1:12" ht="15" customHeight="1">
      <c r="A2609" t="s">
        <v>7880</v>
      </c>
      <c r="B2609" t="s">
        <v>5815</v>
      </c>
      <c r="C2609" t="s">
        <v>12</v>
      </c>
      <c r="D2609" t="s">
        <v>5816</v>
      </c>
      <c r="E2609" t="s">
        <v>1576</v>
      </c>
      <c r="F2609" t="s">
        <v>14</v>
      </c>
      <c r="G2609" t="s">
        <v>18</v>
      </c>
    </row>
    <row r="2610" spans="1:12" ht="15" customHeight="1">
      <c r="A2610" t="s">
        <v>7881</v>
      </c>
      <c r="B2610" t="s">
        <v>5817</v>
      </c>
      <c r="C2610" t="s">
        <v>12</v>
      </c>
      <c r="D2610" t="s">
        <v>5818</v>
      </c>
      <c r="E2610" t="s">
        <v>1532</v>
      </c>
      <c r="F2610" t="s">
        <v>14</v>
      </c>
      <c r="G2610" t="s">
        <v>18</v>
      </c>
      <c r="I2610">
        <v>295000</v>
      </c>
      <c r="J2610">
        <v>931000</v>
      </c>
      <c r="K2610">
        <v>295000</v>
      </c>
      <c r="L2610">
        <v>863000</v>
      </c>
    </row>
    <row r="2611" spans="1:12" ht="15" customHeight="1">
      <c r="A2611" t="s">
        <v>7882</v>
      </c>
      <c r="B2611" t="s">
        <v>5819</v>
      </c>
      <c r="C2611" t="s">
        <v>12</v>
      </c>
      <c r="D2611" t="s">
        <v>5820</v>
      </c>
      <c r="E2611" t="s">
        <v>1525</v>
      </c>
      <c r="F2611" t="s">
        <v>14</v>
      </c>
      <c r="G2611" t="s">
        <v>18</v>
      </c>
    </row>
    <row r="2612" spans="1:12" ht="15" customHeight="1">
      <c r="A2612" t="s">
        <v>7883</v>
      </c>
      <c r="B2612" t="s">
        <v>5821</v>
      </c>
      <c r="C2612" t="s">
        <v>12</v>
      </c>
      <c r="D2612" t="s">
        <v>5822</v>
      </c>
      <c r="E2612" t="s">
        <v>1544</v>
      </c>
      <c r="F2612" t="s">
        <v>14</v>
      </c>
      <c r="G2612" t="s">
        <v>18</v>
      </c>
      <c r="J2612">
        <v>2015000</v>
      </c>
      <c r="L2612">
        <v>1279000</v>
      </c>
    </row>
    <row r="2613" spans="1:12" ht="15" customHeight="1">
      <c r="A2613" t="s">
        <v>7884</v>
      </c>
      <c r="B2613" t="s">
        <v>5823</v>
      </c>
      <c r="C2613" t="s">
        <v>12</v>
      </c>
      <c r="D2613" t="s">
        <v>5824</v>
      </c>
      <c r="E2613" t="s">
        <v>1519</v>
      </c>
      <c r="F2613" t="s">
        <v>14</v>
      </c>
      <c r="G2613" t="s">
        <v>18</v>
      </c>
    </row>
    <row r="2614" spans="1:12" ht="15" customHeight="1">
      <c r="A2614" t="s">
        <v>7885</v>
      </c>
      <c r="B2614" t="s">
        <v>5825</v>
      </c>
      <c r="C2614" t="s">
        <v>12</v>
      </c>
      <c r="D2614" t="s">
        <v>5826</v>
      </c>
      <c r="E2614" t="s">
        <v>1532</v>
      </c>
      <c r="F2614" t="s">
        <v>25</v>
      </c>
      <c r="G2614" t="s">
        <v>18</v>
      </c>
    </row>
    <row r="2615" spans="1:12" ht="15" customHeight="1">
      <c r="A2615" t="s">
        <v>7886</v>
      </c>
      <c r="B2615" t="s">
        <v>5827</v>
      </c>
      <c r="C2615" t="s">
        <v>12</v>
      </c>
      <c r="D2615" t="s">
        <v>5828</v>
      </c>
      <c r="E2615" t="s">
        <v>1508</v>
      </c>
      <c r="F2615" t="s">
        <v>14</v>
      </c>
      <c r="G2615" t="s">
        <v>77</v>
      </c>
      <c r="I2615">
        <v>21745000</v>
      </c>
      <c r="J2615">
        <v>41470000</v>
      </c>
      <c r="K2615">
        <v>22882000</v>
      </c>
      <c r="L2615">
        <v>40195000</v>
      </c>
    </row>
    <row r="2616" spans="1:12" ht="15" customHeight="1">
      <c r="A2616" t="s">
        <v>7887</v>
      </c>
      <c r="B2616" t="s">
        <v>5829</v>
      </c>
      <c r="C2616" t="s">
        <v>12</v>
      </c>
      <c r="D2616" t="s">
        <v>5830</v>
      </c>
      <c r="E2616" t="s">
        <v>1532</v>
      </c>
      <c r="F2616" t="s">
        <v>14</v>
      </c>
      <c r="G2616" t="s">
        <v>18</v>
      </c>
      <c r="I2616">
        <v>15065000</v>
      </c>
      <c r="J2616">
        <v>18720000</v>
      </c>
      <c r="K2616">
        <v>14492000</v>
      </c>
      <c r="L2616">
        <v>17665000</v>
      </c>
    </row>
    <row r="2617" spans="1:12" ht="15" customHeight="1">
      <c r="A2617" t="s">
        <v>7888</v>
      </c>
      <c r="B2617" t="s">
        <v>5831</v>
      </c>
      <c r="C2617" t="s">
        <v>12</v>
      </c>
      <c r="D2617" t="s">
        <v>5832</v>
      </c>
      <c r="E2617" t="s">
        <v>1754</v>
      </c>
      <c r="F2617" t="s">
        <v>14</v>
      </c>
      <c r="G2617" t="s">
        <v>18</v>
      </c>
    </row>
    <row r="2618" spans="1:12" ht="15" customHeight="1">
      <c r="A2618" t="s">
        <v>7889</v>
      </c>
      <c r="B2618" t="s">
        <v>5833</v>
      </c>
      <c r="C2618" t="s">
        <v>12</v>
      </c>
      <c r="D2618" t="s">
        <v>5834</v>
      </c>
      <c r="E2618" t="s">
        <v>1646</v>
      </c>
      <c r="F2618" t="s">
        <v>25</v>
      </c>
      <c r="G2618" t="s">
        <v>18</v>
      </c>
      <c r="I2618">
        <v>10000</v>
      </c>
      <c r="J2618">
        <v>33426000</v>
      </c>
      <c r="K2618">
        <v>10000</v>
      </c>
      <c r="L2618">
        <v>33428000</v>
      </c>
    </row>
  </sheetData>
  <autoFilter ref="A1:L2618" xr:uid="{00000000-0009-0000-0000-000001000000}"/>
  <hyperlinks>
    <hyperlink ref="A2" r:id="rId1" xr:uid="{00000000-0004-0000-0100-000002000000}"/>
    <hyperlink ref="A3" r:id="rId2" xr:uid="{00000000-0004-0000-0100-000006000000}"/>
    <hyperlink ref="A4" r:id="rId3" xr:uid="{00000000-0004-0000-0100-00000F000000}"/>
    <hyperlink ref="A5" r:id="rId4" xr:uid="{00000000-0004-0000-0100-000017000000}"/>
    <hyperlink ref="A6" r:id="rId5" xr:uid="{00000000-0004-0000-0100-000021000000}"/>
    <hyperlink ref="A7" r:id="rId6" xr:uid="{00000000-0004-0000-0100-000025000000}"/>
    <hyperlink ref="A8" r:id="rId7" xr:uid="{00000000-0004-0000-0100-000039000000}"/>
    <hyperlink ref="A9" r:id="rId8" xr:uid="{00000000-0004-0000-0100-000040000000}"/>
    <hyperlink ref="A10" r:id="rId9" xr:uid="{00000000-0004-0000-0100-000043000000}"/>
    <hyperlink ref="A11" r:id="rId10" xr:uid="{00000000-0004-0000-0100-00004A000000}"/>
    <hyperlink ref="A12" r:id="rId11" xr:uid="{00000000-0004-0000-0100-00004D000000}"/>
    <hyperlink ref="A13" r:id="rId12" xr:uid="{00000000-0004-0000-0100-000050000000}"/>
    <hyperlink ref="A14" r:id="rId13" xr:uid="{00000000-0004-0000-0100-000057000000}"/>
    <hyperlink ref="A15" r:id="rId14" xr:uid="{00000000-0004-0000-0100-00006B000000}"/>
    <hyperlink ref="A16" r:id="rId15" xr:uid="{00000000-0004-0000-0100-000070000000}"/>
    <hyperlink ref="A17" r:id="rId16" xr:uid="{00000000-0004-0000-0100-000078000000}"/>
    <hyperlink ref="A18" r:id="rId17" xr:uid="{00000000-0004-0000-0100-00007A000000}"/>
    <hyperlink ref="A19" r:id="rId18" xr:uid="{00000000-0004-0000-0100-00007C000000}"/>
    <hyperlink ref="A20" r:id="rId19" xr:uid="{00000000-0004-0000-0100-00007D000000}"/>
    <hyperlink ref="A21" r:id="rId20" xr:uid="{00000000-0004-0000-0100-000098000000}"/>
    <hyperlink ref="A22" r:id="rId21" xr:uid="{00000000-0004-0000-0100-00009E000000}"/>
    <hyperlink ref="A23" r:id="rId22" xr:uid="{00000000-0004-0000-0100-0000A6000000}"/>
    <hyperlink ref="A24" r:id="rId23" xr:uid="{00000000-0004-0000-0100-0000A7000000}"/>
    <hyperlink ref="A25" r:id="rId24" xr:uid="{00000000-0004-0000-0100-0000AD000000}"/>
    <hyperlink ref="A26" r:id="rId25" xr:uid="{00000000-0004-0000-0100-0000AF000000}"/>
    <hyperlink ref="A27" r:id="rId26" xr:uid="{00000000-0004-0000-0100-0000B8000000}"/>
    <hyperlink ref="A28" r:id="rId27" xr:uid="{00000000-0004-0000-0100-0000C0000000}"/>
    <hyperlink ref="A29" r:id="rId28" xr:uid="{00000000-0004-0000-0100-0000CB000000}"/>
    <hyperlink ref="A30" r:id="rId29" xr:uid="{00000000-0004-0000-0100-0000D0000000}"/>
    <hyperlink ref="A31" r:id="rId30" xr:uid="{00000000-0004-0000-0100-0000D5000000}"/>
    <hyperlink ref="A32" r:id="rId31" xr:uid="{00000000-0004-0000-0100-0000FB000000}"/>
    <hyperlink ref="A33" r:id="rId32" xr:uid="{00000000-0004-0000-0100-000000010000}"/>
    <hyperlink ref="A34" r:id="rId33" xr:uid="{00000000-0004-0000-0100-000002010000}"/>
    <hyperlink ref="A35" r:id="rId34" xr:uid="{00000000-0004-0000-0100-00000B010000}"/>
    <hyperlink ref="A36" r:id="rId35" xr:uid="{00000000-0004-0000-0100-000010010000}"/>
    <hyperlink ref="A37" r:id="rId36" xr:uid="{00000000-0004-0000-0100-000011010000}"/>
    <hyperlink ref="A38" r:id="rId37" xr:uid="{00000000-0004-0000-0100-00001D010000}"/>
    <hyperlink ref="A39" r:id="rId38" xr:uid="{00000000-0004-0000-0100-000020010000}"/>
    <hyperlink ref="A40" r:id="rId39" xr:uid="{00000000-0004-0000-0100-000021010000}"/>
    <hyperlink ref="A41" r:id="rId40" xr:uid="{00000000-0004-0000-0100-00002A010000}"/>
    <hyperlink ref="A42" r:id="rId41" xr:uid="{00000000-0004-0000-0100-000037010000}"/>
    <hyperlink ref="A43" r:id="rId42" xr:uid="{00000000-0004-0000-0100-00003B010000}"/>
    <hyperlink ref="A44" r:id="rId43" xr:uid="{00000000-0004-0000-0100-000046010000}"/>
    <hyperlink ref="A45" r:id="rId44" xr:uid="{00000000-0004-0000-0100-00004B010000}"/>
    <hyperlink ref="A46" r:id="rId45" xr:uid="{00000000-0004-0000-0100-00004F010000}"/>
    <hyperlink ref="A47" r:id="rId46" xr:uid="{00000000-0004-0000-0100-000056010000}"/>
    <hyperlink ref="A48" r:id="rId47" xr:uid="{00000000-0004-0000-0100-000060010000}"/>
    <hyperlink ref="A49" r:id="rId48" xr:uid="{00000000-0004-0000-0100-000063010000}"/>
    <hyperlink ref="A50" r:id="rId49" xr:uid="{00000000-0004-0000-0100-000066010000}"/>
    <hyperlink ref="A51" r:id="rId50" xr:uid="{00000000-0004-0000-0100-00008D010000}"/>
    <hyperlink ref="A52" r:id="rId51" xr:uid="{00000000-0004-0000-0100-000094010000}"/>
    <hyperlink ref="A53" r:id="rId52" xr:uid="{00000000-0004-0000-0100-00009E010000}"/>
    <hyperlink ref="A54" r:id="rId53" xr:uid="{00000000-0004-0000-0100-0000A2010000}"/>
    <hyperlink ref="A55" r:id="rId54" xr:uid="{00000000-0004-0000-0100-0000A3010000}"/>
    <hyperlink ref="A56" r:id="rId55" xr:uid="{00000000-0004-0000-0100-0000A7010000}"/>
    <hyperlink ref="A57" r:id="rId56" xr:uid="{00000000-0004-0000-0100-0000AA010000}"/>
    <hyperlink ref="A58" r:id="rId57" xr:uid="{00000000-0004-0000-0100-0000AD010000}"/>
    <hyperlink ref="A59" r:id="rId58" xr:uid="{00000000-0004-0000-0100-0000B0010000}"/>
    <hyperlink ref="A60" r:id="rId59" xr:uid="{00000000-0004-0000-0100-0000B6010000}"/>
    <hyperlink ref="A61" r:id="rId60" xr:uid="{00000000-0004-0000-0100-0000C8010000}"/>
    <hyperlink ref="A62" r:id="rId61" xr:uid="{00000000-0004-0000-0100-0000D3010000}"/>
    <hyperlink ref="A63" r:id="rId62" xr:uid="{00000000-0004-0000-0100-0000E5010000}"/>
    <hyperlink ref="A64" r:id="rId63" xr:uid="{00000000-0004-0000-0100-0000E6010000}"/>
    <hyperlink ref="A65" r:id="rId64" xr:uid="{00000000-0004-0000-0100-0000E9010000}"/>
    <hyperlink ref="A66" r:id="rId65" xr:uid="{00000000-0004-0000-0100-0000EA010000}"/>
    <hyperlink ref="A67" r:id="rId66" xr:uid="{00000000-0004-0000-0100-0000F9010000}"/>
    <hyperlink ref="A68" r:id="rId67" xr:uid="{00000000-0004-0000-0100-000009020000}"/>
    <hyperlink ref="A69" r:id="rId68" xr:uid="{00000000-0004-0000-0100-00000B020000}"/>
    <hyperlink ref="A70" r:id="rId69" xr:uid="{00000000-0004-0000-0100-000017020000}"/>
    <hyperlink ref="A71" r:id="rId70" xr:uid="{00000000-0004-0000-0100-000018020000}"/>
    <hyperlink ref="A72" r:id="rId71" xr:uid="{00000000-0004-0000-0100-00001D020000}"/>
    <hyperlink ref="A73" r:id="rId72" xr:uid="{00000000-0004-0000-0100-00002A020000}"/>
    <hyperlink ref="A74" r:id="rId73" xr:uid="{00000000-0004-0000-0100-000037020000}"/>
    <hyperlink ref="A75" r:id="rId74" xr:uid="{00000000-0004-0000-0100-000039020000}"/>
    <hyperlink ref="A76" r:id="rId75" xr:uid="{00000000-0004-0000-0100-00003E020000}"/>
    <hyperlink ref="A77" r:id="rId76" xr:uid="{00000000-0004-0000-0100-000041020000}"/>
    <hyperlink ref="A78" r:id="rId77" xr:uid="{00000000-0004-0000-0100-00004A020000}"/>
    <hyperlink ref="A79" r:id="rId78" xr:uid="{00000000-0004-0000-0100-00004E020000}"/>
    <hyperlink ref="A80" r:id="rId79" xr:uid="{00000000-0004-0000-0100-000065020000}"/>
    <hyperlink ref="A81" r:id="rId80" xr:uid="{00000000-0004-0000-0100-00006E020000}"/>
    <hyperlink ref="A82" r:id="rId81" xr:uid="{00000000-0004-0000-0100-00006F020000}"/>
    <hyperlink ref="A83" r:id="rId82" xr:uid="{00000000-0004-0000-0100-00007E020000}"/>
    <hyperlink ref="A84" r:id="rId83" xr:uid="{00000000-0004-0000-0100-000085020000}"/>
    <hyperlink ref="A85" r:id="rId84" xr:uid="{00000000-0004-0000-0100-000087020000}"/>
    <hyperlink ref="A86" r:id="rId85" xr:uid="{00000000-0004-0000-0100-00009A020000}"/>
    <hyperlink ref="A87" r:id="rId86" xr:uid="{00000000-0004-0000-0100-00009F020000}"/>
    <hyperlink ref="A88" r:id="rId87" xr:uid="{00000000-0004-0000-0100-0000A3020000}"/>
    <hyperlink ref="A89" r:id="rId88" xr:uid="{00000000-0004-0000-0100-0000A7020000}"/>
    <hyperlink ref="A90" r:id="rId89" xr:uid="{00000000-0004-0000-0100-0000A8020000}"/>
    <hyperlink ref="A91" r:id="rId90" xr:uid="{00000000-0004-0000-0100-0000B7020000}"/>
    <hyperlink ref="A92" r:id="rId91" xr:uid="{00000000-0004-0000-0100-0000BA020000}"/>
    <hyperlink ref="A93" r:id="rId92" xr:uid="{00000000-0004-0000-0100-0000C2020000}"/>
    <hyperlink ref="A94" r:id="rId93" xr:uid="{00000000-0004-0000-0100-0000EB020000}"/>
    <hyperlink ref="A95" r:id="rId94" xr:uid="{00000000-0004-0000-0100-0000F2020000}"/>
    <hyperlink ref="A96" r:id="rId95" xr:uid="{00000000-0004-0000-0100-0000F8020000}"/>
    <hyperlink ref="A97" r:id="rId96" xr:uid="{00000000-0004-0000-0100-000009030000}"/>
    <hyperlink ref="A98" r:id="rId97" xr:uid="{00000000-0004-0000-0100-00000B030000}"/>
    <hyperlink ref="A99" r:id="rId98" xr:uid="{00000000-0004-0000-0100-000021030000}"/>
    <hyperlink ref="A100" r:id="rId99" xr:uid="{00000000-0004-0000-0100-000028030000}"/>
    <hyperlink ref="A101" r:id="rId100" xr:uid="{00000000-0004-0000-0100-000029030000}"/>
    <hyperlink ref="A102" r:id="rId101" xr:uid="{00000000-0004-0000-0100-00002F030000}"/>
    <hyperlink ref="A103" r:id="rId102" xr:uid="{00000000-0004-0000-0100-000035030000}"/>
    <hyperlink ref="A104" r:id="rId103" xr:uid="{00000000-0004-0000-0100-000038030000}"/>
    <hyperlink ref="A105" r:id="rId104" xr:uid="{00000000-0004-0000-0100-00003B030000}"/>
    <hyperlink ref="A106" r:id="rId105" xr:uid="{00000000-0004-0000-0100-000041030000}"/>
    <hyperlink ref="A107" r:id="rId106" xr:uid="{00000000-0004-0000-0100-000043030000}"/>
    <hyperlink ref="A108" r:id="rId107" xr:uid="{00000000-0004-0000-0100-00006A030000}"/>
    <hyperlink ref="A109" r:id="rId108" xr:uid="{00000000-0004-0000-0100-00006D030000}"/>
    <hyperlink ref="A110" r:id="rId109" xr:uid="{00000000-0004-0000-0100-000075030000}"/>
    <hyperlink ref="A111" r:id="rId110" xr:uid="{00000000-0004-0000-0100-00008B030000}"/>
    <hyperlink ref="A112" r:id="rId111" xr:uid="{00000000-0004-0000-0100-000091030000}"/>
    <hyperlink ref="A113" r:id="rId112" xr:uid="{00000000-0004-0000-0100-000094030000}"/>
    <hyperlink ref="A114" r:id="rId113" xr:uid="{00000000-0004-0000-0100-0000A5030000}"/>
    <hyperlink ref="A115" r:id="rId114" xr:uid="{00000000-0004-0000-0100-0000A7030000}"/>
    <hyperlink ref="A116" r:id="rId115" xr:uid="{00000000-0004-0000-0100-0000A8030000}"/>
    <hyperlink ref="A117" r:id="rId116" xr:uid="{00000000-0004-0000-0100-0000AA030000}"/>
    <hyperlink ref="A118" r:id="rId117" xr:uid="{00000000-0004-0000-0100-0000B6030000}"/>
    <hyperlink ref="A119" r:id="rId118" xr:uid="{00000000-0004-0000-0100-0000B8030000}"/>
    <hyperlink ref="A120" r:id="rId119" xr:uid="{00000000-0004-0000-0100-0000BA030000}"/>
    <hyperlink ref="A121" r:id="rId120" xr:uid="{00000000-0004-0000-0100-0000BB030000}"/>
    <hyperlink ref="A122" r:id="rId121" xr:uid="{00000000-0004-0000-0100-0000BC030000}"/>
    <hyperlink ref="A123" r:id="rId122" xr:uid="{00000000-0004-0000-0100-0000BF030000}"/>
    <hyperlink ref="A124" r:id="rId123" xr:uid="{00000000-0004-0000-0100-0000C1030000}"/>
    <hyperlink ref="A125" r:id="rId124" xr:uid="{00000000-0004-0000-0100-0000C8030000}"/>
    <hyperlink ref="A126" r:id="rId125" xr:uid="{00000000-0004-0000-0100-0000C9030000}"/>
    <hyperlink ref="A127" r:id="rId126" xr:uid="{00000000-0004-0000-0100-0000CD030000}"/>
    <hyperlink ref="A128" r:id="rId127" xr:uid="{00000000-0004-0000-0100-0000D1030000}"/>
    <hyperlink ref="A129" r:id="rId128" xr:uid="{00000000-0004-0000-0100-0000DB030000}"/>
    <hyperlink ref="A130" r:id="rId129" xr:uid="{00000000-0004-0000-0100-0000DC030000}"/>
    <hyperlink ref="A131" r:id="rId130" xr:uid="{00000000-0004-0000-0100-0000E3030000}"/>
    <hyperlink ref="A132" r:id="rId131" xr:uid="{00000000-0004-0000-0100-0000E5030000}"/>
    <hyperlink ref="A133" r:id="rId132" xr:uid="{00000000-0004-0000-0100-0000E7030000}"/>
    <hyperlink ref="A134" r:id="rId133" xr:uid="{00000000-0004-0000-0100-0000E8030000}"/>
    <hyperlink ref="A135" r:id="rId134" xr:uid="{00000000-0004-0000-0100-0000EE030000}"/>
    <hyperlink ref="A136" r:id="rId135" xr:uid="{00000000-0004-0000-0100-0000F2030000}"/>
    <hyperlink ref="A137" r:id="rId136" xr:uid="{00000000-0004-0000-0100-0000F8030000}"/>
    <hyperlink ref="A138" r:id="rId137" xr:uid="{00000000-0004-0000-0100-0000FF030000}"/>
    <hyperlink ref="A139" r:id="rId138" xr:uid="{00000000-0004-0000-0100-000000040000}"/>
    <hyperlink ref="A140" r:id="rId139" xr:uid="{00000000-0004-0000-0100-000012040000}"/>
    <hyperlink ref="A141" r:id="rId140" xr:uid="{00000000-0004-0000-0100-000016040000}"/>
    <hyperlink ref="A142" r:id="rId141" xr:uid="{00000000-0004-0000-0100-000017040000}"/>
    <hyperlink ref="A143" r:id="rId142" xr:uid="{00000000-0004-0000-0100-00001F040000}"/>
    <hyperlink ref="A144" r:id="rId143" xr:uid="{00000000-0004-0000-0100-000020040000}"/>
    <hyperlink ref="A145" r:id="rId144" xr:uid="{00000000-0004-0000-0100-000038040000}"/>
    <hyperlink ref="A146" r:id="rId145" xr:uid="{00000000-0004-0000-0100-000043040000}"/>
    <hyperlink ref="A147" r:id="rId146" xr:uid="{00000000-0004-0000-0100-000047040000}"/>
    <hyperlink ref="A148" r:id="rId147" xr:uid="{00000000-0004-0000-0100-000053040000}"/>
    <hyperlink ref="A149" r:id="rId148" xr:uid="{00000000-0004-0000-0100-000055040000}"/>
    <hyperlink ref="A150" r:id="rId149" xr:uid="{00000000-0004-0000-0100-00005C040000}"/>
    <hyperlink ref="A151" r:id="rId150" xr:uid="{00000000-0004-0000-0100-00005F040000}"/>
    <hyperlink ref="A152" r:id="rId151" xr:uid="{00000000-0004-0000-0100-000061040000}"/>
    <hyperlink ref="A153" r:id="rId152" xr:uid="{00000000-0004-0000-0100-000075040000}"/>
    <hyperlink ref="A154" r:id="rId153" xr:uid="{00000000-0004-0000-0100-00008C040000}"/>
    <hyperlink ref="A155" r:id="rId154" xr:uid="{00000000-0004-0000-0100-000098040000}"/>
    <hyperlink ref="A156" r:id="rId155" xr:uid="{00000000-0004-0000-0100-00009C040000}"/>
    <hyperlink ref="A157" r:id="rId156" xr:uid="{00000000-0004-0000-0100-0000B1040000}"/>
    <hyperlink ref="A158" r:id="rId157" xr:uid="{00000000-0004-0000-0100-0000B2040000}"/>
    <hyperlink ref="A159" r:id="rId158" xr:uid="{00000000-0004-0000-0100-0000B4040000}"/>
    <hyperlink ref="A160" r:id="rId159" xr:uid="{00000000-0004-0000-0100-0000B6040000}"/>
    <hyperlink ref="A161" r:id="rId160" xr:uid="{00000000-0004-0000-0100-0000B8040000}"/>
    <hyperlink ref="A162" r:id="rId161" xr:uid="{00000000-0004-0000-0100-0000BD040000}"/>
    <hyperlink ref="A163" r:id="rId162" xr:uid="{00000000-0004-0000-0100-0000C2040000}"/>
    <hyperlink ref="A164" r:id="rId163" xr:uid="{00000000-0004-0000-0100-0000C6040000}"/>
    <hyperlink ref="A165" r:id="rId164" xr:uid="{00000000-0004-0000-0100-0000D1040000}"/>
    <hyperlink ref="A166" r:id="rId165" xr:uid="{00000000-0004-0000-0100-0000D4040000}"/>
    <hyperlink ref="A167" r:id="rId166" xr:uid="{00000000-0004-0000-0100-0000D8040000}"/>
    <hyperlink ref="A168" r:id="rId167" xr:uid="{00000000-0004-0000-0100-0000DF040000}"/>
    <hyperlink ref="A169" r:id="rId168" xr:uid="{00000000-0004-0000-0100-0000E4040000}"/>
    <hyperlink ref="A170" r:id="rId169" xr:uid="{00000000-0004-0000-0100-0000E6040000}"/>
    <hyperlink ref="A171" r:id="rId170" xr:uid="{00000000-0004-0000-0100-0000E7040000}"/>
    <hyperlink ref="A172" r:id="rId171" xr:uid="{00000000-0004-0000-0100-0000E8040000}"/>
    <hyperlink ref="A173" r:id="rId172" xr:uid="{00000000-0004-0000-0100-0000EB040000}"/>
    <hyperlink ref="A174" r:id="rId173" xr:uid="{00000000-0004-0000-0100-0000ED040000}"/>
    <hyperlink ref="A175" r:id="rId174" xr:uid="{00000000-0004-0000-0100-000002050000}"/>
    <hyperlink ref="A176" r:id="rId175" xr:uid="{00000000-0004-0000-0100-000004050000}"/>
    <hyperlink ref="A177" r:id="rId176" xr:uid="{00000000-0004-0000-0100-00000F050000}"/>
    <hyperlink ref="A178" r:id="rId177" xr:uid="{00000000-0004-0000-0100-000023050000}"/>
    <hyperlink ref="A179" r:id="rId178" xr:uid="{00000000-0004-0000-0100-00002F050000}"/>
    <hyperlink ref="A180" r:id="rId179" xr:uid="{00000000-0004-0000-0100-000034050000}"/>
    <hyperlink ref="A181" r:id="rId180" xr:uid="{00000000-0004-0000-0100-000036050000}"/>
    <hyperlink ref="A182" r:id="rId181" xr:uid="{00000000-0004-0000-0100-00003A050000}"/>
    <hyperlink ref="A183" r:id="rId182" xr:uid="{00000000-0004-0000-0100-00003D050000}"/>
    <hyperlink ref="A184" r:id="rId183" xr:uid="{00000000-0004-0000-0100-000047050000}"/>
    <hyperlink ref="A185" r:id="rId184" xr:uid="{00000000-0004-0000-0100-000058050000}"/>
    <hyperlink ref="A186" r:id="rId185" xr:uid="{00000000-0004-0000-0100-00005D050000}"/>
    <hyperlink ref="A187" r:id="rId186" xr:uid="{00000000-0004-0000-0100-000065050000}"/>
    <hyperlink ref="A188" r:id="rId187" xr:uid="{00000000-0004-0000-0100-000066050000}"/>
    <hyperlink ref="A189" r:id="rId188" xr:uid="{00000000-0004-0000-0100-00008F050000}"/>
    <hyperlink ref="A190" r:id="rId189" xr:uid="{00000000-0004-0000-0100-000093050000}"/>
    <hyperlink ref="A191" r:id="rId190" xr:uid="{00000000-0004-0000-0100-00009C050000}"/>
    <hyperlink ref="A192" r:id="rId191" xr:uid="{00000000-0004-0000-0100-0000A3050000}"/>
    <hyperlink ref="A193" r:id="rId192" xr:uid="{00000000-0004-0000-0100-0000AC050000}"/>
    <hyperlink ref="A194" r:id="rId193" xr:uid="{00000000-0004-0000-0100-0000AF050000}"/>
    <hyperlink ref="A195" r:id="rId194" xr:uid="{00000000-0004-0000-0100-0000B9050000}"/>
    <hyperlink ref="A196" r:id="rId195" xr:uid="{00000000-0004-0000-0100-0000D7050000}"/>
    <hyperlink ref="A197" r:id="rId196" xr:uid="{00000000-0004-0000-0100-0000E3050000}"/>
    <hyperlink ref="A198" r:id="rId197" xr:uid="{00000000-0004-0000-0100-0000EB050000}"/>
    <hyperlink ref="A199" r:id="rId198" xr:uid="{00000000-0004-0000-0100-0000FD050000}"/>
    <hyperlink ref="A200" r:id="rId199" xr:uid="{00000000-0004-0000-0100-000000060000}"/>
    <hyperlink ref="A201" r:id="rId200" xr:uid="{00000000-0004-0000-0100-000007060000}"/>
    <hyperlink ref="A202" r:id="rId201" xr:uid="{00000000-0004-0000-0100-000011060000}"/>
    <hyperlink ref="A203" r:id="rId202" xr:uid="{00000000-0004-0000-0100-000024060000}"/>
    <hyperlink ref="A204" r:id="rId203" xr:uid="{00000000-0004-0000-0100-00003E060000}"/>
    <hyperlink ref="A205" r:id="rId204" xr:uid="{00000000-0004-0000-0100-000040060000}"/>
    <hyperlink ref="A206" r:id="rId205" xr:uid="{00000000-0004-0000-0100-000041060000}"/>
    <hyperlink ref="A207" r:id="rId206" xr:uid="{00000000-0004-0000-0100-000049060000}"/>
    <hyperlink ref="A208" r:id="rId207" xr:uid="{00000000-0004-0000-0100-00004C060000}"/>
    <hyperlink ref="A209" r:id="rId208" xr:uid="{00000000-0004-0000-0100-00005C060000}"/>
    <hyperlink ref="A210" r:id="rId209" xr:uid="{00000000-0004-0000-0100-000062060000}"/>
    <hyperlink ref="A211" r:id="rId210" xr:uid="{00000000-0004-0000-0100-00006D060000}"/>
    <hyperlink ref="A212" r:id="rId211" xr:uid="{00000000-0004-0000-0100-000073060000}"/>
    <hyperlink ref="A213" r:id="rId212" xr:uid="{00000000-0004-0000-0100-000076060000}"/>
    <hyperlink ref="A214" r:id="rId213" xr:uid="{00000000-0004-0000-0100-000079060000}"/>
    <hyperlink ref="A215" r:id="rId214" xr:uid="{00000000-0004-0000-0100-00007C060000}"/>
    <hyperlink ref="A216" r:id="rId215" xr:uid="{00000000-0004-0000-0100-00007F060000}"/>
    <hyperlink ref="A217" r:id="rId216" xr:uid="{00000000-0004-0000-0100-000086060000}"/>
    <hyperlink ref="A218" r:id="rId217" xr:uid="{00000000-0004-0000-0100-00009C060000}"/>
    <hyperlink ref="A219" r:id="rId218" xr:uid="{00000000-0004-0000-0100-0000A4060000}"/>
    <hyperlink ref="A220" r:id="rId219" xr:uid="{00000000-0004-0000-0100-0000A6060000}"/>
    <hyperlink ref="A221" r:id="rId220" xr:uid="{00000000-0004-0000-0100-0000AA060000}"/>
    <hyperlink ref="A222" r:id="rId221" xr:uid="{00000000-0004-0000-0100-0000B2060000}"/>
    <hyperlink ref="A223" r:id="rId222" xr:uid="{00000000-0004-0000-0100-0000BB060000}"/>
    <hyperlink ref="A224" r:id="rId223" xr:uid="{00000000-0004-0000-0100-0000C3060000}"/>
    <hyperlink ref="A225" r:id="rId224" xr:uid="{00000000-0004-0000-0100-0000C5060000}"/>
    <hyperlink ref="A226" r:id="rId225" xr:uid="{00000000-0004-0000-0100-0000CF060000}"/>
    <hyperlink ref="A227" r:id="rId226" xr:uid="{00000000-0004-0000-0100-0000E3060000}"/>
    <hyperlink ref="A228" r:id="rId227" xr:uid="{00000000-0004-0000-0100-0000E7060000}"/>
    <hyperlink ref="A229" r:id="rId228" xr:uid="{00000000-0004-0000-0100-0000ED060000}"/>
    <hyperlink ref="A230" r:id="rId229" xr:uid="{00000000-0004-0000-0100-0000F9060000}"/>
    <hyperlink ref="A231" r:id="rId230" xr:uid="{00000000-0004-0000-0100-0000FF060000}"/>
    <hyperlink ref="A232" r:id="rId231" xr:uid="{00000000-0004-0000-0100-000004070000}"/>
    <hyperlink ref="A233" r:id="rId232" xr:uid="{00000000-0004-0000-0100-00000F070000}"/>
    <hyperlink ref="A234" r:id="rId233" xr:uid="{00000000-0004-0000-0100-000016070000}"/>
    <hyperlink ref="A235" r:id="rId234" xr:uid="{00000000-0004-0000-0100-00001C070000}"/>
    <hyperlink ref="A236" r:id="rId235" xr:uid="{00000000-0004-0000-0100-00001E070000}"/>
    <hyperlink ref="A237" r:id="rId236" xr:uid="{00000000-0004-0000-0100-00002A070000}"/>
    <hyperlink ref="A238" r:id="rId237" xr:uid="{00000000-0004-0000-0100-00002C070000}"/>
    <hyperlink ref="A239" r:id="rId238" xr:uid="{00000000-0004-0000-0100-000037070000}"/>
    <hyperlink ref="A240" r:id="rId239" xr:uid="{00000000-0004-0000-0100-000038070000}"/>
    <hyperlink ref="A241" r:id="rId240" xr:uid="{00000000-0004-0000-0100-00003B070000}"/>
    <hyperlink ref="A242" r:id="rId241" xr:uid="{00000000-0004-0000-0100-00003C070000}"/>
    <hyperlink ref="A243" r:id="rId242" xr:uid="{00000000-0004-0000-0100-000049070000}"/>
    <hyperlink ref="A244" r:id="rId243" xr:uid="{00000000-0004-0000-0100-00004F070000}"/>
    <hyperlink ref="A245" r:id="rId244" xr:uid="{00000000-0004-0000-0100-000060070000}"/>
    <hyperlink ref="A246" r:id="rId245" xr:uid="{00000000-0004-0000-0100-000062070000}"/>
    <hyperlink ref="A247" r:id="rId246" xr:uid="{00000000-0004-0000-0100-000068070000}"/>
    <hyperlink ref="A248" r:id="rId247" xr:uid="{00000000-0004-0000-0100-00006F070000}"/>
    <hyperlink ref="A249" r:id="rId248" xr:uid="{00000000-0004-0000-0100-000082070000}"/>
    <hyperlink ref="A250" r:id="rId249" xr:uid="{00000000-0004-0000-0100-000084070000}"/>
    <hyperlink ref="A251" r:id="rId250" xr:uid="{00000000-0004-0000-0100-000085070000}"/>
    <hyperlink ref="A252" r:id="rId251" xr:uid="{00000000-0004-0000-0100-000087070000}"/>
    <hyperlink ref="A253" r:id="rId252" xr:uid="{00000000-0004-0000-0100-00008E070000}"/>
    <hyperlink ref="A254" r:id="rId253" xr:uid="{00000000-0004-0000-0100-000095070000}"/>
    <hyperlink ref="A255" r:id="rId254" xr:uid="{00000000-0004-0000-0100-000097070000}"/>
    <hyperlink ref="A256" r:id="rId255" xr:uid="{00000000-0004-0000-0100-00009A070000}"/>
    <hyperlink ref="A257" r:id="rId256" xr:uid="{00000000-0004-0000-0100-0000A1070000}"/>
    <hyperlink ref="A258" r:id="rId257" xr:uid="{00000000-0004-0000-0100-0000A4070000}"/>
    <hyperlink ref="A259" r:id="rId258" xr:uid="{00000000-0004-0000-0100-0000B1070000}"/>
    <hyperlink ref="A260" r:id="rId259" xr:uid="{00000000-0004-0000-0100-0000BA070000}"/>
    <hyperlink ref="A261" r:id="rId260" xr:uid="{00000000-0004-0000-0100-0000BC070000}"/>
    <hyperlink ref="A262" r:id="rId261" xr:uid="{00000000-0004-0000-0100-0000C1070000}"/>
    <hyperlink ref="A263" r:id="rId262" xr:uid="{00000000-0004-0000-0100-0000C2070000}"/>
    <hyperlink ref="A264" r:id="rId263" xr:uid="{00000000-0004-0000-0100-0000D2070000}"/>
    <hyperlink ref="A265" r:id="rId264" xr:uid="{00000000-0004-0000-0100-0000E2070000}"/>
    <hyperlink ref="A266" r:id="rId265" xr:uid="{00000000-0004-0000-0100-0000E8070000}"/>
    <hyperlink ref="A267" r:id="rId266" xr:uid="{00000000-0004-0000-0100-0000FE070000}"/>
    <hyperlink ref="A268" r:id="rId267" xr:uid="{00000000-0004-0000-0100-000008080000}"/>
    <hyperlink ref="A269" r:id="rId268" xr:uid="{00000000-0004-0000-0100-00001D080000}"/>
    <hyperlink ref="A270" r:id="rId269" xr:uid="{00000000-0004-0000-0100-000031080000}"/>
    <hyperlink ref="A271" r:id="rId270" xr:uid="{00000000-0004-0000-0100-000035080000}"/>
    <hyperlink ref="A272" r:id="rId271" xr:uid="{00000000-0004-0000-0100-000038080000}"/>
    <hyperlink ref="A273" r:id="rId272" xr:uid="{00000000-0004-0000-0100-000039080000}"/>
    <hyperlink ref="A274" r:id="rId273" xr:uid="{00000000-0004-0000-0100-000040080000}"/>
    <hyperlink ref="A275" r:id="rId274" xr:uid="{00000000-0004-0000-0100-000048080000}"/>
    <hyperlink ref="A276" r:id="rId275" xr:uid="{00000000-0004-0000-0100-00004B080000}"/>
    <hyperlink ref="A277" r:id="rId276" xr:uid="{00000000-0004-0000-0100-000051080000}"/>
    <hyperlink ref="A278" r:id="rId277" xr:uid="{00000000-0004-0000-0100-000055080000}"/>
    <hyperlink ref="A279" r:id="rId278" xr:uid="{00000000-0004-0000-0100-000059080000}"/>
    <hyperlink ref="A280" r:id="rId279" xr:uid="{00000000-0004-0000-0100-00005A080000}"/>
    <hyperlink ref="A281" r:id="rId280" xr:uid="{00000000-0004-0000-0100-000060080000}"/>
    <hyperlink ref="A282" r:id="rId281" xr:uid="{00000000-0004-0000-0100-00006B080000}"/>
    <hyperlink ref="A283" r:id="rId282" xr:uid="{00000000-0004-0000-0100-00006E080000}"/>
    <hyperlink ref="A284" r:id="rId283" xr:uid="{00000000-0004-0000-0100-000070080000}"/>
    <hyperlink ref="A285" r:id="rId284" xr:uid="{00000000-0004-0000-0100-000075080000}"/>
    <hyperlink ref="A286" r:id="rId285" xr:uid="{00000000-0004-0000-0100-000077080000}"/>
    <hyperlink ref="A287" r:id="rId286" xr:uid="{00000000-0004-0000-0100-00007E080000}"/>
    <hyperlink ref="A288" r:id="rId287" xr:uid="{00000000-0004-0000-0100-000083080000}"/>
    <hyperlink ref="A289" r:id="rId288" xr:uid="{00000000-0004-0000-0100-000085080000}"/>
    <hyperlink ref="A290" r:id="rId289" xr:uid="{00000000-0004-0000-0100-0000A6080000}"/>
    <hyperlink ref="A291" r:id="rId290" xr:uid="{00000000-0004-0000-0100-0000AB080000}"/>
    <hyperlink ref="A292" r:id="rId291" xr:uid="{00000000-0004-0000-0100-0000B3080000}"/>
    <hyperlink ref="A293" r:id="rId292" xr:uid="{00000000-0004-0000-0100-0000C1080000}"/>
    <hyperlink ref="A294" r:id="rId293" xr:uid="{00000000-0004-0000-0100-0000C2080000}"/>
    <hyperlink ref="A295" r:id="rId294" xr:uid="{00000000-0004-0000-0100-0000E0080000}"/>
    <hyperlink ref="A296" r:id="rId295" xr:uid="{00000000-0004-0000-0100-0000E1080000}"/>
    <hyperlink ref="A297" r:id="rId296" xr:uid="{00000000-0004-0000-0100-0000E2080000}"/>
    <hyperlink ref="A298" r:id="rId297" xr:uid="{00000000-0004-0000-0100-0000E4080000}"/>
    <hyperlink ref="A299" r:id="rId298" xr:uid="{00000000-0004-0000-0100-0000EC080000}"/>
    <hyperlink ref="A300" r:id="rId299" xr:uid="{00000000-0004-0000-0100-0000FD080000}"/>
    <hyperlink ref="A301" r:id="rId300" xr:uid="{00000000-0004-0000-0100-000002090000}"/>
    <hyperlink ref="A302" r:id="rId301" xr:uid="{00000000-0004-0000-0100-000004090000}"/>
    <hyperlink ref="A303" r:id="rId302" xr:uid="{00000000-0004-0000-0100-000006090000}"/>
    <hyperlink ref="A304" r:id="rId303" xr:uid="{00000000-0004-0000-0100-00000C090000}"/>
    <hyperlink ref="A305" r:id="rId304" xr:uid="{00000000-0004-0000-0100-00000E090000}"/>
    <hyperlink ref="A306" r:id="rId305" xr:uid="{00000000-0004-0000-0100-000016090000}"/>
    <hyperlink ref="A307" r:id="rId306" xr:uid="{00000000-0004-0000-0100-000043090000}"/>
    <hyperlink ref="A308" r:id="rId307" xr:uid="{00000000-0004-0000-0100-00004A090000}"/>
    <hyperlink ref="A309" r:id="rId308" xr:uid="{00000000-0004-0000-0100-000055090000}"/>
    <hyperlink ref="A310" r:id="rId309" xr:uid="{00000000-0004-0000-0100-00005C090000}"/>
    <hyperlink ref="A311" r:id="rId310" xr:uid="{00000000-0004-0000-0100-000062090000}"/>
    <hyperlink ref="A312" r:id="rId311" xr:uid="{00000000-0004-0000-0100-00006F090000}"/>
    <hyperlink ref="A313" r:id="rId312" xr:uid="{00000000-0004-0000-0100-000078090000}"/>
    <hyperlink ref="A314" r:id="rId313" xr:uid="{00000000-0004-0000-0100-000087090000}"/>
    <hyperlink ref="A315" r:id="rId314" xr:uid="{00000000-0004-0000-0100-000088090000}"/>
    <hyperlink ref="A316" r:id="rId315" xr:uid="{00000000-0004-0000-0100-000089090000}"/>
    <hyperlink ref="A317" r:id="rId316" xr:uid="{00000000-0004-0000-0100-00008F090000}"/>
    <hyperlink ref="A318" r:id="rId317" xr:uid="{00000000-0004-0000-0100-000092090000}"/>
    <hyperlink ref="A319" r:id="rId318" xr:uid="{00000000-0004-0000-0100-000097090000}"/>
    <hyperlink ref="A320" r:id="rId319" xr:uid="{00000000-0004-0000-0100-00009E090000}"/>
    <hyperlink ref="A321" r:id="rId320" xr:uid="{00000000-0004-0000-0100-00009F090000}"/>
    <hyperlink ref="A322" r:id="rId321" xr:uid="{00000000-0004-0000-0100-0000A2090000}"/>
    <hyperlink ref="A323" r:id="rId322" xr:uid="{00000000-0004-0000-0100-0000AC090000}"/>
    <hyperlink ref="A324" r:id="rId323" xr:uid="{00000000-0004-0000-0100-0000B7090000}"/>
    <hyperlink ref="A325" r:id="rId324" xr:uid="{00000000-0004-0000-0100-0000B8090000}"/>
    <hyperlink ref="A326" r:id="rId325" xr:uid="{00000000-0004-0000-0100-0000B9090000}"/>
    <hyperlink ref="A327" r:id="rId326" xr:uid="{00000000-0004-0000-0100-0000CA090000}"/>
    <hyperlink ref="A328" r:id="rId327" xr:uid="{00000000-0004-0000-0100-0000D6090000}"/>
    <hyperlink ref="A329" r:id="rId328" xr:uid="{00000000-0004-0000-0100-0000DC090000}"/>
    <hyperlink ref="A330" r:id="rId329" xr:uid="{00000000-0004-0000-0100-0000DD090000}"/>
    <hyperlink ref="A331" r:id="rId330" xr:uid="{00000000-0004-0000-0100-0000E3090000}"/>
    <hyperlink ref="A332" r:id="rId331" xr:uid="{00000000-0004-0000-0100-0000E8090000}"/>
    <hyperlink ref="A333" r:id="rId332" xr:uid="{00000000-0004-0000-0100-0000E9090000}"/>
    <hyperlink ref="A334" r:id="rId333" xr:uid="{00000000-0004-0000-0100-0000EE090000}"/>
    <hyperlink ref="A335" r:id="rId334" xr:uid="{00000000-0004-0000-0100-0000F5090000}"/>
    <hyperlink ref="A336" r:id="rId335" xr:uid="{00000000-0004-0000-0100-0000110A0000}"/>
    <hyperlink ref="A337" r:id="rId336" xr:uid="{00000000-0004-0000-0100-00001C0A0000}"/>
    <hyperlink ref="A338" r:id="rId337" xr:uid="{00000000-0004-0000-0100-0000230A0000}"/>
    <hyperlink ref="A339" r:id="rId338" xr:uid="{00000000-0004-0000-0100-00002F0A0000}"/>
    <hyperlink ref="A340" r:id="rId339" xr:uid="{00000000-0004-0000-0100-0000300A0000}"/>
    <hyperlink ref="A341" r:id="rId340" xr:uid="{00000000-0004-0000-0100-0000360A0000}"/>
    <hyperlink ref="A342" r:id="rId341" xr:uid="{00000000-0004-0000-0100-00003B0A0000}"/>
    <hyperlink ref="A343" r:id="rId342" xr:uid="{00000000-0004-0000-0100-0000410A0000}"/>
    <hyperlink ref="A344" r:id="rId343" xr:uid="{00000000-0004-0000-0100-0000420A0000}"/>
    <hyperlink ref="A345" r:id="rId344" xr:uid="{00000000-0004-0000-0100-0000450A0000}"/>
    <hyperlink ref="A346" r:id="rId345" xr:uid="{00000000-0004-0000-0100-0000460A0000}"/>
    <hyperlink ref="A347" r:id="rId346" xr:uid="{00000000-0004-0000-0100-00004D0A0000}"/>
    <hyperlink ref="A348" r:id="rId347" xr:uid="{00000000-0004-0000-0100-00004F0A0000}"/>
    <hyperlink ref="A349" r:id="rId348" xr:uid="{00000000-0004-0000-0100-0000510A0000}"/>
    <hyperlink ref="A350" r:id="rId349" xr:uid="{00000000-0004-0000-0100-0000540A0000}"/>
    <hyperlink ref="A351" r:id="rId350" xr:uid="{00000000-0004-0000-0100-0000560A0000}"/>
    <hyperlink ref="A352" r:id="rId351" xr:uid="{00000000-0004-0000-0100-00005C0A0000}"/>
    <hyperlink ref="A353" r:id="rId352" xr:uid="{00000000-0004-0000-0100-0000650A0000}"/>
    <hyperlink ref="A354" r:id="rId353" xr:uid="{00000000-0004-0000-0100-00006E0A0000}"/>
    <hyperlink ref="A355" r:id="rId354" xr:uid="{00000000-0004-0000-0100-0000700A0000}"/>
    <hyperlink ref="A356" r:id="rId355" xr:uid="{00000000-0004-0000-0100-00007C0A0000}"/>
    <hyperlink ref="A357" r:id="rId356" xr:uid="{00000000-0004-0000-0100-0000800A0000}"/>
    <hyperlink ref="A358" r:id="rId357" xr:uid="{00000000-0004-0000-0100-00008D0A0000}"/>
    <hyperlink ref="A359" r:id="rId358" xr:uid="{00000000-0004-0000-0100-0000930A0000}"/>
    <hyperlink ref="A360" r:id="rId359" xr:uid="{00000000-0004-0000-0100-0000950A0000}"/>
    <hyperlink ref="A361" r:id="rId360" xr:uid="{00000000-0004-0000-0100-0000960A0000}"/>
    <hyperlink ref="A362" r:id="rId361" xr:uid="{00000000-0004-0000-0100-0000970A0000}"/>
    <hyperlink ref="A363" r:id="rId362" xr:uid="{00000000-0004-0000-0100-00009A0A0000}"/>
    <hyperlink ref="A364" r:id="rId363" xr:uid="{00000000-0004-0000-0100-00009C0A0000}"/>
    <hyperlink ref="A365" r:id="rId364" xr:uid="{00000000-0004-0000-0100-0000A20A0000}"/>
    <hyperlink ref="A366" r:id="rId365" xr:uid="{00000000-0004-0000-0100-0000A30A0000}"/>
    <hyperlink ref="A367" r:id="rId366" xr:uid="{00000000-0004-0000-0100-0000A50A0000}"/>
    <hyperlink ref="A368" r:id="rId367" xr:uid="{00000000-0004-0000-0100-0000AB0A0000}"/>
    <hyperlink ref="A369" r:id="rId368" xr:uid="{00000000-0004-0000-0100-0000AC0A0000}"/>
    <hyperlink ref="A370" r:id="rId369" xr:uid="{00000000-0004-0000-0100-0000AF0A0000}"/>
    <hyperlink ref="A371" r:id="rId370" xr:uid="{00000000-0004-0000-0100-0000B30A0000}"/>
    <hyperlink ref="A372" r:id="rId371" xr:uid="{00000000-0004-0000-0100-0000C50A0000}"/>
    <hyperlink ref="A373" r:id="rId372" xr:uid="{00000000-0004-0000-0100-0000CD0A0000}"/>
    <hyperlink ref="A374" r:id="rId373" xr:uid="{00000000-0004-0000-0100-0000CF0A0000}"/>
    <hyperlink ref="A375" r:id="rId374" xr:uid="{00000000-0004-0000-0100-0000D00A0000}"/>
    <hyperlink ref="A376" r:id="rId375" xr:uid="{00000000-0004-0000-0100-0000D30A0000}"/>
    <hyperlink ref="A377" r:id="rId376" xr:uid="{00000000-0004-0000-0100-0000EB0A0000}"/>
    <hyperlink ref="A378" r:id="rId377" xr:uid="{00000000-0004-0000-0100-0000F00A0000}"/>
    <hyperlink ref="A379" r:id="rId378" xr:uid="{00000000-0004-0000-0100-0000F10A0000}"/>
    <hyperlink ref="A380" r:id="rId379" xr:uid="{00000000-0004-0000-0100-0000F20A0000}"/>
    <hyperlink ref="A381" r:id="rId380" xr:uid="{00000000-0004-0000-0100-0000F30A0000}"/>
    <hyperlink ref="A382" r:id="rId381" xr:uid="{00000000-0004-0000-0100-00000E0B0000}"/>
    <hyperlink ref="A383" r:id="rId382" xr:uid="{00000000-0004-0000-0100-00001E0B0000}"/>
    <hyperlink ref="A384" r:id="rId383" xr:uid="{00000000-0004-0000-0100-0000260B0000}"/>
    <hyperlink ref="A385" r:id="rId384" xr:uid="{00000000-0004-0000-0100-00002B0B0000}"/>
    <hyperlink ref="A386" r:id="rId385" xr:uid="{00000000-0004-0000-0100-00002E0B0000}"/>
    <hyperlink ref="A387" r:id="rId386" xr:uid="{00000000-0004-0000-0100-0000350B0000}"/>
    <hyperlink ref="A388" r:id="rId387" xr:uid="{00000000-0004-0000-0100-0000460B0000}"/>
    <hyperlink ref="A389" r:id="rId388" xr:uid="{00000000-0004-0000-0100-00004E0B0000}"/>
    <hyperlink ref="A390" r:id="rId389" xr:uid="{00000000-0004-0000-0100-0000520B0000}"/>
    <hyperlink ref="A391" r:id="rId390" xr:uid="{00000000-0004-0000-0100-0000570B0000}"/>
    <hyperlink ref="A392" r:id="rId391" xr:uid="{00000000-0004-0000-0100-00005A0B0000}"/>
    <hyperlink ref="A393" r:id="rId392" xr:uid="{00000000-0004-0000-0100-00005E0B0000}"/>
    <hyperlink ref="A394" r:id="rId393" xr:uid="{00000000-0004-0000-0100-00006B0B0000}"/>
    <hyperlink ref="A395" r:id="rId394" xr:uid="{00000000-0004-0000-0100-00006E0B0000}"/>
    <hyperlink ref="A396" r:id="rId395" xr:uid="{00000000-0004-0000-0100-0000710B0000}"/>
    <hyperlink ref="A397" r:id="rId396" xr:uid="{00000000-0004-0000-0100-00007A0B0000}"/>
    <hyperlink ref="A398" r:id="rId397" xr:uid="{00000000-0004-0000-0100-0000830B0000}"/>
    <hyperlink ref="A399" r:id="rId398" xr:uid="{00000000-0004-0000-0100-0000980B0000}"/>
    <hyperlink ref="A400" r:id="rId399" xr:uid="{00000000-0004-0000-0100-00009E0B0000}"/>
    <hyperlink ref="A401" r:id="rId400" xr:uid="{00000000-0004-0000-0100-00009F0B0000}"/>
    <hyperlink ref="A402" r:id="rId401" xr:uid="{00000000-0004-0000-0100-0000A00B0000}"/>
    <hyperlink ref="A403" r:id="rId402" xr:uid="{00000000-0004-0000-0100-0000A10B0000}"/>
    <hyperlink ref="A404" r:id="rId403" xr:uid="{00000000-0004-0000-0100-0000B00B0000}"/>
    <hyperlink ref="A405" r:id="rId404" xr:uid="{00000000-0004-0000-0100-0000B30B0000}"/>
    <hyperlink ref="A406" r:id="rId405" xr:uid="{00000000-0004-0000-0100-0000C30B0000}"/>
    <hyperlink ref="A407" r:id="rId406" xr:uid="{00000000-0004-0000-0100-0000CD0B0000}"/>
    <hyperlink ref="A408" r:id="rId407" xr:uid="{00000000-0004-0000-0100-0000CE0B0000}"/>
    <hyperlink ref="A409" r:id="rId408" xr:uid="{00000000-0004-0000-0100-0000D40B0000}"/>
    <hyperlink ref="A410" r:id="rId409" xr:uid="{00000000-0004-0000-0100-0000DF0B0000}"/>
    <hyperlink ref="A411" r:id="rId410" xr:uid="{00000000-0004-0000-0100-0000E20B0000}"/>
    <hyperlink ref="A412" r:id="rId411" xr:uid="{00000000-0004-0000-0100-0000EA0B0000}"/>
    <hyperlink ref="A413" r:id="rId412" xr:uid="{00000000-0004-0000-0100-0000F10B0000}"/>
    <hyperlink ref="A414" r:id="rId413" xr:uid="{00000000-0004-0000-0100-0000F80B0000}"/>
    <hyperlink ref="A415" r:id="rId414" xr:uid="{00000000-0004-0000-0100-0000FD0B0000}"/>
    <hyperlink ref="A416" r:id="rId415" xr:uid="{00000000-0004-0000-0100-0000FE0B0000}"/>
    <hyperlink ref="A417" r:id="rId416" xr:uid="{00000000-0004-0000-0100-0000090C0000}"/>
    <hyperlink ref="A418" r:id="rId417" xr:uid="{00000000-0004-0000-0100-00001A0C0000}"/>
    <hyperlink ref="A419" r:id="rId418" xr:uid="{00000000-0004-0000-0100-00001C0C0000}"/>
    <hyperlink ref="A420" r:id="rId419" xr:uid="{00000000-0004-0000-0100-0000200C0000}"/>
    <hyperlink ref="A421" r:id="rId420" xr:uid="{00000000-0004-0000-0100-0000220C0000}"/>
    <hyperlink ref="A422" r:id="rId421" xr:uid="{00000000-0004-0000-0100-0000240C0000}"/>
    <hyperlink ref="A423" r:id="rId422" xr:uid="{00000000-0004-0000-0100-00002B0C0000}"/>
    <hyperlink ref="A424" r:id="rId423" xr:uid="{00000000-0004-0000-0100-0000350C0000}"/>
    <hyperlink ref="A425" r:id="rId424" xr:uid="{00000000-0004-0000-0100-00003A0C0000}"/>
    <hyperlink ref="A426" r:id="rId425" xr:uid="{00000000-0004-0000-0100-0000410C0000}"/>
    <hyperlink ref="A427" r:id="rId426" xr:uid="{00000000-0004-0000-0100-0000580C0000}"/>
    <hyperlink ref="A428" r:id="rId427" xr:uid="{00000000-0004-0000-0100-00005B0C0000}"/>
    <hyperlink ref="A429" r:id="rId428" xr:uid="{00000000-0004-0000-0100-00005F0C0000}"/>
    <hyperlink ref="A430" r:id="rId429" xr:uid="{00000000-0004-0000-0100-0000690C0000}"/>
    <hyperlink ref="A431" r:id="rId430" xr:uid="{00000000-0004-0000-0100-00006C0C0000}"/>
    <hyperlink ref="A432" r:id="rId431" xr:uid="{00000000-0004-0000-0100-0000740C0000}"/>
    <hyperlink ref="A433" r:id="rId432" xr:uid="{00000000-0004-0000-0100-0000750C0000}"/>
    <hyperlink ref="A434" r:id="rId433" xr:uid="{00000000-0004-0000-0100-0000810C0000}"/>
    <hyperlink ref="A435" r:id="rId434" xr:uid="{00000000-0004-0000-0100-0000870C0000}"/>
    <hyperlink ref="A436" r:id="rId435" xr:uid="{00000000-0004-0000-0100-0000910C0000}"/>
    <hyperlink ref="A437" r:id="rId436" xr:uid="{00000000-0004-0000-0100-0000920C0000}"/>
    <hyperlink ref="A438" r:id="rId437" xr:uid="{00000000-0004-0000-0100-00009D0C0000}"/>
    <hyperlink ref="A439" r:id="rId438" xr:uid="{00000000-0004-0000-0100-0000AD0C0000}"/>
    <hyperlink ref="A440" r:id="rId439" xr:uid="{00000000-0004-0000-0100-0000BF0C0000}"/>
    <hyperlink ref="A441" r:id="rId440" xr:uid="{00000000-0004-0000-0100-0000C50C0000}"/>
    <hyperlink ref="A442" r:id="rId441" xr:uid="{00000000-0004-0000-0100-0000D10C0000}"/>
    <hyperlink ref="A443" r:id="rId442" xr:uid="{00000000-0004-0000-0100-0000D40C0000}"/>
    <hyperlink ref="A444" r:id="rId443" xr:uid="{00000000-0004-0000-0100-0000D50C0000}"/>
    <hyperlink ref="A445" r:id="rId444" xr:uid="{00000000-0004-0000-0100-0000E00C0000}"/>
    <hyperlink ref="A446" r:id="rId445" xr:uid="{00000000-0004-0000-0100-0000EA0C0000}"/>
    <hyperlink ref="A447" r:id="rId446" xr:uid="{00000000-0004-0000-0100-0000F90C0000}"/>
    <hyperlink ref="A448" r:id="rId447" xr:uid="{00000000-0004-0000-0100-0000FD0C0000}"/>
    <hyperlink ref="A449" r:id="rId448" xr:uid="{00000000-0004-0000-0100-0000010D0000}"/>
    <hyperlink ref="A450" r:id="rId449" xr:uid="{00000000-0004-0000-0100-00000B0D0000}"/>
    <hyperlink ref="A451" r:id="rId450" xr:uid="{00000000-0004-0000-0100-0000150D0000}"/>
    <hyperlink ref="A452" r:id="rId451" xr:uid="{00000000-0004-0000-0100-00001D0D0000}"/>
    <hyperlink ref="A453" r:id="rId452" xr:uid="{00000000-0004-0000-0100-0000210D0000}"/>
    <hyperlink ref="A454" r:id="rId453" xr:uid="{00000000-0004-0000-0100-0000220D0000}"/>
    <hyperlink ref="A455" r:id="rId454" xr:uid="{00000000-0004-0000-0100-0000240D0000}"/>
    <hyperlink ref="A456" r:id="rId455" xr:uid="{00000000-0004-0000-0100-0000260D0000}"/>
    <hyperlink ref="A457" r:id="rId456" xr:uid="{00000000-0004-0000-0100-00002E0D0000}"/>
    <hyperlink ref="A458" r:id="rId457" xr:uid="{00000000-0004-0000-0100-0000300D0000}"/>
    <hyperlink ref="A459" r:id="rId458" xr:uid="{00000000-0004-0000-0100-0000330D0000}"/>
    <hyperlink ref="A460" r:id="rId459" xr:uid="{00000000-0004-0000-0100-0000350D0000}"/>
    <hyperlink ref="A461" r:id="rId460" xr:uid="{00000000-0004-0000-0100-0000530D0000}"/>
    <hyperlink ref="A462" r:id="rId461" xr:uid="{00000000-0004-0000-0100-0000540D0000}"/>
    <hyperlink ref="A463" r:id="rId462" xr:uid="{00000000-0004-0000-0100-0000550D0000}"/>
    <hyperlink ref="A464" r:id="rId463" xr:uid="{00000000-0004-0000-0100-0000620D0000}"/>
    <hyperlink ref="A465" r:id="rId464" xr:uid="{00000000-0004-0000-0100-0000780D0000}"/>
    <hyperlink ref="A466" r:id="rId465" xr:uid="{00000000-0004-0000-0100-00007D0D0000}"/>
    <hyperlink ref="A467" r:id="rId466" xr:uid="{00000000-0004-0000-0100-0000840D0000}"/>
    <hyperlink ref="A468" r:id="rId467" xr:uid="{00000000-0004-0000-0100-00008D0D0000}"/>
    <hyperlink ref="A469" r:id="rId468" xr:uid="{00000000-0004-0000-0100-00009B0D0000}"/>
    <hyperlink ref="A470" r:id="rId469" xr:uid="{00000000-0004-0000-0100-00009C0D0000}"/>
    <hyperlink ref="A471" r:id="rId470" xr:uid="{00000000-0004-0000-0100-0000AA0D0000}"/>
    <hyperlink ref="A472" r:id="rId471" xr:uid="{00000000-0004-0000-0100-0000AB0D0000}"/>
    <hyperlink ref="A473" r:id="rId472" xr:uid="{00000000-0004-0000-0100-0000B60D0000}"/>
    <hyperlink ref="A474" r:id="rId473" xr:uid="{00000000-0004-0000-0100-0000B70D0000}"/>
    <hyperlink ref="A475" r:id="rId474" xr:uid="{00000000-0004-0000-0100-0000BF0D0000}"/>
    <hyperlink ref="A476" r:id="rId475" xr:uid="{00000000-0004-0000-0100-0000C10D0000}"/>
    <hyperlink ref="A477" r:id="rId476" xr:uid="{00000000-0004-0000-0100-0000C80D0000}"/>
    <hyperlink ref="A478" r:id="rId477" xr:uid="{00000000-0004-0000-0100-0000D50D0000}"/>
    <hyperlink ref="A479" r:id="rId478" xr:uid="{00000000-0004-0000-0100-0000D90D0000}"/>
    <hyperlink ref="A480" r:id="rId479" xr:uid="{00000000-0004-0000-0100-0000DA0D0000}"/>
    <hyperlink ref="A481" r:id="rId480" xr:uid="{00000000-0004-0000-0100-0000E20D0000}"/>
    <hyperlink ref="A482" r:id="rId481" xr:uid="{00000000-0004-0000-0100-0000E70D0000}"/>
    <hyperlink ref="A483" r:id="rId482" xr:uid="{00000000-0004-0000-0100-0000EA0D0000}"/>
    <hyperlink ref="A484" r:id="rId483" xr:uid="{00000000-0004-0000-0100-0000EB0D0000}"/>
    <hyperlink ref="A485" r:id="rId484" xr:uid="{00000000-0004-0000-0100-0000EF0D0000}"/>
    <hyperlink ref="A486" r:id="rId485" xr:uid="{00000000-0004-0000-0100-0000F30D0000}"/>
    <hyperlink ref="A487" r:id="rId486" xr:uid="{00000000-0004-0000-0100-0000F60D0000}"/>
    <hyperlink ref="A488" r:id="rId487" xr:uid="{00000000-0004-0000-0100-0000FB0D0000}"/>
    <hyperlink ref="A489" r:id="rId488" xr:uid="{00000000-0004-0000-0100-00000A0E0000}"/>
    <hyperlink ref="A490" r:id="rId489" xr:uid="{00000000-0004-0000-0100-00000D0E0000}"/>
    <hyperlink ref="A491" r:id="rId490" xr:uid="{00000000-0004-0000-0100-00001F0E0000}"/>
    <hyperlink ref="A492" r:id="rId491" xr:uid="{00000000-0004-0000-0100-0000230E0000}"/>
    <hyperlink ref="A493" r:id="rId492" xr:uid="{00000000-0004-0000-0100-00002F0E0000}"/>
  </hyperlinks>
  <pageMargins left="0" right="0" top="0" bottom="0" header="0" footer="0"/>
  <pageSetup orientation="landscape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508D-090A-4B15-87E1-BE3DFCA40C58}">
  <dimension ref="A1:H1771"/>
  <sheetViews>
    <sheetView zoomScale="80" zoomScaleNormal="80" workbookViewId="0">
      <selection activeCell="C35" sqref="C35"/>
    </sheetView>
  </sheetViews>
  <sheetFormatPr defaultRowHeight="15"/>
  <cols>
    <col min="1" max="1" width="32" customWidth="1"/>
    <col min="2" max="2" width="31.7109375" customWidth="1"/>
    <col min="3" max="5" width="32" customWidth="1"/>
    <col min="6" max="6" width="23.140625" bestFit="1" customWidth="1"/>
    <col min="7" max="7" width="21.7109375" bestFit="1" customWidth="1"/>
    <col min="8" max="8" width="24.140625" bestFit="1" customWidth="1"/>
  </cols>
  <sheetData>
    <row r="1" spans="1:8">
      <c r="A1" s="1" t="s">
        <v>7890</v>
      </c>
      <c r="B1" s="1" t="s">
        <v>7891</v>
      </c>
      <c r="C1" s="1" t="s">
        <v>7892</v>
      </c>
      <c r="D1" s="7" t="s">
        <v>7899</v>
      </c>
      <c r="E1" s="7" t="s">
        <v>7900</v>
      </c>
      <c r="F1" s="9" t="s">
        <v>7893</v>
      </c>
      <c r="G1" s="9" t="s">
        <v>7894</v>
      </c>
      <c r="H1" s="9" t="s">
        <v>7895</v>
      </c>
    </row>
    <row r="2" spans="1:8">
      <c r="A2" s="6" t="s">
        <v>18</v>
      </c>
      <c r="B2" s="5">
        <v>1533000</v>
      </c>
      <c r="C2" s="5">
        <v>1458000</v>
      </c>
      <c r="D2" s="8" t="str">
        <f>VLOOKUP(A2,Лист2!A:E,5,0)</f>
        <v>малые</v>
      </c>
      <c r="E2" s="10">
        <f>VLOOKUP(A2,Лист2!A:E,4,0)</f>
        <v>2.5</v>
      </c>
      <c r="F2" s="11">
        <f>B2-C2</f>
        <v>75000</v>
      </c>
      <c r="G2" s="11">
        <f>B2/E2</f>
        <v>613200</v>
      </c>
      <c r="H2" s="11">
        <f>F2/E2</f>
        <v>30000</v>
      </c>
    </row>
    <row r="3" spans="1:8">
      <c r="A3" s="6" t="s">
        <v>22</v>
      </c>
      <c r="B3" s="5">
        <v>754602000</v>
      </c>
      <c r="C3" s="5">
        <v>641697000</v>
      </c>
      <c r="D3" s="8" t="str">
        <f>VLOOKUP(A3,Лист2!A:E,5,0)</f>
        <v>малые</v>
      </c>
      <c r="E3" s="10">
        <f>VLOOKUP(A3,Лист2!A:E,4,0)</f>
        <v>13</v>
      </c>
      <c r="F3" s="11">
        <f t="shared" ref="F3:F65" si="0">B3-C3</f>
        <v>112905000</v>
      </c>
      <c r="G3" s="11">
        <f t="shared" ref="G3:G65" si="1">B3/E3</f>
        <v>58046307.692307696</v>
      </c>
      <c r="H3" s="11">
        <f t="shared" ref="H3:H65" si="2">F3/E3</f>
        <v>8685000</v>
      </c>
    </row>
    <row r="4" spans="1:8">
      <c r="A4" s="6" t="s">
        <v>18</v>
      </c>
      <c r="B4" s="5">
        <v>5000000</v>
      </c>
      <c r="C4" s="5">
        <v>4516000</v>
      </c>
      <c r="D4" s="8" t="str">
        <f>VLOOKUP(A4,Лист2!A:E,5,0)</f>
        <v>малые</v>
      </c>
      <c r="E4" s="10">
        <f>VLOOKUP(A4,Лист2!A:E,4,0)</f>
        <v>2.5</v>
      </c>
      <c r="F4" s="11">
        <f t="shared" si="0"/>
        <v>484000</v>
      </c>
      <c r="G4" s="11">
        <f t="shared" si="1"/>
        <v>2000000</v>
      </c>
      <c r="H4" s="11">
        <f t="shared" si="2"/>
        <v>193600</v>
      </c>
    </row>
    <row r="5" spans="1:8">
      <c r="A5" s="6" t="s">
        <v>22</v>
      </c>
      <c r="B5" s="5">
        <v>27002000</v>
      </c>
      <c r="C5" s="5">
        <v>29355000</v>
      </c>
      <c r="D5" s="8" t="str">
        <f>VLOOKUP(A5,Лист2!A:E,5,0)</f>
        <v>малые</v>
      </c>
      <c r="E5" s="10">
        <f>VLOOKUP(A5,Лист2!A:E,4,0)</f>
        <v>13</v>
      </c>
      <c r="F5" s="11">
        <f t="shared" si="0"/>
        <v>-2353000</v>
      </c>
      <c r="G5" s="11">
        <f t="shared" si="1"/>
        <v>2077076.923076923</v>
      </c>
      <c r="H5" s="11">
        <f t="shared" si="2"/>
        <v>-181000</v>
      </c>
    </row>
    <row r="6" spans="1:8">
      <c r="A6" s="6" t="s">
        <v>18</v>
      </c>
      <c r="B6" s="5">
        <v>4280000</v>
      </c>
      <c r="C6" s="5">
        <v>4122000</v>
      </c>
      <c r="D6" s="8" t="str">
        <f>VLOOKUP(A6,Лист2!A:E,5,0)</f>
        <v>малые</v>
      </c>
      <c r="E6" s="10">
        <f>VLOOKUP(A6,Лист2!A:E,4,0)</f>
        <v>2.5</v>
      </c>
      <c r="F6" s="11">
        <f t="shared" si="0"/>
        <v>158000</v>
      </c>
      <c r="G6" s="11">
        <f t="shared" si="1"/>
        <v>1712000</v>
      </c>
      <c r="H6" s="11">
        <f t="shared" si="2"/>
        <v>63200</v>
      </c>
    </row>
    <row r="7" spans="1:8">
      <c r="A7" s="6" t="s">
        <v>18</v>
      </c>
      <c r="B7" s="5">
        <v>1661000</v>
      </c>
      <c r="C7" s="5">
        <v>1674000</v>
      </c>
      <c r="D7" s="8" t="str">
        <f>VLOOKUP(A7,Лист2!A:E,5,0)</f>
        <v>малые</v>
      </c>
      <c r="E7" s="10">
        <f>VLOOKUP(A7,Лист2!A:E,4,0)</f>
        <v>2.5</v>
      </c>
      <c r="F7" s="11">
        <f t="shared" si="0"/>
        <v>-13000</v>
      </c>
      <c r="G7" s="11">
        <f t="shared" si="1"/>
        <v>664400</v>
      </c>
      <c r="H7" s="11">
        <f t="shared" si="2"/>
        <v>-5200</v>
      </c>
    </row>
    <row r="8" spans="1:8">
      <c r="A8" s="6" t="s">
        <v>18</v>
      </c>
      <c r="B8" s="5">
        <v>67000000</v>
      </c>
      <c r="C8" s="5">
        <v>74958000</v>
      </c>
      <c r="D8" s="8" t="str">
        <f>VLOOKUP(A8,Лист2!A:E,5,0)</f>
        <v>малые</v>
      </c>
      <c r="E8" s="10">
        <f>VLOOKUP(A8,Лист2!A:E,4,0)</f>
        <v>2.5</v>
      </c>
      <c r="F8" s="11">
        <f t="shared" si="0"/>
        <v>-7958000</v>
      </c>
      <c r="G8" s="11">
        <f t="shared" si="1"/>
        <v>26800000</v>
      </c>
      <c r="H8" s="11">
        <f t="shared" si="2"/>
        <v>-3183200</v>
      </c>
    </row>
    <row r="9" spans="1:8">
      <c r="A9" s="6" t="s">
        <v>18</v>
      </c>
      <c r="B9" s="5">
        <v>366217000</v>
      </c>
      <c r="C9" s="5">
        <v>363962000</v>
      </c>
      <c r="D9" s="8" t="str">
        <f>VLOOKUP(A9,Лист2!A:E,5,0)</f>
        <v>малые</v>
      </c>
      <c r="E9" s="10">
        <f>VLOOKUP(A9,Лист2!A:E,4,0)</f>
        <v>2.5</v>
      </c>
      <c r="F9" s="11">
        <f t="shared" si="0"/>
        <v>2255000</v>
      </c>
      <c r="G9" s="11">
        <f t="shared" si="1"/>
        <v>146486800</v>
      </c>
      <c r="H9" s="11">
        <f t="shared" si="2"/>
        <v>902000</v>
      </c>
    </row>
    <row r="10" spans="1:8">
      <c r="A10" s="6" t="s">
        <v>23</v>
      </c>
      <c r="B10" s="5">
        <v>253031000</v>
      </c>
      <c r="C10" s="5">
        <v>256576000</v>
      </c>
      <c r="D10" s="8" t="str">
        <f>VLOOKUP(A10,Лист2!A:E,5,0)</f>
        <v>средние</v>
      </c>
      <c r="E10" s="10">
        <f>VLOOKUP(A10,Лист2!A:E,4,0)</f>
        <v>75.5</v>
      </c>
      <c r="F10" s="11">
        <f t="shared" si="0"/>
        <v>-3545000</v>
      </c>
      <c r="G10" s="11">
        <f t="shared" si="1"/>
        <v>3351403.9735099338</v>
      </c>
      <c r="H10" s="11">
        <f t="shared" si="2"/>
        <v>-46953.642384105959</v>
      </c>
    </row>
    <row r="11" spans="1:8">
      <c r="A11" s="6" t="s">
        <v>18</v>
      </c>
      <c r="B11" s="5">
        <v>18169000</v>
      </c>
      <c r="C11" s="5">
        <v>15809000</v>
      </c>
      <c r="D11" s="8" t="str">
        <f>VLOOKUP(A11,Лист2!A:E,5,0)</f>
        <v>малые</v>
      </c>
      <c r="E11" s="10">
        <f>VLOOKUP(A11,Лист2!A:E,4,0)</f>
        <v>2.5</v>
      </c>
      <c r="F11" s="11">
        <f t="shared" si="0"/>
        <v>2360000</v>
      </c>
      <c r="G11" s="11">
        <f t="shared" si="1"/>
        <v>7267600</v>
      </c>
      <c r="H11" s="11">
        <f t="shared" si="2"/>
        <v>944000</v>
      </c>
    </row>
    <row r="12" spans="1:8">
      <c r="A12" s="6" t="s">
        <v>22</v>
      </c>
      <c r="B12" s="5">
        <v>191006000</v>
      </c>
      <c r="C12" s="5">
        <v>207475000</v>
      </c>
      <c r="D12" s="8" t="str">
        <f>VLOOKUP(A12,Лист2!A:E,5,0)</f>
        <v>малые</v>
      </c>
      <c r="E12" s="10">
        <f>VLOOKUP(A12,Лист2!A:E,4,0)</f>
        <v>13</v>
      </c>
      <c r="F12" s="11">
        <f t="shared" si="0"/>
        <v>-16469000</v>
      </c>
      <c r="G12" s="11">
        <f t="shared" si="1"/>
        <v>14692769.23076923</v>
      </c>
      <c r="H12" s="11">
        <f t="shared" si="2"/>
        <v>-1266846.1538461538</v>
      </c>
    </row>
    <row r="13" spans="1:8">
      <c r="A13" s="6" t="s">
        <v>23</v>
      </c>
      <c r="B13" s="5">
        <v>128983000</v>
      </c>
      <c r="C13" s="5">
        <v>95513000</v>
      </c>
      <c r="D13" s="8" t="str">
        <f>VLOOKUP(A13,Лист2!A:E,5,0)</f>
        <v>средние</v>
      </c>
      <c r="E13" s="10">
        <f>VLOOKUP(A13,Лист2!A:E,4,0)</f>
        <v>75.5</v>
      </c>
      <c r="F13" s="11">
        <f t="shared" si="0"/>
        <v>33470000</v>
      </c>
      <c r="G13" s="11">
        <f t="shared" si="1"/>
        <v>1708384.1059602648</v>
      </c>
      <c r="H13" s="11">
        <f t="shared" si="2"/>
        <v>443311.25827814569</v>
      </c>
    </row>
    <row r="14" spans="1:8">
      <c r="A14" s="6" t="s">
        <v>18</v>
      </c>
      <c r="B14" s="5">
        <v>16977000</v>
      </c>
      <c r="C14" s="5">
        <v>20640000</v>
      </c>
      <c r="D14" s="8" t="str">
        <f>VLOOKUP(A14,Лист2!A:E,5,0)</f>
        <v>малые</v>
      </c>
      <c r="E14" s="10">
        <f>VLOOKUP(A14,Лист2!A:E,4,0)</f>
        <v>2.5</v>
      </c>
      <c r="F14" s="11">
        <f t="shared" si="0"/>
        <v>-3663000</v>
      </c>
      <c r="G14" s="11">
        <f t="shared" si="1"/>
        <v>6790800</v>
      </c>
      <c r="H14" s="11">
        <f t="shared" si="2"/>
        <v>-1465200</v>
      </c>
    </row>
    <row r="15" spans="1:8">
      <c r="A15" s="6" t="s">
        <v>18</v>
      </c>
      <c r="B15" s="5">
        <v>78588000</v>
      </c>
      <c r="C15" s="5">
        <v>76572000</v>
      </c>
      <c r="D15" s="8" t="str">
        <f>VLOOKUP(A15,Лист2!A:E,5,0)</f>
        <v>малые</v>
      </c>
      <c r="E15" s="10">
        <f>VLOOKUP(A15,Лист2!A:E,4,0)</f>
        <v>2.5</v>
      </c>
      <c r="F15" s="11">
        <f t="shared" si="0"/>
        <v>2016000</v>
      </c>
      <c r="G15" s="11">
        <f t="shared" si="1"/>
        <v>31435200</v>
      </c>
      <c r="H15" s="11">
        <f t="shared" si="2"/>
        <v>806400</v>
      </c>
    </row>
    <row r="16" spans="1:8">
      <c r="A16" s="6" t="s">
        <v>77</v>
      </c>
      <c r="B16" s="5">
        <v>381000</v>
      </c>
      <c r="C16" s="5">
        <v>3501000</v>
      </c>
      <c r="D16" s="8" t="str">
        <f>VLOOKUP(A16,Лист2!A:E,5,0)</f>
        <v>малые</v>
      </c>
      <c r="E16" s="10">
        <f>VLOOKUP(A16,Лист2!A:E,4,0)</f>
        <v>8</v>
      </c>
      <c r="F16" s="11">
        <f t="shared" si="0"/>
        <v>-3120000</v>
      </c>
      <c r="G16" s="11">
        <f t="shared" si="1"/>
        <v>47625</v>
      </c>
      <c r="H16" s="11">
        <f t="shared" si="2"/>
        <v>-390000</v>
      </c>
    </row>
    <row r="17" spans="1:8">
      <c r="A17" s="6" t="s">
        <v>18</v>
      </c>
      <c r="B17" s="5">
        <v>1684000</v>
      </c>
      <c r="C17" s="5">
        <v>81000</v>
      </c>
      <c r="D17" s="8" t="str">
        <f>VLOOKUP(A17,Лист2!A:E,5,0)</f>
        <v>малые</v>
      </c>
      <c r="E17" s="10">
        <f>VLOOKUP(A17,Лист2!A:E,4,0)</f>
        <v>2.5</v>
      </c>
      <c r="F17" s="11">
        <f t="shared" si="0"/>
        <v>1603000</v>
      </c>
      <c r="G17" s="11">
        <f t="shared" si="1"/>
        <v>673600</v>
      </c>
      <c r="H17" s="11">
        <f t="shared" si="2"/>
        <v>641200</v>
      </c>
    </row>
    <row r="18" spans="1:8">
      <c r="A18" s="6" t="s">
        <v>77</v>
      </c>
      <c r="B18" s="5">
        <v>9631000</v>
      </c>
      <c r="C18" s="5">
        <v>24596000</v>
      </c>
      <c r="D18" s="8" t="str">
        <f>VLOOKUP(A18,Лист2!A:E,5,0)</f>
        <v>малые</v>
      </c>
      <c r="E18" s="10">
        <f>VLOOKUP(A18,Лист2!A:E,4,0)</f>
        <v>8</v>
      </c>
      <c r="F18" s="11">
        <f t="shared" si="0"/>
        <v>-14965000</v>
      </c>
      <c r="G18" s="11">
        <f t="shared" si="1"/>
        <v>1203875</v>
      </c>
      <c r="H18" s="11">
        <f t="shared" si="2"/>
        <v>-1870625</v>
      </c>
    </row>
    <row r="19" spans="1:8">
      <c r="A19" s="6" t="s">
        <v>18</v>
      </c>
      <c r="B19" s="5">
        <v>153000</v>
      </c>
      <c r="C19" s="5">
        <v>123000</v>
      </c>
      <c r="D19" s="8" t="str">
        <f>VLOOKUP(A19,Лист2!A:E,5,0)</f>
        <v>малые</v>
      </c>
      <c r="E19" s="10">
        <f>VLOOKUP(A19,Лист2!A:E,4,0)</f>
        <v>2.5</v>
      </c>
      <c r="F19" s="11">
        <f t="shared" si="0"/>
        <v>30000</v>
      </c>
      <c r="G19" s="11">
        <f t="shared" si="1"/>
        <v>61200</v>
      </c>
      <c r="H19" s="11">
        <f t="shared" si="2"/>
        <v>12000</v>
      </c>
    </row>
    <row r="20" spans="1:8">
      <c r="A20" s="6" t="s">
        <v>18</v>
      </c>
      <c r="B20" s="5">
        <v>12211000</v>
      </c>
      <c r="C20" s="5">
        <v>12285000</v>
      </c>
      <c r="D20" s="8" t="str">
        <f>VLOOKUP(A20,Лист2!A:E,5,0)</f>
        <v>малые</v>
      </c>
      <c r="E20" s="10">
        <f>VLOOKUP(A20,Лист2!A:E,4,0)</f>
        <v>2.5</v>
      </c>
      <c r="F20" s="11">
        <f t="shared" si="0"/>
        <v>-74000</v>
      </c>
      <c r="G20" s="11">
        <f t="shared" si="1"/>
        <v>4884400</v>
      </c>
      <c r="H20" s="11">
        <f t="shared" si="2"/>
        <v>-29600</v>
      </c>
    </row>
    <row r="21" spans="1:8">
      <c r="A21" s="6" t="s">
        <v>18</v>
      </c>
      <c r="B21" s="5">
        <v>220873000</v>
      </c>
      <c r="C21" s="5">
        <v>218348000</v>
      </c>
      <c r="D21" s="8" t="str">
        <f>VLOOKUP(A21,Лист2!A:E,5,0)</f>
        <v>малые</v>
      </c>
      <c r="E21" s="10">
        <f>VLOOKUP(A21,Лист2!A:E,4,0)</f>
        <v>2.5</v>
      </c>
      <c r="F21" s="11">
        <f t="shared" si="0"/>
        <v>2525000</v>
      </c>
      <c r="G21" s="11">
        <f t="shared" si="1"/>
        <v>88349200</v>
      </c>
      <c r="H21" s="11">
        <f t="shared" si="2"/>
        <v>1010000</v>
      </c>
    </row>
    <row r="22" spans="1:8">
      <c r="A22" s="6" t="s">
        <v>18</v>
      </c>
      <c r="B22" s="5">
        <v>397000</v>
      </c>
      <c r="C22" s="5">
        <v>397000</v>
      </c>
      <c r="D22" s="8" t="str">
        <f>VLOOKUP(A22,Лист2!A:E,5,0)</f>
        <v>малые</v>
      </c>
      <c r="E22" s="10">
        <f>VLOOKUP(A22,Лист2!A:E,4,0)</f>
        <v>2.5</v>
      </c>
      <c r="F22" s="11">
        <f t="shared" si="0"/>
        <v>0</v>
      </c>
      <c r="G22" s="11">
        <f t="shared" si="1"/>
        <v>158800</v>
      </c>
      <c r="H22" s="11">
        <f t="shared" si="2"/>
        <v>0</v>
      </c>
    </row>
    <row r="23" spans="1:8">
      <c r="A23" s="6" t="s">
        <v>18</v>
      </c>
      <c r="B23" s="5">
        <v>560000</v>
      </c>
      <c r="C23" s="5">
        <v>522000</v>
      </c>
      <c r="D23" s="8" t="str">
        <f>VLOOKUP(A23,Лист2!A:E,5,0)</f>
        <v>малые</v>
      </c>
      <c r="E23" s="10">
        <f>VLOOKUP(A23,Лист2!A:E,4,0)</f>
        <v>2.5</v>
      </c>
      <c r="F23" s="11">
        <f t="shared" si="0"/>
        <v>38000</v>
      </c>
      <c r="G23" s="11">
        <f t="shared" si="1"/>
        <v>224000</v>
      </c>
      <c r="H23" s="11">
        <f t="shared" si="2"/>
        <v>15200</v>
      </c>
    </row>
    <row r="24" spans="1:8">
      <c r="A24" s="6" t="s">
        <v>18</v>
      </c>
      <c r="B24" s="5">
        <v>3700000</v>
      </c>
      <c r="C24" s="5">
        <v>3400000</v>
      </c>
      <c r="D24" s="8" t="str">
        <f>VLOOKUP(A24,Лист2!A:E,5,0)</f>
        <v>малые</v>
      </c>
      <c r="E24" s="10">
        <f>VLOOKUP(A24,Лист2!A:E,4,0)</f>
        <v>2.5</v>
      </c>
      <c r="F24" s="11">
        <f t="shared" si="0"/>
        <v>300000</v>
      </c>
      <c r="G24" s="11">
        <f t="shared" si="1"/>
        <v>1480000</v>
      </c>
      <c r="H24" s="11">
        <f t="shared" si="2"/>
        <v>120000</v>
      </c>
    </row>
    <row r="25" spans="1:8">
      <c r="A25" s="6" t="s">
        <v>18</v>
      </c>
      <c r="B25" s="5">
        <v>3226000</v>
      </c>
      <c r="C25" s="5">
        <v>3248000</v>
      </c>
      <c r="D25" s="8" t="str">
        <f>VLOOKUP(A25,Лист2!A:E,5,0)</f>
        <v>малые</v>
      </c>
      <c r="E25" s="10">
        <f>VLOOKUP(A25,Лист2!A:E,4,0)</f>
        <v>2.5</v>
      </c>
      <c r="F25" s="11">
        <f t="shared" si="0"/>
        <v>-22000</v>
      </c>
      <c r="G25" s="11">
        <f t="shared" si="1"/>
        <v>1290400</v>
      </c>
      <c r="H25" s="11">
        <f t="shared" si="2"/>
        <v>-8800</v>
      </c>
    </row>
    <row r="26" spans="1:8">
      <c r="A26" s="6" t="s">
        <v>18</v>
      </c>
      <c r="B26" s="5">
        <v>4154000</v>
      </c>
      <c r="C26" s="5">
        <v>4154000</v>
      </c>
      <c r="D26" s="8" t="str">
        <f>VLOOKUP(A26,Лист2!A:E,5,0)</f>
        <v>малые</v>
      </c>
      <c r="E26" s="10">
        <f>VLOOKUP(A26,Лист2!A:E,4,0)</f>
        <v>2.5</v>
      </c>
      <c r="F26" s="11">
        <f t="shared" si="0"/>
        <v>0</v>
      </c>
      <c r="G26" s="11">
        <f t="shared" si="1"/>
        <v>1661600</v>
      </c>
      <c r="H26" s="11">
        <f t="shared" si="2"/>
        <v>0</v>
      </c>
    </row>
    <row r="27" spans="1:8">
      <c r="A27" s="6" t="s">
        <v>18</v>
      </c>
      <c r="B27" s="5">
        <v>4290000</v>
      </c>
      <c r="C27" s="5">
        <v>2999000</v>
      </c>
      <c r="D27" s="8" t="str">
        <f>VLOOKUP(A27,Лист2!A:E,5,0)</f>
        <v>малые</v>
      </c>
      <c r="E27" s="10">
        <f>VLOOKUP(A27,Лист2!A:E,4,0)</f>
        <v>2.5</v>
      </c>
      <c r="F27" s="11">
        <f t="shared" si="0"/>
        <v>1291000</v>
      </c>
      <c r="G27" s="11">
        <f t="shared" si="1"/>
        <v>1716000</v>
      </c>
      <c r="H27" s="11">
        <f t="shared" si="2"/>
        <v>516400</v>
      </c>
    </row>
    <row r="28" spans="1:8">
      <c r="A28" s="6" t="s">
        <v>18</v>
      </c>
      <c r="B28" s="5">
        <v>275000</v>
      </c>
      <c r="C28" s="5">
        <v>111000</v>
      </c>
      <c r="D28" s="8" t="str">
        <f>VLOOKUP(A28,Лист2!A:E,5,0)</f>
        <v>малые</v>
      </c>
      <c r="E28" s="10">
        <f>VLOOKUP(A28,Лист2!A:E,4,0)</f>
        <v>2.5</v>
      </c>
      <c r="F28" s="11">
        <f t="shared" si="0"/>
        <v>164000</v>
      </c>
      <c r="G28" s="11">
        <f t="shared" si="1"/>
        <v>110000</v>
      </c>
      <c r="H28" s="11">
        <f t="shared" si="2"/>
        <v>65600</v>
      </c>
    </row>
    <row r="29" spans="1:8">
      <c r="A29" s="6" t="s">
        <v>22</v>
      </c>
      <c r="B29" s="5">
        <v>13640000</v>
      </c>
      <c r="C29" s="5">
        <v>2813000</v>
      </c>
      <c r="D29" s="8" t="str">
        <f>VLOOKUP(A29,Лист2!A:E,5,0)</f>
        <v>малые</v>
      </c>
      <c r="E29" s="10">
        <f>VLOOKUP(A29,Лист2!A:E,4,0)</f>
        <v>13</v>
      </c>
      <c r="F29" s="11">
        <f t="shared" si="0"/>
        <v>10827000</v>
      </c>
      <c r="G29" s="11">
        <f t="shared" si="1"/>
        <v>1049230.7692307692</v>
      </c>
      <c r="H29" s="11">
        <f t="shared" si="2"/>
        <v>832846.15384615387</v>
      </c>
    </row>
    <row r="30" spans="1:8">
      <c r="A30" s="6" t="s">
        <v>18</v>
      </c>
      <c r="B30" s="5">
        <v>13220000</v>
      </c>
      <c r="C30" s="5">
        <v>12976000</v>
      </c>
      <c r="D30" s="8" t="str">
        <f>VLOOKUP(A30,Лист2!A:E,5,0)</f>
        <v>малые</v>
      </c>
      <c r="E30" s="10">
        <f>VLOOKUP(A30,Лист2!A:E,4,0)</f>
        <v>2.5</v>
      </c>
      <c r="F30" s="11">
        <f t="shared" si="0"/>
        <v>244000</v>
      </c>
      <c r="G30" s="11">
        <f t="shared" si="1"/>
        <v>5288000</v>
      </c>
      <c r="H30" s="11">
        <f t="shared" si="2"/>
        <v>97600</v>
      </c>
    </row>
    <row r="31" spans="1:8">
      <c r="A31" s="6" t="s">
        <v>18</v>
      </c>
      <c r="B31" s="5">
        <v>1782000</v>
      </c>
      <c r="C31" s="5">
        <v>1655000</v>
      </c>
      <c r="D31" s="8" t="str">
        <f>VLOOKUP(A31,Лист2!A:E,5,0)</f>
        <v>малые</v>
      </c>
      <c r="E31" s="10">
        <f>VLOOKUP(A31,Лист2!A:E,4,0)</f>
        <v>2.5</v>
      </c>
      <c r="F31" s="11">
        <f t="shared" si="0"/>
        <v>127000</v>
      </c>
      <c r="G31" s="11">
        <f t="shared" si="1"/>
        <v>712800</v>
      </c>
      <c r="H31" s="11">
        <f t="shared" si="2"/>
        <v>50800</v>
      </c>
    </row>
    <row r="32" spans="1:8">
      <c r="A32" s="6" t="s">
        <v>18</v>
      </c>
      <c r="B32" s="5">
        <v>144895000</v>
      </c>
      <c r="C32" s="5">
        <v>178280000</v>
      </c>
      <c r="D32" s="8" t="str">
        <f>VLOOKUP(A32,Лист2!A:E,5,0)</f>
        <v>малые</v>
      </c>
      <c r="E32" s="10">
        <f>VLOOKUP(A32,Лист2!A:E,4,0)</f>
        <v>2.5</v>
      </c>
      <c r="F32" s="11">
        <f t="shared" si="0"/>
        <v>-33385000</v>
      </c>
      <c r="G32" s="11">
        <f t="shared" si="1"/>
        <v>57958000</v>
      </c>
      <c r="H32" s="11">
        <f t="shared" si="2"/>
        <v>-13354000</v>
      </c>
    </row>
    <row r="33" spans="1:8">
      <c r="A33" s="6" t="s">
        <v>18</v>
      </c>
      <c r="B33" s="5">
        <v>45304000</v>
      </c>
      <c r="C33" s="5">
        <v>46293000</v>
      </c>
      <c r="D33" s="8" t="str">
        <f>VLOOKUP(A33,Лист2!A:E,5,0)</f>
        <v>малые</v>
      </c>
      <c r="E33" s="10">
        <f>VLOOKUP(A33,Лист2!A:E,4,0)</f>
        <v>2.5</v>
      </c>
      <c r="F33" s="11">
        <f t="shared" si="0"/>
        <v>-989000</v>
      </c>
      <c r="G33" s="11">
        <f t="shared" si="1"/>
        <v>18121600</v>
      </c>
      <c r="H33" s="11">
        <f t="shared" si="2"/>
        <v>-395600</v>
      </c>
    </row>
    <row r="34" spans="1:8">
      <c r="A34" s="6" t="s">
        <v>77</v>
      </c>
      <c r="B34" s="5">
        <v>9916000</v>
      </c>
      <c r="C34" s="5">
        <v>14554000</v>
      </c>
      <c r="D34" s="8" t="str">
        <f>VLOOKUP(A34,Лист2!A:E,5,0)</f>
        <v>малые</v>
      </c>
      <c r="E34" s="10">
        <f>VLOOKUP(A34,Лист2!A:E,4,0)</f>
        <v>8</v>
      </c>
      <c r="F34" s="11">
        <f t="shared" si="0"/>
        <v>-4638000</v>
      </c>
      <c r="G34" s="11">
        <f t="shared" si="1"/>
        <v>1239500</v>
      </c>
      <c r="H34" s="11">
        <f t="shared" si="2"/>
        <v>-579750</v>
      </c>
    </row>
    <row r="35" spans="1:8">
      <c r="A35" s="6" t="s">
        <v>18</v>
      </c>
      <c r="B35" s="5">
        <v>30155000</v>
      </c>
      <c r="C35" s="5">
        <v>35079000</v>
      </c>
      <c r="D35" s="8" t="str">
        <f>VLOOKUP(A35,Лист2!A:E,5,0)</f>
        <v>малые</v>
      </c>
      <c r="E35" s="10">
        <f>VLOOKUP(A35,Лист2!A:E,4,0)</f>
        <v>2.5</v>
      </c>
      <c r="F35" s="11">
        <f t="shared" si="0"/>
        <v>-4924000</v>
      </c>
      <c r="G35" s="11">
        <f t="shared" si="1"/>
        <v>12062000</v>
      </c>
      <c r="H35" s="11">
        <f t="shared" si="2"/>
        <v>-1969600</v>
      </c>
    </row>
    <row r="36" spans="1:8">
      <c r="A36" s="6" t="s">
        <v>18</v>
      </c>
      <c r="B36" s="5">
        <v>3091000</v>
      </c>
      <c r="C36" s="5">
        <v>5694000</v>
      </c>
      <c r="D36" s="8" t="str">
        <f>VLOOKUP(A36,Лист2!A:E,5,0)</f>
        <v>малые</v>
      </c>
      <c r="E36" s="10">
        <f>VLOOKUP(A36,Лист2!A:E,4,0)</f>
        <v>2.5</v>
      </c>
      <c r="F36" s="11">
        <f t="shared" si="0"/>
        <v>-2603000</v>
      </c>
      <c r="G36" s="11">
        <f t="shared" si="1"/>
        <v>1236400</v>
      </c>
      <c r="H36" s="11">
        <f t="shared" si="2"/>
        <v>-1041200</v>
      </c>
    </row>
    <row r="37" spans="1:8">
      <c r="A37" s="6" t="s">
        <v>18</v>
      </c>
      <c r="B37" s="5">
        <v>4737000</v>
      </c>
      <c r="C37" s="5">
        <v>4219000</v>
      </c>
      <c r="D37" s="8" t="str">
        <f>VLOOKUP(A37,Лист2!A:E,5,0)</f>
        <v>малые</v>
      </c>
      <c r="E37" s="10">
        <f>VLOOKUP(A37,Лист2!A:E,4,0)</f>
        <v>2.5</v>
      </c>
      <c r="F37" s="11">
        <f t="shared" si="0"/>
        <v>518000</v>
      </c>
      <c r="G37" s="11">
        <f t="shared" si="1"/>
        <v>1894800</v>
      </c>
      <c r="H37" s="11">
        <f t="shared" si="2"/>
        <v>207200</v>
      </c>
    </row>
    <row r="38" spans="1:8">
      <c r="A38" s="6" t="s">
        <v>18</v>
      </c>
      <c r="B38" s="5">
        <v>2577000</v>
      </c>
      <c r="C38" s="5">
        <v>548000</v>
      </c>
      <c r="D38" s="8" t="str">
        <f>VLOOKUP(A38,Лист2!A:E,5,0)</f>
        <v>малые</v>
      </c>
      <c r="E38" s="10">
        <f>VLOOKUP(A38,Лист2!A:E,4,0)</f>
        <v>2.5</v>
      </c>
      <c r="F38" s="11">
        <f t="shared" si="0"/>
        <v>2029000</v>
      </c>
      <c r="G38" s="11">
        <f t="shared" si="1"/>
        <v>1030800</v>
      </c>
      <c r="H38" s="11">
        <f t="shared" si="2"/>
        <v>811600</v>
      </c>
    </row>
    <row r="39" spans="1:8">
      <c r="A39" s="6" t="s">
        <v>18</v>
      </c>
      <c r="B39" s="5">
        <v>28095000</v>
      </c>
      <c r="C39" s="5">
        <v>29532000</v>
      </c>
      <c r="D39" s="8" t="str">
        <f>VLOOKUP(A39,Лист2!A:E,5,0)</f>
        <v>малые</v>
      </c>
      <c r="E39" s="10">
        <f>VLOOKUP(A39,Лист2!A:E,4,0)</f>
        <v>2.5</v>
      </c>
      <c r="F39" s="11">
        <f t="shared" si="0"/>
        <v>-1437000</v>
      </c>
      <c r="G39" s="11">
        <f t="shared" si="1"/>
        <v>11238000</v>
      </c>
      <c r="H39" s="11">
        <f t="shared" si="2"/>
        <v>-574800</v>
      </c>
    </row>
    <row r="40" spans="1:8">
      <c r="A40" s="6" t="s">
        <v>18</v>
      </c>
      <c r="B40" s="5">
        <v>3316000</v>
      </c>
      <c r="C40" s="5">
        <v>12956000</v>
      </c>
      <c r="D40" s="8" t="str">
        <f>VLOOKUP(A40,Лист2!A:E,5,0)</f>
        <v>малые</v>
      </c>
      <c r="E40" s="10">
        <f>VLOOKUP(A40,Лист2!A:E,4,0)</f>
        <v>2.5</v>
      </c>
      <c r="F40" s="11">
        <f t="shared" si="0"/>
        <v>-9640000</v>
      </c>
      <c r="G40" s="11">
        <f t="shared" si="1"/>
        <v>1326400</v>
      </c>
      <c r="H40" s="11">
        <f t="shared" si="2"/>
        <v>-3856000</v>
      </c>
    </row>
    <row r="41" spans="1:8">
      <c r="A41" s="6" t="s">
        <v>18</v>
      </c>
      <c r="B41" s="5">
        <v>150000</v>
      </c>
      <c r="C41" s="5">
        <v>120000</v>
      </c>
      <c r="D41" s="8" t="str">
        <f>VLOOKUP(A41,Лист2!A:E,5,0)</f>
        <v>малые</v>
      </c>
      <c r="E41" s="10">
        <f>VLOOKUP(A41,Лист2!A:E,4,0)</f>
        <v>2.5</v>
      </c>
      <c r="F41" s="11">
        <f t="shared" si="0"/>
        <v>30000</v>
      </c>
      <c r="G41" s="11">
        <f t="shared" si="1"/>
        <v>60000</v>
      </c>
      <c r="H41" s="11">
        <f t="shared" si="2"/>
        <v>12000</v>
      </c>
    </row>
    <row r="42" spans="1:8">
      <c r="A42" s="6" t="s">
        <v>18</v>
      </c>
      <c r="B42" s="5">
        <v>10334000</v>
      </c>
      <c r="C42" s="5">
        <v>12605000</v>
      </c>
      <c r="D42" s="8" t="str">
        <f>VLOOKUP(A42,Лист2!A:E,5,0)</f>
        <v>малые</v>
      </c>
      <c r="E42" s="10">
        <f>VLOOKUP(A42,Лист2!A:E,4,0)</f>
        <v>2.5</v>
      </c>
      <c r="F42" s="11">
        <f t="shared" si="0"/>
        <v>-2271000</v>
      </c>
      <c r="G42" s="11">
        <f t="shared" si="1"/>
        <v>4133600</v>
      </c>
      <c r="H42" s="11">
        <f t="shared" si="2"/>
        <v>-908400</v>
      </c>
    </row>
    <row r="43" spans="1:8">
      <c r="A43" s="6" t="s">
        <v>18</v>
      </c>
      <c r="B43" s="5">
        <v>2185000</v>
      </c>
      <c r="C43" s="5">
        <v>3304000</v>
      </c>
      <c r="D43" s="8" t="str">
        <f>VLOOKUP(A43,Лист2!A:E,5,0)</f>
        <v>малые</v>
      </c>
      <c r="E43" s="10">
        <f>VLOOKUP(A43,Лист2!A:E,4,0)</f>
        <v>2.5</v>
      </c>
      <c r="F43" s="11">
        <f t="shared" si="0"/>
        <v>-1119000</v>
      </c>
      <c r="G43" s="11">
        <f t="shared" si="1"/>
        <v>874000</v>
      </c>
      <c r="H43" s="11">
        <f t="shared" si="2"/>
        <v>-447600</v>
      </c>
    </row>
    <row r="44" spans="1:8">
      <c r="A44" s="6" t="s">
        <v>22</v>
      </c>
      <c r="B44" s="5">
        <v>192489000</v>
      </c>
      <c r="C44" s="5">
        <v>226637000</v>
      </c>
      <c r="D44" s="8" t="str">
        <f>VLOOKUP(A44,Лист2!A:E,5,0)</f>
        <v>малые</v>
      </c>
      <c r="E44" s="10">
        <f>VLOOKUP(A44,Лист2!A:E,4,0)</f>
        <v>13</v>
      </c>
      <c r="F44" s="11">
        <f t="shared" si="0"/>
        <v>-34148000</v>
      </c>
      <c r="G44" s="11">
        <f t="shared" si="1"/>
        <v>14806846.153846154</v>
      </c>
      <c r="H44" s="11">
        <f t="shared" si="2"/>
        <v>-2626769.230769231</v>
      </c>
    </row>
    <row r="45" spans="1:8">
      <c r="A45" s="6" t="s">
        <v>18</v>
      </c>
      <c r="B45" s="5">
        <v>1532000</v>
      </c>
      <c r="C45" s="5">
        <v>5507000</v>
      </c>
      <c r="D45" s="8" t="str">
        <f>VLOOKUP(A45,Лист2!A:E,5,0)</f>
        <v>малые</v>
      </c>
      <c r="E45" s="10">
        <f>VLOOKUP(A45,Лист2!A:E,4,0)</f>
        <v>2.5</v>
      </c>
      <c r="F45" s="11">
        <f t="shared" si="0"/>
        <v>-3975000</v>
      </c>
      <c r="G45" s="11">
        <f t="shared" si="1"/>
        <v>612800</v>
      </c>
      <c r="H45" s="11">
        <f t="shared" si="2"/>
        <v>-1590000</v>
      </c>
    </row>
    <row r="46" spans="1:8">
      <c r="A46" s="6" t="s">
        <v>18</v>
      </c>
      <c r="B46" s="5">
        <v>2640000</v>
      </c>
      <c r="C46" s="5">
        <v>2646000</v>
      </c>
      <c r="D46" s="8" t="str">
        <f>VLOOKUP(A46,Лист2!A:E,5,0)</f>
        <v>малые</v>
      </c>
      <c r="E46" s="10">
        <f>VLOOKUP(A46,Лист2!A:E,4,0)</f>
        <v>2.5</v>
      </c>
      <c r="F46" s="11">
        <f t="shared" si="0"/>
        <v>-6000</v>
      </c>
      <c r="G46" s="11">
        <f t="shared" si="1"/>
        <v>1056000</v>
      </c>
      <c r="H46" s="11">
        <f t="shared" si="2"/>
        <v>-2400</v>
      </c>
    </row>
    <row r="47" spans="1:8">
      <c r="A47" s="6" t="s">
        <v>18</v>
      </c>
      <c r="B47" s="5">
        <v>4184000</v>
      </c>
      <c r="C47" s="5">
        <v>14307000</v>
      </c>
      <c r="D47" s="8" t="str">
        <f>VLOOKUP(A47,Лист2!A:E,5,0)</f>
        <v>малые</v>
      </c>
      <c r="E47" s="10">
        <f>VLOOKUP(A47,Лист2!A:E,4,0)</f>
        <v>2.5</v>
      </c>
      <c r="F47" s="11">
        <f t="shared" si="0"/>
        <v>-10123000</v>
      </c>
      <c r="G47" s="11">
        <f t="shared" si="1"/>
        <v>1673600</v>
      </c>
      <c r="H47" s="11">
        <f t="shared" si="2"/>
        <v>-4049200</v>
      </c>
    </row>
    <row r="48" spans="1:8">
      <c r="A48" s="6" t="s">
        <v>18</v>
      </c>
      <c r="B48" s="5">
        <v>10000</v>
      </c>
      <c r="C48" s="5">
        <v>19000</v>
      </c>
      <c r="D48" s="8" t="str">
        <f>VLOOKUP(A48,Лист2!A:E,5,0)</f>
        <v>малые</v>
      </c>
      <c r="E48" s="10">
        <f>VLOOKUP(A48,Лист2!A:E,4,0)</f>
        <v>2.5</v>
      </c>
      <c r="F48" s="11">
        <f t="shared" si="0"/>
        <v>-9000</v>
      </c>
      <c r="G48" s="11">
        <f t="shared" si="1"/>
        <v>4000</v>
      </c>
      <c r="H48" s="11">
        <f t="shared" si="2"/>
        <v>-3600</v>
      </c>
    </row>
    <row r="49" spans="1:8">
      <c r="A49" s="6" t="s">
        <v>18</v>
      </c>
      <c r="B49" s="5">
        <v>778000</v>
      </c>
      <c r="C49" s="5">
        <v>1170000</v>
      </c>
      <c r="D49" s="8" t="str">
        <f>VLOOKUP(A49,Лист2!A:E,5,0)</f>
        <v>малые</v>
      </c>
      <c r="E49" s="10">
        <f>VLOOKUP(A49,Лист2!A:E,4,0)</f>
        <v>2.5</v>
      </c>
      <c r="F49" s="11">
        <f t="shared" si="0"/>
        <v>-392000</v>
      </c>
      <c r="G49" s="11">
        <f t="shared" si="1"/>
        <v>311200</v>
      </c>
      <c r="H49" s="11">
        <f t="shared" si="2"/>
        <v>-156800</v>
      </c>
    </row>
    <row r="50" spans="1:8">
      <c r="A50" s="6" t="s">
        <v>18</v>
      </c>
      <c r="B50" s="5">
        <v>15000</v>
      </c>
      <c r="C50" s="5">
        <v>11000</v>
      </c>
      <c r="D50" s="8" t="str">
        <f>VLOOKUP(A50,Лист2!A:E,5,0)</f>
        <v>малые</v>
      </c>
      <c r="E50" s="10">
        <f>VLOOKUP(A50,Лист2!A:E,4,0)</f>
        <v>2.5</v>
      </c>
      <c r="F50" s="11">
        <f t="shared" si="0"/>
        <v>4000</v>
      </c>
      <c r="G50" s="11">
        <f t="shared" si="1"/>
        <v>6000</v>
      </c>
      <c r="H50" s="11">
        <f t="shared" si="2"/>
        <v>1600</v>
      </c>
    </row>
    <row r="51" spans="1:8">
      <c r="A51" s="6" t="s">
        <v>18</v>
      </c>
      <c r="B51" s="5">
        <v>664000</v>
      </c>
      <c r="C51" s="5">
        <v>629000</v>
      </c>
      <c r="D51" s="8" t="str">
        <f>VLOOKUP(A51,Лист2!A:E,5,0)</f>
        <v>малые</v>
      </c>
      <c r="E51" s="10">
        <f>VLOOKUP(A51,Лист2!A:E,4,0)</f>
        <v>2.5</v>
      </c>
      <c r="F51" s="11">
        <f t="shared" si="0"/>
        <v>35000</v>
      </c>
      <c r="G51" s="11">
        <f t="shared" si="1"/>
        <v>265600</v>
      </c>
      <c r="H51" s="11">
        <f t="shared" si="2"/>
        <v>14000</v>
      </c>
    </row>
    <row r="52" spans="1:8">
      <c r="A52" s="6" t="s">
        <v>18</v>
      </c>
      <c r="B52" s="5">
        <v>23151000</v>
      </c>
      <c r="C52" s="5">
        <v>99038000</v>
      </c>
      <c r="D52" s="8" t="str">
        <f>VLOOKUP(A52,Лист2!A:E,5,0)</f>
        <v>малые</v>
      </c>
      <c r="E52" s="10">
        <f>VLOOKUP(A52,Лист2!A:E,4,0)</f>
        <v>2.5</v>
      </c>
      <c r="F52" s="11">
        <f t="shared" si="0"/>
        <v>-75887000</v>
      </c>
      <c r="G52" s="11">
        <f t="shared" si="1"/>
        <v>9260400</v>
      </c>
      <c r="H52" s="11">
        <f t="shared" si="2"/>
        <v>-30354800</v>
      </c>
    </row>
    <row r="53" spans="1:8">
      <c r="A53" s="6" t="s">
        <v>18</v>
      </c>
      <c r="B53" s="5">
        <v>2781000</v>
      </c>
      <c r="C53" s="5">
        <v>1269000</v>
      </c>
      <c r="D53" s="8" t="str">
        <f>VLOOKUP(A53,Лист2!A:E,5,0)</f>
        <v>малые</v>
      </c>
      <c r="E53" s="10">
        <f>VLOOKUP(A53,Лист2!A:E,4,0)</f>
        <v>2.5</v>
      </c>
      <c r="F53" s="11">
        <f t="shared" si="0"/>
        <v>1512000</v>
      </c>
      <c r="G53" s="11">
        <f t="shared" si="1"/>
        <v>1112400</v>
      </c>
      <c r="H53" s="11">
        <f t="shared" si="2"/>
        <v>604800</v>
      </c>
    </row>
    <row r="54" spans="1:8">
      <c r="A54" s="6" t="s">
        <v>18</v>
      </c>
      <c r="B54" s="5">
        <v>709000</v>
      </c>
      <c r="C54" s="5">
        <v>851000</v>
      </c>
      <c r="D54" s="8" t="str">
        <f>VLOOKUP(A54,Лист2!A:E,5,0)</f>
        <v>малые</v>
      </c>
      <c r="E54" s="10">
        <f>VLOOKUP(A54,Лист2!A:E,4,0)</f>
        <v>2.5</v>
      </c>
      <c r="F54" s="11">
        <f t="shared" si="0"/>
        <v>-142000</v>
      </c>
      <c r="G54" s="11">
        <f t="shared" si="1"/>
        <v>283600</v>
      </c>
      <c r="H54" s="11">
        <f t="shared" si="2"/>
        <v>-56800</v>
      </c>
    </row>
    <row r="55" spans="1:8">
      <c r="A55" s="6" t="s">
        <v>18</v>
      </c>
      <c r="B55" s="5">
        <v>6450000</v>
      </c>
      <c r="C55" s="5">
        <v>6312000</v>
      </c>
      <c r="D55" s="8" t="str">
        <f>VLOOKUP(A55,Лист2!A:E,5,0)</f>
        <v>малые</v>
      </c>
      <c r="E55" s="10">
        <f>VLOOKUP(A55,Лист2!A:E,4,0)</f>
        <v>2.5</v>
      </c>
      <c r="F55" s="11">
        <f t="shared" si="0"/>
        <v>138000</v>
      </c>
      <c r="G55" s="11">
        <f t="shared" si="1"/>
        <v>2580000</v>
      </c>
      <c r="H55" s="11">
        <f t="shared" si="2"/>
        <v>55200</v>
      </c>
    </row>
    <row r="56" spans="1:8">
      <c r="A56" s="6" t="s">
        <v>77</v>
      </c>
      <c r="B56" s="5">
        <v>7612000</v>
      </c>
      <c r="C56" s="5">
        <v>7401000</v>
      </c>
      <c r="D56" s="8" t="str">
        <f>VLOOKUP(A56,Лист2!A:E,5,0)</f>
        <v>малые</v>
      </c>
      <c r="E56" s="10">
        <f>VLOOKUP(A56,Лист2!A:E,4,0)</f>
        <v>8</v>
      </c>
      <c r="F56" s="11">
        <f t="shared" si="0"/>
        <v>211000</v>
      </c>
      <c r="G56" s="11">
        <f t="shared" si="1"/>
        <v>951500</v>
      </c>
      <c r="H56" s="11">
        <f t="shared" si="2"/>
        <v>26375</v>
      </c>
    </row>
    <row r="57" spans="1:8">
      <c r="A57" s="6" t="s">
        <v>18</v>
      </c>
      <c r="B57" s="5">
        <v>172000</v>
      </c>
      <c r="C57" s="5">
        <v>245000</v>
      </c>
      <c r="D57" s="8" t="str">
        <f>VLOOKUP(A57,Лист2!A:E,5,0)</f>
        <v>малые</v>
      </c>
      <c r="E57" s="10">
        <f>VLOOKUP(A57,Лист2!A:E,4,0)</f>
        <v>2.5</v>
      </c>
      <c r="F57" s="11">
        <f t="shared" si="0"/>
        <v>-73000</v>
      </c>
      <c r="G57" s="11">
        <f t="shared" si="1"/>
        <v>68800</v>
      </c>
      <c r="H57" s="11">
        <f t="shared" si="2"/>
        <v>-29200</v>
      </c>
    </row>
    <row r="58" spans="1:8">
      <c r="A58" s="6" t="s">
        <v>18</v>
      </c>
      <c r="B58" s="5">
        <v>110000</v>
      </c>
      <c r="C58" s="5">
        <v>115000</v>
      </c>
      <c r="D58" s="8" t="str">
        <f>VLOOKUP(A58,Лист2!A:E,5,0)</f>
        <v>малые</v>
      </c>
      <c r="E58" s="10">
        <f>VLOOKUP(A58,Лист2!A:E,4,0)</f>
        <v>2.5</v>
      </c>
      <c r="F58" s="11">
        <f t="shared" si="0"/>
        <v>-5000</v>
      </c>
      <c r="G58" s="11">
        <f t="shared" si="1"/>
        <v>44000</v>
      </c>
      <c r="H58" s="11">
        <f t="shared" si="2"/>
        <v>-2000</v>
      </c>
    </row>
    <row r="59" spans="1:8">
      <c r="A59" s="6" t="s">
        <v>18</v>
      </c>
      <c r="B59" s="5">
        <v>1650000</v>
      </c>
      <c r="C59" s="5">
        <v>2197000</v>
      </c>
      <c r="D59" s="8" t="str">
        <f>VLOOKUP(A59,Лист2!A:E,5,0)</f>
        <v>малые</v>
      </c>
      <c r="E59" s="10">
        <f>VLOOKUP(A59,Лист2!A:E,4,0)</f>
        <v>2.5</v>
      </c>
      <c r="F59" s="11">
        <f t="shared" si="0"/>
        <v>-547000</v>
      </c>
      <c r="G59" s="11">
        <f t="shared" si="1"/>
        <v>660000</v>
      </c>
      <c r="H59" s="11">
        <f t="shared" si="2"/>
        <v>-218800</v>
      </c>
    </row>
    <row r="60" spans="1:8">
      <c r="A60" s="6" t="s">
        <v>22</v>
      </c>
      <c r="B60" s="5">
        <v>97403000</v>
      </c>
      <c r="C60" s="5">
        <v>62297000</v>
      </c>
      <c r="D60" s="8" t="str">
        <f>VLOOKUP(A60,Лист2!A:E,5,0)</f>
        <v>малые</v>
      </c>
      <c r="E60" s="10">
        <f>VLOOKUP(A60,Лист2!A:E,4,0)</f>
        <v>13</v>
      </c>
      <c r="F60" s="11">
        <f t="shared" si="0"/>
        <v>35106000</v>
      </c>
      <c r="G60" s="11">
        <f t="shared" si="1"/>
        <v>7492538.461538462</v>
      </c>
      <c r="H60" s="11">
        <f t="shared" si="2"/>
        <v>2700461.5384615385</v>
      </c>
    </row>
    <row r="61" spans="1:8">
      <c r="A61" s="6" t="s">
        <v>18</v>
      </c>
      <c r="B61" s="5">
        <v>18068000</v>
      </c>
      <c r="C61" s="5">
        <v>17711000</v>
      </c>
      <c r="D61" s="8" t="str">
        <f>VLOOKUP(A61,Лист2!A:E,5,0)</f>
        <v>малые</v>
      </c>
      <c r="E61" s="10">
        <f>VLOOKUP(A61,Лист2!A:E,4,0)</f>
        <v>2.5</v>
      </c>
      <c r="F61" s="11">
        <f t="shared" si="0"/>
        <v>357000</v>
      </c>
      <c r="G61" s="11">
        <f t="shared" si="1"/>
        <v>7227200</v>
      </c>
      <c r="H61" s="11">
        <f t="shared" si="2"/>
        <v>142800</v>
      </c>
    </row>
    <row r="62" spans="1:8">
      <c r="A62" s="6" t="s">
        <v>18</v>
      </c>
      <c r="B62" s="5">
        <v>19792000</v>
      </c>
      <c r="C62" s="5">
        <v>30402000</v>
      </c>
      <c r="D62" s="8" t="str">
        <f>VLOOKUP(A62,Лист2!A:E,5,0)</f>
        <v>малые</v>
      </c>
      <c r="E62" s="10">
        <f>VLOOKUP(A62,Лист2!A:E,4,0)</f>
        <v>2.5</v>
      </c>
      <c r="F62" s="11">
        <f t="shared" si="0"/>
        <v>-10610000</v>
      </c>
      <c r="G62" s="11">
        <f t="shared" si="1"/>
        <v>7916800</v>
      </c>
      <c r="H62" s="11">
        <f t="shared" si="2"/>
        <v>-4244000</v>
      </c>
    </row>
    <row r="63" spans="1:8">
      <c r="A63" s="6" t="s">
        <v>18</v>
      </c>
      <c r="B63" s="5">
        <v>3514000</v>
      </c>
      <c r="C63" s="5">
        <v>3452000</v>
      </c>
      <c r="D63" s="8" t="str">
        <f>VLOOKUP(A63,Лист2!A:E,5,0)</f>
        <v>малые</v>
      </c>
      <c r="E63" s="10">
        <f>VLOOKUP(A63,Лист2!A:E,4,0)</f>
        <v>2.5</v>
      </c>
      <c r="F63" s="11">
        <f t="shared" si="0"/>
        <v>62000</v>
      </c>
      <c r="G63" s="11">
        <f t="shared" si="1"/>
        <v>1405600</v>
      </c>
      <c r="H63" s="11">
        <f t="shared" si="2"/>
        <v>24800</v>
      </c>
    </row>
    <row r="64" spans="1:8">
      <c r="A64" s="6" t="s">
        <v>18</v>
      </c>
      <c r="B64" s="5">
        <v>6800000</v>
      </c>
      <c r="C64" s="5">
        <v>5647000</v>
      </c>
      <c r="D64" s="8" t="str">
        <f>VLOOKUP(A64,Лист2!A:E,5,0)</f>
        <v>малые</v>
      </c>
      <c r="E64" s="10">
        <f>VLOOKUP(A64,Лист2!A:E,4,0)</f>
        <v>2.5</v>
      </c>
      <c r="F64" s="11">
        <f t="shared" si="0"/>
        <v>1153000</v>
      </c>
      <c r="G64" s="11">
        <f t="shared" si="1"/>
        <v>2720000</v>
      </c>
      <c r="H64" s="11">
        <f t="shared" si="2"/>
        <v>461200</v>
      </c>
    </row>
    <row r="65" spans="1:8">
      <c r="A65" s="6" t="s">
        <v>23</v>
      </c>
      <c r="B65" s="5">
        <v>514068000</v>
      </c>
      <c r="C65" s="5">
        <v>442917000</v>
      </c>
      <c r="D65" s="8" t="str">
        <f>VLOOKUP(A65,Лист2!A:E,5,0)</f>
        <v>средние</v>
      </c>
      <c r="E65" s="10">
        <f>VLOOKUP(A65,Лист2!A:E,4,0)</f>
        <v>75.5</v>
      </c>
      <c r="F65" s="11">
        <f t="shared" si="0"/>
        <v>71151000</v>
      </c>
      <c r="G65" s="11">
        <f t="shared" si="1"/>
        <v>6808847.6821192056</v>
      </c>
      <c r="H65" s="11">
        <f t="shared" si="2"/>
        <v>942397.35099337751</v>
      </c>
    </row>
    <row r="66" spans="1:8">
      <c r="A66" s="6" t="s">
        <v>18</v>
      </c>
      <c r="B66" s="5">
        <v>13390000</v>
      </c>
      <c r="C66" s="5">
        <v>13674000</v>
      </c>
      <c r="D66" s="8" t="str">
        <f>VLOOKUP(A66,Лист2!A:E,5,0)</f>
        <v>малые</v>
      </c>
      <c r="E66" s="10">
        <f>VLOOKUP(A66,Лист2!A:E,4,0)</f>
        <v>2.5</v>
      </c>
      <c r="F66" s="11">
        <f t="shared" ref="F66:F129" si="3">B66-C66</f>
        <v>-284000</v>
      </c>
      <c r="G66" s="11">
        <f t="shared" ref="G66:G129" si="4">B66/E66</f>
        <v>5356000</v>
      </c>
      <c r="H66" s="11">
        <f t="shared" ref="H66:H129" si="5">F66/E66</f>
        <v>-113600</v>
      </c>
    </row>
    <row r="67" spans="1:8">
      <c r="A67" s="6" t="s">
        <v>18</v>
      </c>
      <c r="B67" s="5">
        <v>12594000</v>
      </c>
      <c r="C67" s="5">
        <v>10451000</v>
      </c>
      <c r="D67" s="8" t="str">
        <f>VLOOKUP(A67,Лист2!A:E,5,0)</f>
        <v>малые</v>
      </c>
      <c r="E67" s="10">
        <f>VLOOKUP(A67,Лист2!A:E,4,0)</f>
        <v>2.5</v>
      </c>
      <c r="F67" s="11">
        <f t="shared" si="3"/>
        <v>2143000</v>
      </c>
      <c r="G67" s="11">
        <f t="shared" si="4"/>
        <v>5037600</v>
      </c>
      <c r="H67" s="11">
        <f t="shared" si="5"/>
        <v>857200</v>
      </c>
    </row>
    <row r="68" spans="1:8">
      <c r="A68" s="6" t="s">
        <v>18</v>
      </c>
      <c r="B68" s="5">
        <v>12980000</v>
      </c>
      <c r="C68" s="5">
        <v>9158000</v>
      </c>
      <c r="D68" s="8" t="str">
        <f>VLOOKUP(A68,Лист2!A:E,5,0)</f>
        <v>малые</v>
      </c>
      <c r="E68" s="10">
        <f>VLOOKUP(A68,Лист2!A:E,4,0)</f>
        <v>2.5</v>
      </c>
      <c r="F68" s="11">
        <f t="shared" si="3"/>
        <v>3822000</v>
      </c>
      <c r="G68" s="11">
        <f t="shared" si="4"/>
        <v>5192000</v>
      </c>
      <c r="H68" s="11">
        <f t="shared" si="5"/>
        <v>1528800</v>
      </c>
    </row>
    <row r="69" spans="1:8">
      <c r="A69" s="6" t="s">
        <v>22</v>
      </c>
      <c r="B69" s="5">
        <v>3425000</v>
      </c>
      <c r="C69" s="5">
        <v>3667000</v>
      </c>
      <c r="D69" s="8" t="str">
        <f>VLOOKUP(A69,Лист2!A:E,5,0)</f>
        <v>малые</v>
      </c>
      <c r="E69" s="10">
        <f>VLOOKUP(A69,Лист2!A:E,4,0)</f>
        <v>13</v>
      </c>
      <c r="F69" s="11">
        <f t="shared" si="3"/>
        <v>-242000</v>
      </c>
      <c r="G69" s="11">
        <f t="shared" si="4"/>
        <v>263461.53846153844</v>
      </c>
      <c r="H69" s="11">
        <f t="shared" si="5"/>
        <v>-18615.384615384617</v>
      </c>
    </row>
    <row r="70" spans="1:8">
      <c r="A70" s="6" t="s">
        <v>22</v>
      </c>
      <c r="B70" s="5">
        <v>66620000</v>
      </c>
      <c r="C70" s="5">
        <v>66674000</v>
      </c>
      <c r="D70" s="8" t="str">
        <f>VLOOKUP(A70,Лист2!A:E,5,0)</f>
        <v>малые</v>
      </c>
      <c r="E70" s="10">
        <f>VLOOKUP(A70,Лист2!A:E,4,0)</f>
        <v>13</v>
      </c>
      <c r="F70" s="11">
        <f t="shared" si="3"/>
        <v>-54000</v>
      </c>
      <c r="G70" s="11">
        <f t="shared" si="4"/>
        <v>5124615.384615385</v>
      </c>
      <c r="H70" s="11">
        <f t="shared" si="5"/>
        <v>-4153.8461538461543</v>
      </c>
    </row>
    <row r="71" spans="1:8">
      <c r="A71" s="6" t="s">
        <v>280</v>
      </c>
      <c r="B71" s="5">
        <v>77367000</v>
      </c>
      <c r="C71" s="5">
        <v>67628000</v>
      </c>
      <c r="D71" s="8" t="str">
        <f>VLOOKUP(A71,Лист2!A:E,5,0)</f>
        <v>крупные</v>
      </c>
      <c r="E71" s="10">
        <f>VLOOKUP(A71,Лист2!A:E,4,0)</f>
        <v>225.5</v>
      </c>
      <c r="F71" s="11">
        <f t="shared" si="3"/>
        <v>9739000</v>
      </c>
      <c r="G71" s="11">
        <f t="shared" si="4"/>
        <v>343090.90909090912</v>
      </c>
      <c r="H71" s="11">
        <f t="shared" si="5"/>
        <v>43188.47006651885</v>
      </c>
    </row>
    <row r="72" spans="1:8">
      <c r="A72" s="6" t="s">
        <v>18</v>
      </c>
      <c r="B72" s="5">
        <v>269412000</v>
      </c>
      <c r="C72" s="5">
        <v>251203000</v>
      </c>
      <c r="D72" s="8" t="str">
        <f>VLOOKUP(A72,Лист2!A:E,5,0)</f>
        <v>малые</v>
      </c>
      <c r="E72" s="10">
        <f>VLOOKUP(A72,Лист2!A:E,4,0)</f>
        <v>2.5</v>
      </c>
      <c r="F72" s="11">
        <f t="shared" si="3"/>
        <v>18209000</v>
      </c>
      <c r="G72" s="11">
        <f t="shared" si="4"/>
        <v>107764800</v>
      </c>
      <c r="H72" s="11">
        <f t="shared" si="5"/>
        <v>7283600</v>
      </c>
    </row>
    <row r="73" spans="1:8">
      <c r="A73" s="6" t="s">
        <v>18</v>
      </c>
      <c r="B73" s="5">
        <v>69000</v>
      </c>
      <c r="C73" s="5">
        <v>150000</v>
      </c>
      <c r="D73" s="8" t="str">
        <f>VLOOKUP(A73,Лист2!A:E,5,0)</f>
        <v>малые</v>
      </c>
      <c r="E73" s="10">
        <f>VLOOKUP(A73,Лист2!A:E,4,0)</f>
        <v>2.5</v>
      </c>
      <c r="F73" s="11">
        <f t="shared" si="3"/>
        <v>-81000</v>
      </c>
      <c r="G73" s="11">
        <f t="shared" si="4"/>
        <v>27600</v>
      </c>
      <c r="H73" s="11">
        <f t="shared" si="5"/>
        <v>-32400</v>
      </c>
    </row>
    <row r="74" spans="1:8">
      <c r="A74" s="6" t="s">
        <v>23</v>
      </c>
      <c r="B74" s="5">
        <v>50019000</v>
      </c>
      <c r="C74" s="5">
        <v>41433000</v>
      </c>
      <c r="D74" s="8" t="str">
        <f>VLOOKUP(A74,Лист2!A:E,5,0)</f>
        <v>средние</v>
      </c>
      <c r="E74" s="10">
        <f>VLOOKUP(A74,Лист2!A:E,4,0)</f>
        <v>75.5</v>
      </c>
      <c r="F74" s="11">
        <f t="shared" si="3"/>
        <v>8586000</v>
      </c>
      <c r="G74" s="11">
        <f t="shared" si="4"/>
        <v>662503.31125827809</v>
      </c>
      <c r="H74" s="11">
        <f t="shared" si="5"/>
        <v>113721.85430463577</v>
      </c>
    </row>
    <row r="75" spans="1:8">
      <c r="A75" s="6" t="s">
        <v>18</v>
      </c>
      <c r="B75" s="5">
        <v>7416000</v>
      </c>
      <c r="C75" s="5">
        <v>7176000</v>
      </c>
      <c r="D75" s="8" t="str">
        <f>VLOOKUP(A75,Лист2!A:E,5,0)</f>
        <v>малые</v>
      </c>
      <c r="E75" s="10">
        <f>VLOOKUP(A75,Лист2!A:E,4,0)</f>
        <v>2.5</v>
      </c>
      <c r="F75" s="11">
        <f t="shared" si="3"/>
        <v>240000</v>
      </c>
      <c r="G75" s="11">
        <f t="shared" si="4"/>
        <v>2966400</v>
      </c>
      <c r="H75" s="11">
        <f t="shared" si="5"/>
        <v>96000</v>
      </c>
    </row>
    <row r="76" spans="1:8">
      <c r="A76" s="6" t="s">
        <v>18</v>
      </c>
      <c r="B76" s="5">
        <v>3539000</v>
      </c>
      <c r="C76" s="5">
        <v>6026000</v>
      </c>
      <c r="D76" s="8" t="str">
        <f>VLOOKUP(A76,Лист2!A:E,5,0)</f>
        <v>малые</v>
      </c>
      <c r="E76" s="10">
        <f>VLOOKUP(A76,Лист2!A:E,4,0)</f>
        <v>2.5</v>
      </c>
      <c r="F76" s="11">
        <f t="shared" si="3"/>
        <v>-2487000</v>
      </c>
      <c r="G76" s="11">
        <f t="shared" si="4"/>
        <v>1415600</v>
      </c>
      <c r="H76" s="11">
        <f t="shared" si="5"/>
        <v>-994800</v>
      </c>
    </row>
    <row r="77" spans="1:8">
      <c r="A77" s="6" t="s">
        <v>18</v>
      </c>
      <c r="B77" s="5">
        <v>1231000</v>
      </c>
      <c r="C77" s="5">
        <v>1229000</v>
      </c>
      <c r="D77" s="8" t="str">
        <f>VLOOKUP(A77,Лист2!A:E,5,0)</f>
        <v>малые</v>
      </c>
      <c r="E77" s="10">
        <f>VLOOKUP(A77,Лист2!A:E,4,0)</f>
        <v>2.5</v>
      </c>
      <c r="F77" s="11">
        <f t="shared" si="3"/>
        <v>2000</v>
      </c>
      <c r="G77" s="11">
        <f t="shared" si="4"/>
        <v>492400</v>
      </c>
      <c r="H77" s="11">
        <f t="shared" si="5"/>
        <v>800</v>
      </c>
    </row>
    <row r="78" spans="1:8">
      <c r="A78" s="6" t="s">
        <v>302</v>
      </c>
      <c r="B78" s="5">
        <v>82558000</v>
      </c>
      <c r="C78" s="5">
        <v>71662000</v>
      </c>
      <c r="D78" s="8" t="str">
        <f>VLOOKUP(A78,Лист2!A:E,5,0)</f>
        <v>средние</v>
      </c>
      <c r="E78" s="10">
        <f>VLOOKUP(A78,Лист2!A:E,4,0)</f>
        <v>125.5</v>
      </c>
      <c r="F78" s="11">
        <f t="shared" si="3"/>
        <v>10896000</v>
      </c>
      <c r="G78" s="11">
        <f t="shared" si="4"/>
        <v>657832.6693227092</v>
      </c>
      <c r="H78" s="11">
        <f t="shared" si="5"/>
        <v>86820.717131474099</v>
      </c>
    </row>
    <row r="79" spans="1:8">
      <c r="A79" s="6" t="s">
        <v>18</v>
      </c>
      <c r="B79" s="5">
        <v>9431000</v>
      </c>
      <c r="C79" s="5">
        <v>33219000</v>
      </c>
      <c r="D79" s="8" t="str">
        <f>VLOOKUP(A79,Лист2!A:E,5,0)</f>
        <v>малые</v>
      </c>
      <c r="E79" s="10">
        <f>VLOOKUP(A79,Лист2!A:E,4,0)</f>
        <v>2.5</v>
      </c>
      <c r="F79" s="11">
        <f t="shared" si="3"/>
        <v>-23788000</v>
      </c>
      <c r="G79" s="11">
        <f t="shared" si="4"/>
        <v>3772400</v>
      </c>
      <c r="H79" s="11">
        <f t="shared" si="5"/>
        <v>-9515200</v>
      </c>
    </row>
    <row r="80" spans="1:8">
      <c r="A80" s="6" t="s">
        <v>18</v>
      </c>
      <c r="B80" s="5">
        <v>1728000</v>
      </c>
      <c r="C80" s="5">
        <v>1197000</v>
      </c>
      <c r="D80" s="8" t="str">
        <f>VLOOKUP(A80,Лист2!A:E,5,0)</f>
        <v>малые</v>
      </c>
      <c r="E80" s="10">
        <f>VLOOKUP(A80,Лист2!A:E,4,0)</f>
        <v>2.5</v>
      </c>
      <c r="F80" s="11">
        <f t="shared" si="3"/>
        <v>531000</v>
      </c>
      <c r="G80" s="11">
        <f t="shared" si="4"/>
        <v>691200</v>
      </c>
      <c r="H80" s="11">
        <f t="shared" si="5"/>
        <v>212400</v>
      </c>
    </row>
    <row r="81" spans="1:8">
      <c r="A81" s="6" t="s">
        <v>18</v>
      </c>
      <c r="B81" s="5">
        <v>1428000</v>
      </c>
      <c r="C81" s="5">
        <v>1425000</v>
      </c>
      <c r="D81" s="8" t="str">
        <f>VLOOKUP(A81,Лист2!A:E,5,0)</f>
        <v>малые</v>
      </c>
      <c r="E81" s="10">
        <f>VLOOKUP(A81,Лист2!A:E,4,0)</f>
        <v>2.5</v>
      </c>
      <c r="F81" s="11">
        <f t="shared" si="3"/>
        <v>3000</v>
      </c>
      <c r="G81" s="11">
        <f t="shared" si="4"/>
        <v>571200</v>
      </c>
      <c r="H81" s="11">
        <f t="shared" si="5"/>
        <v>1200</v>
      </c>
    </row>
    <row r="82" spans="1:8">
      <c r="A82" s="6" t="s">
        <v>18</v>
      </c>
      <c r="B82" s="5">
        <v>7719000</v>
      </c>
      <c r="C82" s="5">
        <v>7142000</v>
      </c>
      <c r="D82" s="8" t="str">
        <f>VLOOKUP(A82,Лист2!A:E,5,0)</f>
        <v>малые</v>
      </c>
      <c r="E82" s="10">
        <f>VLOOKUP(A82,Лист2!A:E,4,0)</f>
        <v>2.5</v>
      </c>
      <c r="F82" s="11">
        <f t="shared" si="3"/>
        <v>577000</v>
      </c>
      <c r="G82" s="11">
        <f t="shared" si="4"/>
        <v>3087600</v>
      </c>
      <c r="H82" s="11">
        <f t="shared" si="5"/>
        <v>230800</v>
      </c>
    </row>
    <row r="83" spans="1:8">
      <c r="A83" s="6" t="s">
        <v>18</v>
      </c>
      <c r="B83" s="5">
        <v>13961000</v>
      </c>
      <c r="C83" s="5">
        <v>6713000</v>
      </c>
      <c r="D83" s="8" t="str">
        <f>VLOOKUP(A83,Лист2!A:E,5,0)</f>
        <v>малые</v>
      </c>
      <c r="E83" s="10">
        <f>VLOOKUP(A83,Лист2!A:E,4,0)</f>
        <v>2.5</v>
      </c>
      <c r="F83" s="11">
        <f t="shared" si="3"/>
        <v>7248000</v>
      </c>
      <c r="G83" s="11">
        <f t="shared" si="4"/>
        <v>5584400</v>
      </c>
      <c r="H83" s="11">
        <f t="shared" si="5"/>
        <v>2899200</v>
      </c>
    </row>
    <row r="84" spans="1:8">
      <c r="A84" s="6" t="s">
        <v>18</v>
      </c>
      <c r="B84" s="5">
        <v>118183000</v>
      </c>
      <c r="C84" s="5">
        <v>96446000</v>
      </c>
      <c r="D84" s="8" t="str">
        <f>VLOOKUP(A84,Лист2!A:E,5,0)</f>
        <v>малые</v>
      </c>
      <c r="E84" s="10">
        <f>VLOOKUP(A84,Лист2!A:E,4,0)</f>
        <v>2.5</v>
      </c>
      <c r="F84" s="11">
        <f t="shared" si="3"/>
        <v>21737000</v>
      </c>
      <c r="G84" s="11">
        <f t="shared" si="4"/>
        <v>47273200</v>
      </c>
      <c r="H84" s="11">
        <f t="shared" si="5"/>
        <v>8694800</v>
      </c>
    </row>
    <row r="85" spans="1:8">
      <c r="A85" s="6" t="s">
        <v>77</v>
      </c>
      <c r="B85" s="5">
        <v>74828000</v>
      </c>
      <c r="C85" s="5">
        <v>67885000</v>
      </c>
      <c r="D85" s="8" t="str">
        <f>VLOOKUP(A85,Лист2!A:E,5,0)</f>
        <v>малые</v>
      </c>
      <c r="E85" s="10">
        <f>VLOOKUP(A85,Лист2!A:E,4,0)</f>
        <v>8</v>
      </c>
      <c r="F85" s="11">
        <f t="shared" si="3"/>
        <v>6943000</v>
      </c>
      <c r="G85" s="11">
        <f t="shared" si="4"/>
        <v>9353500</v>
      </c>
      <c r="H85" s="11">
        <f t="shared" si="5"/>
        <v>867875</v>
      </c>
    </row>
    <row r="86" spans="1:8">
      <c r="A86" s="6" t="s">
        <v>18</v>
      </c>
      <c r="B86" s="5">
        <v>2558000</v>
      </c>
      <c r="C86" s="5">
        <v>1855000</v>
      </c>
      <c r="D86" s="8" t="str">
        <f>VLOOKUP(A86,Лист2!A:E,5,0)</f>
        <v>малые</v>
      </c>
      <c r="E86" s="10">
        <f>VLOOKUP(A86,Лист2!A:E,4,0)</f>
        <v>2.5</v>
      </c>
      <c r="F86" s="11">
        <f t="shared" si="3"/>
        <v>703000</v>
      </c>
      <c r="G86" s="11">
        <f t="shared" si="4"/>
        <v>1023200</v>
      </c>
      <c r="H86" s="11">
        <f t="shared" si="5"/>
        <v>281200</v>
      </c>
    </row>
    <row r="87" spans="1:8">
      <c r="A87" s="6" t="s">
        <v>18</v>
      </c>
      <c r="B87" s="5">
        <v>85019000</v>
      </c>
      <c r="C87" s="5">
        <v>53611000</v>
      </c>
      <c r="D87" s="8" t="str">
        <f>VLOOKUP(A87,Лист2!A:E,5,0)</f>
        <v>малые</v>
      </c>
      <c r="E87" s="10">
        <f>VLOOKUP(A87,Лист2!A:E,4,0)</f>
        <v>2.5</v>
      </c>
      <c r="F87" s="11">
        <f t="shared" si="3"/>
        <v>31408000</v>
      </c>
      <c r="G87" s="11">
        <f t="shared" si="4"/>
        <v>34007600</v>
      </c>
      <c r="H87" s="11">
        <f t="shared" si="5"/>
        <v>12563200</v>
      </c>
    </row>
    <row r="88" spans="1:8">
      <c r="A88" s="6" t="s">
        <v>18</v>
      </c>
      <c r="B88" s="5">
        <v>4537000</v>
      </c>
      <c r="C88" s="5">
        <v>4519000</v>
      </c>
      <c r="D88" s="8" t="str">
        <f>VLOOKUP(A88,Лист2!A:E,5,0)</f>
        <v>малые</v>
      </c>
      <c r="E88" s="10">
        <f>VLOOKUP(A88,Лист2!A:E,4,0)</f>
        <v>2.5</v>
      </c>
      <c r="F88" s="11">
        <f t="shared" si="3"/>
        <v>18000</v>
      </c>
      <c r="G88" s="11">
        <f t="shared" si="4"/>
        <v>1814800</v>
      </c>
      <c r="H88" s="11">
        <f t="shared" si="5"/>
        <v>7200</v>
      </c>
    </row>
    <row r="89" spans="1:8">
      <c r="A89" s="6" t="s">
        <v>23</v>
      </c>
      <c r="B89" s="5">
        <v>41859000</v>
      </c>
      <c r="C89" s="5">
        <v>36172000</v>
      </c>
      <c r="D89" s="8" t="str">
        <f>VLOOKUP(A89,Лист2!A:E,5,0)</f>
        <v>средние</v>
      </c>
      <c r="E89" s="10">
        <f>VLOOKUP(A89,Лист2!A:E,4,0)</f>
        <v>75.5</v>
      </c>
      <c r="F89" s="11">
        <f t="shared" si="3"/>
        <v>5687000</v>
      </c>
      <c r="G89" s="11">
        <f t="shared" si="4"/>
        <v>554423.84105960268</v>
      </c>
      <c r="H89" s="11">
        <f t="shared" si="5"/>
        <v>75324.503311258275</v>
      </c>
    </row>
    <row r="90" spans="1:8">
      <c r="A90" s="6" t="s">
        <v>18</v>
      </c>
      <c r="B90" s="5">
        <v>17000</v>
      </c>
      <c r="C90" s="5">
        <v>17000</v>
      </c>
      <c r="D90" s="8" t="str">
        <f>VLOOKUP(A90,Лист2!A:E,5,0)</f>
        <v>малые</v>
      </c>
      <c r="E90" s="10">
        <f>VLOOKUP(A90,Лист2!A:E,4,0)</f>
        <v>2.5</v>
      </c>
      <c r="F90" s="11">
        <f t="shared" si="3"/>
        <v>0</v>
      </c>
      <c r="G90" s="11">
        <f t="shared" si="4"/>
        <v>6800</v>
      </c>
      <c r="H90" s="11">
        <f t="shared" si="5"/>
        <v>0</v>
      </c>
    </row>
    <row r="91" spans="1:8">
      <c r="A91" s="6" t="s">
        <v>18</v>
      </c>
      <c r="B91" s="5">
        <v>16619000</v>
      </c>
      <c r="C91" s="5">
        <v>17244000</v>
      </c>
      <c r="D91" s="8" t="str">
        <f>VLOOKUP(A91,Лист2!A:E,5,0)</f>
        <v>малые</v>
      </c>
      <c r="E91" s="10">
        <f>VLOOKUP(A91,Лист2!A:E,4,0)</f>
        <v>2.5</v>
      </c>
      <c r="F91" s="11">
        <f t="shared" si="3"/>
        <v>-625000</v>
      </c>
      <c r="G91" s="11">
        <f t="shared" si="4"/>
        <v>6647600</v>
      </c>
      <c r="H91" s="11">
        <f t="shared" si="5"/>
        <v>-250000</v>
      </c>
    </row>
    <row r="92" spans="1:8">
      <c r="A92" s="6" t="s">
        <v>77</v>
      </c>
      <c r="B92" s="5">
        <v>6258000</v>
      </c>
      <c r="C92" s="5">
        <v>8466000</v>
      </c>
      <c r="D92" s="8" t="str">
        <f>VLOOKUP(A92,Лист2!A:E,5,0)</f>
        <v>малые</v>
      </c>
      <c r="E92" s="10">
        <f>VLOOKUP(A92,Лист2!A:E,4,0)</f>
        <v>8</v>
      </c>
      <c r="F92" s="11">
        <f t="shared" si="3"/>
        <v>-2208000</v>
      </c>
      <c r="G92" s="11">
        <f t="shared" si="4"/>
        <v>782250</v>
      </c>
      <c r="H92" s="11">
        <f t="shared" si="5"/>
        <v>-276000</v>
      </c>
    </row>
    <row r="93" spans="1:8">
      <c r="A93" s="6" t="s">
        <v>18</v>
      </c>
      <c r="B93" s="5">
        <v>143794000</v>
      </c>
      <c r="C93" s="5">
        <v>265249000</v>
      </c>
      <c r="D93" s="8" t="str">
        <f>VLOOKUP(A93,Лист2!A:E,5,0)</f>
        <v>малые</v>
      </c>
      <c r="E93" s="10">
        <f>VLOOKUP(A93,Лист2!A:E,4,0)</f>
        <v>2.5</v>
      </c>
      <c r="F93" s="11">
        <f t="shared" si="3"/>
        <v>-121455000</v>
      </c>
      <c r="G93" s="11">
        <f t="shared" si="4"/>
        <v>57517600</v>
      </c>
      <c r="H93" s="11">
        <f t="shared" si="5"/>
        <v>-48582000</v>
      </c>
    </row>
    <row r="94" spans="1:8">
      <c r="A94" s="6" t="s">
        <v>18</v>
      </c>
      <c r="B94" s="5">
        <v>14400000</v>
      </c>
      <c r="C94" s="5">
        <v>14841000</v>
      </c>
      <c r="D94" s="8" t="str">
        <f>VLOOKUP(A94,Лист2!A:E,5,0)</f>
        <v>малые</v>
      </c>
      <c r="E94" s="10">
        <f>VLOOKUP(A94,Лист2!A:E,4,0)</f>
        <v>2.5</v>
      </c>
      <c r="F94" s="11">
        <f t="shared" si="3"/>
        <v>-441000</v>
      </c>
      <c r="G94" s="11">
        <f t="shared" si="4"/>
        <v>5760000</v>
      </c>
      <c r="H94" s="11">
        <f t="shared" si="5"/>
        <v>-176400</v>
      </c>
    </row>
    <row r="95" spans="1:8">
      <c r="A95" s="6" t="s">
        <v>18</v>
      </c>
      <c r="B95" s="5">
        <v>25973000</v>
      </c>
      <c r="C95" s="5">
        <v>12812000</v>
      </c>
      <c r="D95" s="8" t="str">
        <f>VLOOKUP(A95,Лист2!A:E,5,0)</f>
        <v>малые</v>
      </c>
      <c r="E95" s="10">
        <f>VLOOKUP(A95,Лист2!A:E,4,0)</f>
        <v>2.5</v>
      </c>
      <c r="F95" s="11">
        <f t="shared" si="3"/>
        <v>13161000</v>
      </c>
      <c r="G95" s="11">
        <f t="shared" si="4"/>
        <v>10389200</v>
      </c>
      <c r="H95" s="11">
        <f t="shared" si="5"/>
        <v>5264400</v>
      </c>
    </row>
    <row r="96" spans="1:8">
      <c r="A96" s="6" t="s">
        <v>18</v>
      </c>
      <c r="B96" s="5">
        <v>6946000</v>
      </c>
      <c r="C96" s="5">
        <v>6541000</v>
      </c>
      <c r="D96" s="8" t="str">
        <f>VLOOKUP(A96,Лист2!A:E,5,0)</f>
        <v>малые</v>
      </c>
      <c r="E96" s="10">
        <f>VLOOKUP(A96,Лист2!A:E,4,0)</f>
        <v>2.5</v>
      </c>
      <c r="F96" s="11">
        <f t="shared" si="3"/>
        <v>405000</v>
      </c>
      <c r="G96" s="11">
        <f t="shared" si="4"/>
        <v>2778400</v>
      </c>
      <c r="H96" s="11">
        <f t="shared" si="5"/>
        <v>162000</v>
      </c>
    </row>
    <row r="97" spans="1:8">
      <c r="A97" s="6" t="s">
        <v>23</v>
      </c>
      <c r="B97" s="5">
        <v>155467000</v>
      </c>
      <c r="C97" s="5">
        <v>69241000</v>
      </c>
      <c r="D97" s="8" t="str">
        <f>VLOOKUP(A97,Лист2!A:E,5,0)</f>
        <v>средние</v>
      </c>
      <c r="E97" s="10">
        <f>VLOOKUP(A97,Лист2!A:E,4,0)</f>
        <v>75.5</v>
      </c>
      <c r="F97" s="11">
        <f t="shared" si="3"/>
        <v>86226000</v>
      </c>
      <c r="G97" s="11">
        <f t="shared" si="4"/>
        <v>2059165.5629139072</v>
      </c>
      <c r="H97" s="11">
        <f t="shared" si="5"/>
        <v>1142066.2251655629</v>
      </c>
    </row>
    <row r="98" spans="1:8">
      <c r="A98" s="6" t="s">
        <v>18</v>
      </c>
      <c r="B98" s="5">
        <v>2505000</v>
      </c>
      <c r="C98" s="5">
        <v>2445000</v>
      </c>
      <c r="D98" s="8" t="str">
        <f>VLOOKUP(A98,Лист2!A:E,5,0)</f>
        <v>малые</v>
      </c>
      <c r="E98" s="10">
        <f>VLOOKUP(A98,Лист2!A:E,4,0)</f>
        <v>2.5</v>
      </c>
      <c r="F98" s="11">
        <f t="shared" si="3"/>
        <v>60000</v>
      </c>
      <c r="G98" s="11">
        <f t="shared" si="4"/>
        <v>1002000</v>
      </c>
      <c r="H98" s="11">
        <f t="shared" si="5"/>
        <v>24000</v>
      </c>
    </row>
    <row r="99" spans="1:8">
      <c r="A99" s="6" t="s">
        <v>18</v>
      </c>
      <c r="B99" s="5">
        <v>201000</v>
      </c>
      <c r="C99" s="5">
        <v>207000</v>
      </c>
      <c r="D99" s="8" t="str">
        <f>VLOOKUP(A99,Лист2!A:E,5,0)</f>
        <v>малые</v>
      </c>
      <c r="E99" s="10">
        <f>VLOOKUP(A99,Лист2!A:E,4,0)</f>
        <v>2.5</v>
      </c>
      <c r="F99" s="11">
        <f t="shared" si="3"/>
        <v>-6000</v>
      </c>
      <c r="G99" s="11">
        <f t="shared" si="4"/>
        <v>80400</v>
      </c>
      <c r="H99" s="11">
        <f t="shared" si="5"/>
        <v>-2400</v>
      </c>
    </row>
    <row r="100" spans="1:8">
      <c r="A100" s="6" t="s">
        <v>18</v>
      </c>
      <c r="B100" s="5">
        <v>50000</v>
      </c>
      <c r="C100" s="5">
        <v>47000</v>
      </c>
      <c r="D100" s="8" t="str">
        <f>VLOOKUP(A100,Лист2!A:E,5,0)</f>
        <v>малые</v>
      </c>
      <c r="E100" s="10">
        <f>VLOOKUP(A100,Лист2!A:E,4,0)</f>
        <v>2.5</v>
      </c>
      <c r="F100" s="11">
        <f t="shared" si="3"/>
        <v>3000</v>
      </c>
      <c r="G100" s="11">
        <f t="shared" si="4"/>
        <v>20000</v>
      </c>
      <c r="H100" s="11">
        <f t="shared" si="5"/>
        <v>1200</v>
      </c>
    </row>
    <row r="101" spans="1:8">
      <c r="A101" s="6" t="s">
        <v>18</v>
      </c>
      <c r="B101" s="5">
        <v>3209000</v>
      </c>
      <c r="C101" s="5">
        <v>2670000</v>
      </c>
      <c r="D101" s="8" t="str">
        <f>VLOOKUP(A101,Лист2!A:E,5,0)</f>
        <v>малые</v>
      </c>
      <c r="E101" s="10">
        <f>VLOOKUP(A101,Лист2!A:E,4,0)</f>
        <v>2.5</v>
      </c>
      <c r="F101" s="11">
        <f t="shared" si="3"/>
        <v>539000</v>
      </c>
      <c r="G101" s="11">
        <f t="shared" si="4"/>
        <v>1283600</v>
      </c>
      <c r="H101" s="11">
        <f t="shared" si="5"/>
        <v>215600</v>
      </c>
    </row>
    <row r="102" spans="1:8">
      <c r="A102" s="6" t="s">
        <v>18</v>
      </c>
      <c r="B102" s="5">
        <v>3799000</v>
      </c>
      <c r="C102" s="5">
        <v>3653000</v>
      </c>
      <c r="D102" s="8" t="str">
        <f>VLOOKUP(A102,Лист2!A:E,5,0)</f>
        <v>малые</v>
      </c>
      <c r="E102" s="10">
        <f>VLOOKUP(A102,Лист2!A:E,4,0)</f>
        <v>2.5</v>
      </c>
      <c r="F102" s="11">
        <f t="shared" si="3"/>
        <v>146000</v>
      </c>
      <c r="G102" s="11">
        <f t="shared" si="4"/>
        <v>1519600</v>
      </c>
      <c r="H102" s="11">
        <f t="shared" si="5"/>
        <v>58400</v>
      </c>
    </row>
    <row r="103" spans="1:8">
      <c r="A103" s="6" t="s">
        <v>18</v>
      </c>
      <c r="B103" s="5">
        <v>1576000</v>
      </c>
      <c r="C103" s="5">
        <v>3872000</v>
      </c>
      <c r="D103" s="8" t="str">
        <f>VLOOKUP(A103,Лист2!A:E,5,0)</f>
        <v>малые</v>
      </c>
      <c r="E103" s="10">
        <f>VLOOKUP(A103,Лист2!A:E,4,0)</f>
        <v>2.5</v>
      </c>
      <c r="F103" s="11">
        <f t="shared" si="3"/>
        <v>-2296000</v>
      </c>
      <c r="G103" s="11">
        <f t="shared" si="4"/>
        <v>630400</v>
      </c>
      <c r="H103" s="11">
        <f t="shared" si="5"/>
        <v>-918400</v>
      </c>
    </row>
    <row r="104" spans="1:8">
      <c r="A104" s="6" t="s">
        <v>18</v>
      </c>
      <c r="B104" s="5">
        <v>3060000</v>
      </c>
      <c r="C104" s="5">
        <v>3468000</v>
      </c>
      <c r="D104" s="8" t="str">
        <f>VLOOKUP(A104,Лист2!A:E,5,0)</f>
        <v>малые</v>
      </c>
      <c r="E104" s="10">
        <f>VLOOKUP(A104,Лист2!A:E,4,0)</f>
        <v>2.5</v>
      </c>
      <c r="F104" s="11">
        <f t="shared" si="3"/>
        <v>-408000</v>
      </c>
      <c r="G104" s="11">
        <f t="shared" si="4"/>
        <v>1224000</v>
      </c>
      <c r="H104" s="11">
        <f t="shared" si="5"/>
        <v>-163200</v>
      </c>
    </row>
    <row r="105" spans="1:8">
      <c r="A105" s="6" t="s">
        <v>22</v>
      </c>
      <c r="B105" s="5">
        <v>11031000</v>
      </c>
      <c r="C105" s="5">
        <v>18407000</v>
      </c>
      <c r="D105" s="8" t="str">
        <f>VLOOKUP(A105,Лист2!A:E,5,0)</f>
        <v>малые</v>
      </c>
      <c r="E105" s="10">
        <f>VLOOKUP(A105,Лист2!A:E,4,0)</f>
        <v>13</v>
      </c>
      <c r="F105" s="11">
        <f t="shared" si="3"/>
        <v>-7376000</v>
      </c>
      <c r="G105" s="11">
        <f t="shared" si="4"/>
        <v>848538.4615384615</v>
      </c>
      <c r="H105" s="11">
        <f t="shared" si="5"/>
        <v>-567384.61538461538</v>
      </c>
    </row>
    <row r="106" spans="1:8">
      <c r="A106" s="6" t="s">
        <v>23</v>
      </c>
      <c r="B106" s="5">
        <v>41475000</v>
      </c>
      <c r="C106" s="5">
        <v>40195000</v>
      </c>
      <c r="D106" s="8" t="str">
        <f>VLOOKUP(A106,Лист2!A:E,5,0)</f>
        <v>средние</v>
      </c>
      <c r="E106" s="10">
        <f>VLOOKUP(A106,Лист2!A:E,4,0)</f>
        <v>75.5</v>
      </c>
      <c r="F106" s="11">
        <f t="shared" si="3"/>
        <v>1280000</v>
      </c>
      <c r="G106" s="11">
        <f t="shared" si="4"/>
        <v>549337.74834437086</v>
      </c>
      <c r="H106" s="11">
        <f t="shared" si="5"/>
        <v>16953.642384105959</v>
      </c>
    </row>
    <row r="107" spans="1:8">
      <c r="A107" s="6" t="s">
        <v>18</v>
      </c>
      <c r="B107" s="5">
        <v>24710000</v>
      </c>
      <c r="C107" s="5">
        <v>21286000</v>
      </c>
      <c r="D107" s="8" t="str">
        <f>VLOOKUP(A107,Лист2!A:E,5,0)</f>
        <v>малые</v>
      </c>
      <c r="E107" s="10">
        <f>VLOOKUP(A107,Лист2!A:E,4,0)</f>
        <v>2.5</v>
      </c>
      <c r="F107" s="11">
        <f t="shared" si="3"/>
        <v>3424000</v>
      </c>
      <c r="G107" s="11">
        <f t="shared" si="4"/>
        <v>9884000</v>
      </c>
      <c r="H107" s="11">
        <f t="shared" si="5"/>
        <v>1369600</v>
      </c>
    </row>
    <row r="108" spans="1:8">
      <c r="A108" s="6" t="s">
        <v>18</v>
      </c>
      <c r="B108" s="5">
        <v>15715000</v>
      </c>
      <c r="C108" s="5">
        <v>12215000</v>
      </c>
      <c r="D108" s="8" t="str">
        <f>VLOOKUP(A108,Лист2!A:E,5,0)</f>
        <v>малые</v>
      </c>
      <c r="E108" s="10">
        <f>VLOOKUP(A108,Лист2!A:E,4,0)</f>
        <v>2.5</v>
      </c>
      <c r="F108" s="11">
        <f t="shared" si="3"/>
        <v>3500000</v>
      </c>
      <c r="G108" s="11">
        <f t="shared" si="4"/>
        <v>6286000</v>
      </c>
      <c r="H108" s="11">
        <f t="shared" si="5"/>
        <v>1400000</v>
      </c>
    </row>
    <row r="109" spans="1:8">
      <c r="A109" s="6" t="s">
        <v>18</v>
      </c>
      <c r="B109" s="5">
        <v>8550000</v>
      </c>
      <c r="C109" s="5">
        <v>8076000</v>
      </c>
      <c r="D109" s="8" t="str">
        <f>VLOOKUP(A109,Лист2!A:E,5,0)</f>
        <v>малые</v>
      </c>
      <c r="E109" s="10">
        <f>VLOOKUP(A109,Лист2!A:E,4,0)</f>
        <v>2.5</v>
      </c>
      <c r="F109" s="11">
        <f t="shared" si="3"/>
        <v>474000</v>
      </c>
      <c r="G109" s="11">
        <f t="shared" si="4"/>
        <v>3420000</v>
      </c>
      <c r="H109" s="11">
        <f t="shared" si="5"/>
        <v>189600</v>
      </c>
    </row>
    <row r="110" spans="1:8">
      <c r="A110" s="6" t="s">
        <v>22</v>
      </c>
      <c r="B110" s="5">
        <v>2682331000</v>
      </c>
      <c r="C110" s="5">
        <v>2664750000</v>
      </c>
      <c r="D110" s="8" t="str">
        <f>VLOOKUP(A110,Лист2!A:E,5,0)</f>
        <v>малые</v>
      </c>
      <c r="E110" s="10">
        <f>VLOOKUP(A110,Лист2!A:E,4,0)</f>
        <v>13</v>
      </c>
      <c r="F110" s="11">
        <f t="shared" si="3"/>
        <v>17581000</v>
      </c>
      <c r="G110" s="11">
        <f t="shared" si="4"/>
        <v>206333153.84615386</v>
      </c>
      <c r="H110" s="11">
        <f t="shared" si="5"/>
        <v>1352384.6153846155</v>
      </c>
    </row>
    <row r="111" spans="1:8">
      <c r="A111" s="6" t="s">
        <v>18</v>
      </c>
      <c r="B111" s="5">
        <v>9565000</v>
      </c>
      <c r="C111" s="5">
        <v>7416000</v>
      </c>
      <c r="D111" s="8" t="str">
        <f>VLOOKUP(A111,Лист2!A:E,5,0)</f>
        <v>малые</v>
      </c>
      <c r="E111" s="10">
        <f>VLOOKUP(A111,Лист2!A:E,4,0)</f>
        <v>2.5</v>
      </c>
      <c r="F111" s="11">
        <f t="shared" si="3"/>
        <v>2149000</v>
      </c>
      <c r="G111" s="11">
        <f t="shared" si="4"/>
        <v>3826000</v>
      </c>
      <c r="H111" s="11">
        <f t="shared" si="5"/>
        <v>859600</v>
      </c>
    </row>
    <row r="112" spans="1:8">
      <c r="A112" s="6" t="s">
        <v>22</v>
      </c>
      <c r="B112" s="5">
        <v>19026000</v>
      </c>
      <c r="C112" s="5">
        <v>18736000</v>
      </c>
      <c r="D112" s="8" t="str">
        <f>VLOOKUP(A112,Лист2!A:E,5,0)</f>
        <v>малые</v>
      </c>
      <c r="E112" s="10">
        <f>VLOOKUP(A112,Лист2!A:E,4,0)</f>
        <v>13</v>
      </c>
      <c r="F112" s="11">
        <f t="shared" si="3"/>
        <v>290000</v>
      </c>
      <c r="G112" s="11">
        <f t="shared" si="4"/>
        <v>1463538.4615384615</v>
      </c>
      <c r="H112" s="11">
        <f t="shared" si="5"/>
        <v>22307.692307692309</v>
      </c>
    </row>
    <row r="113" spans="1:8">
      <c r="A113" s="6" t="s">
        <v>18</v>
      </c>
      <c r="B113" s="5">
        <v>14000000</v>
      </c>
      <c r="C113" s="5">
        <v>13500000</v>
      </c>
      <c r="D113" s="8" t="str">
        <f>VLOOKUP(A113,Лист2!A:E,5,0)</f>
        <v>малые</v>
      </c>
      <c r="E113" s="10">
        <f>VLOOKUP(A113,Лист2!A:E,4,0)</f>
        <v>2.5</v>
      </c>
      <c r="F113" s="11">
        <f t="shared" si="3"/>
        <v>500000</v>
      </c>
      <c r="G113" s="11">
        <f t="shared" si="4"/>
        <v>5600000</v>
      </c>
      <c r="H113" s="11">
        <f t="shared" si="5"/>
        <v>200000</v>
      </c>
    </row>
    <row r="114" spans="1:8">
      <c r="A114" s="6" t="s">
        <v>18</v>
      </c>
      <c r="B114" s="5">
        <v>1539000</v>
      </c>
      <c r="C114" s="5">
        <v>1573000</v>
      </c>
      <c r="D114" s="8" t="str">
        <f>VLOOKUP(A114,Лист2!A:E,5,0)</f>
        <v>малые</v>
      </c>
      <c r="E114" s="10">
        <f>VLOOKUP(A114,Лист2!A:E,4,0)</f>
        <v>2.5</v>
      </c>
      <c r="F114" s="11">
        <f t="shared" si="3"/>
        <v>-34000</v>
      </c>
      <c r="G114" s="11">
        <f t="shared" si="4"/>
        <v>615600</v>
      </c>
      <c r="H114" s="11">
        <f t="shared" si="5"/>
        <v>-13600</v>
      </c>
    </row>
    <row r="115" spans="1:8">
      <c r="A115" s="6" t="s">
        <v>18</v>
      </c>
      <c r="B115" s="5">
        <v>2050000</v>
      </c>
      <c r="C115" s="5">
        <v>2078000</v>
      </c>
      <c r="D115" s="8" t="str">
        <f>VLOOKUP(A115,Лист2!A:E,5,0)</f>
        <v>малые</v>
      </c>
      <c r="E115" s="10">
        <f>VLOOKUP(A115,Лист2!A:E,4,0)</f>
        <v>2.5</v>
      </c>
      <c r="F115" s="11">
        <f t="shared" si="3"/>
        <v>-28000</v>
      </c>
      <c r="G115" s="11">
        <f t="shared" si="4"/>
        <v>820000</v>
      </c>
      <c r="H115" s="11">
        <f t="shared" si="5"/>
        <v>-11200</v>
      </c>
    </row>
    <row r="116" spans="1:8">
      <c r="A116" s="6" t="s">
        <v>18</v>
      </c>
      <c r="B116" s="5">
        <v>11287000</v>
      </c>
      <c r="C116" s="5">
        <v>10698000</v>
      </c>
      <c r="D116" s="8" t="str">
        <f>VLOOKUP(A116,Лист2!A:E,5,0)</f>
        <v>малые</v>
      </c>
      <c r="E116" s="10">
        <f>VLOOKUP(A116,Лист2!A:E,4,0)</f>
        <v>2.5</v>
      </c>
      <c r="F116" s="11">
        <f t="shared" si="3"/>
        <v>589000</v>
      </c>
      <c r="G116" s="11">
        <f t="shared" si="4"/>
        <v>4514800</v>
      </c>
      <c r="H116" s="11">
        <f t="shared" si="5"/>
        <v>235600</v>
      </c>
    </row>
    <row r="117" spans="1:8">
      <c r="A117" s="6" t="s">
        <v>18</v>
      </c>
      <c r="B117" s="5">
        <v>795000</v>
      </c>
      <c r="C117" s="5">
        <v>712000</v>
      </c>
      <c r="D117" s="8" t="str">
        <f>VLOOKUP(A117,Лист2!A:E,5,0)</f>
        <v>малые</v>
      </c>
      <c r="E117" s="10">
        <f>VLOOKUP(A117,Лист2!A:E,4,0)</f>
        <v>2.5</v>
      </c>
      <c r="F117" s="11">
        <f t="shared" si="3"/>
        <v>83000</v>
      </c>
      <c r="G117" s="11">
        <f t="shared" si="4"/>
        <v>318000</v>
      </c>
      <c r="H117" s="11">
        <f t="shared" si="5"/>
        <v>33200</v>
      </c>
    </row>
    <row r="118" spans="1:8">
      <c r="A118" s="6" t="s">
        <v>22</v>
      </c>
      <c r="B118" s="5">
        <v>1799000</v>
      </c>
      <c r="C118" s="5">
        <v>3777000</v>
      </c>
      <c r="D118" s="8" t="str">
        <f>VLOOKUP(A118,Лист2!A:E,5,0)</f>
        <v>малые</v>
      </c>
      <c r="E118" s="10">
        <f>VLOOKUP(A118,Лист2!A:E,4,0)</f>
        <v>13</v>
      </c>
      <c r="F118" s="11">
        <f t="shared" si="3"/>
        <v>-1978000</v>
      </c>
      <c r="G118" s="11">
        <f t="shared" si="4"/>
        <v>138384.61538461538</v>
      </c>
      <c r="H118" s="11">
        <f t="shared" si="5"/>
        <v>-152153.84615384616</v>
      </c>
    </row>
    <row r="119" spans="1:8">
      <c r="A119" s="6" t="s">
        <v>18</v>
      </c>
      <c r="B119" s="5">
        <v>3992000</v>
      </c>
      <c r="C119" s="5">
        <v>4723000</v>
      </c>
      <c r="D119" s="8" t="str">
        <f>VLOOKUP(A119,Лист2!A:E,5,0)</f>
        <v>малые</v>
      </c>
      <c r="E119" s="10">
        <f>VLOOKUP(A119,Лист2!A:E,4,0)</f>
        <v>2.5</v>
      </c>
      <c r="F119" s="11">
        <f t="shared" si="3"/>
        <v>-731000</v>
      </c>
      <c r="G119" s="11">
        <f t="shared" si="4"/>
        <v>1596800</v>
      </c>
      <c r="H119" s="11">
        <f t="shared" si="5"/>
        <v>-292400</v>
      </c>
    </row>
    <row r="120" spans="1:8">
      <c r="A120" s="6" t="s">
        <v>22</v>
      </c>
      <c r="B120" s="5">
        <v>79973000</v>
      </c>
      <c r="C120" s="5">
        <v>53135000</v>
      </c>
      <c r="D120" s="8" t="str">
        <f>VLOOKUP(A120,Лист2!A:E,5,0)</f>
        <v>малые</v>
      </c>
      <c r="E120" s="10">
        <f>VLOOKUP(A120,Лист2!A:E,4,0)</f>
        <v>13</v>
      </c>
      <c r="F120" s="11">
        <f t="shared" si="3"/>
        <v>26838000</v>
      </c>
      <c r="G120" s="11">
        <f t="shared" si="4"/>
        <v>6151769.230769231</v>
      </c>
      <c r="H120" s="11">
        <f t="shared" si="5"/>
        <v>2064461.5384615385</v>
      </c>
    </row>
    <row r="121" spans="1:8">
      <c r="A121" s="6" t="s">
        <v>18</v>
      </c>
      <c r="B121" s="5">
        <v>1251000</v>
      </c>
      <c r="C121" s="5">
        <v>1269000</v>
      </c>
      <c r="D121" s="8" t="str">
        <f>VLOOKUP(A121,Лист2!A:E,5,0)</f>
        <v>малые</v>
      </c>
      <c r="E121" s="10">
        <f>VLOOKUP(A121,Лист2!A:E,4,0)</f>
        <v>2.5</v>
      </c>
      <c r="F121" s="11">
        <f t="shared" si="3"/>
        <v>-18000</v>
      </c>
      <c r="G121" s="11">
        <f t="shared" si="4"/>
        <v>500400</v>
      </c>
      <c r="H121" s="11">
        <f t="shared" si="5"/>
        <v>-7200</v>
      </c>
    </row>
    <row r="122" spans="1:8">
      <c r="A122" s="6" t="s">
        <v>22</v>
      </c>
      <c r="B122" s="5">
        <v>1843000</v>
      </c>
      <c r="C122" s="5">
        <v>1843000</v>
      </c>
      <c r="D122" s="8" t="str">
        <f>VLOOKUP(A122,Лист2!A:E,5,0)</f>
        <v>малые</v>
      </c>
      <c r="E122" s="10">
        <f>VLOOKUP(A122,Лист2!A:E,4,0)</f>
        <v>13</v>
      </c>
      <c r="F122" s="11">
        <f t="shared" si="3"/>
        <v>0</v>
      </c>
      <c r="G122" s="11">
        <f t="shared" si="4"/>
        <v>141769.23076923078</v>
      </c>
      <c r="H122" s="11">
        <f t="shared" si="5"/>
        <v>0</v>
      </c>
    </row>
    <row r="123" spans="1:8">
      <c r="A123" s="6" t="s">
        <v>77</v>
      </c>
      <c r="B123" s="5">
        <v>3528000</v>
      </c>
      <c r="C123" s="5">
        <v>4310000</v>
      </c>
      <c r="D123" s="8" t="str">
        <f>VLOOKUP(A123,Лист2!A:E,5,0)</f>
        <v>малые</v>
      </c>
      <c r="E123" s="10">
        <f>VLOOKUP(A123,Лист2!A:E,4,0)</f>
        <v>8</v>
      </c>
      <c r="F123" s="11">
        <f t="shared" si="3"/>
        <v>-782000</v>
      </c>
      <c r="G123" s="11">
        <f t="shared" si="4"/>
        <v>441000</v>
      </c>
      <c r="H123" s="11">
        <f t="shared" si="5"/>
        <v>-97750</v>
      </c>
    </row>
    <row r="124" spans="1:8">
      <c r="A124" s="6" t="s">
        <v>18</v>
      </c>
      <c r="B124" s="5">
        <v>49142000</v>
      </c>
      <c r="C124" s="5">
        <v>64195000</v>
      </c>
      <c r="D124" s="8" t="str">
        <f>VLOOKUP(A124,Лист2!A:E,5,0)</f>
        <v>малые</v>
      </c>
      <c r="E124" s="10">
        <f>VLOOKUP(A124,Лист2!A:E,4,0)</f>
        <v>2.5</v>
      </c>
      <c r="F124" s="11">
        <f t="shared" si="3"/>
        <v>-15053000</v>
      </c>
      <c r="G124" s="11">
        <f t="shared" si="4"/>
        <v>19656800</v>
      </c>
      <c r="H124" s="11">
        <f t="shared" si="5"/>
        <v>-6021200</v>
      </c>
    </row>
    <row r="125" spans="1:8">
      <c r="A125" s="6" t="s">
        <v>18</v>
      </c>
      <c r="B125" s="5">
        <v>645000</v>
      </c>
      <c r="C125" s="5">
        <v>5612000</v>
      </c>
      <c r="D125" s="8" t="str">
        <f>VLOOKUP(A125,Лист2!A:E,5,0)</f>
        <v>малые</v>
      </c>
      <c r="E125" s="10">
        <f>VLOOKUP(A125,Лист2!A:E,4,0)</f>
        <v>2.5</v>
      </c>
      <c r="F125" s="11">
        <f t="shared" si="3"/>
        <v>-4967000</v>
      </c>
      <c r="G125" s="11">
        <f t="shared" si="4"/>
        <v>258000</v>
      </c>
      <c r="H125" s="11">
        <f t="shared" si="5"/>
        <v>-1986800</v>
      </c>
    </row>
    <row r="126" spans="1:8">
      <c r="A126" s="6" t="s">
        <v>18</v>
      </c>
      <c r="B126" s="5">
        <v>47030000</v>
      </c>
      <c r="C126" s="5">
        <v>32841000</v>
      </c>
      <c r="D126" s="8" t="str">
        <f>VLOOKUP(A126,Лист2!A:E,5,0)</f>
        <v>малые</v>
      </c>
      <c r="E126" s="10">
        <f>VLOOKUP(A126,Лист2!A:E,4,0)</f>
        <v>2.5</v>
      </c>
      <c r="F126" s="11">
        <f t="shared" si="3"/>
        <v>14189000</v>
      </c>
      <c r="G126" s="11">
        <f t="shared" si="4"/>
        <v>18812000</v>
      </c>
      <c r="H126" s="11">
        <f t="shared" si="5"/>
        <v>5675600</v>
      </c>
    </row>
    <row r="127" spans="1:8">
      <c r="A127" s="6" t="s">
        <v>18</v>
      </c>
      <c r="B127" s="5">
        <v>112000</v>
      </c>
      <c r="C127" s="5">
        <v>213000</v>
      </c>
      <c r="D127" s="8" t="str">
        <f>VLOOKUP(A127,Лист2!A:E,5,0)</f>
        <v>малые</v>
      </c>
      <c r="E127" s="10">
        <f>VLOOKUP(A127,Лист2!A:E,4,0)</f>
        <v>2.5</v>
      </c>
      <c r="F127" s="11">
        <f t="shared" si="3"/>
        <v>-101000</v>
      </c>
      <c r="G127" s="11">
        <f t="shared" si="4"/>
        <v>44800</v>
      </c>
      <c r="H127" s="11">
        <f t="shared" si="5"/>
        <v>-40400</v>
      </c>
    </row>
    <row r="128" spans="1:8">
      <c r="A128" s="6" t="s">
        <v>18</v>
      </c>
      <c r="B128" s="5">
        <v>51420000</v>
      </c>
      <c r="C128" s="5">
        <v>51550000</v>
      </c>
      <c r="D128" s="8" t="str">
        <f>VLOOKUP(A128,Лист2!A:E,5,0)</f>
        <v>малые</v>
      </c>
      <c r="E128" s="10">
        <f>VLOOKUP(A128,Лист2!A:E,4,0)</f>
        <v>2.5</v>
      </c>
      <c r="F128" s="11">
        <f t="shared" si="3"/>
        <v>-130000</v>
      </c>
      <c r="G128" s="11">
        <f t="shared" si="4"/>
        <v>20568000</v>
      </c>
      <c r="H128" s="11">
        <f t="shared" si="5"/>
        <v>-52000</v>
      </c>
    </row>
    <row r="129" spans="1:8">
      <c r="A129" s="6" t="s">
        <v>18</v>
      </c>
      <c r="B129" s="5">
        <v>4512000</v>
      </c>
      <c r="C129" s="5">
        <v>6516000</v>
      </c>
      <c r="D129" s="8" t="str">
        <f>VLOOKUP(A129,Лист2!A:E,5,0)</f>
        <v>малые</v>
      </c>
      <c r="E129" s="10">
        <f>VLOOKUP(A129,Лист2!A:E,4,0)</f>
        <v>2.5</v>
      </c>
      <c r="F129" s="11">
        <f t="shared" si="3"/>
        <v>-2004000</v>
      </c>
      <c r="G129" s="11">
        <f t="shared" si="4"/>
        <v>1804800</v>
      </c>
      <c r="H129" s="11">
        <f t="shared" si="5"/>
        <v>-801600</v>
      </c>
    </row>
    <row r="130" spans="1:8">
      <c r="A130" s="6" t="s">
        <v>18</v>
      </c>
      <c r="B130" s="5">
        <v>29048000</v>
      </c>
      <c r="C130" s="5">
        <v>30087000</v>
      </c>
      <c r="D130" s="8" t="str">
        <f>VLOOKUP(A130,Лист2!A:E,5,0)</f>
        <v>малые</v>
      </c>
      <c r="E130" s="10">
        <f>VLOOKUP(A130,Лист2!A:E,4,0)</f>
        <v>2.5</v>
      </c>
      <c r="F130" s="11">
        <f t="shared" ref="F130:F190" si="6">B130-C130</f>
        <v>-1039000</v>
      </c>
      <c r="G130" s="11">
        <f t="shared" ref="G130:G190" si="7">B130/E130</f>
        <v>11619200</v>
      </c>
      <c r="H130" s="11">
        <f t="shared" ref="H130:H190" si="8">F130/E130</f>
        <v>-415600</v>
      </c>
    </row>
    <row r="131" spans="1:8">
      <c r="A131" s="6" t="s">
        <v>22</v>
      </c>
      <c r="B131" s="5">
        <v>12586000</v>
      </c>
      <c r="C131" s="5">
        <v>13386000</v>
      </c>
      <c r="D131" s="8" t="str">
        <f>VLOOKUP(A131,Лист2!A:E,5,0)</f>
        <v>малые</v>
      </c>
      <c r="E131" s="10">
        <f>VLOOKUP(A131,Лист2!A:E,4,0)</f>
        <v>13</v>
      </c>
      <c r="F131" s="11">
        <f t="shared" si="6"/>
        <v>-800000</v>
      </c>
      <c r="G131" s="11">
        <f t="shared" si="7"/>
        <v>968153.84615384613</v>
      </c>
      <c r="H131" s="11">
        <f t="shared" si="8"/>
        <v>-61538.461538461539</v>
      </c>
    </row>
    <row r="132" spans="1:8">
      <c r="A132" s="6" t="s">
        <v>18</v>
      </c>
      <c r="B132" s="5">
        <v>82449000</v>
      </c>
      <c r="C132" s="5">
        <v>77478000</v>
      </c>
      <c r="D132" s="8" t="str">
        <f>VLOOKUP(A132,Лист2!A:E,5,0)</f>
        <v>малые</v>
      </c>
      <c r="E132" s="10">
        <f>VLOOKUP(A132,Лист2!A:E,4,0)</f>
        <v>2.5</v>
      </c>
      <c r="F132" s="11">
        <f t="shared" si="6"/>
        <v>4971000</v>
      </c>
      <c r="G132" s="11">
        <f t="shared" si="7"/>
        <v>32979600</v>
      </c>
      <c r="H132" s="11">
        <f t="shared" si="8"/>
        <v>1988400</v>
      </c>
    </row>
    <row r="133" spans="1:8">
      <c r="A133" s="6" t="s">
        <v>18</v>
      </c>
      <c r="B133" s="5">
        <v>43840000</v>
      </c>
      <c r="C133" s="5">
        <v>38079000</v>
      </c>
      <c r="D133" s="8" t="str">
        <f>VLOOKUP(A133,Лист2!A:E,5,0)</f>
        <v>малые</v>
      </c>
      <c r="E133" s="10">
        <f>VLOOKUP(A133,Лист2!A:E,4,0)</f>
        <v>2.5</v>
      </c>
      <c r="F133" s="11">
        <f t="shared" si="6"/>
        <v>5761000</v>
      </c>
      <c r="G133" s="11">
        <f t="shared" si="7"/>
        <v>17536000</v>
      </c>
      <c r="H133" s="11">
        <f t="shared" si="8"/>
        <v>2304400</v>
      </c>
    </row>
    <row r="134" spans="1:8">
      <c r="A134" s="6" t="s">
        <v>18</v>
      </c>
      <c r="B134" s="5">
        <v>6398000</v>
      </c>
      <c r="C134" s="5">
        <v>6410000</v>
      </c>
      <c r="D134" s="8" t="str">
        <f>VLOOKUP(A134,Лист2!A:E,5,0)</f>
        <v>малые</v>
      </c>
      <c r="E134" s="10">
        <f>VLOOKUP(A134,Лист2!A:E,4,0)</f>
        <v>2.5</v>
      </c>
      <c r="F134" s="11">
        <f t="shared" si="6"/>
        <v>-12000</v>
      </c>
      <c r="G134" s="11">
        <f t="shared" si="7"/>
        <v>2559200</v>
      </c>
      <c r="H134" s="11">
        <f t="shared" si="8"/>
        <v>-4800</v>
      </c>
    </row>
    <row r="135" spans="1:8">
      <c r="A135" s="6" t="s">
        <v>18</v>
      </c>
      <c r="B135" s="5">
        <v>64105000</v>
      </c>
      <c r="C135" s="5">
        <v>48265000</v>
      </c>
      <c r="D135" s="8" t="str">
        <f>VLOOKUP(A135,Лист2!A:E,5,0)</f>
        <v>малые</v>
      </c>
      <c r="E135" s="10">
        <f>VLOOKUP(A135,Лист2!A:E,4,0)</f>
        <v>2.5</v>
      </c>
      <c r="F135" s="11">
        <f t="shared" si="6"/>
        <v>15840000</v>
      </c>
      <c r="G135" s="11">
        <f t="shared" si="7"/>
        <v>25642000</v>
      </c>
      <c r="H135" s="11">
        <f t="shared" si="8"/>
        <v>6336000</v>
      </c>
    </row>
    <row r="136" spans="1:8">
      <c r="A136" s="6" t="s">
        <v>18</v>
      </c>
      <c r="B136" s="5">
        <v>346000</v>
      </c>
      <c r="C136" s="5">
        <v>346000</v>
      </c>
      <c r="D136" s="8" t="str">
        <f>VLOOKUP(A136,Лист2!A:E,5,0)</f>
        <v>малые</v>
      </c>
      <c r="E136" s="10">
        <f>VLOOKUP(A136,Лист2!A:E,4,0)</f>
        <v>2.5</v>
      </c>
      <c r="F136" s="11">
        <f t="shared" si="6"/>
        <v>0</v>
      </c>
      <c r="G136" s="11">
        <f t="shared" si="7"/>
        <v>138400</v>
      </c>
      <c r="H136" s="11">
        <f t="shared" si="8"/>
        <v>0</v>
      </c>
    </row>
    <row r="137" spans="1:8">
      <c r="A137" s="6" t="s">
        <v>18</v>
      </c>
      <c r="B137" s="5">
        <v>1781000</v>
      </c>
      <c r="C137" s="5">
        <v>1780000</v>
      </c>
      <c r="D137" s="8" t="str">
        <f>VLOOKUP(A137,Лист2!A:E,5,0)</f>
        <v>малые</v>
      </c>
      <c r="E137" s="10">
        <f>VLOOKUP(A137,Лист2!A:E,4,0)</f>
        <v>2.5</v>
      </c>
      <c r="F137" s="11">
        <f t="shared" si="6"/>
        <v>1000</v>
      </c>
      <c r="G137" s="11">
        <f t="shared" si="7"/>
        <v>712400</v>
      </c>
      <c r="H137" s="11">
        <f t="shared" si="8"/>
        <v>400</v>
      </c>
    </row>
    <row r="138" spans="1:8">
      <c r="A138" s="6" t="s">
        <v>77</v>
      </c>
      <c r="B138" s="5">
        <v>4813000</v>
      </c>
      <c r="C138" s="5">
        <v>5132000</v>
      </c>
      <c r="D138" s="8" t="str">
        <f>VLOOKUP(A138,Лист2!A:E,5,0)</f>
        <v>малые</v>
      </c>
      <c r="E138" s="10">
        <f>VLOOKUP(A138,Лист2!A:E,4,0)</f>
        <v>8</v>
      </c>
      <c r="F138" s="11">
        <f t="shared" si="6"/>
        <v>-319000</v>
      </c>
      <c r="G138" s="11">
        <f t="shared" si="7"/>
        <v>601625</v>
      </c>
      <c r="H138" s="11">
        <f t="shared" si="8"/>
        <v>-39875</v>
      </c>
    </row>
    <row r="139" spans="1:8">
      <c r="A139" s="6" t="s">
        <v>18</v>
      </c>
      <c r="B139" s="5">
        <v>15842000</v>
      </c>
      <c r="C139" s="5">
        <v>12483000</v>
      </c>
      <c r="D139" s="8" t="str">
        <f>VLOOKUP(A139,Лист2!A:E,5,0)</f>
        <v>малые</v>
      </c>
      <c r="E139" s="10">
        <f>VLOOKUP(A139,Лист2!A:E,4,0)</f>
        <v>2.5</v>
      </c>
      <c r="F139" s="11">
        <f t="shared" si="6"/>
        <v>3359000</v>
      </c>
      <c r="G139" s="11">
        <f t="shared" si="7"/>
        <v>6336800</v>
      </c>
      <c r="H139" s="11">
        <f t="shared" si="8"/>
        <v>1343600</v>
      </c>
    </row>
    <row r="140" spans="1:8">
      <c r="A140" s="6" t="s">
        <v>18</v>
      </c>
      <c r="B140" s="5">
        <v>6339000</v>
      </c>
      <c r="C140" s="5">
        <v>2590000</v>
      </c>
      <c r="D140" s="8" t="str">
        <f>VLOOKUP(A140,Лист2!A:E,5,0)</f>
        <v>малые</v>
      </c>
      <c r="E140" s="10">
        <f>VLOOKUP(A140,Лист2!A:E,4,0)</f>
        <v>2.5</v>
      </c>
      <c r="F140" s="11">
        <f t="shared" si="6"/>
        <v>3749000</v>
      </c>
      <c r="G140" s="11">
        <f t="shared" si="7"/>
        <v>2535600</v>
      </c>
      <c r="H140" s="11">
        <f t="shared" si="8"/>
        <v>1499600</v>
      </c>
    </row>
    <row r="141" spans="1:8">
      <c r="A141" s="6" t="s">
        <v>77</v>
      </c>
      <c r="B141" s="5">
        <v>786000</v>
      </c>
      <c r="C141" s="5">
        <v>2387000</v>
      </c>
      <c r="D141" s="8" t="str">
        <f>VLOOKUP(A141,Лист2!A:E,5,0)</f>
        <v>малые</v>
      </c>
      <c r="E141" s="10">
        <f>VLOOKUP(A141,Лист2!A:E,4,0)</f>
        <v>8</v>
      </c>
      <c r="F141" s="11">
        <f t="shared" si="6"/>
        <v>-1601000</v>
      </c>
      <c r="G141" s="11">
        <f t="shared" si="7"/>
        <v>98250</v>
      </c>
      <c r="H141" s="11">
        <f t="shared" si="8"/>
        <v>-200125</v>
      </c>
    </row>
    <row r="142" spans="1:8">
      <c r="A142" s="6" t="s">
        <v>18</v>
      </c>
      <c r="B142" s="5">
        <v>10942000</v>
      </c>
      <c r="C142" s="5">
        <v>505862000</v>
      </c>
      <c r="D142" s="8" t="str">
        <f>VLOOKUP(A142,Лист2!A:E,5,0)</f>
        <v>малые</v>
      </c>
      <c r="E142" s="10">
        <f>VLOOKUP(A142,Лист2!A:E,4,0)</f>
        <v>2.5</v>
      </c>
      <c r="F142" s="11">
        <f t="shared" si="6"/>
        <v>-494920000</v>
      </c>
      <c r="G142" s="11">
        <f t="shared" si="7"/>
        <v>4376800</v>
      </c>
      <c r="H142" s="11">
        <f t="shared" si="8"/>
        <v>-197968000</v>
      </c>
    </row>
    <row r="143" spans="1:8">
      <c r="A143" s="6" t="s">
        <v>18</v>
      </c>
      <c r="B143" s="5">
        <v>14297000</v>
      </c>
      <c r="C143" s="5">
        <v>12168000</v>
      </c>
      <c r="D143" s="8" t="str">
        <f>VLOOKUP(A143,Лист2!A:E,5,0)</f>
        <v>малые</v>
      </c>
      <c r="E143" s="10">
        <f>VLOOKUP(A143,Лист2!A:E,4,0)</f>
        <v>2.5</v>
      </c>
      <c r="F143" s="11">
        <f t="shared" si="6"/>
        <v>2129000</v>
      </c>
      <c r="G143" s="11">
        <f t="shared" si="7"/>
        <v>5718800</v>
      </c>
      <c r="H143" s="11">
        <f t="shared" si="8"/>
        <v>851600</v>
      </c>
    </row>
    <row r="144" spans="1:8">
      <c r="A144" s="6" t="s">
        <v>18</v>
      </c>
      <c r="B144" s="5">
        <v>1003000</v>
      </c>
      <c r="C144" s="5">
        <v>4000</v>
      </c>
      <c r="D144" s="8" t="str">
        <f>VLOOKUP(A144,Лист2!A:E,5,0)</f>
        <v>малые</v>
      </c>
      <c r="E144" s="10">
        <f>VLOOKUP(A144,Лист2!A:E,4,0)</f>
        <v>2.5</v>
      </c>
      <c r="F144" s="11">
        <f t="shared" si="6"/>
        <v>999000</v>
      </c>
      <c r="G144" s="11">
        <f t="shared" si="7"/>
        <v>401200</v>
      </c>
      <c r="H144" s="11">
        <f t="shared" si="8"/>
        <v>399600</v>
      </c>
    </row>
    <row r="145" spans="1:8">
      <c r="A145" s="6" t="s">
        <v>18</v>
      </c>
      <c r="B145" s="5">
        <v>223000</v>
      </c>
      <c r="C145" s="5">
        <v>77000</v>
      </c>
      <c r="D145" s="8" t="str">
        <f>VLOOKUP(A145,Лист2!A:E,5,0)</f>
        <v>малые</v>
      </c>
      <c r="E145" s="10">
        <f>VLOOKUP(A145,Лист2!A:E,4,0)</f>
        <v>2.5</v>
      </c>
      <c r="F145" s="11">
        <f t="shared" si="6"/>
        <v>146000</v>
      </c>
      <c r="G145" s="11">
        <f t="shared" si="7"/>
        <v>89200</v>
      </c>
      <c r="H145" s="11">
        <f t="shared" si="8"/>
        <v>58400</v>
      </c>
    </row>
    <row r="146" spans="1:8">
      <c r="A146" s="6" t="s">
        <v>22</v>
      </c>
      <c r="B146" s="5">
        <v>69847000</v>
      </c>
      <c r="C146" s="5">
        <v>66508000</v>
      </c>
      <c r="D146" s="8" t="str">
        <f>VLOOKUP(A146,Лист2!A:E,5,0)</f>
        <v>малые</v>
      </c>
      <c r="E146" s="10">
        <f>VLOOKUP(A146,Лист2!A:E,4,0)</f>
        <v>13</v>
      </c>
      <c r="F146" s="11">
        <f t="shared" si="6"/>
        <v>3339000</v>
      </c>
      <c r="G146" s="11">
        <f t="shared" si="7"/>
        <v>5372846.153846154</v>
      </c>
      <c r="H146" s="11">
        <f t="shared" si="8"/>
        <v>256846.15384615384</v>
      </c>
    </row>
    <row r="147" spans="1:8">
      <c r="A147" s="6" t="s">
        <v>18</v>
      </c>
      <c r="B147" s="5">
        <v>56260000</v>
      </c>
      <c r="C147" s="5">
        <v>56796000</v>
      </c>
      <c r="D147" s="8" t="str">
        <f>VLOOKUP(A147,Лист2!A:E,5,0)</f>
        <v>малые</v>
      </c>
      <c r="E147" s="10">
        <f>VLOOKUP(A147,Лист2!A:E,4,0)</f>
        <v>2.5</v>
      </c>
      <c r="F147" s="11">
        <f t="shared" si="6"/>
        <v>-536000</v>
      </c>
      <c r="G147" s="11">
        <f t="shared" si="7"/>
        <v>22504000</v>
      </c>
      <c r="H147" s="11">
        <f t="shared" si="8"/>
        <v>-214400</v>
      </c>
    </row>
    <row r="148" spans="1:8">
      <c r="A148" s="6" t="s">
        <v>18</v>
      </c>
      <c r="B148" s="5">
        <v>399000</v>
      </c>
      <c r="C148" s="5">
        <v>399000</v>
      </c>
      <c r="D148" s="8" t="str">
        <f>VLOOKUP(A148,Лист2!A:E,5,0)</f>
        <v>малые</v>
      </c>
      <c r="E148" s="10">
        <f>VLOOKUP(A148,Лист2!A:E,4,0)</f>
        <v>2.5</v>
      </c>
      <c r="F148" s="11">
        <f t="shared" si="6"/>
        <v>0</v>
      </c>
      <c r="G148" s="11">
        <f t="shared" si="7"/>
        <v>159600</v>
      </c>
      <c r="H148" s="11">
        <f t="shared" si="8"/>
        <v>0</v>
      </c>
    </row>
    <row r="149" spans="1:8">
      <c r="A149" s="6" t="s">
        <v>22</v>
      </c>
      <c r="B149" s="5">
        <v>57703000</v>
      </c>
      <c r="C149" s="5">
        <v>45859000</v>
      </c>
      <c r="D149" s="8" t="str">
        <f>VLOOKUP(A149,Лист2!A:E,5,0)</f>
        <v>малые</v>
      </c>
      <c r="E149" s="10">
        <f>VLOOKUP(A149,Лист2!A:E,4,0)</f>
        <v>13</v>
      </c>
      <c r="F149" s="11">
        <f t="shared" si="6"/>
        <v>11844000</v>
      </c>
      <c r="G149" s="11">
        <f t="shared" si="7"/>
        <v>4438692.307692308</v>
      </c>
      <c r="H149" s="11">
        <f t="shared" si="8"/>
        <v>911076.92307692312</v>
      </c>
    </row>
    <row r="150" spans="1:8">
      <c r="A150" s="6" t="s">
        <v>18</v>
      </c>
      <c r="B150" s="5">
        <v>17590000</v>
      </c>
      <c r="C150" s="5">
        <v>17335000</v>
      </c>
      <c r="D150" s="8" t="str">
        <f>VLOOKUP(A150,Лист2!A:E,5,0)</f>
        <v>малые</v>
      </c>
      <c r="E150" s="10">
        <f>VLOOKUP(A150,Лист2!A:E,4,0)</f>
        <v>2.5</v>
      </c>
      <c r="F150" s="11">
        <f t="shared" si="6"/>
        <v>255000</v>
      </c>
      <c r="G150" s="11">
        <f t="shared" si="7"/>
        <v>7036000</v>
      </c>
      <c r="H150" s="11">
        <f t="shared" si="8"/>
        <v>102000</v>
      </c>
    </row>
    <row r="151" spans="1:8">
      <c r="A151" s="6" t="s">
        <v>18</v>
      </c>
      <c r="B151" s="5">
        <v>270000</v>
      </c>
      <c r="C151" s="5">
        <v>369000</v>
      </c>
      <c r="D151" s="8" t="str">
        <f>VLOOKUP(A151,Лист2!A:E,5,0)</f>
        <v>малые</v>
      </c>
      <c r="E151" s="10">
        <f>VLOOKUP(A151,Лист2!A:E,4,0)</f>
        <v>2.5</v>
      </c>
      <c r="F151" s="11">
        <f t="shared" si="6"/>
        <v>-99000</v>
      </c>
      <c r="G151" s="11">
        <f t="shared" si="7"/>
        <v>108000</v>
      </c>
      <c r="H151" s="11">
        <f t="shared" si="8"/>
        <v>-39600</v>
      </c>
    </row>
    <row r="152" spans="1:8">
      <c r="A152" s="6" t="s">
        <v>22</v>
      </c>
      <c r="B152" s="5">
        <v>26329000</v>
      </c>
      <c r="C152" s="5">
        <v>27613000</v>
      </c>
      <c r="D152" s="8" t="str">
        <f>VLOOKUP(A152,Лист2!A:E,5,0)</f>
        <v>малые</v>
      </c>
      <c r="E152" s="10">
        <f>VLOOKUP(A152,Лист2!A:E,4,0)</f>
        <v>13</v>
      </c>
      <c r="F152" s="11">
        <f t="shared" si="6"/>
        <v>-1284000</v>
      </c>
      <c r="G152" s="11">
        <f t="shared" si="7"/>
        <v>2025307.6923076923</v>
      </c>
      <c r="H152" s="11">
        <f t="shared" si="8"/>
        <v>-98769.230769230766</v>
      </c>
    </row>
    <row r="153" spans="1:8">
      <c r="A153" s="6" t="s">
        <v>22</v>
      </c>
      <c r="B153" s="5">
        <v>1715385000</v>
      </c>
      <c r="C153" s="5">
        <v>1575287000</v>
      </c>
      <c r="D153" s="8" t="str">
        <f>VLOOKUP(A153,Лист2!A:E,5,0)</f>
        <v>малые</v>
      </c>
      <c r="E153" s="10">
        <f>VLOOKUP(A153,Лист2!A:E,4,0)</f>
        <v>13</v>
      </c>
      <c r="F153" s="11">
        <f t="shared" si="6"/>
        <v>140098000</v>
      </c>
      <c r="G153" s="11">
        <f t="shared" si="7"/>
        <v>131952692.3076923</v>
      </c>
      <c r="H153" s="11">
        <f t="shared" si="8"/>
        <v>10776769.23076923</v>
      </c>
    </row>
    <row r="154" spans="1:8">
      <c r="A154" s="6" t="s">
        <v>18</v>
      </c>
      <c r="B154" s="5">
        <v>10684000</v>
      </c>
      <c r="C154" s="5">
        <v>6249000</v>
      </c>
      <c r="D154" s="8" t="str">
        <f>VLOOKUP(A154,Лист2!A:E,5,0)</f>
        <v>малые</v>
      </c>
      <c r="E154" s="10">
        <f>VLOOKUP(A154,Лист2!A:E,4,0)</f>
        <v>2.5</v>
      </c>
      <c r="F154" s="11">
        <f t="shared" si="6"/>
        <v>4435000</v>
      </c>
      <c r="G154" s="11">
        <f t="shared" si="7"/>
        <v>4273600</v>
      </c>
      <c r="H154" s="11">
        <f t="shared" si="8"/>
        <v>1774000</v>
      </c>
    </row>
    <row r="155" spans="1:8">
      <c r="A155" s="6" t="s">
        <v>77</v>
      </c>
      <c r="B155" s="5">
        <v>58018000</v>
      </c>
      <c r="C155" s="5">
        <v>66715000</v>
      </c>
      <c r="D155" s="8" t="str">
        <f>VLOOKUP(A155,Лист2!A:E,5,0)</f>
        <v>малые</v>
      </c>
      <c r="E155" s="10">
        <f>VLOOKUP(A155,Лист2!A:E,4,0)</f>
        <v>8</v>
      </c>
      <c r="F155" s="11">
        <f t="shared" si="6"/>
        <v>-8697000</v>
      </c>
      <c r="G155" s="11">
        <f t="shared" si="7"/>
        <v>7252250</v>
      </c>
      <c r="H155" s="11">
        <f t="shared" si="8"/>
        <v>-1087125</v>
      </c>
    </row>
    <row r="156" spans="1:8">
      <c r="A156" s="6" t="s">
        <v>22</v>
      </c>
      <c r="B156" s="5">
        <v>9423000</v>
      </c>
      <c r="C156" s="5">
        <v>24519000</v>
      </c>
      <c r="D156" s="8" t="str">
        <f>VLOOKUP(A156,Лист2!A:E,5,0)</f>
        <v>малые</v>
      </c>
      <c r="E156" s="10">
        <f>VLOOKUP(A156,Лист2!A:E,4,0)</f>
        <v>13</v>
      </c>
      <c r="F156" s="11">
        <f t="shared" si="6"/>
        <v>-15096000</v>
      </c>
      <c r="G156" s="11">
        <f t="shared" si="7"/>
        <v>724846.15384615387</v>
      </c>
      <c r="H156" s="11">
        <f t="shared" si="8"/>
        <v>-1161230.7692307692</v>
      </c>
    </row>
    <row r="157" spans="1:8">
      <c r="A157" s="6" t="s">
        <v>23</v>
      </c>
      <c r="B157" s="5">
        <v>276376000</v>
      </c>
      <c r="C157" s="5">
        <v>206676000</v>
      </c>
      <c r="D157" s="8" t="str">
        <f>VLOOKUP(A157,Лист2!A:E,5,0)</f>
        <v>средние</v>
      </c>
      <c r="E157" s="10">
        <f>VLOOKUP(A157,Лист2!A:E,4,0)</f>
        <v>75.5</v>
      </c>
      <c r="F157" s="11">
        <f t="shared" si="6"/>
        <v>69700000</v>
      </c>
      <c r="G157" s="11">
        <f t="shared" si="7"/>
        <v>3660609.271523179</v>
      </c>
      <c r="H157" s="11">
        <f t="shared" si="8"/>
        <v>923178.80794701981</v>
      </c>
    </row>
    <row r="158" spans="1:8">
      <c r="A158" s="6" t="s">
        <v>18</v>
      </c>
      <c r="B158" s="5">
        <v>14725000</v>
      </c>
      <c r="C158" s="5">
        <v>15975000</v>
      </c>
      <c r="D158" s="8" t="str">
        <f>VLOOKUP(A158,Лист2!A:E,5,0)</f>
        <v>малые</v>
      </c>
      <c r="E158" s="10">
        <f>VLOOKUP(A158,Лист2!A:E,4,0)</f>
        <v>2.5</v>
      </c>
      <c r="F158" s="11">
        <f t="shared" si="6"/>
        <v>-1250000</v>
      </c>
      <c r="G158" s="11">
        <f t="shared" si="7"/>
        <v>5890000</v>
      </c>
      <c r="H158" s="11">
        <f t="shared" si="8"/>
        <v>-500000</v>
      </c>
    </row>
    <row r="159" spans="1:8">
      <c r="A159" s="6" t="s">
        <v>18</v>
      </c>
      <c r="B159" s="5">
        <v>34057000</v>
      </c>
      <c r="C159" s="5">
        <v>35935000</v>
      </c>
      <c r="D159" s="8" t="str">
        <f>VLOOKUP(A159,Лист2!A:E,5,0)</f>
        <v>малые</v>
      </c>
      <c r="E159" s="10">
        <f>VLOOKUP(A159,Лист2!A:E,4,0)</f>
        <v>2.5</v>
      </c>
      <c r="F159" s="11">
        <f t="shared" si="6"/>
        <v>-1878000</v>
      </c>
      <c r="G159" s="11">
        <f t="shared" si="7"/>
        <v>13622800</v>
      </c>
      <c r="H159" s="11">
        <f t="shared" si="8"/>
        <v>-751200</v>
      </c>
    </row>
    <row r="160" spans="1:8">
      <c r="A160" s="6" t="s">
        <v>18</v>
      </c>
      <c r="B160" s="5">
        <v>47830000</v>
      </c>
      <c r="C160" s="5">
        <v>47613000</v>
      </c>
      <c r="D160" s="8" t="str">
        <f>VLOOKUP(A160,Лист2!A:E,5,0)</f>
        <v>малые</v>
      </c>
      <c r="E160" s="10">
        <f>VLOOKUP(A160,Лист2!A:E,4,0)</f>
        <v>2.5</v>
      </c>
      <c r="F160" s="11">
        <f t="shared" si="6"/>
        <v>217000</v>
      </c>
      <c r="G160" s="11">
        <f t="shared" si="7"/>
        <v>19132000</v>
      </c>
      <c r="H160" s="11">
        <f t="shared" si="8"/>
        <v>86800</v>
      </c>
    </row>
    <row r="161" spans="1:8">
      <c r="A161" s="6" t="s">
        <v>18</v>
      </c>
      <c r="B161" s="5">
        <v>8811000</v>
      </c>
      <c r="C161" s="5">
        <v>8811000</v>
      </c>
      <c r="D161" s="8" t="str">
        <f>VLOOKUP(A161,Лист2!A:E,5,0)</f>
        <v>малые</v>
      </c>
      <c r="E161" s="10">
        <f>VLOOKUP(A161,Лист2!A:E,4,0)</f>
        <v>2.5</v>
      </c>
      <c r="F161" s="11">
        <f t="shared" si="6"/>
        <v>0</v>
      </c>
      <c r="G161" s="11">
        <f t="shared" si="7"/>
        <v>3524400</v>
      </c>
      <c r="H161" s="11">
        <f t="shared" si="8"/>
        <v>0</v>
      </c>
    </row>
    <row r="162" spans="1:8">
      <c r="A162" s="6" t="s">
        <v>77</v>
      </c>
      <c r="B162" s="5">
        <v>8000000</v>
      </c>
      <c r="C162" s="5">
        <v>9086000</v>
      </c>
      <c r="D162" s="8" t="str">
        <f>VLOOKUP(A162,Лист2!A:E,5,0)</f>
        <v>малые</v>
      </c>
      <c r="E162" s="10">
        <f>VLOOKUP(A162,Лист2!A:E,4,0)</f>
        <v>8</v>
      </c>
      <c r="F162" s="11">
        <f t="shared" si="6"/>
        <v>-1086000</v>
      </c>
      <c r="G162" s="11">
        <f t="shared" si="7"/>
        <v>1000000</v>
      </c>
      <c r="H162" s="11">
        <f t="shared" si="8"/>
        <v>-135750</v>
      </c>
    </row>
    <row r="163" spans="1:8">
      <c r="A163" s="6" t="s">
        <v>18</v>
      </c>
      <c r="B163" s="5">
        <v>1789000</v>
      </c>
      <c r="C163" s="5">
        <v>1830000</v>
      </c>
      <c r="D163" s="8" t="str">
        <f>VLOOKUP(A163,Лист2!A:E,5,0)</f>
        <v>малые</v>
      </c>
      <c r="E163" s="10">
        <f>VLOOKUP(A163,Лист2!A:E,4,0)</f>
        <v>2.5</v>
      </c>
      <c r="F163" s="11">
        <f t="shared" si="6"/>
        <v>-41000</v>
      </c>
      <c r="G163" s="11">
        <f t="shared" si="7"/>
        <v>715600</v>
      </c>
      <c r="H163" s="11">
        <f t="shared" si="8"/>
        <v>-16400</v>
      </c>
    </row>
    <row r="164" spans="1:8">
      <c r="A164" s="6" t="s">
        <v>18</v>
      </c>
      <c r="B164" s="5">
        <v>6213000</v>
      </c>
      <c r="C164" s="5">
        <v>6401000</v>
      </c>
      <c r="D164" s="8" t="str">
        <f>VLOOKUP(A164,Лист2!A:E,5,0)</f>
        <v>малые</v>
      </c>
      <c r="E164" s="10">
        <f>VLOOKUP(A164,Лист2!A:E,4,0)</f>
        <v>2.5</v>
      </c>
      <c r="F164" s="11">
        <f t="shared" si="6"/>
        <v>-188000</v>
      </c>
      <c r="G164" s="11">
        <f t="shared" si="7"/>
        <v>2485200</v>
      </c>
      <c r="H164" s="11">
        <f t="shared" si="8"/>
        <v>-75200</v>
      </c>
    </row>
    <row r="165" spans="1:8">
      <c r="A165" s="6" t="s">
        <v>22</v>
      </c>
      <c r="B165" s="5">
        <v>22011000</v>
      </c>
      <c r="C165" s="5">
        <v>24603000</v>
      </c>
      <c r="D165" s="8" t="str">
        <f>VLOOKUP(A165,Лист2!A:E,5,0)</f>
        <v>малые</v>
      </c>
      <c r="E165" s="10">
        <f>VLOOKUP(A165,Лист2!A:E,4,0)</f>
        <v>13</v>
      </c>
      <c r="F165" s="11">
        <f t="shared" si="6"/>
        <v>-2592000</v>
      </c>
      <c r="G165" s="11">
        <f t="shared" si="7"/>
        <v>1693153.8461538462</v>
      </c>
      <c r="H165" s="11">
        <f t="shared" si="8"/>
        <v>-199384.61538461538</v>
      </c>
    </row>
    <row r="166" spans="1:8">
      <c r="A166" s="6" t="s">
        <v>77</v>
      </c>
      <c r="B166" s="5">
        <v>472532000</v>
      </c>
      <c r="C166" s="5">
        <v>327707000</v>
      </c>
      <c r="D166" s="8" t="str">
        <f>VLOOKUP(A166,Лист2!A:E,5,0)</f>
        <v>малые</v>
      </c>
      <c r="E166" s="10">
        <f>VLOOKUP(A166,Лист2!A:E,4,0)</f>
        <v>8</v>
      </c>
      <c r="F166" s="11">
        <f t="shared" si="6"/>
        <v>144825000</v>
      </c>
      <c r="G166" s="11">
        <f t="shared" si="7"/>
        <v>59066500</v>
      </c>
      <c r="H166" s="11">
        <f t="shared" si="8"/>
        <v>18103125</v>
      </c>
    </row>
    <row r="167" spans="1:8">
      <c r="A167" s="6" t="s">
        <v>18</v>
      </c>
      <c r="B167" s="5">
        <v>943731000</v>
      </c>
      <c r="C167" s="5">
        <v>1321992000</v>
      </c>
      <c r="D167" s="8" t="str">
        <f>VLOOKUP(A167,Лист2!A:E,5,0)</f>
        <v>малые</v>
      </c>
      <c r="E167" s="10">
        <f>VLOOKUP(A167,Лист2!A:E,4,0)</f>
        <v>2.5</v>
      </c>
      <c r="F167" s="11">
        <f t="shared" si="6"/>
        <v>-378261000</v>
      </c>
      <c r="G167" s="11">
        <f t="shared" si="7"/>
        <v>377492400</v>
      </c>
      <c r="H167" s="11">
        <f t="shared" si="8"/>
        <v>-151304400</v>
      </c>
    </row>
    <row r="168" spans="1:8">
      <c r="A168" s="6" t="s">
        <v>18</v>
      </c>
      <c r="B168" s="5">
        <v>2994000</v>
      </c>
      <c r="C168" s="5">
        <v>3055000</v>
      </c>
      <c r="D168" s="8" t="str">
        <f>VLOOKUP(A168,Лист2!A:E,5,0)</f>
        <v>малые</v>
      </c>
      <c r="E168" s="10">
        <f>VLOOKUP(A168,Лист2!A:E,4,0)</f>
        <v>2.5</v>
      </c>
      <c r="F168" s="11">
        <f t="shared" si="6"/>
        <v>-61000</v>
      </c>
      <c r="G168" s="11">
        <f t="shared" si="7"/>
        <v>1197600</v>
      </c>
      <c r="H168" s="11">
        <f t="shared" si="8"/>
        <v>-24400</v>
      </c>
    </row>
    <row r="169" spans="1:8">
      <c r="A169" s="6" t="s">
        <v>22</v>
      </c>
      <c r="B169" s="5">
        <v>5941000</v>
      </c>
      <c r="C169" s="5">
        <v>7125000</v>
      </c>
      <c r="D169" s="8" t="str">
        <f>VLOOKUP(A169,Лист2!A:E,5,0)</f>
        <v>малые</v>
      </c>
      <c r="E169" s="10">
        <f>VLOOKUP(A169,Лист2!A:E,4,0)</f>
        <v>13</v>
      </c>
      <c r="F169" s="11">
        <f t="shared" si="6"/>
        <v>-1184000</v>
      </c>
      <c r="G169" s="11">
        <f t="shared" si="7"/>
        <v>457000</v>
      </c>
      <c r="H169" s="11">
        <f t="shared" si="8"/>
        <v>-91076.923076923078</v>
      </c>
    </row>
    <row r="170" spans="1:8">
      <c r="A170" s="6" t="s">
        <v>18</v>
      </c>
      <c r="B170" s="5">
        <v>66296000</v>
      </c>
      <c r="C170" s="5">
        <v>66411000</v>
      </c>
      <c r="D170" s="8" t="str">
        <f>VLOOKUP(A170,Лист2!A:E,5,0)</f>
        <v>малые</v>
      </c>
      <c r="E170" s="10">
        <f>VLOOKUP(A170,Лист2!A:E,4,0)</f>
        <v>2.5</v>
      </c>
      <c r="F170" s="11">
        <f t="shared" si="6"/>
        <v>-115000</v>
      </c>
      <c r="G170" s="11">
        <f t="shared" si="7"/>
        <v>26518400</v>
      </c>
      <c r="H170" s="11">
        <f t="shared" si="8"/>
        <v>-46000</v>
      </c>
    </row>
    <row r="171" spans="1:8">
      <c r="A171" s="6" t="s">
        <v>18</v>
      </c>
      <c r="B171" s="5">
        <v>200000</v>
      </c>
      <c r="C171" s="5">
        <v>102000</v>
      </c>
      <c r="D171" s="8" t="str">
        <f>VLOOKUP(A171,Лист2!A:E,5,0)</f>
        <v>малые</v>
      </c>
      <c r="E171" s="10">
        <f>VLOOKUP(A171,Лист2!A:E,4,0)</f>
        <v>2.5</v>
      </c>
      <c r="F171" s="11">
        <f t="shared" si="6"/>
        <v>98000</v>
      </c>
      <c r="G171" s="11">
        <f t="shared" si="7"/>
        <v>80000</v>
      </c>
      <c r="H171" s="11">
        <f t="shared" si="8"/>
        <v>39200</v>
      </c>
    </row>
    <row r="172" spans="1:8">
      <c r="A172" s="6" t="s">
        <v>77</v>
      </c>
      <c r="B172" s="5">
        <v>31137000</v>
      </c>
      <c r="C172" s="5">
        <v>34392000</v>
      </c>
      <c r="D172" s="8" t="str">
        <f>VLOOKUP(A172,Лист2!A:E,5,0)</f>
        <v>малые</v>
      </c>
      <c r="E172" s="10">
        <f>VLOOKUP(A172,Лист2!A:E,4,0)</f>
        <v>8</v>
      </c>
      <c r="F172" s="11">
        <f t="shared" si="6"/>
        <v>-3255000</v>
      </c>
      <c r="G172" s="11">
        <f t="shared" si="7"/>
        <v>3892125</v>
      </c>
      <c r="H172" s="11">
        <f t="shared" si="8"/>
        <v>-406875</v>
      </c>
    </row>
    <row r="173" spans="1:8">
      <c r="A173" s="6" t="s">
        <v>18</v>
      </c>
      <c r="B173" s="5">
        <v>11411000</v>
      </c>
      <c r="C173" s="5">
        <v>52668000</v>
      </c>
      <c r="D173" s="8" t="str">
        <f>VLOOKUP(A173,Лист2!A:E,5,0)</f>
        <v>малые</v>
      </c>
      <c r="E173" s="10">
        <f>VLOOKUP(A173,Лист2!A:E,4,0)</f>
        <v>2.5</v>
      </c>
      <c r="F173" s="11">
        <f t="shared" si="6"/>
        <v>-41257000</v>
      </c>
      <c r="G173" s="11">
        <f t="shared" si="7"/>
        <v>4564400</v>
      </c>
      <c r="H173" s="11">
        <f t="shared" si="8"/>
        <v>-16502800</v>
      </c>
    </row>
    <row r="174" spans="1:8">
      <c r="A174" s="6" t="s">
        <v>18</v>
      </c>
      <c r="B174" s="5">
        <v>15843000</v>
      </c>
      <c r="C174" s="5">
        <v>15441000</v>
      </c>
      <c r="D174" s="8" t="str">
        <f>VLOOKUP(A174,Лист2!A:E,5,0)</f>
        <v>малые</v>
      </c>
      <c r="E174" s="10">
        <f>VLOOKUP(A174,Лист2!A:E,4,0)</f>
        <v>2.5</v>
      </c>
      <c r="F174" s="11">
        <f t="shared" si="6"/>
        <v>402000</v>
      </c>
      <c r="G174" s="11">
        <f t="shared" si="7"/>
        <v>6337200</v>
      </c>
      <c r="H174" s="11">
        <f t="shared" si="8"/>
        <v>160800</v>
      </c>
    </row>
    <row r="175" spans="1:8">
      <c r="A175" s="6" t="s">
        <v>18</v>
      </c>
      <c r="B175" s="5">
        <v>724000</v>
      </c>
      <c r="C175" s="5">
        <v>446000</v>
      </c>
      <c r="D175" s="8" t="str">
        <f>VLOOKUP(A175,Лист2!A:E,5,0)</f>
        <v>малые</v>
      </c>
      <c r="E175" s="10">
        <f>VLOOKUP(A175,Лист2!A:E,4,0)</f>
        <v>2.5</v>
      </c>
      <c r="F175" s="11">
        <f t="shared" si="6"/>
        <v>278000</v>
      </c>
      <c r="G175" s="11">
        <f t="shared" si="7"/>
        <v>289600</v>
      </c>
      <c r="H175" s="11">
        <f t="shared" si="8"/>
        <v>111200</v>
      </c>
    </row>
    <row r="176" spans="1:8">
      <c r="A176" s="6" t="s">
        <v>18</v>
      </c>
      <c r="B176" s="5">
        <v>2414000</v>
      </c>
      <c r="C176" s="5">
        <v>2215000</v>
      </c>
      <c r="D176" s="8" t="str">
        <f>VLOOKUP(A176,Лист2!A:E,5,0)</f>
        <v>малые</v>
      </c>
      <c r="E176" s="10">
        <f>VLOOKUP(A176,Лист2!A:E,4,0)</f>
        <v>2.5</v>
      </c>
      <c r="F176" s="11">
        <f t="shared" si="6"/>
        <v>199000</v>
      </c>
      <c r="G176" s="11">
        <f t="shared" si="7"/>
        <v>965600</v>
      </c>
      <c r="H176" s="11">
        <f t="shared" si="8"/>
        <v>79600</v>
      </c>
    </row>
    <row r="177" spans="1:8">
      <c r="A177" s="6" t="s">
        <v>18</v>
      </c>
      <c r="B177" s="5">
        <v>41000</v>
      </c>
      <c r="C177" s="5">
        <v>243691000</v>
      </c>
      <c r="D177" s="8" t="str">
        <f>VLOOKUP(A177,Лист2!A:E,5,0)</f>
        <v>малые</v>
      </c>
      <c r="E177" s="10">
        <f>VLOOKUP(A177,Лист2!A:E,4,0)</f>
        <v>2.5</v>
      </c>
      <c r="F177" s="11">
        <f t="shared" si="6"/>
        <v>-243650000</v>
      </c>
      <c r="G177" s="11">
        <f t="shared" si="7"/>
        <v>16400</v>
      </c>
      <c r="H177" s="11">
        <f t="shared" si="8"/>
        <v>-97460000</v>
      </c>
    </row>
    <row r="178" spans="1:8">
      <c r="A178" s="6" t="s">
        <v>18</v>
      </c>
      <c r="B178" s="5">
        <v>18928000</v>
      </c>
      <c r="C178" s="5">
        <v>6537000</v>
      </c>
      <c r="D178" s="8" t="str">
        <f>VLOOKUP(A178,Лист2!A:E,5,0)</f>
        <v>малые</v>
      </c>
      <c r="E178" s="10">
        <f>VLOOKUP(A178,Лист2!A:E,4,0)</f>
        <v>2.5</v>
      </c>
      <c r="F178" s="11">
        <f t="shared" si="6"/>
        <v>12391000</v>
      </c>
      <c r="G178" s="11">
        <f t="shared" si="7"/>
        <v>7571200</v>
      </c>
      <c r="H178" s="11">
        <f t="shared" si="8"/>
        <v>4956400</v>
      </c>
    </row>
    <row r="179" spans="1:8">
      <c r="A179" s="6" t="s">
        <v>18</v>
      </c>
      <c r="B179" s="5">
        <v>10266000</v>
      </c>
      <c r="C179" s="5">
        <v>10331000</v>
      </c>
      <c r="D179" s="8" t="str">
        <f>VLOOKUP(A179,Лист2!A:E,5,0)</f>
        <v>малые</v>
      </c>
      <c r="E179" s="10">
        <f>VLOOKUP(A179,Лист2!A:E,4,0)</f>
        <v>2.5</v>
      </c>
      <c r="F179" s="11">
        <f t="shared" si="6"/>
        <v>-65000</v>
      </c>
      <c r="G179" s="11">
        <f t="shared" si="7"/>
        <v>4106400</v>
      </c>
      <c r="H179" s="11">
        <f t="shared" si="8"/>
        <v>-26000</v>
      </c>
    </row>
    <row r="180" spans="1:8">
      <c r="A180" s="6" t="s">
        <v>18</v>
      </c>
      <c r="B180" s="5">
        <v>7260000</v>
      </c>
      <c r="C180" s="5">
        <v>7079000</v>
      </c>
      <c r="D180" s="8" t="str">
        <f>VLOOKUP(A180,Лист2!A:E,5,0)</f>
        <v>малые</v>
      </c>
      <c r="E180" s="10">
        <f>VLOOKUP(A180,Лист2!A:E,4,0)</f>
        <v>2.5</v>
      </c>
      <c r="F180" s="11">
        <f t="shared" si="6"/>
        <v>181000</v>
      </c>
      <c r="G180" s="11">
        <f t="shared" si="7"/>
        <v>2904000</v>
      </c>
      <c r="H180" s="11">
        <f t="shared" si="8"/>
        <v>72400</v>
      </c>
    </row>
    <row r="181" spans="1:8">
      <c r="A181" s="6" t="s">
        <v>18</v>
      </c>
      <c r="B181" s="5">
        <v>41760000</v>
      </c>
      <c r="C181" s="5">
        <v>41373000</v>
      </c>
      <c r="D181" s="8" t="str">
        <f>VLOOKUP(A181,Лист2!A:E,5,0)</f>
        <v>малые</v>
      </c>
      <c r="E181" s="10">
        <f>VLOOKUP(A181,Лист2!A:E,4,0)</f>
        <v>2.5</v>
      </c>
      <c r="F181" s="11">
        <f t="shared" si="6"/>
        <v>387000</v>
      </c>
      <c r="G181" s="11">
        <f t="shared" si="7"/>
        <v>16704000</v>
      </c>
      <c r="H181" s="11">
        <f t="shared" si="8"/>
        <v>154800</v>
      </c>
    </row>
    <row r="182" spans="1:8">
      <c r="A182" s="6" t="s">
        <v>18</v>
      </c>
      <c r="B182" s="5">
        <v>2416000</v>
      </c>
      <c r="C182" s="5">
        <v>2804000</v>
      </c>
      <c r="D182" s="8" t="str">
        <f>VLOOKUP(A182,Лист2!A:E,5,0)</f>
        <v>малые</v>
      </c>
      <c r="E182" s="10">
        <f>VLOOKUP(A182,Лист2!A:E,4,0)</f>
        <v>2.5</v>
      </c>
      <c r="F182" s="11">
        <f t="shared" si="6"/>
        <v>-388000</v>
      </c>
      <c r="G182" s="11">
        <f t="shared" si="7"/>
        <v>966400</v>
      </c>
      <c r="H182" s="11">
        <f t="shared" si="8"/>
        <v>-155200</v>
      </c>
    </row>
    <row r="183" spans="1:8">
      <c r="A183" s="6" t="s">
        <v>18</v>
      </c>
      <c r="B183" s="5">
        <v>1931000</v>
      </c>
      <c r="C183" s="5">
        <v>1231000</v>
      </c>
      <c r="D183" s="8" t="str">
        <f>VLOOKUP(A183,Лист2!A:E,5,0)</f>
        <v>малые</v>
      </c>
      <c r="E183" s="10">
        <f>VLOOKUP(A183,Лист2!A:E,4,0)</f>
        <v>2.5</v>
      </c>
      <c r="F183" s="11">
        <f t="shared" si="6"/>
        <v>700000</v>
      </c>
      <c r="G183" s="11">
        <f t="shared" si="7"/>
        <v>772400</v>
      </c>
      <c r="H183" s="11">
        <f t="shared" si="8"/>
        <v>280000</v>
      </c>
    </row>
    <row r="184" spans="1:8">
      <c r="A184" s="6" t="s">
        <v>18</v>
      </c>
      <c r="B184" s="5">
        <v>3120000</v>
      </c>
      <c r="C184" s="5">
        <v>2236000</v>
      </c>
      <c r="D184" s="8" t="str">
        <f>VLOOKUP(A184,Лист2!A:E,5,0)</f>
        <v>малые</v>
      </c>
      <c r="E184" s="10">
        <f>VLOOKUP(A184,Лист2!A:E,4,0)</f>
        <v>2.5</v>
      </c>
      <c r="F184" s="11">
        <f t="shared" si="6"/>
        <v>884000</v>
      </c>
      <c r="G184" s="11">
        <f t="shared" si="7"/>
        <v>1248000</v>
      </c>
      <c r="H184" s="11">
        <f t="shared" si="8"/>
        <v>353600</v>
      </c>
    </row>
    <row r="185" spans="1:8">
      <c r="A185" s="6" t="s">
        <v>18</v>
      </c>
      <c r="B185" s="5">
        <v>15173000</v>
      </c>
      <c r="C185" s="5">
        <v>13469000</v>
      </c>
      <c r="D185" s="8" t="str">
        <f>VLOOKUP(A185,Лист2!A:E,5,0)</f>
        <v>малые</v>
      </c>
      <c r="E185" s="10">
        <f>VLOOKUP(A185,Лист2!A:E,4,0)</f>
        <v>2.5</v>
      </c>
      <c r="F185" s="11">
        <f t="shared" si="6"/>
        <v>1704000</v>
      </c>
      <c r="G185" s="11">
        <f t="shared" si="7"/>
        <v>6069200</v>
      </c>
      <c r="H185" s="11">
        <f t="shared" si="8"/>
        <v>681600</v>
      </c>
    </row>
    <row r="186" spans="1:8">
      <c r="A186" s="6" t="s">
        <v>18</v>
      </c>
      <c r="B186" s="5">
        <v>2234000</v>
      </c>
      <c r="C186" s="5">
        <v>2240000</v>
      </c>
      <c r="D186" s="8" t="str">
        <f>VLOOKUP(A186,Лист2!A:E,5,0)</f>
        <v>малые</v>
      </c>
      <c r="E186" s="10">
        <f>VLOOKUP(A186,Лист2!A:E,4,0)</f>
        <v>2.5</v>
      </c>
      <c r="F186" s="11">
        <f t="shared" si="6"/>
        <v>-6000</v>
      </c>
      <c r="G186" s="11">
        <f t="shared" si="7"/>
        <v>893600</v>
      </c>
      <c r="H186" s="11">
        <f t="shared" si="8"/>
        <v>-2400</v>
      </c>
    </row>
    <row r="187" spans="1:8">
      <c r="A187" s="6" t="s">
        <v>18</v>
      </c>
      <c r="B187" s="5">
        <v>14367000</v>
      </c>
      <c r="C187" s="5">
        <v>35417000</v>
      </c>
      <c r="D187" s="8" t="str">
        <f>VLOOKUP(A187,Лист2!A:E,5,0)</f>
        <v>малые</v>
      </c>
      <c r="E187" s="10">
        <f>VLOOKUP(A187,Лист2!A:E,4,0)</f>
        <v>2.5</v>
      </c>
      <c r="F187" s="11">
        <f t="shared" si="6"/>
        <v>-21050000</v>
      </c>
      <c r="G187" s="11">
        <f t="shared" si="7"/>
        <v>5746800</v>
      </c>
      <c r="H187" s="11">
        <f t="shared" si="8"/>
        <v>-8420000</v>
      </c>
    </row>
    <row r="188" spans="1:8">
      <c r="A188" s="6" t="s">
        <v>18</v>
      </c>
      <c r="B188" s="5">
        <v>8479000</v>
      </c>
      <c r="C188" s="5">
        <v>9593000</v>
      </c>
      <c r="D188" s="8" t="str">
        <f>VLOOKUP(A188,Лист2!A:E,5,0)</f>
        <v>малые</v>
      </c>
      <c r="E188" s="10">
        <f>VLOOKUP(A188,Лист2!A:E,4,0)</f>
        <v>2.5</v>
      </c>
      <c r="F188" s="11">
        <f t="shared" si="6"/>
        <v>-1114000</v>
      </c>
      <c r="G188" s="11">
        <f t="shared" si="7"/>
        <v>3391600</v>
      </c>
      <c r="H188" s="11">
        <f t="shared" si="8"/>
        <v>-445600</v>
      </c>
    </row>
    <row r="189" spans="1:8">
      <c r="A189" s="6" t="s">
        <v>22</v>
      </c>
      <c r="B189" s="5">
        <v>258333000</v>
      </c>
      <c r="C189" s="5">
        <v>27443000</v>
      </c>
      <c r="D189" s="8" t="str">
        <f>VLOOKUP(A189,Лист2!A:E,5,0)</f>
        <v>малые</v>
      </c>
      <c r="E189" s="10">
        <f>VLOOKUP(A189,Лист2!A:E,4,0)</f>
        <v>13</v>
      </c>
      <c r="F189" s="11">
        <f t="shared" si="6"/>
        <v>230890000</v>
      </c>
      <c r="G189" s="11">
        <f t="shared" si="7"/>
        <v>19871769.230769232</v>
      </c>
      <c r="H189" s="11">
        <f t="shared" si="8"/>
        <v>17760769.230769232</v>
      </c>
    </row>
    <row r="190" spans="1:8">
      <c r="A190" s="6" t="s">
        <v>18</v>
      </c>
      <c r="B190" s="5">
        <v>24910000</v>
      </c>
      <c r="C190" s="5">
        <v>21239000</v>
      </c>
      <c r="D190" s="8" t="str">
        <f>VLOOKUP(A190,Лист2!A:E,5,0)</f>
        <v>малые</v>
      </c>
      <c r="E190" s="10">
        <f>VLOOKUP(A190,Лист2!A:E,4,0)</f>
        <v>2.5</v>
      </c>
      <c r="F190" s="11">
        <f t="shared" si="6"/>
        <v>3671000</v>
      </c>
      <c r="G190" s="11">
        <f t="shared" si="7"/>
        <v>9964000</v>
      </c>
      <c r="H190" s="11">
        <f t="shared" si="8"/>
        <v>1468400</v>
      </c>
    </row>
    <row r="191" spans="1:8">
      <c r="A191" s="6" t="s">
        <v>18</v>
      </c>
      <c r="B191" s="5">
        <v>3550000</v>
      </c>
      <c r="C191" s="5">
        <v>3548000</v>
      </c>
      <c r="D191" s="8" t="str">
        <f>VLOOKUP(A191,Лист2!A:E,5,0)</f>
        <v>малые</v>
      </c>
      <c r="E191" s="10">
        <f>VLOOKUP(A191,Лист2!A:E,4,0)</f>
        <v>2.5</v>
      </c>
      <c r="F191" s="11">
        <f t="shared" ref="F191:F252" si="9">B191-C191</f>
        <v>2000</v>
      </c>
      <c r="G191" s="11">
        <f t="shared" ref="G191:G252" si="10">B191/E191</f>
        <v>1420000</v>
      </c>
      <c r="H191" s="11">
        <f t="shared" ref="H191:H252" si="11">F191/E191</f>
        <v>800</v>
      </c>
    </row>
    <row r="192" spans="1:8">
      <c r="A192" s="6" t="s">
        <v>18</v>
      </c>
      <c r="B192" s="5">
        <v>4872000</v>
      </c>
      <c r="C192" s="5">
        <v>5280000</v>
      </c>
      <c r="D192" s="8" t="str">
        <f>VLOOKUP(A192,Лист2!A:E,5,0)</f>
        <v>малые</v>
      </c>
      <c r="E192" s="10">
        <f>VLOOKUP(A192,Лист2!A:E,4,0)</f>
        <v>2.5</v>
      </c>
      <c r="F192" s="11">
        <f t="shared" si="9"/>
        <v>-408000</v>
      </c>
      <c r="G192" s="11">
        <f t="shared" si="10"/>
        <v>1948800</v>
      </c>
      <c r="H192" s="11">
        <f t="shared" si="11"/>
        <v>-163200</v>
      </c>
    </row>
    <row r="193" spans="1:8">
      <c r="A193" s="6" t="s">
        <v>18</v>
      </c>
      <c r="B193" s="5">
        <v>167910000</v>
      </c>
      <c r="C193" s="5">
        <v>169220000</v>
      </c>
      <c r="D193" s="8" t="str">
        <f>VLOOKUP(A193,Лист2!A:E,5,0)</f>
        <v>малые</v>
      </c>
      <c r="E193" s="10">
        <f>VLOOKUP(A193,Лист2!A:E,4,0)</f>
        <v>2.5</v>
      </c>
      <c r="F193" s="11">
        <f t="shared" si="9"/>
        <v>-1310000</v>
      </c>
      <c r="G193" s="11">
        <f t="shared" si="10"/>
        <v>67164000</v>
      </c>
      <c r="H193" s="11">
        <f t="shared" si="11"/>
        <v>-524000</v>
      </c>
    </row>
    <row r="194" spans="1:8">
      <c r="A194" s="6" t="s">
        <v>18</v>
      </c>
      <c r="B194" s="5">
        <v>337000</v>
      </c>
      <c r="C194" s="5">
        <v>375000</v>
      </c>
      <c r="D194" s="8" t="str">
        <f>VLOOKUP(A194,Лист2!A:E,5,0)</f>
        <v>малые</v>
      </c>
      <c r="E194" s="10">
        <f>VLOOKUP(A194,Лист2!A:E,4,0)</f>
        <v>2.5</v>
      </c>
      <c r="F194" s="11">
        <f t="shared" si="9"/>
        <v>-38000</v>
      </c>
      <c r="G194" s="11">
        <f t="shared" si="10"/>
        <v>134800</v>
      </c>
      <c r="H194" s="11">
        <f t="shared" si="11"/>
        <v>-15200</v>
      </c>
    </row>
    <row r="195" spans="1:8">
      <c r="A195" s="6" t="s">
        <v>77</v>
      </c>
      <c r="B195" s="5">
        <v>9390000</v>
      </c>
      <c r="C195" s="5">
        <v>7434000</v>
      </c>
      <c r="D195" s="8" t="str">
        <f>VLOOKUP(A195,Лист2!A:E,5,0)</f>
        <v>малые</v>
      </c>
      <c r="E195" s="10">
        <f>VLOOKUP(A195,Лист2!A:E,4,0)</f>
        <v>8</v>
      </c>
      <c r="F195" s="11">
        <f t="shared" si="9"/>
        <v>1956000</v>
      </c>
      <c r="G195" s="11">
        <f t="shared" si="10"/>
        <v>1173750</v>
      </c>
      <c r="H195" s="11">
        <f t="shared" si="11"/>
        <v>244500</v>
      </c>
    </row>
    <row r="196" spans="1:8">
      <c r="A196" s="6" t="s">
        <v>23</v>
      </c>
      <c r="B196" s="5">
        <v>76693000</v>
      </c>
      <c r="C196" s="5">
        <v>76390000</v>
      </c>
      <c r="D196" s="8" t="str">
        <f>VLOOKUP(A196,Лист2!A:E,5,0)</f>
        <v>средние</v>
      </c>
      <c r="E196" s="10">
        <f>VLOOKUP(A196,Лист2!A:E,4,0)</f>
        <v>75.5</v>
      </c>
      <c r="F196" s="11">
        <f t="shared" si="9"/>
        <v>303000</v>
      </c>
      <c r="G196" s="11">
        <f t="shared" si="10"/>
        <v>1015801.3245033113</v>
      </c>
      <c r="H196" s="11">
        <f t="shared" si="11"/>
        <v>4013.2450331125829</v>
      </c>
    </row>
    <row r="197" spans="1:8">
      <c r="A197" s="6" t="s">
        <v>18</v>
      </c>
      <c r="B197" s="5">
        <v>298000</v>
      </c>
      <c r="C197" s="5">
        <v>558000</v>
      </c>
      <c r="D197" s="8" t="str">
        <f>VLOOKUP(A197,Лист2!A:E,5,0)</f>
        <v>малые</v>
      </c>
      <c r="E197" s="10">
        <f>VLOOKUP(A197,Лист2!A:E,4,0)</f>
        <v>2.5</v>
      </c>
      <c r="F197" s="11">
        <f t="shared" si="9"/>
        <v>-260000</v>
      </c>
      <c r="G197" s="11">
        <f t="shared" si="10"/>
        <v>119200</v>
      </c>
      <c r="H197" s="11">
        <f t="shared" si="11"/>
        <v>-104000</v>
      </c>
    </row>
    <row r="198" spans="1:8">
      <c r="A198" s="6" t="s">
        <v>18</v>
      </c>
      <c r="B198" s="5">
        <v>351000</v>
      </c>
      <c r="C198" s="5">
        <v>465000</v>
      </c>
      <c r="D198" s="8" t="str">
        <f>VLOOKUP(A198,Лист2!A:E,5,0)</f>
        <v>малые</v>
      </c>
      <c r="E198" s="10">
        <f>VLOOKUP(A198,Лист2!A:E,4,0)</f>
        <v>2.5</v>
      </c>
      <c r="F198" s="11">
        <f t="shared" si="9"/>
        <v>-114000</v>
      </c>
      <c r="G198" s="11">
        <f t="shared" si="10"/>
        <v>140400</v>
      </c>
      <c r="H198" s="11">
        <f t="shared" si="11"/>
        <v>-45600</v>
      </c>
    </row>
    <row r="199" spans="1:8">
      <c r="A199" s="6" t="s">
        <v>18</v>
      </c>
      <c r="B199" s="5">
        <v>10000</v>
      </c>
      <c r="C199" s="5">
        <v>84000</v>
      </c>
      <c r="D199" s="8" t="str">
        <f>VLOOKUP(A199,Лист2!A:E,5,0)</f>
        <v>малые</v>
      </c>
      <c r="E199" s="10">
        <f>VLOOKUP(A199,Лист2!A:E,4,0)</f>
        <v>2.5</v>
      </c>
      <c r="F199" s="11">
        <f t="shared" si="9"/>
        <v>-74000</v>
      </c>
      <c r="G199" s="11">
        <f t="shared" si="10"/>
        <v>4000</v>
      </c>
      <c r="H199" s="11">
        <f t="shared" si="11"/>
        <v>-29600</v>
      </c>
    </row>
    <row r="200" spans="1:8">
      <c r="A200" s="6" t="s">
        <v>18</v>
      </c>
      <c r="B200" s="5">
        <v>52585000</v>
      </c>
      <c r="C200" s="5">
        <v>50658000</v>
      </c>
      <c r="D200" s="8" t="str">
        <f>VLOOKUP(A200,Лист2!A:E,5,0)</f>
        <v>малые</v>
      </c>
      <c r="E200" s="10">
        <f>VLOOKUP(A200,Лист2!A:E,4,0)</f>
        <v>2.5</v>
      </c>
      <c r="F200" s="11">
        <f t="shared" si="9"/>
        <v>1927000</v>
      </c>
      <c r="G200" s="11">
        <f t="shared" si="10"/>
        <v>21034000</v>
      </c>
      <c r="H200" s="11">
        <f t="shared" si="11"/>
        <v>770800</v>
      </c>
    </row>
    <row r="201" spans="1:8">
      <c r="A201" s="6" t="s">
        <v>22</v>
      </c>
      <c r="B201" s="5">
        <v>134427000</v>
      </c>
      <c r="C201" s="5">
        <v>516511000</v>
      </c>
      <c r="D201" s="8" t="str">
        <f>VLOOKUP(A201,Лист2!A:E,5,0)</f>
        <v>малые</v>
      </c>
      <c r="E201" s="10">
        <f>VLOOKUP(A201,Лист2!A:E,4,0)</f>
        <v>13</v>
      </c>
      <c r="F201" s="11">
        <f t="shared" si="9"/>
        <v>-382084000</v>
      </c>
      <c r="G201" s="11">
        <f t="shared" si="10"/>
        <v>10340538.461538462</v>
      </c>
      <c r="H201" s="11">
        <f t="shared" si="11"/>
        <v>-29391076.923076924</v>
      </c>
    </row>
    <row r="202" spans="1:8">
      <c r="A202" s="6" t="s">
        <v>18</v>
      </c>
      <c r="B202" s="5">
        <v>30345000</v>
      </c>
      <c r="C202" s="5">
        <v>29381000</v>
      </c>
      <c r="D202" s="8" t="str">
        <f>VLOOKUP(A202,Лист2!A:E,5,0)</f>
        <v>малые</v>
      </c>
      <c r="E202" s="10">
        <f>VLOOKUP(A202,Лист2!A:E,4,0)</f>
        <v>2.5</v>
      </c>
      <c r="F202" s="11">
        <f t="shared" si="9"/>
        <v>964000</v>
      </c>
      <c r="G202" s="11">
        <f t="shared" si="10"/>
        <v>12138000</v>
      </c>
      <c r="H202" s="11">
        <f t="shared" si="11"/>
        <v>385600</v>
      </c>
    </row>
    <row r="203" spans="1:8">
      <c r="A203" s="6" t="s">
        <v>23</v>
      </c>
      <c r="B203" s="5">
        <v>8649000</v>
      </c>
      <c r="C203" s="5">
        <v>8831000</v>
      </c>
      <c r="D203" s="8" t="str">
        <f>VLOOKUP(A203,Лист2!A:E,5,0)</f>
        <v>средние</v>
      </c>
      <c r="E203" s="10">
        <f>VLOOKUP(A203,Лист2!A:E,4,0)</f>
        <v>75.5</v>
      </c>
      <c r="F203" s="11">
        <f t="shared" si="9"/>
        <v>-182000</v>
      </c>
      <c r="G203" s="11">
        <f t="shared" si="10"/>
        <v>114556.29139072848</v>
      </c>
      <c r="H203" s="11">
        <f t="shared" si="11"/>
        <v>-2410.5960264900664</v>
      </c>
    </row>
    <row r="204" spans="1:8">
      <c r="A204" s="6" t="s">
        <v>18</v>
      </c>
      <c r="B204" s="5">
        <v>999000</v>
      </c>
      <c r="C204" s="5">
        <v>982000</v>
      </c>
      <c r="D204" s="8" t="str">
        <f>VLOOKUP(A204,Лист2!A:E,5,0)</f>
        <v>малые</v>
      </c>
      <c r="E204" s="10">
        <f>VLOOKUP(A204,Лист2!A:E,4,0)</f>
        <v>2.5</v>
      </c>
      <c r="F204" s="11">
        <f t="shared" si="9"/>
        <v>17000</v>
      </c>
      <c r="G204" s="11">
        <f t="shared" si="10"/>
        <v>399600</v>
      </c>
      <c r="H204" s="11">
        <f t="shared" si="11"/>
        <v>6800</v>
      </c>
    </row>
    <row r="205" spans="1:8">
      <c r="A205" s="6" t="s">
        <v>18</v>
      </c>
      <c r="B205" s="5">
        <v>16772000</v>
      </c>
      <c r="C205" s="5">
        <v>16489000</v>
      </c>
      <c r="D205" s="8" t="str">
        <f>VLOOKUP(A205,Лист2!A:E,5,0)</f>
        <v>малые</v>
      </c>
      <c r="E205" s="10">
        <f>VLOOKUP(A205,Лист2!A:E,4,0)</f>
        <v>2.5</v>
      </c>
      <c r="F205" s="11">
        <f t="shared" si="9"/>
        <v>283000</v>
      </c>
      <c r="G205" s="11">
        <f t="shared" si="10"/>
        <v>6708800</v>
      </c>
      <c r="H205" s="11">
        <f t="shared" si="11"/>
        <v>113200</v>
      </c>
    </row>
    <row r="206" spans="1:8">
      <c r="A206" s="6" t="s">
        <v>77</v>
      </c>
      <c r="B206" s="5">
        <v>114314000</v>
      </c>
      <c r="C206" s="5">
        <v>70701000</v>
      </c>
      <c r="D206" s="8" t="str">
        <f>VLOOKUP(A206,Лист2!A:E,5,0)</f>
        <v>малые</v>
      </c>
      <c r="E206" s="10">
        <f>VLOOKUP(A206,Лист2!A:E,4,0)</f>
        <v>8</v>
      </c>
      <c r="F206" s="11">
        <f t="shared" si="9"/>
        <v>43613000</v>
      </c>
      <c r="G206" s="11">
        <f t="shared" si="10"/>
        <v>14289250</v>
      </c>
      <c r="H206" s="11">
        <f t="shared" si="11"/>
        <v>5451625</v>
      </c>
    </row>
    <row r="207" spans="1:8">
      <c r="A207" s="6" t="s">
        <v>18</v>
      </c>
      <c r="B207" s="5">
        <v>257884000</v>
      </c>
      <c r="C207" s="5">
        <v>300932000</v>
      </c>
      <c r="D207" s="8" t="str">
        <f>VLOOKUP(A207,Лист2!A:E,5,0)</f>
        <v>малые</v>
      </c>
      <c r="E207" s="10">
        <f>VLOOKUP(A207,Лист2!A:E,4,0)</f>
        <v>2.5</v>
      </c>
      <c r="F207" s="11">
        <f t="shared" si="9"/>
        <v>-43048000</v>
      </c>
      <c r="G207" s="11">
        <f t="shared" si="10"/>
        <v>103153600</v>
      </c>
      <c r="H207" s="11">
        <f t="shared" si="11"/>
        <v>-17219200</v>
      </c>
    </row>
    <row r="208" spans="1:8">
      <c r="A208" s="6" t="s">
        <v>22</v>
      </c>
      <c r="B208" s="5">
        <v>139399000</v>
      </c>
      <c r="C208" s="5">
        <v>114925000</v>
      </c>
      <c r="D208" s="8" t="str">
        <f>VLOOKUP(A208,Лист2!A:E,5,0)</f>
        <v>малые</v>
      </c>
      <c r="E208" s="10">
        <f>VLOOKUP(A208,Лист2!A:E,4,0)</f>
        <v>13</v>
      </c>
      <c r="F208" s="11">
        <f t="shared" si="9"/>
        <v>24474000</v>
      </c>
      <c r="G208" s="11">
        <f t="shared" si="10"/>
        <v>10723000</v>
      </c>
      <c r="H208" s="11">
        <f t="shared" si="11"/>
        <v>1882615.3846153845</v>
      </c>
    </row>
    <row r="209" spans="1:8">
      <c r="A209" s="6" t="s">
        <v>18</v>
      </c>
      <c r="B209" s="5">
        <v>2325000</v>
      </c>
      <c r="C209" s="5">
        <v>2334000</v>
      </c>
      <c r="D209" s="8" t="str">
        <f>VLOOKUP(A209,Лист2!A:E,5,0)</f>
        <v>малые</v>
      </c>
      <c r="E209" s="10">
        <f>VLOOKUP(A209,Лист2!A:E,4,0)</f>
        <v>2.5</v>
      </c>
      <c r="F209" s="11">
        <f t="shared" si="9"/>
        <v>-9000</v>
      </c>
      <c r="G209" s="11">
        <f t="shared" si="10"/>
        <v>930000</v>
      </c>
      <c r="H209" s="11">
        <f t="shared" si="11"/>
        <v>-3600</v>
      </c>
    </row>
    <row r="210" spans="1:8">
      <c r="A210" s="6" t="s">
        <v>77</v>
      </c>
      <c r="B210" s="5">
        <v>163483000</v>
      </c>
      <c r="C210" s="5">
        <v>173535000</v>
      </c>
      <c r="D210" s="8" t="str">
        <f>VLOOKUP(A210,Лист2!A:E,5,0)</f>
        <v>малые</v>
      </c>
      <c r="E210" s="10">
        <f>VLOOKUP(A210,Лист2!A:E,4,0)</f>
        <v>8</v>
      </c>
      <c r="F210" s="11">
        <f t="shared" si="9"/>
        <v>-10052000</v>
      </c>
      <c r="G210" s="11">
        <f t="shared" si="10"/>
        <v>20435375</v>
      </c>
      <c r="H210" s="11">
        <f t="shared" si="11"/>
        <v>-1256500</v>
      </c>
    </row>
    <row r="211" spans="1:8">
      <c r="A211" s="6" t="s">
        <v>18</v>
      </c>
      <c r="B211" s="5">
        <v>874000</v>
      </c>
      <c r="C211" s="5">
        <v>874000</v>
      </c>
      <c r="D211" s="8" t="str">
        <f>VLOOKUP(A211,Лист2!A:E,5,0)</f>
        <v>малые</v>
      </c>
      <c r="E211" s="10">
        <f>VLOOKUP(A211,Лист2!A:E,4,0)</f>
        <v>2.5</v>
      </c>
      <c r="F211" s="11">
        <f t="shared" si="9"/>
        <v>0</v>
      </c>
      <c r="G211" s="11">
        <f t="shared" si="10"/>
        <v>349600</v>
      </c>
      <c r="H211" s="11">
        <f t="shared" si="11"/>
        <v>0</v>
      </c>
    </row>
    <row r="212" spans="1:8">
      <c r="A212" s="6" t="s">
        <v>18</v>
      </c>
      <c r="B212" s="5">
        <v>5644000</v>
      </c>
      <c r="C212" s="5">
        <v>5611000</v>
      </c>
      <c r="D212" s="8" t="str">
        <f>VLOOKUP(A212,Лист2!A:E,5,0)</f>
        <v>малые</v>
      </c>
      <c r="E212" s="10">
        <f>VLOOKUP(A212,Лист2!A:E,4,0)</f>
        <v>2.5</v>
      </c>
      <c r="F212" s="11">
        <f t="shared" si="9"/>
        <v>33000</v>
      </c>
      <c r="G212" s="11">
        <f t="shared" si="10"/>
        <v>2257600</v>
      </c>
      <c r="H212" s="11">
        <f t="shared" si="11"/>
        <v>13200</v>
      </c>
    </row>
    <row r="213" spans="1:8">
      <c r="A213" s="6" t="s">
        <v>18</v>
      </c>
      <c r="B213" s="5">
        <v>2850000</v>
      </c>
      <c r="C213" s="5">
        <v>3350000</v>
      </c>
      <c r="D213" s="8" t="str">
        <f>VLOOKUP(A213,Лист2!A:E,5,0)</f>
        <v>малые</v>
      </c>
      <c r="E213" s="10">
        <f>VLOOKUP(A213,Лист2!A:E,4,0)</f>
        <v>2.5</v>
      </c>
      <c r="F213" s="11">
        <f t="shared" si="9"/>
        <v>-500000</v>
      </c>
      <c r="G213" s="11">
        <f t="shared" si="10"/>
        <v>1140000</v>
      </c>
      <c r="H213" s="11">
        <f t="shared" si="11"/>
        <v>-200000</v>
      </c>
    </row>
    <row r="214" spans="1:8">
      <c r="A214" s="6" t="s">
        <v>77</v>
      </c>
      <c r="B214" s="5">
        <v>460623000</v>
      </c>
      <c r="C214" s="5">
        <v>628128000</v>
      </c>
      <c r="D214" s="8" t="str">
        <f>VLOOKUP(A214,Лист2!A:E,5,0)</f>
        <v>малые</v>
      </c>
      <c r="E214" s="10">
        <f>VLOOKUP(A214,Лист2!A:E,4,0)</f>
        <v>8</v>
      </c>
      <c r="F214" s="11">
        <f t="shared" si="9"/>
        <v>-167505000</v>
      </c>
      <c r="G214" s="11">
        <f t="shared" si="10"/>
        <v>57577875</v>
      </c>
      <c r="H214" s="11">
        <f t="shared" si="11"/>
        <v>-20938125</v>
      </c>
    </row>
    <row r="215" spans="1:8">
      <c r="A215" s="6" t="s">
        <v>18</v>
      </c>
      <c r="B215" s="5">
        <v>1564000</v>
      </c>
      <c r="C215" s="5">
        <v>1653000</v>
      </c>
      <c r="D215" s="8" t="str">
        <f>VLOOKUP(A215,Лист2!A:E,5,0)</f>
        <v>малые</v>
      </c>
      <c r="E215" s="10">
        <f>VLOOKUP(A215,Лист2!A:E,4,0)</f>
        <v>2.5</v>
      </c>
      <c r="F215" s="11">
        <f t="shared" si="9"/>
        <v>-89000</v>
      </c>
      <c r="G215" s="11">
        <f t="shared" si="10"/>
        <v>625600</v>
      </c>
      <c r="H215" s="11">
        <f t="shared" si="11"/>
        <v>-35600</v>
      </c>
    </row>
    <row r="216" spans="1:8">
      <c r="A216" s="6" t="s">
        <v>18</v>
      </c>
      <c r="B216" s="5">
        <v>11105000</v>
      </c>
      <c r="C216" s="5">
        <v>11154000</v>
      </c>
      <c r="D216" s="8" t="str">
        <f>VLOOKUP(A216,Лист2!A:E,5,0)</f>
        <v>малые</v>
      </c>
      <c r="E216" s="10">
        <f>VLOOKUP(A216,Лист2!A:E,4,0)</f>
        <v>2.5</v>
      </c>
      <c r="F216" s="11">
        <f t="shared" si="9"/>
        <v>-49000</v>
      </c>
      <c r="G216" s="11">
        <f t="shared" si="10"/>
        <v>4442000</v>
      </c>
      <c r="H216" s="11">
        <f t="shared" si="11"/>
        <v>-19600</v>
      </c>
    </row>
    <row r="217" spans="1:8">
      <c r="A217" s="6" t="s">
        <v>18</v>
      </c>
      <c r="B217" s="5">
        <v>3000000</v>
      </c>
      <c r="C217" s="5">
        <v>1456000</v>
      </c>
      <c r="D217" s="8" t="str">
        <f>VLOOKUP(A217,Лист2!A:E,5,0)</f>
        <v>малые</v>
      </c>
      <c r="E217" s="10">
        <f>VLOOKUP(A217,Лист2!A:E,4,0)</f>
        <v>2.5</v>
      </c>
      <c r="F217" s="11">
        <f t="shared" si="9"/>
        <v>1544000</v>
      </c>
      <c r="G217" s="11">
        <f t="shared" si="10"/>
        <v>1200000</v>
      </c>
      <c r="H217" s="11">
        <f t="shared" si="11"/>
        <v>617600</v>
      </c>
    </row>
    <row r="218" spans="1:8">
      <c r="A218" s="6" t="s">
        <v>18</v>
      </c>
      <c r="B218" s="5">
        <v>73556000</v>
      </c>
      <c r="C218" s="5">
        <v>74957000</v>
      </c>
      <c r="D218" s="8" t="str">
        <f>VLOOKUP(A218,Лист2!A:E,5,0)</f>
        <v>малые</v>
      </c>
      <c r="E218" s="10">
        <f>VLOOKUP(A218,Лист2!A:E,4,0)</f>
        <v>2.5</v>
      </c>
      <c r="F218" s="11">
        <f t="shared" si="9"/>
        <v>-1401000</v>
      </c>
      <c r="G218" s="11">
        <f t="shared" si="10"/>
        <v>29422400</v>
      </c>
      <c r="H218" s="11">
        <f t="shared" si="11"/>
        <v>-560400</v>
      </c>
    </row>
    <row r="219" spans="1:8">
      <c r="A219" s="6" t="s">
        <v>18</v>
      </c>
      <c r="B219" s="5">
        <v>9896000</v>
      </c>
      <c r="C219" s="5">
        <v>13811000</v>
      </c>
      <c r="D219" s="8" t="str">
        <f>VLOOKUP(A219,Лист2!A:E,5,0)</f>
        <v>малые</v>
      </c>
      <c r="E219" s="10">
        <f>VLOOKUP(A219,Лист2!A:E,4,0)</f>
        <v>2.5</v>
      </c>
      <c r="F219" s="11">
        <f t="shared" si="9"/>
        <v>-3915000</v>
      </c>
      <c r="G219" s="11">
        <f t="shared" si="10"/>
        <v>3958400</v>
      </c>
      <c r="H219" s="11">
        <f t="shared" si="11"/>
        <v>-1566000</v>
      </c>
    </row>
    <row r="220" spans="1:8">
      <c r="A220" s="6" t="s">
        <v>18</v>
      </c>
      <c r="B220" s="5">
        <v>357000</v>
      </c>
      <c r="C220" s="5">
        <v>393000</v>
      </c>
      <c r="D220" s="8" t="str">
        <f>VLOOKUP(A220,Лист2!A:E,5,0)</f>
        <v>малые</v>
      </c>
      <c r="E220" s="10">
        <f>VLOOKUP(A220,Лист2!A:E,4,0)</f>
        <v>2.5</v>
      </c>
      <c r="F220" s="11">
        <f t="shared" si="9"/>
        <v>-36000</v>
      </c>
      <c r="G220" s="11">
        <f t="shared" si="10"/>
        <v>142800</v>
      </c>
      <c r="H220" s="11">
        <f t="shared" si="11"/>
        <v>-14400</v>
      </c>
    </row>
    <row r="221" spans="1:8">
      <c r="A221" s="6" t="s">
        <v>18</v>
      </c>
      <c r="B221" s="5">
        <v>457387000</v>
      </c>
      <c r="C221" s="5">
        <v>456679000</v>
      </c>
      <c r="D221" s="8" t="str">
        <f>VLOOKUP(A221,Лист2!A:E,5,0)</f>
        <v>малые</v>
      </c>
      <c r="E221" s="10">
        <f>VLOOKUP(A221,Лист2!A:E,4,0)</f>
        <v>2.5</v>
      </c>
      <c r="F221" s="11">
        <f t="shared" si="9"/>
        <v>708000</v>
      </c>
      <c r="G221" s="11">
        <f t="shared" si="10"/>
        <v>182954800</v>
      </c>
      <c r="H221" s="11">
        <f t="shared" si="11"/>
        <v>283200</v>
      </c>
    </row>
    <row r="222" spans="1:8">
      <c r="A222" s="6" t="s">
        <v>18</v>
      </c>
      <c r="B222" s="5">
        <v>42245000</v>
      </c>
      <c r="C222" s="5">
        <v>28444000</v>
      </c>
      <c r="D222" s="8" t="str">
        <f>VLOOKUP(A222,Лист2!A:E,5,0)</f>
        <v>малые</v>
      </c>
      <c r="E222" s="10">
        <f>VLOOKUP(A222,Лист2!A:E,4,0)</f>
        <v>2.5</v>
      </c>
      <c r="F222" s="11">
        <f t="shared" si="9"/>
        <v>13801000</v>
      </c>
      <c r="G222" s="11">
        <f t="shared" si="10"/>
        <v>16898000</v>
      </c>
      <c r="H222" s="11">
        <f t="shared" si="11"/>
        <v>5520400</v>
      </c>
    </row>
    <row r="223" spans="1:8">
      <c r="A223" s="6" t="s">
        <v>18</v>
      </c>
      <c r="B223" s="5">
        <v>21733000</v>
      </c>
      <c r="C223" s="5">
        <v>31568000</v>
      </c>
      <c r="D223" s="8" t="str">
        <f>VLOOKUP(A223,Лист2!A:E,5,0)</f>
        <v>малые</v>
      </c>
      <c r="E223" s="10">
        <f>VLOOKUP(A223,Лист2!A:E,4,0)</f>
        <v>2.5</v>
      </c>
      <c r="F223" s="11">
        <f t="shared" si="9"/>
        <v>-9835000</v>
      </c>
      <c r="G223" s="11">
        <f t="shared" si="10"/>
        <v>8693200</v>
      </c>
      <c r="H223" s="11">
        <f t="shared" si="11"/>
        <v>-3934000</v>
      </c>
    </row>
    <row r="224" spans="1:8">
      <c r="A224" s="6" t="s">
        <v>22</v>
      </c>
      <c r="B224" s="5">
        <v>1052143000</v>
      </c>
      <c r="C224" s="5">
        <v>178009000</v>
      </c>
      <c r="D224" s="8" t="str">
        <f>VLOOKUP(A224,Лист2!A:E,5,0)</f>
        <v>малые</v>
      </c>
      <c r="E224" s="10">
        <f>VLOOKUP(A224,Лист2!A:E,4,0)</f>
        <v>13</v>
      </c>
      <c r="F224" s="11">
        <f t="shared" si="9"/>
        <v>874134000</v>
      </c>
      <c r="G224" s="11">
        <f t="shared" si="10"/>
        <v>80934076.923076928</v>
      </c>
      <c r="H224" s="11">
        <f t="shared" si="11"/>
        <v>67241076.923076928</v>
      </c>
    </row>
    <row r="225" spans="1:8">
      <c r="A225" s="6" t="s">
        <v>18</v>
      </c>
      <c r="B225" s="5">
        <v>125000000</v>
      </c>
      <c r="C225" s="5">
        <v>123580000</v>
      </c>
      <c r="D225" s="8" t="str">
        <f>VLOOKUP(A225,Лист2!A:E,5,0)</f>
        <v>малые</v>
      </c>
      <c r="E225" s="10">
        <f>VLOOKUP(A225,Лист2!A:E,4,0)</f>
        <v>2.5</v>
      </c>
      <c r="F225" s="11">
        <f t="shared" si="9"/>
        <v>1420000</v>
      </c>
      <c r="G225" s="11">
        <f t="shared" si="10"/>
        <v>50000000</v>
      </c>
      <c r="H225" s="11">
        <f t="shared" si="11"/>
        <v>568000</v>
      </c>
    </row>
    <row r="226" spans="1:8">
      <c r="A226" s="6" t="s">
        <v>18</v>
      </c>
      <c r="B226" s="5">
        <v>15015000</v>
      </c>
      <c r="C226" s="5">
        <v>17079000</v>
      </c>
      <c r="D226" s="8" t="str">
        <f>VLOOKUP(A226,Лист2!A:E,5,0)</f>
        <v>малые</v>
      </c>
      <c r="E226" s="10">
        <f>VLOOKUP(A226,Лист2!A:E,4,0)</f>
        <v>2.5</v>
      </c>
      <c r="F226" s="11">
        <f t="shared" si="9"/>
        <v>-2064000</v>
      </c>
      <c r="G226" s="11">
        <f t="shared" si="10"/>
        <v>6006000</v>
      </c>
      <c r="H226" s="11">
        <f t="shared" si="11"/>
        <v>-825600</v>
      </c>
    </row>
    <row r="227" spans="1:8">
      <c r="A227" s="6" t="s">
        <v>18</v>
      </c>
      <c r="B227" s="5">
        <v>2554000</v>
      </c>
      <c r="C227" s="5">
        <v>2538000</v>
      </c>
      <c r="D227" s="8" t="str">
        <f>VLOOKUP(A227,Лист2!A:E,5,0)</f>
        <v>малые</v>
      </c>
      <c r="E227" s="10">
        <f>VLOOKUP(A227,Лист2!A:E,4,0)</f>
        <v>2.5</v>
      </c>
      <c r="F227" s="11">
        <f t="shared" si="9"/>
        <v>16000</v>
      </c>
      <c r="G227" s="11">
        <f t="shared" si="10"/>
        <v>1021600</v>
      </c>
      <c r="H227" s="11">
        <f t="shared" si="11"/>
        <v>6400</v>
      </c>
    </row>
    <row r="228" spans="1:8">
      <c r="A228" s="6" t="s">
        <v>18</v>
      </c>
      <c r="B228" s="5">
        <v>661000</v>
      </c>
      <c r="C228" s="5">
        <v>1058000</v>
      </c>
      <c r="D228" s="8" t="str">
        <f>VLOOKUP(A228,Лист2!A:E,5,0)</f>
        <v>малые</v>
      </c>
      <c r="E228" s="10">
        <f>VLOOKUP(A228,Лист2!A:E,4,0)</f>
        <v>2.5</v>
      </c>
      <c r="F228" s="11">
        <f t="shared" si="9"/>
        <v>-397000</v>
      </c>
      <c r="G228" s="11">
        <f t="shared" si="10"/>
        <v>264400</v>
      </c>
      <c r="H228" s="11">
        <f t="shared" si="11"/>
        <v>-158800</v>
      </c>
    </row>
    <row r="229" spans="1:8">
      <c r="A229" s="6" t="s">
        <v>18</v>
      </c>
      <c r="B229" s="5">
        <v>4687000</v>
      </c>
      <c r="C229" s="5">
        <v>6695000</v>
      </c>
      <c r="D229" s="8" t="str">
        <f>VLOOKUP(A229,Лист2!A:E,5,0)</f>
        <v>малые</v>
      </c>
      <c r="E229" s="10">
        <f>VLOOKUP(A229,Лист2!A:E,4,0)</f>
        <v>2.5</v>
      </c>
      <c r="F229" s="11">
        <f t="shared" si="9"/>
        <v>-2008000</v>
      </c>
      <c r="G229" s="11">
        <f t="shared" si="10"/>
        <v>1874800</v>
      </c>
      <c r="H229" s="11">
        <f t="shared" si="11"/>
        <v>-803200</v>
      </c>
    </row>
    <row r="230" spans="1:8">
      <c r="A230" s="6" t="s">
        <v>18</v>
      </c>
      <c r="B230" s="5">
        <v>21438000</v>
      </c>
      <c r="C230" s="5">
        <v>21387000</v>
      </c>
      <c r="D230" s="8" t="str">
        <f>VLOOKUP(A230,Лист2!A:E,5,0)</f>
        <v>малые</v>
      </c>
      <c r="E230" s="10">
        <f>VLOOKUP(A230,Лист2!A:E,4,0)</f>
        <v>2.5</v>
      </c>
      <c r="F230" s="11">
        <f t="shared" si="9"/>
        <v>51000</v>
      </c>
      <c r="G230" s="11">
        <f t="shared" si="10"/>
        <v>8575200</v>
      </c>
      <c r="H230" s="11">
        <f t="shared" si="11"/>
        <v>20400</v>
      </c>
    </row>
    <row r="231" spans="1:8">
      <c r="A231" s="6" t="s">
        <v>18</v>
      </c>
      <c r="B231" s="5">
        <v>376000</v>
      </c>
      <c r="C231" s="5">
        <v>446000</v>
      </c>
      <c r="D231" s="8" t="str">
        <f>VLOOKUP(A231,Лист2!A:E,5,0)</f>
        <v>малые</v>
      </c>
      <c r="E231" s="10">
        <f>VLOOKUP(A231,Лист2!A:E,4,0)</f>
        <v>2.5</v>
      </c>
      <c r="F231" s="11">
        <f t="shared" si="9"/>
        <v>-70000</v>
      </c>
      <c r="G231" s="11">
        <f t="shared" si="10"/>
        <v>150400</v>
      </c>
      <c r="H231" s="11">
        <f t="shared" si="11"/>
        <v>-28000</v>
      </c>
    </row>
    <row r="232" spans="1:8">
      <c r="A232" s="6" t="s">
        <v>18</v>
      </c>
      <c r="B232" s="5">
        <v>70174000</v>
      </c>
      <c r="C232" s="5">
        <v>111611000</v>
      </c>
      <c r="D232" s="8" t="str">
        <f>VLOOKUP(A232,Лист2!A:E,5,0)</f>
        <v>малые</v>
      </c>
      <c r="E232" s="10">
        <f>VLOOKUP(A232,Лист2!A:E,4,0)</f>
        <v>2.5</v>
      </c>
      <c r="F232" s="11">
        <f t="shared" si="9"/>
        <v>-41437000</v>
      </c>
      <c r="G232" s="11">
        <f t="shared" si="10"/>
        <v>28069600</v>
      </c>
      <c r="H232" s="11">
        <f t="shared" si="11"/>
        <v>-16574800</v>
      </c>
    </row>
    <row r="233" spans="1:8">
      <c r="A233" s="6" t="s">
        <v>22</v>
      </c>
      <c r="B233" s="5">
        <v>2084490000</v>
      </c>
      <c r="C233" s="5">
        <v>2305712000</v>
      </c>
      <c r="D233" s="8" t="str">
        <f>VLOOKUP(A233,Лист2!A:E,5,0)</f>
        <v>малые</v>
      </c>
      <c r="E233" s="10">
        <f>VLOOKUP(A233,Лист2!A:E,4,0)</f>
        <v>13</v>
      </c>
      <c r="F233" s="11">
        <f t="shared" si="9"/>
        <v>-221222000</v>
      </c>
      <c r="G233" s="11">
        <f t="shared" si="10"/>
        <v>160345384.61538461</v>
      </c>
      <c r="H233" s="11">
        <f t="shared" si="11"/>
        <v>-17017076.923076924</v>
      </c>
    </row>
    <row r="234" spans="1:8">
      <c r="A234" s="6" t="s">
        <v>18</v>
      </c>
      <c r="B234" s="5">
        <v>10571000</v>
      </c>
      <c r="C234" s="5">
        <v>12777000</v>
      </c>
      <c r="D234" s="8" t="str">
        <f>VLOOKUP(A234,Лист2!A:E,5,0)</f>
        <v>малые</v>
      </c>
      <c r="E234" s="10">
        <f>VLOOKUP(A234,Лист2!A:E,4,0)</f>
        <v>2.5</v>
      </c>
      <c r="F234" s="11">
        <f t="shared" si="9"/>
        <v>-2206000</v>
      </c>
      <c r="G234" s="11">
        <f t="shared" si="10"/>
        <v>4228400</v>
      </c>
      <c r="H234" s="11">
        <f t="shared" si="11"/>
        <v>-882400</v>
      </c>
    </row>
    <row r="235" spans="1:8">
      <c r="A235" s="6" t="s">
        <v>22</v>
      </c>
      <c r="B235" s="5">
        <v>52199000</v>
      </c>
      <c r="C235" s="5">
        <v>52356000</v>
      </c>
      <c r="D235" s="8" t="str">
        <f>VLOOKUP(A235,Лист2!A:E,5,0)</f>
        <v>малые</v>
      </c>
      <c r="E235" s="10">
        <f>VLOOKUP(A235,Лист2!A:E,4,0)</f>
        <v>13</v>
      </c>
      <c r="F235" s="11">
        <f t="shared" si="9"/>
        <v>-157000</v>
      </c>
      <c r="G235" s="11">
        <f t="shared" si="10"/>
        <v>4015307.6923076925</v>
      </c>
      <c r="H235" s="11">
        <f t="shared" si="11"/>
        <v>-12076.923076923076</v>
      </c>
    </row>
    <row r="236" spans="1:8">
      <c r="A236" s="6" t="s">
        <v>18</v>
      </c>
      <c r="B236" s="5">
        <v>99997000</v>
      </c>
      <c r="C236" s="5">
        <v>95431000</v>
      </c>
      <c r="D236" s="8" t="str">
        <f>VLOOKUP(A236,Лист2!A:E,5,0)</f>
        <v>малые</v>
      </c>
      <c r="E236" s="10">
        <f>VLOOKUP(A236,Лист2!A:E,4,0)</f>
        <v>2.5</v>
      </c>
      <c r="F236" s="11">
        <f t="shared" si="9"/>
        <v>4566000</v>
      </c>
      <c r="G236" s="11">
        <f t="shared" si="10"/>
        <v>39998800</v>
      </c>
      <c r="H236" s="11">
        <f t="shared" si="11"/>
        <v>1826400</v>
      </c>
    </row>
    <row r="237" spans="1:8">
      <c r="A237" s="6" t="s">
        <v>18</v>
      </c>
      <c r="B237" s="5">
        <v>22655000</v>
      </c>
      <c r="C237" s="5">
        <v>19518000</v>
      </c>
      <c r="D237" s="8" t="str">
        <f>VLOOKUP(A237,Лист2!A:E,5,0)</f>
        <v>малые</v>
      </c>
      <c r="E237" s="10">
        <f>VLOOKUP(A237,Лист2!A:E,4,0)</f>
        <v>2.5</v>
      </c>
      <c r="F237" s="11">
        <f t="shared" si="9"/>
        <v>3137000</v>
      </c>
      <c r="G237" s="11">
        <f t="shared" si="10"/>
        <v>9062000</v>
      </c>
      <c r="H237" s="11">
        <f t="shared" si="11"/>
        <v>1254800</v>
      </c>
    </row>
    <row r="238" spans="1:8">
      <c r="A238" s="6" t="s">
        <v>18</v>
      </c>
      <c r="B238" s="5">
        <v>306000</v>
      </c>
      <c r="C238" s="5">
        <v>580000</v>
      </c>
      <c r="D238" s="8" t="str">
        <f>VLOOKUP(A238,Лист2!A:E,5,0)</f>
        <v>малые</v>
      </c>
      <c r="E238" s="10">
        <f>VLOOKUP(A238,Лист2!A:E,4,0)</f>
        <v>2.5</v>
      </c>
      <c r="F238" s="11">
        <f t="shared" si="9"/>
        <v>-274000</v>
      </c>
      <c r="G238" s="11">
        <f t="shared" si="10"/>
        <v>122400</v>
      </c>
      <c r="H238" s="11">
        <f t="shared" si="11"/>
        <v>-109600</v>
      </c>
    </row>
    <row r="239" spans="1:8">
      <c r="A239" s="6" t="s">
        <v>302</v>
      </c>
      <c r="B239" s="5">
        <v>220541000</v>
      </c>
      <c r="C239" s="5">
        <v>175444000</v>
      </c>
      <c r="D239" s="8" t="str">
        <f>VLOOKUP(A239,Лист2!A:E,5,0)</f>
        <v>средние</v>
      </c>
      <c r="E239" s="10">
        <f>VLOOKUP(A239,Лист2!A:E,4,0)</f>
        <v>125.5</v>
      </c>
      <c r="F239" s="11">
        <f t="shared" si="9"/>
        <v>45097000</v>
      </c>
      <c r="G239" s="11">
        <f t="shared" si="10"/>
        <v>1757298.8047808765</v>
      </c>
      <c r="H239" s="11">
        <f t="shared" si="11"/>
        <v>359338.64541832672</v>
      </c>
    </row>
    <row r="240" spans="1:8">
      <c r="A240" s="6" t="s">
        <v>23</v>
      </c>
      <c r="B240" s="5">
        <v>4304994000</v>
      </c>
      <c r="C240" s="5">
        <v>4337361000</v>
      </c>
      <c r="D240" s="8" t="str">
        <f>VLOOKUP(A240,Лист2!A:E,5,0)</f>
        <v>средние</v>
      </c>
      <c r="E240" s="10">
        <f>VLOOKUP(A240,Лист2!A:E,4,0)</f>
        <v>75.5</v>
      </c>
      <c r="F240" s="11">
        <f t="shared" si="9"/>
        <v>-32367000</v>
      </c>
      <c r="G240" s="11">
        <f t="shared" si="10"/>
        <v>57019788.079470202</v>
      </c>
      <c r="H240" s="11">
        <f t="shared" si="11"/>
        <v>-428701.9867549669</v>
      </c>
    </row>
    <row r="241" spans="1:8">
      <c r="A241" s="6" t="s">
        <v>18</v>
      </c>
      <c r="B241" s="5">
        <v>86516000</v>
      </c>
      <c r="C241" s="5">
        <v>73220000</v>
      </c>
      <c r="D241" s="8" t="str">
        <f>VLOOKUP(A241,Лист2!A:E,5,0)</f>
        <v>малые</v>
      </c>
      <c r="E241" s="10">
        <f>VLOOKUP(A241,Лист2!A:E,4,0)</f>
        <v>2.5</v>
      </c>
      <c r="F241" s="11">
        <f t="shared" si="9"/>
        <v>13296000</v>
      </c>
      <c r="G241" s="11">
        <f t="shared" si="10"/>
        <v>34606400</v>
      </c>
      <c r="H241" s="11">
        <f t="shared" si="11"/>
        <v>5318400</v>
      </c>
    </row>
    <row r="242" spans="1:8">
      <c r="A242" s="6" t="s">
        <v>18</v>
      </c>
      <c r="B242" s="5">
        <v>9295000</v>
      </c>
      <c r="C242" s="5">
        <v>7935000</v>
      </c>
      <c r="D242" s="8" t="str">
        <f>VLOOKUP(A242,Лист2!A:E,5,0)</f>
        <v>малые</v>
      </c>
      <c r="E242" s="10">
        <f>VLOOKUP(A242,Лист2!A:E,4,0)</f>
        <v>2.5</v>
      </c>
      <c r="F242" s="11">
        <f t="shared" si="9"/>
        <v>1360000</v>
      </c>
      <c r="G242" s="11">
        <f t="shared" si="10"/>
        <v>3718000</v>
      </c>
      <c r="H242" s="11">
        <f t="shared" si="11"/>
        <v>544000</v>
      </c>
    </row>
    <row r="243" spans="1:8">
      <c r="A243" s="6" t="s">
        <v>77</v>
      </c>
      <c r="B243" s="5">
        <v>14878000</v>
      </c>
      <c r="C243" s="5">
        <v>14613000</v>
      </c>
      <c r="D243" s="8" t="str">
        <f>VLOOKUP(A243,Лист2!A:E,5,0)</f>
        <v>малые</v>
      </c>
      <c r="E243" s="10">
        <f>VLOOKUP(A243,Лист2!A:E,4,0)</f>
        <v>8</v>
      </c>
      <c r="F243" s="11">
        <f t="shared" si="9"/>
        <v>265000</v>
      </c>
      <c r="G243" s="11">
        <f t="shared" si="10"/>
        <v>1859750</v>
      </c>
      <c r="H243" s="11">
        <f t="shared" si="11"/>
        <v>33125</v>
      </c>
    </row>
    <row r="244" spans="1:8">
      <c r="A244" s="6" t="s">
        <v>18</v>
      </c>
      <c r="B244" s="5">
        <v>135000</v>
      </c>
      <c r="C244" s="5">
        <v>128000</v>
      </c>
      <c r="D244" s="8" t="str">
        <f>VLOOKUP(A244,Лист2!A:E,5,0)</f>
        <v>малые</v>
      </c>
      <c r="E244" s="10">
        <f>VLOOKUP(A244,Лист2!A:E,4,0)</f>
        <v>2.5</v>
      </c>
      <c r="F244" s="11">
        <f t="shared" si="9"/>
        <v>7000</v>
      </c>
      <c r="G244" s="11">
        <f t="shared" si="10"/>
        <v>54000</v>
      </c>
      <c r="H244" s="11">
        <f t="shared" si="11"/>
        <v>2800</v>
      </c>
    </row>
    <row r="245" spans="1:8">
      <c r="A245" s="6" t="s">
        <v>18</v>
      </c>
      <c r="B245" s="5">
        <v>2947000</v>
      </c>
      <c r="C245" s="5">
        <v>4856000</v>
      </c>
      <c r="D245" s="8" t="str">
        <f>VLOOKUP(A245,Лист2!A:E,5,0)</f>
        <v>малые</v>
      </c>
      <c r="E245" s="10">
        <f>VLOOKUP(A245,Лист2!A:E,4,0)</f>
        <v>2.5</v>
      </c>
      <c r="F245" s="11">
        <f t="shared" si="9"/>
        <v>-1909000</v>
      </c>
      <c r="G245" s="11">
        <f t="shared" si="10"/>
        <v>1178800</v>
      </c>
      <c r="H245" s="11">
        <f t="shared" si="11"/>
        <v>-763600</v>
      </c>
    </row>
    <row r="246" spans="1:8">
      <c r="A246" s="6" t="s">
        <v>18</v>
      </c>
      <c r="B246" s="5">
        <v>2077000</v>
      </c>
      <c r="C246" s="5">
        <v>2723000</v>
      </c>
      <c r="D246" s="8" t="str">
        <f>VLOOKUP(A246,Лист2!A:E,5,0)</f>
        <v>малые</v>
      </c>
      <c r="E246" s="10">
        <f>VLOOKUP(A246,Лист2!A:E,4,0)</f>
        <v>2.5</v>
      </c>
      <c r="F246" s="11">
        <f t="shared" si="9"/>
        <v>-646000</v>
      </c>
      <c r="G246" s="11">
        <f t="shared" si="10"/>
        <v>830800</v>
      </c>
      <c r="H246" s="11">
        <f t="shared" si="11"/>
        <v>-258400</v>
      </c>
    </row>
    <row r="247" spans="1:8">
      <c r="A247" s="6" t="s">
        <v>22</v>
      </c>
      <c r="B247" s="5">
        <v>76363000</v>
      </c>
      <c r="C247" s="5">
        <v>67744000</v>
      </c>
      <c r="D247" s="8" t="str">
        <f>VLOOKUP(A247,Лист2!A:E,5,0)</f>
        <v>малые</v>
      </c>
      <c r="E247" s="10">
        <f>VLOOKUP(A247,Лист2!A:E,4,0)</f>
        <v>13</v>
      </c>
      <c r="F247" s="11">
        <f t="shared" si="9"/>
        <v>8619000</v>
      </c>
      <c r="G247" s="11">
        <f t="shared" si="10"/>
        <v>5874076.923076923</v>
      </c>
      <c r="H247" s="11">
        <f t="shared" si="11"/>
        <v>663000</v>
      </c>
    </row>
    <row r="248" spans="1:8">
      <c r="A248" s="6" t="s">
        <v>18</v>
      </c>
      <c r="B248" s="5">
        <v>764000</v>
      </c>
      <c r="C248" s="5">
        <v>794000</v>
      </c>
      <c r="D248" s="8" t="str">
        <f>VLOOKUP(A248,Лист2!A:E,5,0)</f>
        <v>малые</v>
      </c>
      <c r="E248" s="10">
        <f>VLOOKUP(A248,Лист2!A:E,4,0)</f>
        <v>2.5</v>
      </c>
      <c r="F248" s="11">
        <f t="shared" si="9"/>
        <v>-30000</v>
      </c>
      <c r="G248" s="11">
        <f t="shared" si="10"/>
        <v>305600</v>
      </c>
      <c r="H248" s="11">
        <f t="shared" si="11"/>
        <v>-12000</v>
      </c>
    </row>
    <row r="249" spans="1:8">
      <c r="A249" s="6" t="s">
        <v>18</v>
      </c>
      <c r="B249" s="5">
        <v>3120000</v>
      </c>
      <c r="C249" s="5">
        <v>3216000</v>
      </c>
      <c r="D249" s="8" t="str">
        <f>VLOOKUP(A249,Лист2!A:E,5,0)</f>
        <v>малые</v>
      </c>
      <c r="E249" s="10">
        <f>VLOOKUP(A249,Лист2!A:E,4,0)</f>
        <v>2.5</v>
      </c>
      <c r="F249" s="11">
        <f t="shared" si="9"/>
        <v>-96000</v>
      </c>
      <c r="G249" s="11">
        <f t="shared" si="10"/>
        <v>1248000</v>
      </c>
      <c r="H249" s="11">
        <f t="shared" si="11"/>
        <v>-38400</v>
      </c>
    </row>
    <row r="250" spans="1:8">
      <c r="A250" s="6" t="s">
        <v>22</v>
      </c>
      <c r="B250" s="5">
        <v>11417000</v>
      </c>
      <c r="C250" s="5">
        <v>18444000</v>
      </c>
      <c r="D250" s="8" t="str">
        <f>VLOOKUP(A250,Лист2!A:E,5,0)</f>
        <v>малые</v>
      </c>
      <c r="E250" s="10">
        <f>VLOOKUP(A250,Лист2!A:E,4,0)</f>
        <v>13</v>
      </c>
      <c r="F250" s="11">
        <f t="shared" si="9"/>
        <v>-7027000</v>
      </c>
      <c r="G250" s="11">
        <f t="shared" si="10"/>
        <v>878230.76923076925</v>
      </c>
      <c r="H250" s="11">
        <f t="shared" si="11"/>
        <v>-540538.4615384615</v>
      </c>
    </row>
    <row r="251" spans="1:8">
      <c r="A251" s="6" t="s">
        <v>77</v>
      </c>
      <c r="B251" s="5">
        <v>22650000</v>
      </c>
      <c r="C251" s="5">
        <v>28246000</v>
      </c>
      <c r="D251" s="8" t="str">
        <f>VLOOKUP(A251,Лист2!A:E,5,0)</f>
        <v>малые</v>
      </c>
      <c r="E251" s="10">
        <f>VLOOKUP(A251,Лист2!A:E,4,0)</f>
        <v>8</v>
      </c>
      <c r="F251" s="11">
        <f t="shared" si="9"/>
        <v>-5596000</v>
      </c>
      <c r="G251" s="11">
        <f t="shared" si="10"/>
        <v>2831250</v>
      </c>
      <c r="H251" s="11">
        <f t="shared" si="11"/>
        <v>-699500</v>
      </c>
    </row>
    <row r="252" spans="1:8">
      <c r="A252" s="6" t="s">
        <v>18</v>
      </c>
      <c r="B252" s="5">
        <v>23000</v>
      </c>
      <c r="C252" s="5">
        <v>479000</v>
      </c>
      <c r="D252" s="8" t="str">
        <f>VLOOKUP(A252,Лист2!A:E,5,0)</f>
        <v>малые</v>
      </c>
      <c r="E252" s="10">
        <f>VLOOKUP(A252,Лист2!A:E,4,0)</f>
        <v>2.5</v>
      </c>
      <c r="F252" s="11">
        <f t="shared" si="9"/>
        <v>-456000</v>
      </c>
      <c r="G252" s="11">
        <f t="shared" si="10"/>
        <v>9200</v>
      </c>
      <c r="H252" s="11">
        <f t="shared" si="11"/>
        <v>-182400</v>
      </c>
    </row>
    <row r="253" spans="1:8">
      <c r="A253" s="6" t="s">
        <v>18</v>
      </c>
      <c r="B253" s="5">
        <v>38772000</v>
      </c>
      <c r="C253" s="5">
        <v>42617000</v>
      </c>
      <c r="D253" s="8" t="str">
        <f>VLOOKUP(A253,Лист2!A:E,5,0)</f>
        <v>малые</v>
      </c>
      <c r="E253" s="10">
        <f>VLOOKUP(A253,Лист2!A:E,4,0)</f>
        <v>2.5</v>
      </c>
      <c r="F253" s="11">
        <f t="shared" ref="F253:F315" si="12">B253-C253</f>
        <v>-3845000</v>
      </c>
      <c r="G253" s="11">
        <f t="shared" ref="G253:G315" si="13">B253/E253</f>
        <v>15508800</v>
      </c>
      <c r="H253" s="11">
        <f t="shared" ref="H253:H315" si="14">F253/E253</f>
        <v>-1538000</v>
      </c>
    </row>
    <row r="254" spans="1:8">
      <c r="A254" s="6" t="s">
        <v>18</v>
      </c>
      <c r="B254" s="5">
        <v>291000</v>
      </c>
      <c r="C254" s="5">
        <v>233000</v>
      </c>
      <c r="D254" s="8" t="str">
        <f>VLOOKUP(A254,Лист2!A:E,5,0)</f>
        <v>малые</v>
      </c>
      <c r="E254" s="10">
        <f>VLOOKUP(A254,Лист2!A:E,4,0)</f>
        <v>2.5</v>
      </c>
      <c r="F254" s="11">
        <f t="shared" si="12"/>
        <v>58000</v>
      </c>
      <c r="G254" s="11">
        <f t="shared" si="13"/>
        <v>116400</v>
      </c>
      <c r="H254" s="11">
        <f t="shared" si="14"/>
        <v>23200</v>
      </c>
    </row>
    <row r="255" spans="1:8">
      <c r="A255" s="6" t="s">
        <v>18</v>
      </c>
      <c r="B255" s="5">
        <v>11819000</v>
      </c>
      <c r="C255" s="5">
        <v>14110000</v>
      </c>
      <c r="D255" s="8" t="str">
        <f>VLOOKUP(A255,Лист2!A:E,5,0)</f>
        <v>малые</v>
      </c>
      <c r="E255" s="10">
        <f>VLOOKUP(A255,Лист2!A:E,4,0)</f>
        <v>2.5</v>
      </c>
      <c r="F255" s="11">
        <f t="shared" si="12"/>
        <v>-2291000</v>
      </c>
      <c r="G255" s="11">
        <f t="shared" si="13"/>
        <v>4727600</v>
      </c>
      <c r="H255" s="11">
        <f t="shared" si="14"/>
        <v>-916400</v>
      </c>
    </row>
    <row r="256" spans="1:8">
      <c r="A256" s="6" t="s">
        <v>18</v>
      </c>
      <c r="B256" s="5">
        <v>7932000</v>
      </c>
      <c r="C256" s="5">
        <v>3806000</v>
      </c>
      <c r="D256" s="8" t="str">
        <f>VLOOKUP(A256,Лист2!A:E,5,0)</f>
        <v>малые</v>
      </c>
      <c r="E256" s="10">
        <f>VLOOKUP(A256,Лист2!A:E,4,0)</f>
        <v>2.5</v>
      </c>
      <c r="F256" s="11">
        <f t="shared" si="12"/>
        <v>4126000</v>
      </c>
      <c r="G256" s="11">
        <f t="shared" si="13"/>
        <v>3172800</v>
      </c>
      <c r="H256" s="11">
        <f t="shared" si="14"/>
        <v>1650400</v>
      </c>
    </row>
    <row r="257" spans="1:8">
      <c r="A257" s="6" t="s">
        <v>18</v>
      </c>
      <c r="B257" s="5">
        <v>6008000</v>
      </c>
      <c r="C257" s="5">
        <v>633000</v>
      </c>
      <c r="D257" s="8" t="str">
        <f>VLOOKUP(A257,Лист2!A:E,5,0)</f>
        <v>малые</v>
      </c>
      <c r="E257" s="10">
        <f>VLOOKUP(A257,Лист2!A:E,4,0)</f>
        <v>2.5</v>
      </c>
      <c r="F257" s="11">
        <f t="shared" si="12"/>
        <v>5375000</v>
      </c>
      <c r="G257" s="11">
        <f t="shared" si="13"/>
        <v>2403200</v>
      </c>
      <c r="H257" s="11">
        <f t="shared" si="14"/>
        <v>2150000</v>
      </c>
    </row>
    <row r="258" spans="1:8">
      <c r="A258" s="6" t="s">
        <v>18</v>
      </c>
      <c r="B258" s="5">
        <v>117000</v>
      </c>
      <c r="C258" s="5">
        <v>118000</v>
      </c>
      <c r="D258" s="8" t="str">
        <f>VLOOKUP(A258,Лист2!A:E,5,0)</f>
        <v>малые</v>
      </c>
      <c r="E258" s="10">
        <f>VLOOKUP(A258,Лист2!A:E,4,0)</f>
        <v>2.5</v>
      </c>
      <c r="F258" s="11">
        <f t="shared" si="12"/>
        <v>-1000</v>
      </c>
      <c r="G258" s="11">
        <f t="shared" si="13"/>
        <v>46800</v>
      </c>
      <c r="H258" s="11">
        <f t="shared" si="14"/>
        <v>-400</v>
      </c>
    </row>
    <row r="259" spans="1:8">
      <c r="A259" s="6" t="s">
        <v>77</v>
      </c>
      <c r="B259" s="5">
        <v>320527000</v>
      </c>
      <c r="C259" s="5">
        <v>198011000</v>
      </c>
      <c r="D259" s="8" t="str">
        <f>VLOOKUP(A259,Лист2!A:E,5,0)</f>
        <v>малые</v>
      </c>
      <c r="E259" s="10">
        <f>VLOOKUP(A259,Лист2!A:E,4,0)</f>
        <v>8</v>
      </c>
      <c r="F259" s="11">
        <f t="shared" si="12"/>
        <v>122516000</v>
      </c>
      <c r="G259" s="11">
        <f t="shared" si="13"/>
        <v>40065875</v>
      </c>
      <c r="H259" s="11">
        <f t="shared" si="14"/>
        <v>15314500</v>
      </c>
    </row>
    <row r="260" spans="1:8">
      <c r="A260" s="6" t="s">
        <v>18</v>
      </c>
      <c r="B260" s="5">
        <v>968000</v>
      </c>
      <c r="C260" s="5">
        <v>826000</v>
      </c>
      <c r="D260" s="8" t="str">
        <f>VLOOKUP(A260,Лист2!A:E,5,0)</f>
        <v>малые</v>
      </c>
      <c r="E260" s="10">
        <f>VLOOKUP(A260,Лист2!A:E,4,0)</f>
        <v>2.5</v>
      </c>
      <c r="F260" s="11">
        <f t="shared" si="12"/>
        <v>142000</v>
      </c>
      <c r="G260" s="11">
        <f t="shared" si="13"/>
        <v>387200</v>
      </c>
      <c r="H260" s="11">
        <f t="shared" si="14"/>
        <v>56800</v>
      </c>
    </row>
    <row r="261" spans="1:8">
      <c r="A261" s="6" t="s">
        <v>18</v>
      </c>
      <c r="B261" s="5">
        <v>191686000</v>
      </c>
      <c r="C261" s="5">
        <v>144937000</v>
      </c>
      <c r="D261" s="8" t="str">
        <f>VLOOKUP(A261,Лист2!A:E,5,0)</f>
        <v>малые</v>
      </c>
      <c r="E261" s="10">
        <f>VLOOKUP(A261,Лист2!A:E,4,0)</f>
        <v>2.5</v>
      </c>
      <c r="F261" s="11">
        <f t="shared" si="12"/>
        <v>46749000</v>
      </c>
      <c r="G261" s="11">
        <f t="shared" si="13"/>
        <v>76674400</v>
      </c>
      <c r="H261" s="11">
        <f t="shared" si="14"/>
        <v>18699600</v>
      </c>
    </row>
    <row r="262" spans="1:8">
      <c r="A262" s="6" t="s">
        <v>18</v>
      </c>
      <c r="B262" s="5">
        <v>38990000</v>
      </c>
      <c r="C262" s="5">
        <v>55460000</v>
      </c>
      <c r="D262" s="8" t="str">
        <f>VLOOKUP(A262,Лист2!A:E,5,0)</f>
        <v>малые</v>
      </c>
      <c r="E262" s="10">
        <f>VLOOKUP(A262,Лист2!A:E,4,0)</f>
        <v>2.5</v>
      </c>
      <c r="F262" s="11">
        <f t="shared" si="12"/>
        <v>-16470000</v>
      </c>
      <c r="G262" s="11">
        <f t="shared" si="13"/>
        <v>15596000</v>
      </c>
      <c r="H262" s="11">
        <f t="shared" si="14"/>
        <v>-6588000</v>
      </c>
    </row>
    <row r="263" spans="1:8">
      <c r="A263" s="6" t="s">
        <v>18</v>
      </c>
      <c r="B263" s="5">
        <v>147000</v>
      </c>
      <c r="C263" s="5">
        <v>147000</v>
      </c>
      <c r="D263" s="8" t="str">
        <f>VLOOKUP(A263,Лист2!A:E,5,0)</f>
        <v>малые</v>
      </c>
      <c r="E263" s="10">
        <f>VLOOKUP(A263,Лист2!A:E,4,0)</f>
        <v>2.5</v>
      </c>
      <c r="F263" s="11">
        <f t="shared" si="12"/>
        <v>0</v>
      </c>
      <c r="G263" s="11">
        <f t="shared" si="13"/>
        <v>58800</v>
      </c>
      <c r="H263" s="11">
        <f t="shared" si="14"/>
        <v>0</v>
      </c>
    </row>
    <row r="264" spans="1:8">
      <c r="A264" s="6" t="s">
        <v>77</v>
      </c>
      <c r="B264" s="5">
        <v>138185000</v>
      </c>
      <c r="C264" s="5">
        <v>28901000</v>
      </c>
      <c r="D264" s="8" t="str">
        <f>VLOOKUP(A264,Лист2!A:E,5,0)</f>
        <v>малые</v>
      </c>
      <c r="E264" s="10">
        <f>VLOOKUP(A264,Лист2!A:E,4,0)</f>
        <v>8</v>
      </c>
      <c r="F264" s="11">
        <f t="shared" si="12"/>
        <v>109284000</v>
      </c>
      <c r="G264" s="11">
        <f t="shared" si="13"/>
        <v>17273125</v>
      </c>
      <c r="H264" s="11">
        <f t="shared" si="14"/>
        <v>13660500</v>
      </c>
    </row>
    <row r="265" spans="1:8">
      <c r="A265" s="6" t="s">
        <v>18</v>
      </c>
      <c r="B265" s="5">
        <v>176000</v>
      </c>
      <c r="C265" s="5">
        <v>187000</v>
      </c>
      <c r="D265" s="8" t="str">
        <f>VLOOKUP(A265,Лист2!A:E,5,0)</f>
        <v>малые</v>
      </c>
      <c r="E265" s="10">
        <f>VLOOKUP(A265,Лист2!A:E,4,0)</f>
        <v>2.5</v>
      </c>
      <c r="F265" s="11">
        <f t="shared" si="12"/>
        <v>-11000</v>
      </c>
      <c r="G265" s="11">
        <f t="shared" si="13"/>
        <v>70400</v>
      </c>
      <c r="H265" s="11">
        <f t="shared" si="14"/>
        <v>-4400</v>
      </c>
    </row>
    <row r="266" spans="1:8">
      <c r="A266" s="6" t="s">
        <v>18</v>
      </c>
      <c r="B266" s="5">
        <v>262000</v>
      </c>
      <c r="C266" s="5">
        <v>745000</v>
      </c>
      <c r="D266" s="8" t="str">
        <f>VLOOKUP(A266,Лист2!A:E,5,0)</f>
        <v>малые</v>
      </c>
      <c r="E266" s="10">
        <f>VLOOKUP(A266,Лист2!A:E,4,0)</f>
        <v>2.5</v>
      </c>
      <c r="F266" s="11">
        <f t="shared" si="12"/>
        <v>-483000</v>
      </c>
      <c r="G266" s="11">
        <f t="shared" si="13"/>
        <v>104800</v>
      </c>
      <c r="H266" s="11">
        <f t="shared" si="14"/>
        <v>-193200</v>
      </c>
    </row>
    <row r="267" spans="1:8">
      <c r="A267" s="6" t="s">
        <v>18</v>
      </c>
      <c r="B267" s="5">
        <v>1030734000</v>
      </c>
      <c r="C267" s="5">
        <v>713230000</v>
      </c>
      <c r="D267" s="8" t="str">
        <f>VLOOKUP(A267,Лист2!A:E,5,0)</f>
        <v>малые</v>
      </c>
      <c r="E267" s="10">
        <f>VLOOKUP(A267,Лист2!A:E,4,0)</f>
        <v>2.5</v>
      </c>
      <c r="F267" s="11">
        <f t="shared" si="12"/>
        <v>317504000</v>
      </c>
      <c r="G267" s="11">
        <f t="shared" si="13"/>
        <v>412293600</v>
      </c>
      <c r="H267" s="11">
        <f t="shared" si="14"/>
        <v>127001600</v>
      </c>
    </row>
    <row r="268" spans="1:8">
      <c r="A268" s="6" t="s">
        <v>18</v>
      </c>
      <c r="B268" s="5">
        <v>600000</v>
      </c>
      <c r="C268" s="5">
        <v>702000</v>
      </c>
      <c r="D268" s="8" t="str">
        <f>VLOOKUP(A268,Лист2!A:E,5,0)</f>
        <v>малые</v>
      </c>
      <c r="E268" s="10">
        <f>VLOOKUP(A268,Лист2!A:E,4,0)</f>
        <v>2.5</v>
      </c>
      <c r="F268" s="11">
        <f t="shared" si="12"/>
        <v>-102000</v>
      </c>
      <c r="G268" s="11">
        <f t="shared" si="13"/>
        <v>240000</v>
      </c>
      <c r="H268" s="11">
        <f t="shared" si="14"/>
        <v>-40800</v>
      </c>
    </row>
    <row r="269" spans="1:8">
      <c r="A269" s="6" t="s">
        <v>18</v>
      </c>
      <c r="B269" s="5">
        <v>1086000</v>
      </c>
      <c r="C269" s="5">
        <v>1086000</v>
      </c>
      <c r="D269" s="8" t="str">
        <f>VLOOKUP(A269,Лист2!A:E,5,0)</f>
        <v>малые</v>
      </c>
      <c r="E269" s="10">
        <f>VLOOKUP(A269,Лист2!A:E,4,0)</f>
        <v>2.5</v>
      </c>
      <c r="F269" s="11">
        <f t="shared" si="12"/>
        <v>0</v>
      </c>
      <c r="G269" s="11">
        <f t="shared" si="13"/>
        <v>434400</v>
      </c>
      <c r="H269" s="11">
        <f t="shared" si="14"/>
        <v>0</v>
      </c>
    </row>
    <row r="270" spans="1:8">
      <c r="A270" s="6" t="s">
        <v>18</v>
      </c>
      <c r="B270" s="5">
        <v>699587000</v>
      </c>
      <c r="C270" s="5">
        <v>1144761000</v>
      </c>
      <c r="D270" s="8" t="str">
        <f>VLOOKUP(A270,Лист2!A:E,5,0)</f>
        <v>малые</v>
      </c>
      <c r="E270" s="10">
        <f>VLOOKUP(A270,Лист2!A:E,4,0)</f>
        <v>2.5</v>
      </c>
      <c r="F270" s="11">
        <f t="shared" si="12"/>
        <v>-445174000</v>
      </c>
      <c r="G270" s="11">
        <f t="shared" si="13"/>
        <v>279834800</v>
      </c>
      <c r="H270" s="11">
        <f t="shared" si="14"/>
        <v>-178069600</v>
      </c>
    </row>
    <row r="271" spans="1:8">
      <c r="A271" s="6" t="s">
        <v>18</v>
      </c>
      <c r="B271" s="5">
        <v>304000</v>
      </c>
      <c r="C271" s="5">
        <v>680000</v>
      </c>
      <c r="D271" s="8" t="str">
        <f>VLOOKUP(A271,Лист2!A:E,5,0)</f>
        <v>малые</v>
      </c>
      <c r="E271" s="10">
        <f>VLOOKUP(A271,Лист2!A:E,4,0)</f>
        <v>2.5</v>
      </c>
      <c r="F271" s="11">
        <f t="shared" si="12"/>
        <v>-376000</v>
      </c>
      <c r="G271" s="11">
        <f t="shared" si="13"/>
        <v>121600</v>
      </c>
      <c r="H271" s="11">
        <f t="shared" si="14"/>
        <v>-150400</v>
      </c>
    </row>
    <row r="272" spans="1:8">
      <c r="A272" s="6" t="s">
        <v>18</v>
      </c>
      <c r="B272" s="5">
        <v>6107000</v>
      </c>
      <c r="C272" s="5">
        <v>1983000</v>
      </c>
      <c r="D272" s="8" t="str">
        <f>VLOOKUP(A272,Лист2!A:E,5,0)</f>
        <v>малые</v>
      </c>
      <c r="E272" s="10">
        <f>VLOOKUP(A272,Лист2!A:E,4,0)</f>
        <v>2.5</v>
      </c>
      <c r="F272" s="11">
        <f t="shared" si="12"/>
        <v>4124000</v>
      </c>
      <c r="G272" s="11">
        <f t="shared" si="13"/>
        <v>2442800</v>
      </c>
      <c r="H272" s="11">
        <f t="shared" si="14"/>
        <v>1649600</v>
      </c>
    </row>
    <row r="273" spans="1:8">
      <c r="A273" s="6" t="s">
        <v>18</v>
      </c>
      <c r="B273" s="5">
        <v>1167000</v>
      </c>
      <c r="C273" s="5">
        <v>1406000</v>
      </c>
      <c r="D273" s="8" t="str">
        <f>VLOOKUP(A273,Лист2!A:E,5,0)</f>
        <v>малые</v>
      </c>
      <c r="E273" s="10">
        <f>VLOOKUP(A273,Лист2!A:E,4,0)</f>
        <v>2.5</v>
      </c>
      <c r="F273" s="11">
        <f t="shared" si="12"/>
        <v>-239000</v>
      </c>
      <c r="G273" s="11">
        <f t="shared" si="13"/>
        <v>466800</v>
      </c>
      <c r="H273" s="11">
        <f t="shared" si="14"/>
        <v>-95600</v>
      </c>
    </row>
    <row r="274" spans="1:8">
      <c r="A274" s="6" t="s">
        <v>18</v>
      </c>
      <c r="B274" s="5">
        <v>4374000</v>
      </c>
      <c r="C274" s="5">
        <v>4392000</v>
      </c>
      <c r="D274" s="8" t="str">
        <f>VLOOKUP(A274,Лист2!A:E,5,0)</f>
        <v>малые</v>
      </c>
      <c r="E274" s="10">
        <f>VLOOKUP(A274,Лист2!A:E,4,0)</f>
        <v>2.5</v>
      </c>
      <c r="F274" s="11">
        <f t="shared" si="12"/>
        <v>-18000</v>
      </c>
      <c r="G274" s="11">
        <f t="shared" si="13"/>
        <v>1749600</v>
      </c>
      <c r="H274" s="11">
        <f t="shared" si="14"/>
        <v>-7200</v>
      </c>
    </row>
    <row r="275" spans="1:8">
      <c r="A275" s="6" t="s">
        <v>18</v>
      </c>
      <c r="B275" s="5">
        <v>173000</v>
      </c>
      <c r="C275" s="5">
        <v>717000</v>
      </c>
      <c r="D275" s="8" t="str">
        <f>VLOOKUP(A275,Лист2!A:E,5,0)</f>
        <v>малые</v>
      </c>
      <c r="E275" s="10">
        <f>VLOOKUP(A275,Лист2!A:E,4,0)</f>
        <v>2.5</v>
      </c>
      <c r="F275" s="11">
        <f t="shared" si="12"/>
        <v>-544000</v>
      </c>
      <c r="G275" s="11">
        <f t="shared" si="13"/>
        <v>69200</v>
      </c>
      <c r="H275" s="11">
        <f t="shared" si="14"/>
        <v>-217600</v>
      </c>
    </row>
    <row r="276" spans="1:8">
      <c r="A276" s="6" t="s">
        <v>18</v>
      </c>
      <c r="B276" s="5">
        <v>1163000</v>
      </c>
      <c r="C276" s="5">
        <v>1165000</v>
      </c>
      <c r="D276" s="8" t="str">
        <f>VLOOKUP(A276,Лист2!A:E,5,0)</f>
        <v>малые</v>
      </c>
      <c r="E276" s="10">
        <f>VLOOKUP(A276,Лист2!A:E,4,0)</f>
        <v>2.5</v>
      </c>
      <c r="F276" s="11">
        <f t="shared" si="12"/>
        <v>-2000</v>
      </c>
      <c r="G276" s="11">
        <f t="shared" si="13"/>
        <v>465200</v>
      </c>
      <c r="H276" s="11">
        <f t="shared" si="14"/>
        <v>-800</v>
      </c>
    </row>
    <row r="277" spans="1:8">
      <c r="A277" s="6" t="s">
        <v>22</v>
      </c>
      <c r="B277" s="5">
        <v>199364000</v>
      </c>
      <c r="C277" s="5">
        <v>204388000</v>
      </c>
      <c r="D277" s="8" t="str">
        <f>VLOOKUP(A277,Лист2!A:E,5,0)</f>
        <v>малые</v>
      </c>
      <c r="E277" s="10">
        <f>VLOOKUP(A277,Лист2!A:E,4,0)</f>
        <v>13</v>
      </c>
      <c r="F277" s="11">
        <f t="shared" si="12"/>
        <v>-5024000</v>
      </c>
      <c r="G277" s="11">
        <f t="shared" si="13"/>
        <v>15335692.307692308</v>
      </c>
      <c r="H277" s="11">
        <f t="shared" si="14"/>
        <v>-386461.53846153844</v>
      </c>
    </row>
    <row r="278" spans="1:8">
      <c r="A278" s="6" t="s">
        <v>22</v>
      </c>
      <c r="B278" s="5">
        <v>3342000</v>
      </c>
      <c r="C278" s="5">
        <v>3342000</v>
      </c>
      <c r="D278" s="8" t="str">
        <f>VLOOKUP(A278,Лист2!A:E,5,0)</f>
        <v>малые</v>
      </c>
      <c r="E278" s="10">
        <f>VLOOKUP(A278,Лист2!A:E,4,0)</f>
        <v>13</v>
      </c>
      <c r="F278" s="11">
        <f t="shared" si="12"/>
        <v>0</v>
      </c>
      <c r="G278" s="11">
        <f t="shared" si="13"/>
        <v>257076.92307692306</v>
      </c>
      <c r="H278" s="11">
        <f t="shared" si="14"/>
        <v>0</v>
      </c>
    </row>
    <row r="279" spans="1:8">
      <c r="A279" s="6" t="s">
        <v>18</v>
      </c>
      <c r="B279" s="5">
        <v>18201000</v>
      </c>
      <c r="C279" s="5">
        <v>18423000</v>
      </c>
      <c r="D279" s="8" t="str">
        <f>VLOOKUP(A279,Лист2!A:E,5,0)</f>
        <v>малые</v>
      </c>
      <c r="E279" s="10">
        <f>VLOOKUP(A279,Лист2!A:E,4,0)</f>
        <v>2.5</v>
      </c>
      <c r="F279" s="11">
        <f t="shared" si="12"/>
        <v>-222000</v>
      </c>
      <c r="G279" s="11">
        <f t="shared" si="13"/>
        <v>7280400</v>
      </c>
      <c r="H279" s="11">
        <f t="shared" si="14"/>
        <v>-88800</v>
      </c>
    </row>
    <row r="280" spans="1:8">
      <c r="A280" s="6" t="s">
        <v>18</v>
      </c>
      <c r="B280" s="5">
        <v>1732000</v>
      </c>
      <c r="C280" s="5">
        <v>1732000</v>
      </c>
      <c r="D280" s="8" t="str">
        <f>VLOOKUP(A280,Лист2!A:E,5,0)</f>
        <v>малые</v>
      </c>
      <c r="E280" s="10">
        <f>VLOOKUP(A280,Лист2!A:E,4,0)</f>
        <v>2.5</v>
      </c>
      <c r="F280" s="11">
        <f t="shared" si="12"/>
        <v>0</v>
      </c>
      <c r="G280" s="11">
        <f t="shared" si="13"/>
        <v>692800</v>
      </c>
      <c r="H280" s="11">
        <f t="shared" si="14"/>
        <v>0</v>
      </c>
    </row>
    <row r="281" spans="1:8">
      <c r="A281" s="6" t="s">
        <v>18</v>
      </c>
      <c r="B281" s="5">
        <v>8761000</v>
      </c>
      <c r="C281" s="5">
        <v>2652000</v>
      </c>
      <c r="D281" s="8" t="str">
        <f>VLOOKUP(A281,Лист2!A:E,5,0)</f>
        <v>малые</v>
      </c>
      <c r="E281" s="10">
        <f>VLOOKUP(A281,Лист2!A:E,4,0)</f>
        <v>2.5</v>
      </c>
      <c r="F281" s="11">
        <f t="shared" si="12"/>
        <v>6109000</v>
      </c>
      <c r="G281" s="11">
        <f t="shared" si="13"/>
        <v>3504400</v>
      </c>
      <c r="H281" s="11">
        <f t="shared" si="14"/>
        <v>2443600</v>
      </c>
    </row>
    <row r="282" spans="1:8">
      <c r="A282" s="6" t="s">
        <v>77</v>
      </c>
      <c r="B282" s="5">
        <v>1270000</v>
      </c>
      <c r="C282" s="5">
        <v>1270000</v>
      </c>
      <c r="D282" s="8" t="str">
        <f>VLOOKUP(A282,Лист2!A:E,5,0)</f>
        <v>малые</v>
      </c>
      <c r="E282" s="10">
        <f>VLOOKUP(A282,Лист2!A:E,4,0)</f>
        <v>8</v>
      </c>
      <c r="F282" s="11">
        <f t="shared" si="12"/>
        <v>0</v>
      </c>
      <c r="G282" s="11">
        <f t="shared" si="13"/>
        <v>158750</v>
      </c>
      <c r="H282" s="11">
        <f t="shared" si="14"/>
        <v>0</v>
      </c>
    </row>
    <row r="283" spans="1:8">
      <c r="A283" s="6" t="s">
        <v>18</v>
      </c>
      <c r="B283" s="5">
        <v>19700000</v>
      </c>
      <c r="C283" s="5">
        <v>94331000</v>
      </c>
      <c r="D283" s="8" t="str">
        <f>VLOOKUP(A283,Лист2!A:E,5,0)</f>
        <v>малые</v>
      </c>
      <c r="E283" s="10">
        <f>VLOOKUP(A283,Лист2!A:E,4,0)</f>
        <v>2.5</v>
      </c>
      <c r="F283" s="11">
        <f t="shared" si="12"/>
        <v>-74631000</v>
      </c>
      <c r="G283" s="11">
        <f t="shared" si="13"/>
        <v>7880000</v>
      </c>
      <c r="H283" s="11">
        <f t="shared" si="14"/>
        <v>-29852400</v>
      </c>
    </row>
    <row r="284" spans="1:8">
      <c r="A284" s="6" t="s">
        <v>1135</v>
      </c>
      <c r="B284" s="5">
        <v>250407000</v>
      </c>
      <c r="C284" s="5">
        <v>247062000</v>
      </c>
      <c r="D284" s="8" t="str">
        <f>VLOOKUP(A284,Лист2!A:E,5,0)</f>
        <v>крупные</v>
      </c>
      <c r="E284" s="10">
        <f>VLOOKUP(A284,Лист2!A:E,4,0)</f>
        <v>375.5</v>
      </c>
      <c r="F284" s="11">
        <f t="shared" si="12"/>
        <v>3345000</v>
      </c>
      <c r="G284" s="11">
        <f t="shared" si="13"/>
        <v>666862.84953395475</v>
      </c>
      <c r="H284" s="11">
        <f t="shared" si="14"/>
        <v>8908.1225033288956</v>
      </c>
    </row>
    <row r="285" spans="1:8">
      <c r="A285" s="6" t="s">
        <v>22</v>
      </c>
      <c r="B285" s="5">
        <v>15162000</v>
      </c>
      <c r="C285" s="5">
        <v>13671000</v>
      </c>
      <c r="D285" s="8" t="str">
        <f>VLOOKUP(A285,Лист2!A:E,5,0)</f>
        <v>малые</v>
      </c>
      <c r="E285" s="10">
        <f>VLOOKUP(A285,Лист2!A:E,4,0)</f>
        <v>13</v>
      </c>
      <c r="F285" s="11">
        <f t="shared" si="12"/>
        <v>1491000</v>
      </c>
      <c r="G285" s="11">
        <f t="shared" si="13"/>
        <v>1166307.6923076923</v>
      </c>
      <c r="H285" s="11">
        <f t="shared" si="14"/>
        <v>114692.30769230769</v>
      </c>
    </row>
    <row r="286" spans="1:8">
      <c r="A286" s="6" t="s">
        <v>18</v>
      </c>
      <c r="B286" s="5">
        <v>13209000</v>
      </c>
      <c r="C286" s="5">
        <v>174000</v>
      </c>
      <c r="D286" s="8" t="str">
        <f>VLOOKUP(A286,Лист2!A:E,5,0)</f>
        <v>малые</v>
      </c>
      <c r="E286" s="10">
        <f>VLOOKUP(A286,Лист2!A:E,4,0)</f>
        <v>2.5</v>
      </c>
      <c r="F286" s="11">
        <f t="shared" si="12"/>
        <v>13035000</v>
      </c>
      <c r="G286" s="11">
        <f t="shared" si="13"/>
        <v>5283600</v>
      </c>
      <c r="H286" s="11">
        <f t="shared" si="14"/>
        <v>5214000</v>
      </c>
    </row>
    <row r="287" spans="1:8">
      <c r="A287" s="6" t="s">
        <v>18</v>
      </c>
      <c r="B287" s="5">
        <v>64000</v>
      </c>
      <c r="C287" s="5">
        <v>35000</v>
      </c>
      <c r="D287" s="8" t="str">
        <f>VLOOKUP(A287,Лист2!A:E,5,0)</f>
        <v>малые</v>
      </c>
      <c r="E287" s="10">
        <f>VLOOKUP(A287,Лист2!A:E,4,0)</f>
        <v>2.5</v>
      </c>
      <c r="F287" s="11">
        <f t="shared" si="12"/>
        <v>29000</v>
      </c>
      <c r="G287" s="11">
        <f t="shared" si="13"/>
        <v>25600</v>
      </c>
      <c r="H287" s="11">
        <f t="shared" si="14"/>
        <v>11600</v>
      </c>
    </row>
    <row r="288" spans="1:8">
      <c r="A288" s="6" t="s">
        <v>18</v>
      </c>
      <c r="B288" s="5">
        <v>1675000</v>
      </c>
      <c r="C288" s="5">
        <v>1689000</v>
      </c>
      <c r="D288" s="8" t="str">
        <f>VLOOKUP(A288,Лист2!A:E,5,0)</f>
        <v>малые</v>
      </c>
      <c r="E288" s="10">
        <f>VLOOKUP(A288,Лист2!A:E,4,0)</f>
        <v>2.5</v>
      </c>
      <c r="F288" s="11">
        <f t="shared" si="12"/>
        <v>-14000</v>
      </c>
      <c r="G288" s="11">
        <f t="shared" si="13"/>
        <v>670000</v>
      </c>
      <c r="H288" s="11">
        <f t="shared" si="14"/>
        <v>-5600</v>
      </c>
    </row>
    <row r="289" spans="1:8">
      <c r="A289" s="6" t="s">
        <v>302</v>
      </c>
      <c r="B289" s="5">
        <v>1585261000</v>
      </c>
      <c r="C289" s="5">
        <v>1561316000</v>
      </c>
      <c r="D289" s="8" t="str">
        <f>VLOOKUP(A289,Лист2!A:E,5,0)</f>
        <v>средние</v>
      </c>
      <c r="E289" s="10">
        <f>VLOOKUP(A289,Лист2!A:E,4,0)</f>
        <v>125.5</v>
      </c>
      <c r="F289" s="11">
        <f t="shared" si="12"/>
        <v>23945000</v>
      </c>
      <c r="G289" s="11">
        <f t="shared" si="13"/>
        <v>12631561.752988048</v>
      </c>
      <c r="H289" s="11">
        <f t="shared" si="14"/>
        <v>190796.81274900399</v>
      </c>
    </row>
    <row r="290" spans="1:8">
      <c r="A290" s="6" t="s">
        <v>18</v>
      </c>
      <c r="B290" s="5">
        <v>6945000</v>
      </c>
      <c r="C290" s="5">
        <v>7091000</v>
      </c>
      <c r="D290" s="8" t="str">
        <f>VLOOKUP(A290,Лист2!A:E,5,0)</f>
        <v>малые</v>
      </c>
      <c r="E290" s="10">
        <f>VLOOKUP(A290,Лист2!A:E,4,0)</f>
        <v>2.5</v>
      </c>
      <c r="F290" s="11">
        <f t="shared" si="12"/>
        <v>-146000</v>
      </c>
      <c r="G290" s="11">
        <f t="shared" si="13"/>
        <v>2778000</v>
      </c>
      <c r="H290" s="11">
        <f t="shared" si="14"/>
        <v>-58400</v>
      </c>
    </row>
    <row r="291" spans="1:8">
      <c r="A291" s="6" t="s">
        <v>18</v>
      </c>
      <c r="B291" s="5">
        <v>11399000</v>
      </c>
      <c r="C291" s="5">
        <v>10199000</v>
      </c>
      <c r="D291" s="8" t="str">
        <f>VLOOKUP(A291,Лист2!A:E,5,0)</f>
        <v>малые</v>
      </c>
      <c r="E291" s="10">
        <f>VLOOKUP(A291,Лист2!A:E,4,0)</f>
        <v>2.5</v>
      </c>
      <c r="F291" s="11">
        <f t="shared" si="12"/>
        <v>1200000</v>
      </c>
      <c r="G291" s="11">
        <f t="shared" si="13"/>
        <v>4559600</v>
      </c>
      <c r="H291" s="11">
        <f t="shared" si="14"/>
        <v>480000</v>
      </c>
    </row>
    <row r="292" spans="1:8">
      <c r="A292" s="6" t="s">
        <v>22</v>
      </c>
      <c r="B292" s="5">
        <v>360000</v>
      </c>
      <c r="C292" s="5">
        <v>360000</v>
      </c>
      <c r="D292" s="8" t="str">
        <f>VLOOKUP(A292,Лист2!A:E,5,0)</f>
        <v>малые</v>
      </c>
      <c r="E292" s="10">
        <f>VLOOKUP(A292,Лист2!A:E,4,0)</f>
        <v>13</v>
      </c>
      <c r="F292" s="11">
        <f t="shared" si="12"/>
        <v>0</v>
      </c>
      <c r="G292" s="11">
        <f t="shared" si="13"/>
        <v>27692.307692307691</v>
      </c>
      <c r="H292" s="11">
        <f t="shared" si="14"/>
        <v>0</v>
      </c>
    </row>
    <row r="293" spans="1:8">
      <c r="A293" s="6" t="s">
        <v>18</v>
      </c>
      <c r="B293" s="5">
        <v>1923231000</v>
      </c>
      <c r="C293" s="5">
        <v>1926765000</v>
      </c>
      <c r="D293" s="8" t="str">
        <f>VLOOKUP(A293,Лист2!A:E,5,0)</f>
        <v>малые</v>
      </c>
      <c r="E293" s="10">
        <f>VLOOKUP(A293,Лист2!A:E,4,0)</f>
        <v>2.5</v>
      </c>
      <c r="F293" s="11">
        <f t="shared" si="12"/>
        <v>-3534000</v>
      </c>
      <c r="G293" s="11">
        <f t="shared" si="13"/>
        <v>769292400</v>
      </c>
      <c r="H293" s="11">
        <f t="shared" si="14"/>
        <v>-1413600</v>
      </c>
    </row>
    <row r="294" spans="1:8">
      <c r="A294" s="6" t="s">
        <v>77</v>
      </c>
      <c r="B294" s="5">
        <v>14193000</v>
      </c>
      <c r="C294" s="5">
        <v>15366000</v>
      </c>
      <c r="D294" s="8" t="str">
        <f>VLOOKUP(A294,Лист2!A:E,5,0)</f>
        <v>малые</v>
      </c>
      <c r="E294" s="10">
        <f>VLOOKUP(A294,Лист2!A:E,4,0)</f>
        <v>8</v>
      </c>
      <c r="F294" s="11">
        <f t="shared" si="12"/>
        <v>-1173000</v>
      </c>
      <c r="G294" s="11">
        <f t="shared" si="13"/>
        <v>1774125</v>
      </c>
      <c r="H294" s="11">
        <f t="shared" si="14"/>
        <v>-146625</v>
      </c>
    </row>
    <row r="295" spans="1:8">
      <c r="A295" s="6" t="s">
        <v>18</v>
      </c>
      <c r="B295" s="5">
        <v>793000</v>
      </c>
      <c r="C295" s="5">
        <v>1348000</v>
      </c>
      <c r="D295" s="8" t="str">
        <f>VLOOKUP(A295,Лист2!A:E,5,0)</f>
        <v>малые</v>
      </c>
      <c r="E295" s="10">
        <f>VLOOKUP(A295,Лист2!A:E,4,0)</f>
        <v>2.5</v>
      </c>
      <c r="F295" s="11">
        <f t="shared" si="12"/>
        <v>-555000</v>
      </c>
      <c r="G295" s="11">
        <f t="shared" si="13"/>
        <v>317200</v>
      </c>
      <c r="H295" s="11">
        <f t="shared" si="14"/>
        <v>-222000</v>
      </c>
    </row>
    <row r="296" spans="1:8">
      <c r="A296" s="6" t="s">
        <v>18</v>
      </c>
      <c r="B296" s="5">
        <v>45000</v>
      </c>
      <c r="C296" s="5">
        <v>55000</v>
      </c>
      <c r="D296" s="8" t="str">
        <f>VLOOKUP(A296,Лист2!A:E,5,0)</f>
        <v>малые</v>
      </c>
      <c r="E296" s="10">
        <f>VLOOKUP(A296,Лист2!A:E,4,0)</f>
        <v>2.5</v>
      </c>
      <c r="F296" s="11">
        <f t="shared" si="12"/>
        <v>-10000</v>
      </c>
      <c r="G296" s="11">
        <f t="shared" si="13"/>
        <v>18000</v>
      </c>
      <c r="H296" s="11">
        <f t="shared" si="14"/>
        <v>-4000</v>
      </c>
    </row>
    <row r="297" spans="1:8">
      <c r="A297" s="6" t="s">
        <v>18</v>
      </c>
      <c r="B297" s="5">
        <v>9144000</v>
      </c>
      <c r="C297" s="5">
        <v>38536000</v>
      </c>
      <c r="D297" s="8" t="str">
        <f>VLOOKUP(A297,Лист2!A:E,5,0)</f>
        <v>малые</v>
      </c>
      <c r="E297" s="10">
        <f>VLOOKUP(A297,Лист2!A:E,4,0)</f>
        <v>2.5</v>
      </c>
      <c r="F297" s="11">
        <f t="shared" si="12"/>
        <v>-29392000</v>
      </c>
      <c r="G297" s="11">
        <f t="shared" si="13"/>
        <v>3657600</v>
      </c>
      <c r="H297" s="11">
        <f t="shared" si="14"/>
        <v>-11756800</v>
      </c>
    </row>
    <row r="298" spans="1:8">
      <c r="A298" s="6" t="s">
        <v>18</v>
      </c>
      <c r="B298" s="5">
        <v>5509000</v>
      </c>
      <c r="C298" s="5">
        <v>5525000</v>
      </c>
      <c r="D298" s="8" t="str">
        <f>VLOOKUP(A298,Лист2!A:E,5,0)</f>
        <v>малые</v>
      </c>
      <c r="E298" s="10">
        <f>VLOOKUP(A298,Лист2!A:E,4,0)</f>
        <v>2.5</v>
      </c>
      <c r="F298" s="11">
        <f t="shared" si="12"/>
        <v>-16000</v>
      </c>
      <c r="G298" s="11">
        <f t="shared" si="13"/>
        <v>2203600</v>
      </c>
      <c r="H298" s="11">
        <f t="shared" si="14"/>
        <v>-6400</v>
      </c>
    </row>
    <row r="299" spans="1:8">
      <c r="A299" s="6" t="s">
        <v>18</v>
      </c>
      <c r="B299" s="5">
        <v>130000</v>
      </c>
      <c r="C299" s="5">
        <v>739000</v>
      </c>
      <c r="D299" s="8" t="str">
        <f>VLOOKUP(A299,Лист2!A:E,5,0)</f>
        <v>малые</v>
      </c>
      <c r="E299" s="10">
        <f>VLOOKUP(A299,Лист2!A:E,4,0)</f>
        <v>2.5</v>
      </c>
      <c r="F299" s="11">
        <f t="shared" si="12"/>
        <v>-609000</v>
      </c>
      <c r="G299" s="11">
        <f t="shared" si="13"/>
        <v>52000</v>
      </c>
      <c r="H299" s="11">
        <f t="shared" si="14"/>
        <v>-243600</v>
      </c>
    </row>
    <row r="300" spans="1:8">
      <c r="A300" s="6" t="s">
        <v>18</v>
      </c>
      <c r="B300" s="5">
        <v>74438000</v>
      </c>
      <c r="C300" s="5">
        <v>44744000</v>
      </c>
      <c r="D300" s="8" t="str">
        <f>VLOOKUP(A300,Лист2!A:E,5,0)</f>
        <v>малые</v>
      </c>
      <c r="E300" s="10">
        <f>VLOOKUP(A300,Лист2!A:E,4,0)</f>
        <v>2.5</v>
      </c>
      <c r="F300" s="11">
        <f t="shared" si="12"/>
        <v>29694000</v>
      </c>
      <c r="G300" s="11">
        <f t="shared" si="13"/>
        <v>29775200</v>
      </c>
      <c r="H300" s="11">
        <f t="shared" si="14"/>
        <v>11877600</v>
      </c>
    </row>
    <row r="301" spans="1:8">
      <c r="A301" s="6" t="s">
        <v>18</v>
      </c>
      <c r="B301" s="5">
        <v>710000</v>
      </c>
      <c r="C301" s="5">
        <v>1792000</v>
      </c>
      <c r="D301" s="8" t="str">
        <f>VLOOKUP(A301,Лист2!A:E,5,0)</f>
        <v>малые</v>
      </c>
      <c r="E301" s="10">
        <f>VLOOKUP(A301,Лист2!A:E,4,0)</f>
        <v>2.5</v>
      </c>
      <c r="F301" s="11">
        <f t="shared" si="12"/>
        <v>-1082000</v>
      </c>
      <c r="G301" s="11">
        <f t="shared" si="13"/>
        <v>284000</v>
      </c>
      <c r="H301" s="11">
        <f t="shared" si="14"/>
        <v>-432800</v>
      </c>
    </row>
    <row r="302" spans="1:8">
      <c r="A302" s="6" t="s">
        <v>18</v>
      </c>
      <c r="B302" s="5">
        <v>13416000</v>
      </c>
      <c r="C302" s="5">
        <v>11852000</v>
      </c>
      <c r="D302" s="8" t="str">
        <f>VLOOKUP(A302,Лист2!A:E,5,0)</f>
        <v>малые</v>
      </c>
      <c r="E302" s="10">
        <f>VLOOKUP(A302,Лист2!A:E,4,0)</f>
        <v>2.5</v>
      </c>
      <c r="F302" s="11">
        <f t="shared" si="12"/>
        <v>1564000</v>
      </c>
      <c r="G302" s="11">
        <f t="shared" si="13"/>
        <v>5366400</v>
      </c>
      <c r="H302" s="11">
        <f t="shared" si="14"/>
        <v>625600</v>
      </c>
    </row>
    <row r="303" spans="1:8">
      <c r="A303" s="6" t="s">
        <v>18</v>
      </c>
      <c r="B303" s="5">
        <v>2849000</v>
      </c>
      <c r="C303" s="5">
        <v>2903000</v>
      </c>
      <c r="D303" s="8" t="str">
        <f>VLOOKUP(A303,Лист2!A:E,5,0)</f>
        <v>малые</v>
      </c>
      <c r="E303" s="10">
        <f>VLOOKUP(A303,Лист2!A:E,4,0)</f>
        <v>2.5</v>
      </c>
      <c r="F303" s="11">
        <f t="shared" si="12"/>
        <v>-54000</v>
      </c>
      <c r="G303" s="11">
        <f t="shared" si="13"/>
        <v>1139600</v>
      </c>
      <c r="H303" s="11">
        <f t="shared" si="14"/>
        <v>-21600</v>
      </c>
    </row>
    <row r="304" spans="1:8">
      <c r="A304" s="6" t="s">
        <v>18</v>
      </c>
      <c r="B304" s="5">
        <v>35401000</v>
      </c>
      <c r="C304" s="5">
        <v>17519000</v>
      </c>
      <c r="D304" s="8" t="str">
        <f>VLOOKUP(A304,Лист2!A:E,5,0)</f>
        <v>малые</v>
      </c>
      <c r="E304" s="10">
        <f>VLOOKUP(A304,Лист2!A:E,4,0)</f>
        <v>2.5</v>
      </c>
      <c r="F304" s="11">
        <f t="shared" si="12"/>
        <v>17882000</v>
      </c>
      <c r="G304" s="11">
        <f t="shared" si="13"/>
        <v>14160400</v>
      </c>
      <c r="H304" s="11">
        <f t="shared" si="14"/>
        <v>7152800</v>
      </c>
    </row>
    <row r="305" spans="1:8">
      <c r="A305" s="6" t="s">
        <v>77</v>
      </c>
      <c r="B305" s="5">
        <v>281912000</v>
      </c>
      <c r="C305" s="5">
        <v>415979000</v>
      </c>
      <c r="D305" s="8" t="str">
        <f>VLOOKUP(A305,Лист2!A:E,5,0)</f>
        <v>малые</v>
      </c>
      <c r="E305" s="10">
        <f>VLOOKUP(A305,Лист2!A:E,4,0)</f>
        <v>8</v>
      </c>
      <c r="F305" s="11">
        <f t="shared" si="12"/>
        <v>-134067000</v>
      </c>
      <c r="G305" s="11">
        <f t="shared" si="13"/>
        <v>35239000</v>
      </c>
      <c r="H305" s="11">
        <f t="shared" si="14"/>
        <v>-16758375</v>
      </c>
    </row>
    <row r="306" spans="1:8">
      <c r="A306" s="6" t="s">
        <v>18</v>
      </c>
      <c r="B306" s="5">
        <v>20000</v>
      </c>
      <c r="C306" s="5">
        <v>33000</v>
      </c>
      <c r="D306" s="8" t="str">
        <f>VLOOKUP(A306,Лист2!A:E,5,0)</f>
        <v>малые</v>
      </c>
      <c r="E306" s="10">
        <f>VLOOKUP(A306,Лист2!A:E,4,0)</f>
        <v>2.5</v>
      </c>
      <c r="F306" s="11">
        <f t="shared" si="12"/>
        <v>-13000</v>
      </c>
      <c r="G306" s="11">
        <f t="shared" si="13"/>
        <v>8000</v>
      </c>
      <c r="H306" s="11">
        <f t="shared" si="14"/>
        <v>-5200</v>
      </c>
    </row>
    <row r="307" spans="1:8">
      <c r="A307" s="6" t="s">
        <v>18</v>
      </c>
      <c r="B307" s="5">
        <v>750000</v>
      </c>
      <c r="C307" s="5">
        <v>724000</v>
      </c>
      <c r="D307" s="8" t="str">
        <f>VLOOKUP(A307,Лист2!A:E,5,0)</f>
        <v>малые</v>
      </c>
      <c r="E307" s="10">
        <f>VLOOKUP(A307,Лист2!A:E,4,0)</f>
        <v>2.5</v>
      </c>
      <c r="F307" s="11">
        <f t="shared" si="12"/>
        <v>26000</v>
      </c>
      <c r="G307" s="11">
        <f t="shared" si="13"/>
        <v>300000</v>
      </c>
      <c r="H307" s="11">
        <f t="shared" si="14"/>
        <v>10400</v>
      </c>
    </row>
    <row r="308" spans="1:8">
      <c r="A308" s="6" t="s">
        <v>18</v>
      </c>
      <c r="B308" s="5">
        <v>21000000</v>
      </c>
      <c r="C308" s="5">
        <v>16452000</v>
      </c>
      <c r="D308" s="8" t="str">
        <f>VLOOKUP(A308,Лист2!A:E,5,0)</f>
        <v>малые</v>
      </c>
      <c r="E308" s="10">
        <f>VLOOKUP(A308,Лист2!A:E,4,0)</f>
        <v>2.5</v>
      </c>
      <c r="F308" s="11">
        <f t="shared" si="12"/>
        <v>4548000</v>
      </c>
      <c r="G308" s="11">
        <f t="shared" si="13"/>
        <v>8400000</v>
      </c>
      <c r="H308" s="11">
        <f t="shared" si="14"/>
        <v>1819200</v>
      </c>
    </row>
    <row r="309" spans="1:8">
      <c r="A309" s="6" t="s">
        <v>18</v>
      </c>
      <c r="B309" s="5">
        <v>14116000</v>
      </c>
      <c r="C309" s="5">
        <v>20822000</v>
      </c>
      <c r="D309" s="8" t="str">
        <f>VLOOKUP(A309,Лист2!A:E,5,0)</f>
        <v>малые</v>
      </c>
      <c r="E309" s="10">
        <f>VLOOKUP(A309,Лист2!A:E,4,0)</f>
        <v>2.5</v>
      </c>
      <c r="F309" s="11">
        <f t="shared" si="12"/>
        <v>-6706000</v>
      </c>
      <c r="G309" s="11">
        <f t="shared" si="13"/>
        <v>5646400</v>
      </c>
      <c r="H309" s="11">
        <f t="shared" si="14"/>
        <v>-2682400</v>
      </c>
    </row>
    <row r="310" spans="1:8">
      <c r="A310" s="6" t="s">
        <v>18</v>
      </c>
      <c r="B310" s="5">
        <v>86000</v>
      </c>
      <c r="C310" s="5">
        <v>86000</v>
      </c>
      <c r="D310" s="8" t="str">
        <f>VLOOKUP(A310,Лист2!A:E,5,0)</f>
        <v>малые</v>
      </c>
      <c r="E310" s="10">
        <f>VLOOKUP(A310,Лист2!A:E,4,0)</f>
        <v>2.5</v>
      </c>
      <c r="F310" s="11">
        <f t="shared" si="12"/>
        <v>0</v>
      </c>
      <c r="G310" s="11">
        <f t="shared" si="13"/>
        <v>34400</v>
      </c>
      <c r="H310" s="11">
        <f t="shared" si="14"/>
        <v>0</v>
      </c>
    </row>
    <row r="311" spans="1:8">
      <c r="A311" s="6" t="s">
        <v>18</v>
      </c>
      <c r="B311" s="5">
        <v>113853000</v>
      </c>
      <c r="C311" s="5">
        <v>114136000</v>
      </c>
      <c r="D311" s="8" t="str">
        <f>VLOOKUP(A311,Лист2!A:E,5,0)</f>
        <v>малые</v>
      </c>
      <c r="E311" s="10">
        <f>VLOOKUP(A311,Лист2!A:E,4,0)</f>
        <v>2.5</v>
      </c>
      <c r="F311" s="11">
        <f t="shared" si="12"/>
        <v>-283000</v>
      </c>
      <c r="G311" s="11">
        <f t="shared" si="13"/>
        <v>45541200</v>
      </c>
      <c r="H311" s="11">
        <f t="shared" si="14"/>
        <v>-113200</v>
      </c>
    </row>
    <row r="312" spans="1:8">
      <c r="A312" s="6" t="s">
        <v>18</v>
      </c>
      <c r="B312" s="5">
        <v>15469000</v>
      </c>
      <c r="C312" s="5">
        <v>26648000</v>
      </c>
      <c r="D312" s="8" t="str">
        <f>VLOOKUP(A312,Лист2!A:E,5,0)</f>
        <v>малые</v>
      </c>
      <c r="E312" s="10">
        <f>VLOOKUP(A312,Лист2!A:E,4,0)</f>
        <v>2.5</v>
      </c>
      <c r="F312" s="11">
        <f t="shared" si="12"/>
        <v>-11179000</v>
      </c>
      <c r="G312" s="11">
        <f t="shared" si="13"/>
        <v>6187600</v>
      </c>
      <c r="H312" s="11">
        <f t="shared" si="14"/>
        <v>-4471600</v>
      </c>
    </row>
    <row r="313" spans="1:8">
      <c r="A313" s="6" t="s">
        <v>18</v>
      </c>
      <c r="B313" s="5">
        <v>79715000</v>
      </c>
      <c r="C313" s="5">
        <v>79806000</v>
      </c>
      <c r="D313" s="8" t="str">
        <f>VLOOKUP(A313,Лист2!A:E,5,0)</f>
        <v>малые</v>
      </c>
      <c r="E313" s="10">
        <f>VLOOKUP(A313,Лист2!A:E,4,0)</f>
        <v>2.5</v>
      </c>
      <c r="F313" s="11">
        <f t="shared" si="12"/>
        <v>-91000</v>
      </c>
      <c r="G313" s="11">
        <f t="shared" si="13"/>
        <v>31886000</v>
      </c>
      <c r="H313" s="11">
        <f t="shared" si="14"/>
        <v>-36400</v>
      </c>
    </row>
    <row r="314" spans="1:8">
      <c r="A314" s="6" t="s">
        <v>18</v>
      </c>
      <c r="B314" s="5">
        <v>35483000</v>
      </c>
      <c r="C314" s="5">
        <v>37450000</v>
      </c>
      <c r="D314" s="8" t="str">
        <f>VLOOKUP(A314,Лист2!A:E,5,0)</f>
        <v>малые</v>
      </c>
      <c r="E314" s="10">
        <f>VLOOKUP(A314,Лист2!A:E,4,0)</f>
        <v>2.5</v>
      </c>
      <c r="F314" s="11">
        <f t="shared" si="12"/>
        <v>-1967000</v>
      </c>
      <c r="G314" s="11">
        <f t="shared" si="13"/>
        <v>14193200</v>
      </c>
      <c r="H314" s="11">
        <f t="shared" si="14"/>
        <v>-786800</v>
      </c>
    </row>
    <row r="315" spans="1:8">
      <c r="A315" s="6" t="s">
        <v>18</v>
      </c>
      <c r="B315" s="5">
        <v>2735000</v>
      </c>
      <c r="C315" s="5">
        <v>2714000</v>
      </c>
      <c r="D315" s="8" t="str">
        <f>VLOOKUP(A315,Лист2!A:E,5,0)</f>
        <v>малые</v>
      </c>
      <c r="E315" s="10">
        <f>VLOOKUP(A315,Лист2!A:E,4,0)</f>
        <v>2.5</v>
      </c>
      <c r="F315" s="11">
        <f t="shared" si="12"/>
        <v>21000</v>
      </c>
      <c r="G315" s="11">
        <f t="shared" si="13"/>
        <v>1094000</v>
      </c>
      <c r="H315" s="11">
        <f t="shared" si="14"/>
        <v>8400</v>
      </c>
    </row>
    <row r="316" spans="1:8">
      <c r="A316" s="6" t="s">
        <v>18</v>
      </c>
      <c r="B316" s="5">
        <v>106050000</v>
      </c>
      <c r="C316" s="5">
        <v>105576000</v>
      </c>
      <c r="D316" s="8" t="str">
        <f>VLOOKUP(A316,Лист2!A:E,5,0)</f>
        <v>малые</v>
      </c>
      <c r="E316" s="10">
        <f>VLOOKUP(A316,Лист2!A:E,4,0)</f>
        <v>2.5</v>
      </c>
      <c r="F316" s="11">
        <f t="shared" ref="F316:F376" si="15">B316-C316</f>
        <v>474000</v>
      </c>
      <c r="G316" s="11">
        <f t="shared" ref="G316:G376" si="16">B316/E316</f>
        <v>42420000</v>
      </c>
      <c r="H316" s="11">
        <f t="shared" ref="H316:H376" si="17">F316/E316</f>
        <v>189600</v>
      </c>
    </row>
    <row r="317" spans="1:8">
      <c r="A317" s="6" t="s">
        <v>18</v>
      </c>
      <c r="B317" s="5">
        <v>381796000</v>
      </c>
      <c r="C317" s="5">
        <v>459402000</v>
      </c>
      <c r="D317" s="8" t="str">
        <f>VLOOKUP(A317,Лист2!A:E,5,0)</f>
        <v>малые</v>
      </c>
      <c r="E317" s="10">
        <f>VLOOKUP(A317,Лист2!A:E,4,0)</f>
        <v>2.5</v>
      </c>
      <c r="F317" s="11">
        <f t="shared" si="15"/>
        <v>-77606000</v>
      </c>
      <c r="G317" s="11">
        <f t="shared" si="16"/>
        <v>152718400</v>
      </c>
      <c r="H317" s="11">
        <f t="shared" si="17"/>
        <v>-31042400</v>
      </c>
    </row>
    <row r="318" spans="1:8">
      <c r="A318" s="6" t="s">
        <v>77</v>
      </c>
      <c r="B318" s="5">
        <v>636111000</v>
      </c>
      <c r="C318" s="5">
        <v>818631000</v>
      </c>
      <c r="D318" s="8" t="str">
        <f>VLOOKUP(A318,Лист2!A:E,5,0)</f>
        <v>малые</v>
      </c>
      <c r="E318" s="10">
        <f>VLOOKUP(A318,Лист2!A:E,4,0)</f>
        <v>8</v>
      </c>
      <c r="F318" s="11">
        <f t="shared" si="15"/>
        <v>-182520000</v>
      </c>
      <c r="G318" s="11">
        <f t="shared" si="16"/>
        <v>79513875</v>
      </c>
      <c r="H318" s="11">
        <f t="shared" si="17"/>
        <v>-22815000</v>
      </c>
    </row>
    <row r="319" spans="1:8">
      <c r="A319" s="6" t="s">
        <v>18</v>
      </c>
      <c r="B319" s="5">
        <v>7061000</v>
      </c>
      <c r="C319" s="5">
        <v>7085000</v>
      </c>
      <c r="D319" s="8" t="str">
        <f>VLOOKUP(A319,Лист2!A:E,5,0)</f>
        <v>малые</v>
      </c>
      <c r="E319" s="10">
        <f>VLOOKUP(A319,Лист2!A:E,4,0)</f>
        <v>2.5</v>
      </c>
      <c r="F319" s="11">
        <f t="shared" si="15"/>
        <v>-24000</v>
      </c>
      <c r="G319" s="11">
        <f t="shared" si="16"/>
        <v>2824400</v>
      </c>
      <c r="H319" s="11">
        <f t="shared" si="17"/>
        <v>-9600</v>
      </c>
    </row>
    <row r="320" spans="1:8">
      <c r="A320" s="6" t="s">
        <v>22</v>
      </c>
      <c r="B320" s="5">
        <v>210000</v>
      </c>
      <c r="C320" s="5">
        <v>35000000</v>
      </c>
      <c r="D320" s="8" t="str">
        <f>VLOOKUP(A320,Лист2!A:E,5,0)</f>
        <v>малые</v>
      </c>
      <c r="E320" s="10">
        <f>VLOOKUP(A320,Лист2!A:E,4,0)</f>
        <v>13</v>
      </c>
      <c r="F320" s="11">
        <f t="shared" si="15"/>
        <v>-34790000</v>
      </c>
      <c r="G320" s="11">
        <f t="shared" si="16"/>
        <v>16153.846153846154</v>
      </c>
      <c r="H320" s="11">
        <f t="shared" si="17"/>
        <v>-2676153.846153846</v>
      </c>
    </row>
    <row r="321" spans="1:8">
      <c r="A321" s="6" t="s">
        <v>77</v>
      </c>
      <c r="B321" s="5">
        <v>22148000</v>
      </c>
      <c r="C321" s="5">
        <v>11297000</v>
      </c>
      <c r="D321" s="8" t="str">
        <f>VLOOKUP(A321,Лист2!A:E,5,0)</f>
        <v>малые</v>
      </c>
      <c r="E321" s="10">
        <f>VLOOKUP(A321,Лист2!A:E,4,0)</f>
        <v>8</v>
      </c>
      <c r="F321" s="11">
        <f t="shared" si="15"/>
        <v>10851000</v>
      </c>
      <c r="G321" s="11">
        <f t="shared" si="16"/>
        <v>2768500</v>
      </c>
      <c r="H321" s="11">
        <f t="shared" si="17"/>
        <v>1356375</v>
      </c>
    </row>
    <row r="322" spans="1:8">
      <c r="A322" s="6" t="s">
        <v>18</v>
      </c>
      <c r="B322" s="5">
        <v>2257000</v>
      </c>
      <c r="C322" s="5">
        <v>2348000</v>
      </c>
      <c r="D322" s="8" t="str">
        <f>VLOOKUP(A322,Лист2!A:E,5,0)</f>
        <v>малые</v>
      </c>
      <c r="E322" s="10">
        <f>VLOOKUP(A322,Лист2!A:E,4,0)</f>
        <v>2.5</v>
      </c>
      <c r="F322" s="11">
        <f t="shared" si="15"/>
        <v>-91000</v>
      </c>
      <c r="G322" s="11">
        <f t="shared" si="16"/>
        <v>902800</v>
      </c>
      <c r="H322" s="11">
        <f t="shared" si="17"/>
        <v>-36400</v>
      </c>
    </row>
    <row r="323" spans="1:8">
      <c r="A323" s="6" t="s">
        <v>18</v>
      </c>
      <c r="B323" s="5">
        <v>30985000</v>
      </c>
      <c r="C323" s="5">
        <v>29941000</v>
      </c>
      <c r="D323" s="8" t="str">
        <f>VLOOKUP(A323,Лист2!A:E,5,0)</f>
        <v>малые</v>
      </c>
      <c r="E323" s="10">
        <f>VLOOKUP(A323,Лист2!A:E,4,0)</f>
        <v>2.5</v>
      </c>
      <c r="F323" s="11">
        <f t="shared" si="15"/>
        <v>1044000</v>
      </c>
      <c r="G323" s="11">
        <f t="shared" si="16"/>
        <v>12394000</v>
      </c>
      <c r="H323" s="11">
        <f t="shared" si="17"/>
        <v>417600</v>
      </c>
    </row>
    <row r="324" spans="1:8">
      <c r="A324" s="6" t="s">
        <v>18</v>
      </c>
      <c r="B324" s="5">
        <v>50000</v>
      </c>
      <c r="C324" s="5">
        <v>10000</v>
      </c>
      <c r="D324" s="8" t="str">
        <f>VLOOKUP(A324,Лист2!A:E,5,0)</f>
        <v>малые</v>
      </c>
      <c r="E324" s="10">
        <f>VLOOKUP(A324,Лист2!A:E,4,0)</f>
        <v>2.5</v>
      </c>
      <c r="F324" s="11">
        <f t="shared" si="15"/>
        <v>40000</v>
      </c>
      <c r="G324" s="11">
        <f t="shared" si="16"/>
        <v>20000</v>
      </c>
      <c r="H324" s="11">
        <f t="shared" si="17"/>
        <v>16000</v>
      </c>
    </row>
    <row r="325" spans="1:8">
      <c r="A325" s="6" t="s">
        <v>23</v>
      </c>
      <c r="B325" s="5">
        <v>149824000</v>
      </c>
      <c r="C325" s="5">
        <v>122410000</v>
      </c>
      <c r="D325" s="8" t="str">
        <f>VLOOKUP(A325,Лист2!A:E,5,0)</f>
        <v>средние</v>
      </c>
      <c r="E325" s="10">
        <f>VLOOKUP(A325,Лист2!A:E,4,0)</f>
        <v>75.5</v>
      </c>
      <c r="F325" s="11">
        <f t="shared" si="15"/>
        <v>27414000</v>
      </c>
      <c r="G325" s="11">
        <f t="shared" si="16"/>
        <v>1984423.8410596026</v>
      </c>
      <c r="H325" s="11">
        <f t="shared" si="17"/>
        <v>363099.33774834435</v>
      </c>
    </row>
    <row r="326" spans="1:8">
      <c r="A326" s="6" t="s">
        <v>18</v>
      </c>
      <c r="B326" s="5">
        <v>5863000</v>
      </c>
      <c r="C326" s="5">
        <v>5959000</v>
      </c>
      <c r="D326" s="8" t="str">
        <f>VLOOKUP(A326,Лист2!A:E,5,0)</f>
        <v>малые</v>
      </c>
      <c r="E326" s="10">
        <f>VLOOKUP(A326,Лист2!A:E,4,0)</f>
        <v>2.5</v>
      </c>
      <c r="F326" s="11">
        <f t="shared" si="15"/>
        <v>-96000</v>
      </c>
      <c r="G326" s="11">
        <f t="shared" si="16"/>
        <v>2345200</v>
      </c>
      <c r="H326" s="11">
        <f t="shared" si="17"/>
        <v>-38400</v>
      </c>
    </row>
    <row r="327" spans="1:8">
      <c r="A327" s="6" t="s">
        <v>18</v>
      </c>
      <c r="B327" s="5">
        <v>645000</v>
      </c>
      <c r="C327" s="5">
        <v>1042000</v>
      </c>
      <c r="D327" s="8" t="str">
        <f>VLOOKUP(A327,Лист2!A:E,5,0)</f>
        <v>малые</v>
      </c>
      <c r="E327" s="10">
        <f>VLOOKUP(A327,Лист2!A:E,4,0)</f>
        <v>2.5</v>
      </c>
      <c r="F327" s="11">
        <f t="shared" si="15"/>
        <v>-397000</v>
      </c>
      <c r="G327" s="11">
        <f t="shared" si="16"/>
        <v>258000</v>
      </c>
      <c r="H327" s="11">
        <f t="shared" si="17"/>
        <v>-158800</v>
      </c>
    </row>
    <row r="328" spans="1:8">
      <c r="A328" s="6" t="s">
        <v>18</v>
      </c>
      <c r="B328" s="5">
        <v>7503000</v>
      </c>
      <c r="C328" s="5">
        <v>10274000</v>
      </c>
      <c r="D328" s="8" t="str">
        <f>VLOOKUP(A328,Лист2!A:E,5,0)</f>
        <v>малые</v>
      </c>
      <c r="E328" s="10">
        <f>VLOOKUP(A328,Лист2!A:E,4,0)</f>
        <v>2.5</v>
      </c>
      <c r="F328" s="11">
        <f t="shared" si="15"/>
        <v>-2771000</v>
      </c>
      <c r="G328" s="11">
        <f t="shared" si="16"/>
        <v>3001200</v>
      </c>
      <c r="H328" s="11">
        <f t="shared" si="17"/>
        <v>-1108400</v>
      </c>
    </row>
    <row r="329" spans="1:8">
      <c r="A329" s="6" t="s">
        <v>22</v>
      </c>
      <c r="B329" s="5">
        <v>921553000</v>
      </c>
      <c r="C329" s="5">
        <v>941968000</v>
      </c>
      <c r="D329" s="8" t="str">
        <f>VLOOKUP(A329,Лист2!A:E,5,0)</f>
        <v>малые</v>
      </c>
      <c r="E329" s="10">
        <f>VLOOKUP(A329,Лист2!A:E,4,0)</f>
        <v>13</v>
      </c>
      <c r="F329" s="11">
        <f t="shared" si="15"/>
        <v>-20415000</v>
      </c>
      <c r="G329" s="11">
        <f t="shared" si="16"/>
        <v>70888692.307692304</v>
      </c>
      <c r="H329" s="11">
        <f t="shared" si="17"/>
        <v>-1570384.6153846155</v>
      </c>
    </row>
    <row r="330" spans="1:8">
      <c r="A330" s="6" t="s">
        <v>18</v>
      </c>
      <c r="B330" s="5">
        <v>2754000</v>
      </c>
      <c r="C330" s="5">
        <v>2765000</v>
      </c>
      <c r="D330" s="8" t="str">
        <f>VLOOKUP(A330,Лист2!A:E,5,0)</f>
        <v>малые</v>
      </c>
      <c r="E330" s="10">
        <f>VLOOKUP(A330,Лист2!A:E,4,0)</f>
        <v>2.5</v>
      </c>
      <c r="F330" s="11">
        <f t="shared" si="15"/>
        <v>-11000</v>
      </c>
      <c r="G330" s="11">
        <f t="shared" si="16"/>
        <v>1101600</v>
      </c>
      <c r="H330" s="11">
        <f t="shared" si="17"/>
        <v>-4400</v>
      </c>
    </row>
    <row r="331" spans="1:8">
      <c r="A331" s="6" t="s">
        <v>18</v>
      </c>
      <c r="B331" s="5">
        <v>1351000</v>
      </c>
      <c r="C331" s="5">
        <v>1494000</v>
      </c>
      <c r="D331" s="8" t="str">
        <f>VLOOKUP(A331,Лист2!A:E,5,0)</f>
        <v>малые</v>
      </c>
      <c r="E331" s="10">
        <f>VLOOKUP(A331,Лист2!A:E,4,0)</f>
        <v>2.5</v>
      </c>
      <c r="F331" s="11">
        <f t="shared" si="15"/>
        <v>-143000</v>
      </c>
      <c r="G331" s="11">
        <f t="shared" si="16"/>
        <v>540400</v>
      </c>
      <c r="H331" s="11">
        <f t="shared" si="17"/>
        <v>-57200</v>
      </c>
    </row>
    <row r="332" spans="1:8">
      <c r="A332" s="6" t="s">
        <v>22</v>
      </c>
      <c r="B332" s="5">
        <v>44657000</v>
      </c>
      <c r="C332" s="5">
        <v>44875000</v>
      </c>
      <c r="D332" s="8" t="str">
        <f>VLOOKUP(A332,Лист2!A:E,5,0)</f>
        <v>малые</v>
      </c>
      <c r="E332" s="10">
        <f>VLOOKUP(A332,Лист2!A:E,4,0)</f>
        <v>13</v>
      </c>
      <c r="F332" s="11">
        <f t="shared" si="15"/>
        <v>-218000</v>
      </c>
      <c r="G332" s="11">
        <f t="shared" si="16"/>
        <v>3435153.846153846</v>
      </c>
      <c r="H332" s="11">
        <f t="shared" si="17"/>
        <v>-16769.23076923077</v>
      </c>
    </row>
    <row r="333" spans="1:8">
      <c r="A333" s="6" t="s">
        <v>22</v>
      </c>
      <c r="B333" s="5">
        <v>16194000</v>
      </c>
      <c r="C333" s="5">
        <v>15966000</v>
      </c>
      <c r="D333" s="8" t="str">
        <f>VLOOKUP(A333,Лист2!A:E,5,0)</f>
        <v>малые</v>
      </c>
      <c r="E333" s="10">
        <f>VLOOKUP(A333,Лист2!A:E,4,0)</f>
        <v>13</v>
      </c>
      <c r="F333" s="11">
        <f t="shared" si="15"/>
        <v>228000</v>
      </c>
      <c r="G333" s="11">
        <f t="shared" si="16"/>
        <v>1245692.3076923077</v>
      </c>
      <c r="H333" s="11">
        <f t="shared" si="17"/>
        <v>17538.461538461539</v>
      </c>
    </row>
    <row r="334" spans="1:8">
      <c r="A334" s="6" t="s">
        <v>23</v>
      </c>
      <c r="B334" s="5">
        <v>36995000</v>
      </c>
      <c r="C334" s="5">
        <v>36880000</v>
      </c>
      <c r="D334" s="8" t="str">
        <f>VLOOKUP(A334,Лист2!A:E,5,0)</f>
        <v>средние</v>
      </c>
      <c r="E334" s="10">
        <f>VLOOKUP(A334,Лист2!A:E,4,0)</f>
        <v>75.5</v>
      </c>
      <c r="F334" s="11">
        <f t="shared" si="15"/>
        <v>115000</v>
      </c>
      <c r="G334" s="11">
        <f t="shared" si="16"/>
        <v>490000</v>
      </c>
      <c r="H334" s="11">
        <f t="shared" si="17"/>
        <v>1523.1788079470198</v>
      </c>
    </row>
    <row r="335" spans="1:8">
      <c r="A335" s="6" t="s">
        <v>18</v>
      </c>
      <c r="B335" s="5">
        <v>204203000</v>
      </c>
      <c r="C335" s="5">
        <v>139426000</v>
      </c>
      <c r="D335" s="8" t="str">
        <f>VLOOKUP(A335,Лист2!A:E,5,0)</f>
        <v>малые</v>
      </c>
      <c r="E335" s="10">
        <f>VLOOKUP(A335,Лист2!A:E,4,0)</f>
        <v>2.5</v>
      </c>
      <c r="F335" s="11">
        <f t="shared" si="15"/>
        <v>64777000</v>
      </c>
      <c r="G335" s="11">
        <f t="shared" si="16"/>
        <v>81681200</v>
      </c>
      <c r="H335" s="11">
        <f t="shared" si="17"/>
        <v>25910800</v>
      </c>
    </row>
    <row r="336" spans="1:8">
      <c r="A336" s="6" t="s">
        <v>18</v>
      </c>
      <c r="B336" s="5">
        <v>2313000</v>
      </c>
      <c r="C336" s="5">
        <v>2291000</v>
      </c>
      <c r="D336" s="8" t="str">
        <f>VLOOKUP(A336,Лист2!A:E,5,0)</f>
        <v>малые</v>
      </c>
      <c r="E336" s="10">
        <f>VLOOKUP(A336,Лист2!A:E,4,0)</f>
        <v>2.5</v>
      </c>
      <c r="F336" s="11">
        <f t="shared" si="15"/>
        <v>22000</v>
      </c>
      <c r="G336" s="11">
        <f t="shared" si="16"/>
        <v>925200</v>
      </c>
      <c r="H336" s="11">
        <f t="shared" si="17"/>
        <v>8800</v>
      </c>
    </row>
    <row r="337" spans="1:8">
      <c r="A337" s="6" t="s">
        <v>23</v>
      </c>
      <c r="B337" s="5">
        <v>10186000</v>
      </c>
      <c r="C337" s="5">
        <v>10727000</v>
      </c>
      <c r="D337" s="8" t="str">
        <f>VLOOKUP(A337,Лист2!A:E,5,0)</f>
        <v>средние</v>
      </c>
      <c r="E337" s="10">
        <f>VLOOKUP(A337,Лист2!A:E,4,0)</f>
        <v>75.5</v>
      </c>
      <c r="F337" s="11">
        <f t="shared" si="15"/>
        <v>-541000</v>
      </c>
      <c r="G337" s="11">
        <f t="shared" si="16"/>
        <v>134913.90728476821</v>
      </c>
      <c r="H337" s="11">
        <f t="shared" si="17"/>
        <v>-7165.5629139072844</v>
      </c>
    </row>
    <row r="338" spans="1:8">
      <c r="A338" s="6" t="s">
        <v>22</v>
      </c>
      <c r="B338" s="5">
        <v>114225000</v>
      </c>
      <c r="C338" s="5">
        <v>138495000</v>
      </c>
      <c r="D338" s="8" t="str">
        <f>VLOOKUP(A338,Лист2!A:E,5,0)</f>
        <v>малые</v>
      </c>
      <c r="E338" s="10">
        <f>VLOOKUP(A338,Лист2!A:E,4,0)</f>
        <v>13</v>
      </c>
      <c r="F338" s="11">
        <f t="shared" si="15"/>
        <v>-24270000</v>
      </c>
      <c r="G338" s="11">
        <f t="shared" si="16"/>
        <v>8786538.461538462</v>
      </c>
      <c r="H338" s="11">
        <f t="shared" si="17"/>
        <v>-1866923.076923077</v>
      </c>
    </row>
    <row r="339" spans="1:8">
      <c r="A339" s="6" t="s">
        <v>18</v>
      </c>
      <c r="B339" s="5">
        <v>16147000</v>
      </c>
      <c r="C339" s="5">
        <v>16514000</v>
      </c>
      <c r="D339" s="8" t="str">
        <f>VLOOKUP(A339,Лист2!A:E,5,0)</f>
        <v>малые</v>
      </c>
      <c r="E339" s="10">
        <f>VLOOKUP(A339,Лист2!A:E,4,0)</f>
        <v>2.5</v>
      </c>
      <c r="F339" s="11">
        <f t="shared" si="15"/>
        <v>-367000</v>
      </c>
      <c r="G339" s="11">
        <f t="shared" si="16"/>
        <v>6458800</v>
      </c>
      <c r="H339" s="11">
        <f t="shared" si="17"/>
        <v>-146800</v>
      </c>
    </row>
    <row r="340" spans="1:8">
      <c r="A340" s="6" t="s">
        <v>18</v>
      </c>
      <c r="B340" s="5">
        <v>25000</v>
      </c>
      <c r="C340" s="5">
        <v>37000</v>
      </c>
      <c r="D340" s="8" t="str">
        <f>VLOOKUP(A340,Лист2!A:E,5,0)</f>
        <v>малые</v>
      </c>
      <c r="E340" s="10">
        <f>VLOOKUP(A340,Лист2!A:E,4,0)</f>
        <v>2.5</v>
      </c>
      <c r="F340" s="11">
        <f t="shared" si="15"/>
        <v>-12000</v>
      </c>
      <c r="G340" s="11">
        <f t="shared" si="16"/>
        <v>10000</v>
      </c>
      <c r="H340" s="11">
        <f t="shared" si="17"/>
        <v>-4800</v>
      </c>
    </row>
    <row r="341" spans="1:8">
      <c r="A341" s="6" t="s">
        <v>18</v>
      </c>
      <c r="B341" s="5">
        <v>41050000</v>
      </c>
      <c r="C341" s="5">
        <v>41578000</v>
      </c>
      <c r="D341" s="8" t="str">
        <f>VLOOKUP(A341,Лист2!A:E,5,0)</f>
        <v>малые</v>
      </c>
      <c r="E341" s="10">
        <f>VLOOKUP(A341,Лист2!A:E,4,0)</f>
        <v>2.5</v>
      </c>
      <c r="F341" s="11">
        <f t="shared" si="15"/>
        <v>-528000</v>
      </c>
      <c r="G341" s="11">
        <f t="shared" si="16"/>
        <v>16420000</v>
      </c>
      <c r="H341" s="11">
        <f t="shared" si="17"/>
        <v>-211200</v>
      </c>
    </row>
    <row r="342" spans="1:8">
      <c r="A342" s="6" t="s">
        <v>18</v>
      </c>
      <c r="B342" s="5">
        <v>7920000</v>
      </c>
      <c r="C342" s="5">
        <v>3542000</v>
      </c>
      <c r="D342" s="8" t="str">
        <f>VLOOKUP(A342,Лист2!A:E,5,0)</f>
        <v>малые</v>
      </c>
      <c r="E342" s="10">
        <f>VLOOKUP(A342,Лист2!A:E,4,0)</f>
        <v>2.5</v>
      </c>
      <c r="F342" s="11">
        <f t="shared" si="15"/>
        <v>4378000</v>
      </c>
      <c r="G342" s="11">
        <f t="shared" si="16"/>
        <v>3168000</v>
      </c>
      <c r="H342" s="11">
        <f t="shared" si="17"/>
        <v>1751200</v>
      </c>
    </row>
    <row r="343" spans="1:8">
      <c r="A343" s="6" t="s">
        <v>18</v>
      </c>
      <c r="B343" s="5">
        <v>11899000</v>
      </c>
      <c r="C343" s="5">
        <v>12127000</v>
      </c>
      <c r="D343" s="8" t="str">
        <f>VLOOKUP(A343,Лист2!A:E,5,0)</f>
        <v>малые</v>
      </c>
      <c r="E343" s="10">
        <f>VLOOKUP(A343,Лист2!A:E,4,0)</f>
        <v>2.5</v>
      </c>
      <c r="F343" s="11">
        <f t="shared" si="15"/>
        <v>-228000</v>
      </c>
      <c r="G343" s="11">
        <f t="shared" si="16"/>
        <v>4759600</v>
      </c>
      <c r="H343" s="11">
        <f t="shared" si="17"/>
        <v>-91200</v>
      </c>
    </row>
    <row r="344" spans="1:8">
      <c r="A344" s="6" t="s">
        <v>22</v>
      </c>
      <c r="B344" s="5">
        <v>10544000</v>
      </c>
      <c r="C344" s="5">
        <v>9089000</v>
      </c>
      <c r="D344" s="8" t="str">
        <f>VLOOKUP(A344,Лист2!A:E,5,0)</f>
        <v>малые</v>
      </c>
      <c r="E344" s="10">
        <f>VLOOKUP(A344,Лист2!A:E,4,0)</f>
        <v>13</v>
      </c>
      <c r="F344" s="11">
        <f t="shared" si="15"/>
        <v>1455000</v>
      </c>
      <c r="G344" s="11">
        <f t="shared" si="16"/>
        <v>811076.92307692312</v>
      </c>
      <c r="H344" s="11">
        <f t="shared" si="17"/>
        <v>111923.07692307692</v>
      </c>
    </row>
    <row r="345" spans="1:8">
      <c r="A345" s="6" t="s">
        <v>22</v>
      </c>
      <c r="B345" s="5">
        <v>61298000</v>
      </c>
      <c r="C345" s="5">
        <v>58996000</v>
      </c>
      <c r="D345" s="8" t="str">
        <f>VLOOKUP(A345,Лист2!A:E,5,0)</f>
        <v>малые</v>
      </c>
      <c r="E345" s="10">
        <f>VLOOKUP(A345,Лист2!A:E,4,0)</f>
        <v>13</v>
      </c>
      <c r="F345" s="11">
        <f t="shared" si="15"/>
        <v>2302000</v>
      </c>
      <c r="G345" s="11">
        <f t="shared" si="16"/>
        <v>4715230.769230769</v>
      </c>
      <c r="H345" s="11">
        <f t="shared" si="17"/>
        <v>177076.92307692306</v>
      </c>
    </row>
    <row r="346" spans="1:8">
      <c r="A346" s="6" t="s">
        <v>18</v>
      </c>
      <c r="B346" s="5">
        <v>19498000</v>
      </c>
      <c r="C346" s="5">
        <v>22071000</v>
      </c>
      <c r="D346" s="8" t="str">
        <f>VLOOKUP(A346,Лист2!A:E,5,0)</f>
        <v>малые</v>
      </c>
      <c r="E346" s="10">
        <f>VLOOKUP(A346,Лист2!A:E,4,0)</f>
        <v>2.5</v>
      </c>
      <c r="F346" s="11">
        <f t="shared" si="15"/>
        <v>-2573000</v>
      </c>
      <c r="G346" s="11">
        <f t="shared" si="16"/>
        <v>7799200</v>
      </c>
      <c r="H346" s="11">
        <f t="shared" si="17"/>
        <v>-1029200</v>
      </c>
    </row>
    <row r="347" spans="1:8">
      <c r="A347" s="6" t="s">
        <v>18</v>
      </c>
      <c r="B347" s="5">
        <v>5780000</v>
      </c>
      <c r="C347" s="5">
        <v>6473000</v>
      </c>
      <c r="D347" s="8" t="str">
        <f>VLOOKUP(A347,Лист2!A:E,5,0)</f>
        <v>малые</v>
      </c>
      <c r="E347" s="10">
        <f>VLOOKUP(A347,Лист2!A:E,4,0)</f>
        <v>2.5</v>
      </c>
      <c r="F347" s="11">
        <f t="shared" si="15"/>
        <v>-693000</v>
      </c>
      <c r="G347" s="11">
        <f t="shared" si="16"/>
        <v>2312000</v>
      </c>
      <c r="H347" s="11">
        <f t="shared" si="17"/>
        <v>-277200</v>
      </c>
    </row>
    <row r="348" spans="1:8">
      <c r="A348" s="6" t="s">
        <v>18</v>
      </c>
      <c r="B348" s="5">
        <v>664000</v>
      </c>
      <c r="C348" s="5">
        <v>673000</v>
      </c>
      <c r="D348" s="8" t="str">
        <f>VLOOKUP(A348,Лист2!A:E,5,0)</f>
        <v>малые</v>
      </c>
      <c r="E348" s="10">
        <f>VLOOKUP(A348,Лист2!A:E,4,0)</f>
        <v>2.5</v>
      </c>
      <c r="F348" s="11">
        <f t="shared" si="15"/>
        <v>-9000</v>
      </c>
      <c r="G348" s="11">
        <f t="shared" si="16"/>
        <v>265600</v>
      </c>
      <c r="H348" s="11">
        <f t="shared" si="17"/>
        <v>-3600</v>
      </c>
    </row>
    <row r="349" spans="1:8">
      <c r="A349" s="6" t="s">
        <v>77</v>
      </c>
      <c r="B349" s="5">
        <v>703793000</v>
      </c>
      <c r="C349" s="5">
        <v>468026000</v>
      </c>
      <c r="D349" s="8" t="str">
        <f>VLOOKUP(A349,Лист2!A:E,5,0)</f>
        <v>малые</v>
      </c>
      <c r="E349" s="10">
        <f>VLOOKUP(A349,Лист2!A:E,4,0)</f>
        <v>8</v>
      </c>
      <c r="F349" s="11">
        <f t="shared" si="15"/>
        <v>235767000</v>
      </c>
      <c r="G349" s="11">
        <f t="shared" si="16"/>
        <v>87974125</v>
      </c>
      <c r="H349" s="11">
        <f t="shared" si="17"/>
        <v>29470875</v>
      </c>
    </row>
    <row r="350" spans="1:8">
      <c r="A350" s="6" t="s">
        <v>22</v>
      </c>
      <c r="B350" s="5">
        <v>292451000</v>
      </c>
      <c r="C350" s="5">
        <v>354412000</v>
      </c>
      <c r="D350" s="8" t="str">
        <f>VLOOKUP(A350,Лист2!A:E,5,0)</f>
        <v>малые</v>
      </c>
      <c r="E350" s="10">
        <f>VLOOKUP(A350,Лист2!A:E,4,0)</f>
        <v>13</v>
      </c>
      <c r="F350" s="11">
        <f t="shared" si="15"/>
        <v>-61961000</v>
      </c>
      <c r="G350" s="11">
        <f t="shared" si="16"/>
        <v>22496230.769230768</v>
      </c>
      <c r="H350" s="11">
        <f t="shared" si="17"/>
        <v>-4766230.769230769</v>
      </c>
    </row>
    <row r="351" spans="1:8">
      <c r="A351" s="6" t="s">
        <v>22</v>
      </c>
      <c r="B351" s="5">
        <v>6566000</v>
      </c>
      <c r="C351" s="5">
        <v>6668000</v>
      </c>
      <c r="D351" s="8" t="str">
        <f>VLOOKUP(A351,Лист2!A:E,5,0)</f>
        <v>малые</v>
      </c>
      <c r="E351" s="10">
        <f>VLOOKUP(A351,Лист2!A:E,4,0)</f>
        <v>13</v>
      </c>
      <c r="F351" s="11">
        <f t="shared" si="15"/>
        <v>-102000</v>
      </c>
      <c r="G351" s="11">
        <f t="shared" si="16"/>
        <v>505076.92307692306</v>
      </c>
      <c r="H351" s="11">
        <f t="shared" si="17"/>
        <v>-7846.1538461538457</v>
      </c>
    </row>
    <row r="352" spans="1:8">
      <c r="A352" s="6" t="s">
        <v>22</v>
      </c>
      <c r="B352" s="5">
        <v>14550000</v>
      </c>
      <c r="C352" s="5">
        <v>15837000</v>
      </c>
      <c r="D352" s="8" t="str">
        <f>VLOOKUP(A352,Лист2!A:E,5,0)</f>
        <v>малые</v>
      </c>
      <c r="E352" s="10">
        <f>VLOOKUP(A352,Лист2!A:E,4,0)</f>
        <v>13</v>
      </c>
      <c r="F352" s="11">
        <f t="shared" si="15"/>
        <v>-1287000</v>
      </c>
      <c r="G352" s="11">
        <f t="shared" si="16"/>
        <v>1119230.7692307692</v>
      </c>
      <c r="H352" s="11">
        <f t="shared" si="17"/>
        <v>-99000</v>
      </c>
    </row>
    <row r="353" spans="1:8">
      <c r="A353" s="6" t="s">
        <v>77</v>
      </c>
      <c r="B353" s="5">
        <v>64637000</v>
      </c>
      <c r="C353" s="5">
        <v>85342000</v>
      </c>
      <c r="D353" s="8" t="str">
        <f>VLOOKUP(A353,Лист2!A:E,5,0)</f>
        <v>малые</v>
      </c>
      <c r="E353" s="10">
        <f>VLOOKUP(A353,Лист2!A:E,4,0)</f>
        <v>8</v>
      </c>
      <c r="F353" s="11">
        <f t="shared" si="15"/>
        <v>-20705000</v>
      </c>
      <c r="G353" s="11">
        <f t="shared" si="16"/>
        <v>8079625</v>
      </c>
      <c r="H353" s="11">
        <f t="shared" si="17"/>
        <v>-2588125</v>
      </c>
    </row>
    <row r="354" spans="1:8">
      <c r="A354" s="6" t="s">
        <v>22</v>
      </c>
      <c r="B354" s="5">
        <v>38436000</v>
      </c>
      <c r="C354" s="5">
        <v>37666000</v>
      </c>
      <c r="D354" s="8" t="str">
        <f>VLOOKUP(A354,Лист2!A:E,5,0)</f>
        <v>малые</v>
      </c>
      <c r="E354" s="10">
        <f>VLOOKUP(A354,Лист2!A:E,4,0)</f>
        <v>13</v>
      </c>
      <c r="F354" s="11">
        <f t="shared" si="15"/>
        <v>770000</v>
      </c>
      <c r="G354" s="11">
        <f t="shared" si="16"/>
        <v>2956615.3846153845</v>
      </c>
      <c r="H354" s="11">
        <f t="shared" si="17"/>
        <v>59230.769230769234</v>
      </c>
    </row>
    <row r="355" spans="1:8">
      <c r="A355" s="6" t="s">
        <v>18</v>
      </c>
      <c r="B355" s="5">
        <v>8110000</v>
      </c>
      <c r="C355" s="5">
        <v>8803000</v>
      </c>
      <c r="D355" s="8" t="str">
        <f>VLOOKUP(A355,Лист2!A:E,5,0)</f>
        <v>малые</v>
      </c>
      <c r="E355" s="10">
        <f>VLOOKUP(A355,Лист2!A:E,4,0)</f>
        <v>2.5</v>
      </c>
      <c r="F355" s="11">
        <f t="shared" si="15"/>
        <v>-693000</v>
      </c>
      <c r="G355" s="11">
        <f t="shared" si="16"/>
        <v>3244000</v>
      </c>
      <c r="H355" s="11">
        <f t="shared" si="17"/>
        <v>-277200</v>
      </c>
    </row>
    <row r="356" spans="1:8">
      <c r="A356" s="6" t="s">
        <v>18</v>
      </c>
      <c r="B356" s="5">
        <v>540000</v>
      </c>
      <c r="C356" s="5">
        <v>540000</v>
      </c>
      <c r="D356" s="8" t="str">
        <f>VLOOKUP(A356,Лист2!A:E,5,0)</f>
        <v>малые</v>
      </c>
      <c r="E356" s="10">
        <f>VLOOKUP(A356,Лист2!A:E,4,0)</f>
        <v>2.5</v>
      </c>
      <c r="F356" s="11">
        <f t="shared" si="15"/>
        <v>0</v>
      </c>
      <c r="G356" s="11">
        <f t="shared" si="16"/>
        <v>216000</v>
      </c>
      <c r="H356" s="11">
        <f t="shared" si="17"/>
        <v>0</v>
      </c>
    </row>
    <row r="357" spans="1:8">
      <c r="A357" s="6" t="s">
        <v>18</v>
      </c>
      <c r="B357" s="5">
        <v>1351000</v>
      </c>
      <c r="C357" s="5">
        <v>1337000</v>
      </c>
      <c r="D357" s="8" t="str">
        <f>VLOOKUP(A357,Лист2!A:E,5,0)</f>
        <v>малые</v>
      </c>
      <c r="E357" s="10">
        <f>VLOOKUP(A357,Лист2!A:E,4,0)</f>
        <v>2.5</v>
      </c>
      <c r="F357" s="11">
        <f t="shared" si="15"/>
        <v>14000</v>
      </c>
      <c r="G357" s="11">
        <f t="shared" si="16"/>
        <v>540400</v>
      </c>
      <c r="H357" s="11">
        <f t="shared" si="17"/>
        <v>5600</v>
      </c>
    </row>
    <row r="358" spans="1:8">
      <c r="A358" s="6" t="s">
        <v>18</v>
      </c>
      <c r="B358" s="5">
        <v>26941000</v>
      </c>
      <c r="C358" s="5">
        <v>11738000</v>
      </c>
      <c r="D358" s="8" t="str">
        <f>VLOOKUP(A358,Лист2!A:E,5,0)</f>
        <v>малые</v>
      </c>
      <c r="E358" s="10">
        <f>VLOOKUP(A358,Лист2!A:E,4,0)</f>
        <v>2.5</v>
      </c>
      <c r="F358" s="11">
        <f t="shared" si="15"/>
        <v>15203000</v>
      </c>
      <c r="G358" s="11">
        <f t="shared" si="16"/>
        <v>10776400</v>
      </c>
      <c r="H358" s="11">
        <f t="shared" si="17"/>
        <v>6081200</v>
      </c>
    </row>
    <row r="359" spans="1:8">
      <c r="A359" s="6" t="s">
        <v>18</v>
      </c>
      <c r="B359" s="5">
        <v>1699000</v>
      </c>
      <c r="C359" s="5">
        <v>1914000</v>
      </c>
      <c r="D359" s="8" t="str">
        <f>VLOOKUP(A359,Лист2!A:E,5,0)</f>
        <v>малые</v>
      </c>
      <c r="E359" s="10">
        <f>VLOOKUP(A359,Лист2!A:E,4,0)</f>
        <v>2.5</v>
      </c>
      <c r="F359" s="11">
        <f t="shared" si="15"/>
        <v>-215000</v>
      </c>
      <c r="G359" s="11">
        <f t="shared" si="16"/>
        <v>679600</v>
      </c>
      <c r="H359" s="11">
        <f t="shared" si="17"/>
        <v>-86000</v>
      </c>
    </row>
    <row r="360" spans="1:8">
      <c r="A360" s="6" t="s">
        <v>22</v>
      </c>
      <c r="B360" s="5">
        <v>69987000</v>
      </c>
      <c r="C360" s="5">
        <v>71678000</v>
      </c>
      <c r="D360" s="8" t="str">
        <f>VLOOKUP(A360,Лист2!A:E,5,0)</f>
        <v>малые</v>
      </c>
      <c r="E360" s="10">
        <f>VLOOKUP(A360,Лист2!A:E,4,0)</f>
        <v>13</v>
      </c>
      <c r="F360" s="11">
        <f t="shared" si="15"/>
        <v>-1691000</v>
      </c>
      <c r="G360" s="11">
        <f t="shared" si="16"/>
        <v>5383615.384615385</v>
      </c>
      <c r="H360" s="11">
        <f t="shared" si="17"/>
        <v>-130076.92307692308</v>
      </c>
    </row>
    <row r="361" spans="1:8">
      <c r="A361" s="6" t="s">
        <v>22</v>
      </c>
      <c r="B361" s="5">
        <v>216523000</v>
      </c>
      <c r="C361" s="5">
        <v>165237000</v>
      </c>
      <c r="D361" s="8" t="str">
        <f>VLOOKUP(A361,Лист2!A:E,5,0)</f>
        <v>малые</v>
      </c>
      <c r="E361" s="10">
        <f>VLOOKUP(A361,Лист2!A:E,4,0)</f>
        <v>13</v>
      </c>
      <c r="F361" s="11">
        <f t="shared" si="15"/>
        <v>51286000</v>
      </c>
      <c r="G361" s="11">
        <f t="shared" si="16"/>
        <v>16655615.384615384</v>
      </c>
      <c r="H361" s="11">
        <f t="shared" si="17"/>
        <v>3945076.923076923</v>
      </c>
    </row>
    <row r="362" spans="1:8">
      <c r="A362" s="6" t="s">
        <v>18</v>
      </c>
      <c r="B362" s="5">
        <v>171000</v>
      </c>
      <c r="C362" s="5">
        <v>152000</v>
      </c>
      <c r="D362" s="8" t="str">
        <f>VLOOKUP(A362,Лист2!A:E,5,0)</f>
        <v>малые</v>
      </c>
      <c r="E362" s="10">
        <f>VLOOKUP(A362,Лист2!A:E,4,0)</f>
        <v>2.5</v>
      </c>
      <c r="F362" s="11">
        <f t="shared" si="15"/>
        <v>19000</v>
      </c>
      <c r="G362" s="11">
        <f t="shared" si="16"/>
        <v>68400</v>
      </c>
      <c r="H362" s="11">
        <f t="shared" si="17"/>
        <v>7600</v>
      </c>
    </row>
    <row r="363" spans="1:8">
      <c r="A363" s="6" t="s">
        <v>18</v>
      </c>
      <c r="B363" s="5">
        <v>15035000</v>
      </c>
      <c r="C363" s="5">
        <v>23060000</v>
      </c>
      <c r="D363" s="8" t="str">
        <f>VLOOKUP(A363,Лист2!A:E,5,0)</f>
        <v>малые</v>
      </c>
      <c r="E363" s="10">
        <f>VLOOKUP(A363,Лист2!A:E,4,0)</f>
        <v>2.5</v>
      </c>
      <c r="F363" s="11">
        <f t="shared" si="15"/>
        <v>-8025000</v>
      </c>
      <c r="G363" s="11">
        <f t="shared" si="16"/>
        <v>6014000</v>
      </c>
      <c r="H363" s="11">
        <f t="shared" si="17"/>
        <v>-3210000</v>
      </c>
    </row>
    <row r="364" spans="1:8">
      <c r="A364" s="6" t="s">
        <v>18</v>
      </c>
      <c r="B364" s="5">
        <v>200000000</v>
      </c>
      <c r="C364" s="5">
        <v>42240000</v>
      </c>
      <c r="D364" s="8" t="str">
        <f>VLOOKUP(A364,Лист2!A:E,5,0)</f>
        <v>малые</v>
      </c>
      <c r="E364" s="10">
        <f>VLOOKUP(A364,Лист2!A:E,4,0)</f>
        <v>2.5</v>
      </c>
      <c r="F364" s="11">
        <f t="shared" si="15"/>
        <v>157760000</v>
      </c>
      <c r="G364" s="11">
        <f t="shared" si="16"/>
        <v>80000000</v>
      </c>
      <c r="H364" s="11">
        <f t="shared" si="17"/>
        <v>63104000</v>
      </c>
    </row>
    <row r="365" spans="1:8">
      <c r="A365" s="6" t="s">
        <v>18</v>
      </c>
      <c r="B365" s="5">
        <v>87000</v>
      </c>
      <c r="C365" s="5">
        <v>39000</v>
      </c>
      <c r="D365" s="8" t="str">
        <f>VLOOKUP(A365,Лист2!A:E,5,0)</f>
        <v>малые</v>
      </c>
      <c r="E365" s="10">
        <f>VLOOKUP(A365,Лист2!A:E,4,0)</f>
        <v>2.5</v>
      </c>
      <c r="F365" s="11">
        <f t="shared" si="15"/>
        <v>48000</v>
      </c>
      <c r="G365" s="11">
        <f t="shared" si="16"/>
        <v>34800</v>
      </c>
      <c r="H365" s="11">
        <f t="shared" si="17"/>
        <v>19200</v>
      </c>
    </row>
    <row r="366" spans="1:8">
      <c r="A366" s="6" t="s">
        <v>18</v>
      </c>
      <c r="B366" s="5">
        <v>7122000</v>
      </c>
      <c r="C366" s="5">
        <v>7214000</v>
      </c>
      <c r="D366" s="8" t="str">
        <f>VLOOKUP(A366,Лист2!A:E,5,0)</f>
        <v>малые</v>
      </c>
      <c r="E366" s="10">
        <f>VLOOKUP(A366,Лист2!A:E,4,0)</f>
        <v>2.5</v>
      </c>
      <c r="F366" s="11">
        <f t="shared" si="15"/>
        <v>-92000</v>
      </c>
      <c r="G366" s="11">
        <f t="shared" si="16"/>
        <v>2848800</v>
      </c>
      <c r="H366" s="11">
        <f t="shared" si="17"/>
        <v>-36800</v>
      </c>
    </row>
    <row r="367" spans="1:8">
      <c r="A367" s="6" t="s">
        <v>18</v>
      </c>
      <c r="B367" s="5">
        <v>2069000</v>
      </c>
      <c r="C367" s="5">
        <v>1662000</v>
      </c>
      <c r="D367" s="8" t="str">
        <f>VLOOKUP(A367,Лист2!A:E,5,0)</f>
        <v>малые</v>
      </c>
      <c r="E367" s="10">
        <f>VLOOKUP(A367,Лист2!A:E,4,0)</f>
        <v>2.5</v>
      </c>
      <c r="F367" s="11">
        <f t="shared" si="15"/>
        <v>407000</v>
      </c>
      <c r="G367" s="11">
        <f t="shared" si="16"/>
        <v>827600</v>
      </c>
      <c r="H367" s="11">
        <f t="shared" si="17"/>
        <v>162800</v>
      </c>
    </row>
    <row r="368" spans="1:8">
      <c r="A368" s="6" t="s">
        <v>807</v>
      </c>
      <c r="B368" s="5">
        <v>210174000</v>
      </c>
      <c r="C368" s="5">
        <v>209771000</v>
      </c>
      <c r="D368" s="8" t="str">
        <f>VLOOKUP(A368,Лист2!A:E,5,0)</f>
        <v>средние</v>
      </c>
      <c r="E368" s="10">
        <f>VLOOKUP(A368,Лист2!A:E,4,0)</f>
        <v>175.5</v>
      </c>
      <c r="F368" s="11">
        <f t="shared" si="15"/>
        <v>403000</v>
      </c>
      <c r="G368" s="11">
        <f t="shared" si="16"/>
        <v>1197572.6495726495</v>
      </c>
      <c r="H368" s="11">
        <f t="shared" si="17"/>
        <v>2296.2962962962961</v>
      </c>
    </row>
    <row r="369" spans="1:8">
      <c r="A369" s="6" t="s">
        <v>18</v>
      </c>
      <c r="B369" s="5">
        <v>34254000</v>
      </c>
      <c r="C369" s="5">
        <v>30749000</v>
      </c>
      <c r="D369" s="8" t="str">
        <f>VLOOKUP(A369,Лист2!A:E,5,0)</f>
        <v>малые</v>
      </c>
      <c r="E369" s="10">
        <f>VLOOKUP(A369,Лист2!A:E,4,0)</f>
        <v>2.5</v>
      </c>
      <c r="F369" s="11">
        <f t="shared" si="15"/>
        <v>3505000</v>
      </c>
      <c r="G369" s="11">
        <f t="shared" si="16"/>
        <v>13701600</v>
      </c>
      <c r="H369" s="11">
        <f t="shared" si="17"/>
        <v>1402000</v>
      </c>
    </row>
    <row r="370" spans="1:8">
      <c r="A370" s="6" t="s">
        <v>18</v>
      </c>
      <c r="B370" s="5">
        <v>1928000</v>
      </c>
      <c r="C370" s="5">
        <v>1983000</v>
      </c>
      <c r="D370" s="8" t="str">
        <f>VLOOKUP(A370,Лист2!A:E,5,0)</f>
        <v>малые</v>
      </c>
      <c r="E370" s="10">
        <f>VLOOKUP(A370,Лист2!A:E,4,0)</f>
        <v>2.5</v>
      </c>
      <c r="F370" s="11">
        <f t="shared" si="15"/>
        <v>-55000</v>
      </c>
      <c r="G370" s="11">
        <f t="shared" si="16"/>
        <v>771200</v>
      </c>
      <c r="H370" s="11">
        <f t="shared" si="17"/>
        <v>-22000</v>
      </c>
    </row>
    <row r="371" spans="1:8">
      <c r="A371" s="6" t="s">
        <v>18</v>
      </c>
      <c r="B371" s="5">
        <v>7758000</v>
      </c>
      <c r="C371" s="5">
        <v>6147000</v>
      </c>
      <c r="D371" s="8" t="str">
        <f>VLOOKUP(A371,Лист2!A:E,5,0)</f>
        <v>малые</v>
      </c>
      <c r="E371" s="10">
        <f>VLOOKUP(A371,Лист2!A:E,4,0)</f>
        <v>2.5</v>
      </c>
      <c r="F371" s="11">
        <f t="shared" si="15"/>
        <v>1611000</v>
      </c>
      <c r="G371" s="11">
        <f t="shared" si="16"/>
        <v>3103200</v>
      </c>
      <c r="H371" s="11">
        <f t="shared" si="17"/>
        <v>644400</v>
      </c>
    </row>
    <row r="372" spans="1:8">
      <c r="A372" s="6" t="s">
        <v>77</v>
      </c>
      <c r="B372" s="5">
        <v>411626000</v>
      </c>
      <c r="C372" s="5">
        <v>296732000</v>
      </c>
      <c r="D372" s="8" t="str">
        <f>VLOOKUP(A372,Лист2!A:E,5,0)</f>
        <v>малые</v>
      </c>
      <c r="E372" s="10">
        <f>VLOOKUP(A372,Лист2!A:E,4,0)</f>
        <v>8</v>
      </c>
      <c r="F372" s="11">
        <f t="shared" si="15"/>
        <v>114894000</v>
      </c>
      <c r="G372" s="11">
        <f t="shared" si="16"/>
        <v>51453250</v>
      </c>
      <c r="H372" s="11">
        <f t="shared" si="17"/>
        <v>14361750</v>
      </c>
    </row>
    <row r="373" spans="1:8">
      <c r="A373" s="6" t="s">
        <v>18</v>
      </c>
      <c r="B373" s="5">
        <v>5230000</v>
      </c>
      <c r="C373" s="5">
        <v>2311000</v>
      </c>
      <c r="D373" s="8" t="str">
        <f>VLOOKUP(A373,Лист2!A:E,5,0)</f>
        <v>малые</v>
      </c>
      <c r="E373" s="10">
        <f>VLOOKUP(A373,Лист2!A:E,4,0)</f>
        <v>2.5</v>
      </c>
      <c r="F373" s="11">
        <f t="shared" si="15"/>
        <v>2919000</v>
      </c>
      <c r="G373" s="11">
        <f t="shared" si="16"/>
        <v>2092000</v>
      </c>
      <c r="H373" s="11">
        <f t="shared" si="17"/>
        <v>1167600</v>
      </c>
    </row>
    <row r="374" spans="1:8">
      <c r="A374" s="6" t="s">
        <v>18</v>
      </c>
      <c r="B374" s="5">
        <v>543633000</v>
      </c>
      <c r="C374" s="5">
        <v>606984000</v>
      </c>
      <c r="D374" s="8" t="str">
        <f>VLOOKUP(A374,Лист2!A:E,5,0)</f>
        <v>малые</v>
      </c>
      <c r="E374" s="10">
        <f>VLOOKUP(A374,Лист2!A:E,4,0)</f>
        <v>2.5</v>
      </c>
      <c r="F374" s="11">
        <f t="shared" si="15"/>
        <v>-63351000</v>
      </c>
      <c r="G374" s="11">
        <f t="shared" si="16"/>
        <v>217453200</v>
      </c>
      <c r="H374" s="11">
        <f t="shared" si="17"/>
        <v>-25340400</v>
      </c>
    </row>
    <row r="375" spans="1:8">
      <c r="A375" s="6" t="s">
        <v>18</v>
      </c>
      <c r="B375" s="5">
        <v>1143000</v>
      </c>
      <c r="C375" s="5">
        <v>1757000</v>
      </c>
      <c r="D375" s="8" t="str">
        <f>VLOOKUP(A375,Лист2!A:E,5,0)</f>
        <v>малые</v>
      </c>
      <c r="E375" s="10">
        <f>VLOOKUP(A375,Лист2!A:E,4,0)</f>
        <v>2.5</v>
      </c>
      <c r="F375" s="11">
        <f t="shared" si="15"/>
        <v>-614000</v>
      </c>
      <c r="G375" s="11">
        <f t="shared" si="16"/>
        <v>457200</v>
      </c>
      <c r="H375" s="11">
        <f t="shared" si="17"/>
        <v>-245600</v>
      </c>
    </row>
    <row r="376" spans="1:8">
      <c r="A376" s="6" t="s">
        <v>18</v>
      </c>
      <c r="B376" s="5">
        <v>12642000</v>
      </c>
      <c r="C376" s="5">
        <v>5474000</v>
      </c>
      <c r="D376" s="8" t="str">
        <f>VLOOKUP(A376,Лист2!A:E,5,0)</f>
        <v>малые</v>
      </c>
      <c r="E376" s="10">
        <f>VLOOKUP(A376,Лист2!A:E,4,0)</f>
        <v>2.5</v>
      </c>
      <c r="F376" s="11">
        <f t="shared" si="15"/>
        <v>7168000</v>
      </c>
      <c r="G376" s="11">
        <f t="shared" si="16"/>
        <v>5056800</v>
      </c>
      <c r="H376" s="11">
        <f t="shared" si="17"/>
        <v>2867200</v>
      </c>
    </row>
    <row r="377" spans="1:8">
      <c r="A377" s="6" t="s">
        <v>18</v>
      </c>
      <c r="B377">
        <v>1030000</v>
      </c>
      <c r="C377">
        <v>1311000</v>
      </c>
      <c r="D377" s="8" t="str">
        <f>VLOOKUP(A377,Лист2!A:E,5,0)</f>
        <v>малые</v>
      </c>
      <c r="E377" s="10">
        <f>VLOOKUP(A377,Лист2!A:E,4,0)</f>
        <v>2.5</v>
      </c>
      <c r="F377" s="11">
        <f t="shared" ref="F377:F437" si="18">B377-C377</f>
        <v>-281000</v>
      </c>
      <c r="G377" s="11">
        <f t="shared" ref="G377:G437" si="19">B377/E377</f>
        <v>412000</v>
      </c>
      <c r="H377" s="11">
        <f t="shared" ref="H377:H437" si="20">F377/E377</f>
        <v>-112400</v>
      </c>
    </row>
    <row r="378" spans="1:8">
      <c r="A378" s="6" t="s">
        <v>18</v>
      </c>
      <c r="B378">
        <v>10390000</v>
      </c>
      <c r="C378">
        <v>8681000</v>
      </c>
      <c r="D378" s="8" t="str">
        <f>VLOOKUP(A378,Лист2!A:E,5,0)</f>
        <v>малые</v>
      </c>
      <c r="E378" s="10">
        <f>VLOOKUP(A378,Лист2!A:E,4,0)</f>
        <v>2.5</v>
      </c>
      <c r="F378" s="11">
        <f t="shared" si="18"/>
        <v>1709000</v>
      </c>
      <c r="G378" s="11">
        <f t="shared" si="19"/>
        <v>4156000</v>
      </c>
      <c r="H378" s="11">
        <f t="shared" si="20"/>
        <v>683600</v>
      </c>
    </row>
    <row r="379" spans="1:8">
      <c r="A379" s="6" t="s">
        <v>18</v>
      </c>
      <c r="B379">
        <v>436000</v>
      </c>
      <c r="C379">
        <v>428000</v>
      </c>
      <c r="D379" s="8" t="str">
        <f>VLOOKUP(A379,Лист2!A:E,5,0)</f>
        <v>малые</v>
      </c>
      <c r="E379" s="10">
        <f>VLOOKUP(A379,Лист2!A:E,4,0)</f>
        <v>2.5</v>
      </c>
      <c r="F379" s="11">
        <f t="shared" si="18"/>
        <v>8000</v>
      </c>
      <c r="G379" s="11">
        <f t="shared" si="19"/>
        <v>174400</v>
      </c>
      <c r="H379" s="11">
        <f t="shared" si="20"/>
        <v>3200</v>
      </c>
    </row>
    <row r="380" spans="1:8">
      <c r="A380" s="6" t="s">
        <v>22</v>
      </c>
      <c r="B380">
        <v>7245000</v>
      </c>
      <c r="C380">
        <v>6065000</v>
      </c>
      <c r="D380" s="8" t="str">
        <f>VLOOKUP(A380,Лист2!A:E,5,0)</f>
        <v>малые</v>
      </c>
      <c r="E380" s="10">
        <f>VLOOKUP(A380,Лист2!A:E,4,0)</f>
        <v>13</v>
      </c>
      <c r="F380" s="11">
        <f t="shared" si="18"/>
        <v>1180000</v>
      </c>
      <c r="G380" s="11">
        <f t="shared" si="19"/>
        <v>557307.69230769225</v>
      </c>
      <c r="H380" s="11">
        <f t="shared" si="20"/>
        <v>90769.230769230766</v>
      </c>
    </row>
    <row r="381" spans="1:8">
      <c r="A381" s="6" t="s">
        <v>18</v>
      </c>
      <c r="B381">
        <v>1779000</v>
      </c>
      <c r="C381">
        <v>2017000</v>
      </c>
      <c r="D381" s="8" t="str">
        <f>VLOOKUP(A381,Лист2!A:E,5,0)</f>
        <v>малые</v>
      </c>
      <c r="E381" s="10">
        <f>VLOOKUP(A381,Лист2!A:E,4,0)</f>
        <v>2.5</v>
      </c>
      <c r="F381" s="11">
        <f t="shared" si="18"/>
        <v>-238000</v>
      </c>
      <c r="G381" s="11">
        <f t="shared" si="19"/>
        <v>711600</v>
      </c>
      <c r="H381" s="11">
        <f t="shared" si="20"/>
        <v>-95200</v>
      </c>
    </row>
    <row r="382" spans="1:8">
      <c r="A382" s="6" t="s">
        <v>22</v>
      </c>
      <c r="B382">
        <v>349895000</v>
      </c>
      <c r="C382">
        <v>352614000</v>
      </c>
      <c r="D382" s="8" t="str">
        <f>VLOOKUP(A382,Лист2!A:E,5,0)</f>
        <v>малые</v>
      </c>
      <c r="E382" s="10">
        <f>VLOOKUP(A382,Лист2!A:E,4,0)</f>
        <v>13</v>
      </c>
      <c r="F382" s="11">
        <f t="shared" si="18"/>
        <v>-2719000</v>
      </c>
      <c r="G382" s="11">
        <f t="shared" si="19"/>
        <v>26915000</v>
      </c>
      <c r="H382" s="11">
        <f t="shared" si="20"/>
        <v>-209153.84615384616</v>
      </c>
    </row>
    <row r="383" spans="1:8">
      <c r="A383" s="6" t="s">
        <v>18</v>
      </c>
      <c r="B383">
        <v>4000000</v>
      </c>
      <c r="C383">
        <v>4328000</v>
      </c>
      <c r="D383" s="8" t="str">
        <f>VLOOKUP(A383,Лист2!A:E,5,0)</f>
        <v>малые</v>
      </c>
      <c r="E383" s="10">
        <f>VLOOKUP(A383,Лист2!A:E,4,0)</f>
        <v>2.5</v>
      </c>
      <c r="F383" s="11">
        <f t="shared" si="18"/>
        <v>-328000</v>
      </c>
      <c r="G383" s="11">
        <f t="shared" si="19"/>
        <v>1600000</v>
      </c>
      <c r="H383" s="11">
        <f t="shared" si="20"/>
        <v>-131200</v>
      </c>
    </row>
    <row r="384" spans="1:8">
      <c r="A384" s="6" t="s">
        <v>18</v>
      </c>
      <c r="B384">
        <v>1100000</v>
      </c>
      <c r="C384">
        <v>1100000</v>
      </c>
      <c r="D384" s="8" t="str">
        <f>VLOOKUP(A384,Лист2!A:E,5,0)</f>
        <v>малые</v>
      </c>
      <c r="E384" s="10">
        <f>VLOOKUP(A384,Лист2!A:E,4,0)</f>
        <v>2.5</v>
      </c>
      <c r="F384" s="11">
        <f t="shared" si="18"/>
        <v>0</v>
      </c>
      <c r="G384" s="11">
        <f t="shared" si="19"/>
        <v>440000</v>
      </c>
      <c r="H384" s="11">
        <f t="shared" si="20"/>
        <v>0</v>
      </c>
    </row>
    <row r="385" spans="1:8">
      <c r="A385" s="6" t="s">
        <v>18</v>
      </c>
      <c r="B385">
        <v>18501000</v>
      </c>
      <c r="C385">
        <v>18453000</v>
      </c>
      <c r="D385" s="8" t="str">
        <f>VLOOKUP(A385,Лист2!A:E,5,0)</f>
        <v>малые</v>
      </c>
      <c r="E385" s="10">
        <f>VLOOKUP(A385,Лист2!A:E,4,0)</f>
        <v>2.5</v>
      </c>
      <c r="F385" s="11">
        <f t="shared" si="18"/>
        <v>48000</v>
      </c>
      <c r="G385" s="11">
        <f t="shared" si="19"/>
        <v>7400400</v>
      </c>
      <c r="H385" s="11">
        <f t="shared" si="20"/>
        <v>19200</v>
      </c>
    </row>
    <row r="386" spans="1:8">
      <c r="A386" s="6" t="s">
        <v>18</v>
      </c>
      <c r="B386">
        <v>143662000</v>
      </c>
      <c r="C386">
        <v>145571000</v>
      </c>
      <c r="D386" s="8" t="str">
        <f>VLOOKUP(A386,Лист2!A:E,5,0)</f>
        <v>малые</v>
      </c>
      <c r="E386" s="10">
        <f>VLOOKUP(A386,Лист2!A:E,4,0)</f>
        <v>2.5</v>
      </c>
      <c r="F386" s="11">
        <f t="shared" si="18"/>
        <v>-1909000</v>
      </c>
      <c r="G386" s="11">
        <f t="shared" si="19"/>
        <v>57464800</v>
      </c>
      <c r="H386" s="11">
        <f t="shared" si="20"/>
        <v>-763600</v>
      </c>
    </row>
    <row r="387" spans="1:8">
      <c r="A387" s="6" t="s">
        <v>18</v>
      </c>
      <c r="B387">
        <v>894000</v>
      </c>
      <c r="C387">
        <v>670000</v>
      </c>
      <c r="D387" s="8" t="str">
        <f>VLOOKUP(A387,Лист2!A:E,5,0)</f>
        <v>малые</v>
      </c>
      <c r="E387" s="10">
        <f>VLOOKUP(A387,Лист2!A:E,4,0)</f>
        <v>2.5</v>
      </c>
      <c r="F387" s="11">
        <f t="shared" si="18"/>
        <v>224000</v>
      </c>
      <c r="G387" s="11">
        <f t="shared" si="19"/>
        <v>357600</v>
      </c>
      <c r="H387" s="11">
        <f t="shared" si="20"/>
        <v>89600</v>
      </c>
    </row>
    <row r="388" spans="1:8">
      <c r="A388" s="6" t="s">
        <v>18</v>
      </c>
      <c r="B388">
        <v>1502000</v>
      </c>
      <c r="C388">
        <v>1441000</v>
      </c>
      <c r="D388" s="8" t="str">
        <f>VLOOKUP(A388,Лист2!A:E,5,0)</f>
        <v>малые</v>
      </c>
      <c r="E388" s="10">
        <f>VLOOKUP(A388,Лист2!A:E,4,0)</f>
        <v>2.5</v>
      </c>
      <c r="F388" s="11">
        <f t="shared" si="18"/>
        <v>61000</v>
      </c>
      <c r="G388" s="11">
        <f t="shared" si="19"/>
        <v>600800</v>
      </c>
      <c r="H388" s="11">
        <f t="shared" si="20"/>
        <v>24400</v>
      </c>
    </row>
    <row r="389" spans="1:8">
      <c r="A389" s="6" t="s">
        <v>18</v>
      </c>
      <c r="B389">
        <v>17936000</v>
      </c>
      <c r="C389">
        <v>17591000</v>
      </c>
      <c r="D389" s="8" t="str">
        <f>VLOOKUP(A389,Лист2!A:E,5,0)</f>
        <v>малые</v>
      </c>
      <c r="E389" s="10">
        <f>VLOOKUP(A389,Лист2!A:E,4,0)</f>
        <v>2.5</v>
      </c>
      <c r="F389" s="11">
        <f t="shared" si="18"/>
        <v>345000</v>
      </c>
      <c r="G389" s="11">
        <f t="shared" si="19"/>
        <v>7174400</v>
      </c>
      <c r="H389" s="11">
        <f t="shared" si="20"/>
        <v>138000</v>
      </c>
    </row>
    <row r="390" spans="1:8">
      <c r="A390" s="6" t="s">
        <v>18</v>
      </c>
      <c r="B390">
        <v>130383000</v>
      </c>
      <c r="C390">
        <v>82391000</v>
      </c>
      <c r="D390" s="8" t="str">
        <f>VLOOKUP(A390,Лист2!A:E,5,0)</f>
        <v>малые</v>
      </c>
      <c r="E390" s="10">
        <f>VLOOKUP(A390,Лист2!A:E,4,0)</f>
        <v>2.5</v>
      </c>
      <c r="F390" s="11">
        <f t="shared" si="18"/>
        <v>47992000</v>
      </c>
      <c r="G390" s="11">
        <f t="shared" si="19"/>
        <v>52153200</v>
      </c>
      <c r="H390" s="11">
        <f t="shared" si="20"/>
        <v>19196800</v>
      </c>
    </row>
    <row r="391" spans="1:8">
      <c r="A391" s="6" t="s">
        <v>18</v>
      </c>
      <c r="B391">
        <v>1645000</v>
      </c>
      <c r="C391">
        <v>1737000</v>
      </c>
      <c r="D391" s="8" t="str">
        <f>VLOOKUP(A391,Лист2!A:E,5,0)</f>
        <v>малые</v>
      </c>
      <c r="E391" s="10">
        <f>VLOOKUP(A391,Лист2!A:E,4,0)</f>
        <v>2.5</v>
      </c>
      <c r="F391" s="11">
        <f t="shared" si="18"/>
        <v>-92000</v>
      </c>
      <c r="G391" s="11">
        <f t="shared" si="19"/>
        <v>658000</v>
      </c>
      <c r="H391" s="11">
        <f t="shared" si="20"/>
        <v>-36800</v>
      </c>
    </row>
    <row r="392" spans="1:8">
      <c r="A392" s="6" t="s">
        <v>18</v>
      </c>
      <c r="B392">
        <v>1300000</v>
      </c>
      <c r="C392">
        <v>1204000</v>
      </c>
      <c r="D392" s="8" t="str">
        <f>VLOOKUP(A392,Лист2!A:E,5,0)</f>
        <v>малые</v>
      </c>
      <c r="E392" s="10">
        <f>VLOOKUP(A392,Лист2!A:E,4,0)</f>
        <v>2.5</v>
      </c>
      <c r="F392" s="11">
        <f t="shared" si="18"/>
        <v>96000</v>
      </c>
      <c r="G392" s="11">
        <f t="shared" si="19"/>
        <v>520000</v>
      </c>
      <c r="H392" s="11">
        <f t="shared" si="20"/>
        <v>38400</v>
      </c>
    </row>
    <row r="393" spans="1:8">
      <c r="A393" s="6" t="s">
        <v>18</v>
      </c>
      <c r="B393">
        <v>1603000</v>
      </c>
      <c r="C393">
        <v>1235000</v>
      </c>
      <c r="D393" s="8" t="str">
        <f>VLOOKUP(A393,Лист2!A:E,5,0)</f>
        <v>малые</v>
      </c>
      <c r="E393" s="10">
        <f>VLOOKUP(A393,Лист2!A:E,4,0)</f>
        <v>2.5</v>
      </c>
      <c r="F393" s="11">
        <f t="shared" si="18"/>
        <v>368000</v>
      </c>
      <c r="G393" s="11">
        <f t="shared" si="19"/>
        <v>641200</v>
      </c>
      <c r="H393" s="11">
        <f t="shared" si="20"/>
        <v>147200</v>
      </c>
    </row>
    <row r="394" spans="1:8">
      <c r="A394" s="6" t="s">
        <v>18</v>
      </c>
      <c r="B394">
        <v>90000</v>
      </c>
      <c r="C394">
        <v>391000</v>
      </c>
      <c r="D394" s="8" t="str">
        <f>VLOOKUP(A394,Лист2!A:E,5,0)</f>
        <v>малые</v>
      </c>
      <c r="E394" s="10">
        <f>VLOOKUP(A394,Лист2!A:E,4,0)</f>
        <v>2.5</v>
      </c>
      <c r="F394" s="11">
        <f t="shared" si="18"/>
        <v>-301000</v>
      </c>
      <c r="G394" s="11">
        <f t="shared" si="19"/>
        <v>36000</v>
      </c>
      <c r="H394" s="11">
        <f t="shared" si="20"/>
        <v>-120400</v>
      </c>
    </row>
    <row r="395" spans="1:8">
      <c r="A395" s="6" t="s">
        <v>18</v>
      </c>
      <c r="B395">
        <v>3806000</v>
      </c>
      <c r="C395">
        <v>1963000</v>
      </c>
      <c r="D395" s="8" t="str">
        <f>VLOOKUP(A395,Лист2!A:E,5,0)</f>
        <v>малые</v>
      </c>
      <c r="E395" s="10">
        <f>VLOOKUP(A395,Лист2!A:E,4,0)</f>
        <v>2.5</v>
      </c>
      <c r="F395" s="11">
        <f t="shared" si="18"/>
        <v>1843000</v>
      </c>
      <c r="G395" s="11">
        <f t="shared" si="19"/>
        <v>1522400</v>
      </c>
      <c r="H395" s="11">
        <f t="shared" si="20"/>
        <v>737200</v>
      </c>
    </row>
    <row r="396" spans="1:8">
      <c r="A396" s="6" t="s">
        <v>18</v>
      </c>
      <c r="B396">
        <v>50576000</v>
      </c>
      <c r="C396">
        <v>50353000</v>
      </c>
      <c r="D396" s="8" t="str">
        <f>VLOOKUP(A396,Лист2!A:E,5,0)</f>
        <v>малые</v>
      </c>
      <c r="E396" s="10">
        <f>VLOOKUP(A396,Лист2!A:E,4,0)</f>
        <v>2.5</v>
      </c>
      <c r="F396" s="11">
        <f t="shared" si="18"/>
        <v>223000</v>
      </c>
      <c r="G396" s="11">
        <f t="shared" si="19"/>
        <v>20230400</v>
      </c>
      <c r="H396" s="11">
        <f t="shared" si="20"/>
        <v>89200</v>
      </c>
    </row>
    <row r="397" spans="1:8">
      <c r="A397" s="6" t="s">
        <v>77</v>
      </c>
      <c r="B397">
        <v>24123000</v>
      </c>
      <c r="C397">
        <v>24927000</v>
      </c>
      <c r="D397" s="8" t="str">
        <f>VLOOKUP(A397,Лист2!A:E,5,0)</f>
        <v>малые</v>
      </c>
      <c r="E397" s="10">
        <f>VLOOKUP(A397,Лист2!A:E,4,0)</f>
        <v>8</v>
      </c>
      <c r="F397" s="11">
        <f t="shared" si="18"/>
        <v>-804000</v>
      </c>
      <c r="G397" s="11">
        <f t="shared" si="19"/>
        <v>3015375</v>
      </c>
      <c r="H397" s="11">
        <f t="shared" si="20"/>
        <v>-100500</v>
      </c>
    </row>
    <row r="398" spans="1:8">
      <c r="A398" s="6" t="s">
        <v>18</v>
      </c>
      <c r="B398">
        <v>1625000</v>
      </c>
      <c r="C398">
        <v>1266000</v>
      </c>
      <c r="D398" s="8" t="str">
        <f>VLOOKUP(A398,Лист2!A:E,5,0)</f>
        <v>малые</v>
      </c>
      <c r="E398" s="10">
        <f>VLOOKUP(A398,Лист2!A:E,4,0)</f>
        <v>2.5</v>
      </c>
      <c r="F398" s="11">
        <f t="shared" si="18"/>
        <v>359000</v>
      </c>
      <c r="G398" s="11">
        <f t="shared" si="19"/>
        <v>650000</v>
      </c>
      <c r="H398" s="11">
        <f t="shared" si="20"/>
        <v>143600</v>
      </c>
    </row>
    <row r="399" spans="1:8">
      <c r="A399" s="6" t="s">
        <v>22</v>
      </c>
      <c r="B399">
        <v>14543000</v>
      </c>
      <c r="C399">
        <v>14541000</v>
      </c>
      <c r="D399" s="8" t="str">
        <f>VLOOKUP(A399,Лист2!A:E,5,0)</f>
        <v>малые</v>
      </c>
      <c r="E399" s="10">
        <f>VLOOKUP(A399,Лист2!A:E,4,0)</f>
        <v>13</v>
      </c>
      <c r="F399" s="11">
        <f t="shared" si="18"/>
        <v>2000</v>
      </c>
      <c r="G399" s="11">
        <f t="shared" si="19"/>
        <v>1118692.3076923077</v>
      </c>
      <c r="H399" s="11">
        <f t="shared" si="20"/>
        <v>153.84615384615384</v>
      </c>
    </row>
    <row r="400" spans="1:8">
      <c r="A400" s="6" t="s">
        <v>18</v>
      </c>
      <c r="B400">
        <v>1322000</v>
      </c>
      <c r="C400">
        <v>1291000</v>
      </c>
      <c r="D400" s="8" t="str">
        <f>VLOOKUP(A400,Лист2!A:E,5,0)</f>
        <v>малые</v>
      </c>
      <c r="E400" s="10">
        <f>VLOOKUP(A400,Лист2!A:E,4,0)</f>
        <v>2.5</v>
      </c>
      <c r="F400" s="11">
        <f t="shared" si="18"/>
        <v>31000</v>
      </c>
      <c r="G400" s="11">
        <f t="shared" si="19"/>
        <v>528800</v>
      </c>
      <c r="H400" s="11">
        <f t="shared" si="20"/>
        <v>12400</v>
      </c>
    </row>
    <row r="401" spans="1:8">
      <c r="A401" s="6" t="s">
        <v>18</v>
      </c>
      <c r="B401">
        <v>4231000</v>
      </c>
      <c r="C401">
        <v>3668000</v>
      </c>
      <c r="D401" s="8" t="str">
        <f>VLOOKUP(A401,Лист2!A:E,5,0)</f>
        <v>малые</v>
      </c>
      <c r="E401" s="10">
        <f>VLOOKUP(A401,Лист2!A:E,4,0)</f>
        <v>2.5</v>
      </c>
      <c r="F401" s="11">
        <f t="shared" si="18"/>
        <v>563000</v>
      </c>
      <c r="G401" s="11">
        <f t="shared" si="19"/>
        <v>1692400</v>
      </c>
      <c r="H401" s="11">
        <f t="shared" si="20"/>
        <v>225200</v>
      </c>
    </row>
    <row r="402" spans="1:8">
      <c r="A402" s="6" t="s">
        <v>18</v>
      </c>
      <c r="B402">
        <v>315000</v>
      </c>
      <c r="C402">
        <v>325000</v>
      </c>
      <c r="D402" s="8" t="str">
        <f>VLOOKUP(A402,Лист2!A:E,5,0)</f>
        <v>малые</v>
      </c>
      <c r="E402" s="10">
        <f>VLOOKUP(A402,Лист2!A:E,4,0)</f>
        <v>2.5</v>
      </c>
      <c r="F402" s="11">
        <f t="shared" si="18"/>
        <v>-10000</v>
      </c>
      <c r="G402" s="11">
        <f t="shared" si="19"/>
        <v>126000</v>
      </c>
      <c r="H402" s="11">
        <f t="shared" si="20"/>
        <v>-4000</v>
      </c>
    </row>
    <row r="403" spans="1:8">
      <c r="A403" s="6" t="s">
        <v>18</v>
      </c>
      <c r="B403">
        <v>95000</v>
      </c>
      <c r="C403">
        <v>95000</v>
      </c>
      <c r="D403" s="8" t="str">
        <f>VLOOKUP(A403,Лист2!A:E,5,0)</f>
        <v>малые</v>
      </c>
      <c r="E403" s="10">
        <f>VLOOKUP(A403,Лист2!A:E,4,0)</f>
        <v>2.5</v>
      </c>
      <c r="F403" s="11">
        <f t="shared" si="18"/>
        <v>0</v>
      </c>
      <c r="G403" s="11">
        <f t="shared" si="19"/>
        <v>38000</v>
      </c>
      <c r="H403" s="11">
        <f t="shared" si="20"/>
        <v>0</v>
      </c>
    </row>
    <row r="404" spans="1:8">
      <c r="A404" s="6" t="s">
        <v>18</v>
      </c>
      <c r="B404">
        <v>144000</v>
      </c>
      <c r="C404">
        <v>144000</v>
      </c>
      <c r="D404" s="8" t="str">
        <f>VLOOKUP(A404,Лист2!A:E,5,0)</f>
        <v>малые</v>
      </c>
      <c r="E404" s="10">
        <f>VLOOKUP(A404,Лист2!A:E,4,0)</f>
        <v>2.5</v>
      </c>
      <c r="F404" s="11">
        <f t="shared" si="18"/>
        <v>0</v>
      </c>
      <c r="G404" s="11">
        <f t="shared" si="19"/>
        <v>57600</v>
      </c>
      <c r="H404" s="11">
        <f t="shared" si="20"/>
        <v>0</v>
      </c>
    </row>
    <row r="405" spans="1:8">
      <c r="A405" s="6" t="s">
        <v>18</v>
      </c>
      <c r="B405">
        <v>426000</v>
      </c>
      <c r="C405">
        <v>25000</v>
      </c>
      <c r="D405" s="8" t="str">
        <f>VLOOKUP(A405,Лист2!A:E,5,0)</f>
        <v>малые</v>
      </c>
      <c r="E405" s="10">
        <f>VLOOKUP(A405,Лист2!A:E,4,0)</f>
        <v>2.5</v>
      </c>
      <c r="F405" s="11">
        <f t="shared" si="18"/>
        <v>401000</v>
      </c>
      <c r="G405" s="11">
        <f t="shared" si="19"/>
        <v>170400</v>
      </c>
      <c r="H405" s="11">
        <f t="shared" si="20"/>
        <v>160400</v>
      </c>
    </row>
    <row r="406" spans="1:8">
      <c r="A406" s="6" t="s">
        <v>18</v>
      </c>
      <c r="B406">
        <v>3713000</v>
      </c>
      <c r="C406">
        <v>3509000</v>
      </c>
      <c r="D406" s="8" t="str">
        <f>VLOOKUP(A406,Лист2!A:E,5,0)</f>
        <v>малые</v>
      </c>
      <c r="E406" s="10">
        <f>VLOOKUP(A406,Лист2!A:E,4,0)</f>
        <v>2.5</v>
      </c>
      <c r="F406" s="11">
        <f t="shared" si="18"/>
        <v>204000</v>
      </c>
      <c r="G406" s="11">
        <f t="shared" si="19"/>
        <v>1485200</v>
      </c>
      <c r="H406" s="11">
        <f t="shared" si="20"/>
        <v>81600</v>
      </c>
    </row>
    <row r="407" spans="1:8">
      <c r="A407" s="6" t="s">
        <v>18</v>
      </c>
      <c r="B407">
        <v>7378000</v>
      </c>
      <c r="C407">
        <v>8729000</v>
      </c>
      <c r="D407" s="8" t="str">
        <f>VLOOKUP(A407,Лист2!A:E,5,0)</f>
        <v>малые</v>
      </c>
      <c r="E407" s="10">
        <f>VLOOKUP(A407,Лист2!A:E,4,0)</f>
        <v>2.5</v>
      </c>
      <c r="F407" s="11">
        <f t="shared" si="18"/>
        <v>-1351000</v>
      </c>
      <c r="G407" s="11">
        <f t="shared" si="19"/>
        <v>2951200</v>
      </c>
      <c r="H407" s="11">
        <f t="shared" si="20"/>
        <v>-540400</v>
      </c>
    </row>
    <row r="408" spans="1:8">
      <c r="A408" s="6" t="s">
        <v>18</v>
      </c>
      <c r="B408">
        <v>5007000</v>
      </c>
      <c r="C408">
        <v>4433000</v>
      </c>
      <c r="D408" s="8" t="str">
        <f>VLOOKUP(A408,Лист2!A:E,5,0)</f>
        <v>малые</v>
      </c>
      <c r="E408" s="10">
        <f>VLOOKUP(A408,Лист2!A:E,4,0)</f>
        <v>2.5</v>
      </c>
      <c r="F408" s="11">
        <f t="shared" si="18"/>
        <v>574000</v>
      </c>
      <c r="G408" s="11">
        <f t="shared" si="19"/>
        <v>2002800</v>
      </c>
      <c r="H408" s="11">
        <f t="shared" si="20"/>
        <v>229600</v>
      </c>
    </row>
    <row r="409" spans="1:8">
      <c r="A409" s="6" t="s">
        <v>18</v>
      </c>
      <c r="B409">
        <v>3980000</v>
      </c>
      <c r="C409">
        <v>3638000</v>
      </c>
      <c r="D409" s="8" t="str">
        <f>VLOOKUP(A409,Лист2!A:E,5,0)</f>
        <v>малые</v>
      </c>
      <c r="E409" s="10">
        <f>VLOOKUP(A409,Лист2!A:E,4,0)</f>
        <v>2.5</v>
      </c>
      <c r="F409" s="11">
        <f t="shared" si="18"/>
        <v>342000</v>
      </c>
      <c r="G409" s="11">
        <f t="shared" si="19"/>
        <v>1592000</v>
      </c>
      <c r="H409" s="11">
        <f t="shared" si="20"/>
        <v>136800</v>
      </c>
    </row>
    <row r="410" spans="1:8">
      <c r="A410" s="6" t="s">
        <v>18</v>
      </c>
      <c r="B410">
        <v>5141000</v>
      </c>
      <c r="C410">
        <v>5437000</v>
      </c>
      <c r="D410" s="8" t="str">
        <f>VLOOKUP(A410,Лист2!A:E,5,0)</f>
        <v>малые</v>
      </c>
      <c r="E410" s="10">
        <f>VLOOKUP(A410,Лист2!A:E,4,0)</f>
        <v>2.5</v>
      </c>
      <c r="F410" s="11">
        <f t="shared" si="18"/>
        <v>-296000</v>
      </c>
      <c r="G410" s="11">
        <f t="shared" si="19"/>
        <v>2056400</v>
      </c>
      <c r="H410" s="11">
        <f t="shared" si="20"/>
        <v>-118400</v>
      </c>
    </row>
    <row r="411" spans="1:8">
      <c r="A411" s="6" t="s">
        <v>18</v>
      </c>
      <c r="B411">
        <v>681000</v>
      </c>
      <c r="C411">
        <v>1884000</v>
      </c>
      <c r="D411" s="8" t="str">
        <f>VLOOKUP(A411,Лист2!A:E,5,0)</f>
        <v>малые</v>
      </c>
      <c r="E411" s="10">
        <f>VLOOKUP(A411,Лист2!A:E,4,0)</f>
        <v>2.5</v>
      </c>
      <c r="F411" s="11">
        <f t="shared" si="18"/>
        <v>-1203000</v>
      </c>
      <c r="G411" s="11">
        <f t="shared" si="19"/>
        <v>272400</v>
      </c>
      <c r="H411" s="11">
        <f t="shared" si="20"/>
        <v>-481200</v>
      </c>
    </row>
    <row r="412" spans="1:8">
      <c r="A412" s="6" t="s">
        <v>18</v>
      </c>
      <c r="B412">
        <v>4412000</v>
      </c>
      <c r="C412">
        <v>5838000</v>
      </c>
      <c r="D412" s="8" t="str">
        <f>VLOOKUP(A412,Лист2!A:E,5,0)</f>
        <v>малые</v>
      </c>
      <c r="E412" s="10">
        <f>VLOOKUP(A412,Лист2!A:E,4,0)</f>
        <v>2.5</v>
      </c>
      <c r="F412" s="11">
        <f t="shared" si="18"/>
        <v>-1426000</v>
      </c>
      <c r="G412" s="11">
        <f t="shared" si="19"/>
        <v>1764800</v>
      </c>
      <c r="H412" s="11">
        <f t="shared" si="20"/>
        <v>-570400</v>
      </c>
    </row>
    <row r="413" spans="1:8">
      <c r="A413" s="6" t="s">
        <v>18</v>
      </c>
      <c r="B413">
        <v>509000</v>
      </c>
      <c r="C413">
        <v>511000</v>
      </c>
      <c r="D413" s="8" t="str">
        <f>VLOOKUP(A413,Лист2!A:E,5,0)</f>
        <v>малые</v>
      </c>
      <c r="E413" s="10">
        <f>VLOOKUP(A413,Лист2!A:E,4,0)</f>
        <v>2.5</v>
      </c>
      <c r="F413" s="11">
        <f t="shared" si="18"/>
        <v>-2000</v>
      </c>
      <c r="G413" s="11">
        <f t="shared" si="19"/>
        <v>203600</v>
      </c>
      <c r="H413" s="11">
        <f t="shared" si="20"/>
        <v>-800</v>
      </c>
    </row>
    <row r="414" spans="1:8">
      <c r="A414" s="6" t="s">
        <v>18</v>
      </c>
      <c r="B414">
        <v>87175000</v>
      </c>
      <c r="C414">
        <v>83982000</v>
      </c>
      <c r="D414" s="8" t="str">
        <f>VLOOKUP(A414,Лист2!A:E,5,0)</f>
        <v>малые</v>
      </c>
      <c r="E414" s="10">
        <f>VLOOKUP(A414,Лист2!A:E,4,0)</f>
        <v>2.5</v>
      </c>
      <c r="F414" s="11">
        <f t="shared" si="18"/>
        <v>3193000</v>
      </c>
      <c r="G414" s="11">
        <f t="shared" si="19"/>
        <v>34870000</v>
      </c>
      <c r="H414" s="11">
        <f t="shared" si="20"/>
        <v>1277200</v>
      </c>
    </row>
    <row r="415" spans="1:8">
      <c r="A415" s="6" t="s">
        <v>23</v>
      </c>
      <c r="B415">
        <v>32744000</v>
      </c>
      <c r="C415">
        <v>48533000</v>
      </c>
      <c r="D415" s="8" t="str">
        <f>VLOOKUP(A415,Лист2!A:E,5,0)</f>
        <v>средние</v>
      </c>
      <c r="E415" s="10">
        <f>VLOOKUP(A415,Лист2!A:E,4,0)</f>
        <v>75.5</v>
      </c>
      <c r="F415" s="11">
        <f t="shared" si="18"/>
        <v>-15789000</v>
      </c>
      <c r="G415" s="11">
        <f t="shared" si="19"/>
        <v>433695.36423841061</v>
      </c>
      <c r="H415" s="11">
        <f t="shared" si="20"/>
        <v>-209125.82781456952</v>
      </c>
    </row>
    <row r="416" spans="1:8">
      <c r="A416" s="6" t="s">
        <v>22</v>
      </c>
      <c r="B416">
        <v>33149000</v>
      </c>
      <c r="C416">
        <v>33033000</v>
      </c>
      <c r="D416" s="8" t="str">
        <f>VLOOKUP(A416,Лист2!A:E,5,0)</f>
        <v>малые</v>
      </c>
      <c r="E416" s="10">
        <f>VLOOKUP(A416,Лист2!A:E,4,0)</f>
        <v>13</v>
      </c>
      <c r="F416" s="11">
        <f t="shared" si="18"/>
        <v>116000</v>
      </c>
      <c r="G416" s="11">
        <f t="shared" si="19"/>
        <v>2549923.076923077</v>
      </c>
      <c r="H416" s="11">
        <f t="shared" si="20"/>
        <v>8923.0769230769238</v>
      </c>
    </row>
    <row r="417" spans="1:8">
      <c r="A417" s="6" t="s">
        <v>18</v>
      </c>
      <c r="B417">
        <v>1000000</v>
      </c>
      <c r="C417">
        <v>1000000</v>
      </c>
      <c r="D417" s="8" t="str">
        <f>VLOOKUP(A417,Лист2!A:E,5,0)</f>
        <v>малые</v>
      </c>
      <c r="E417" s="10">
        <f>VLOOKUP(A417,Лист2!A:E,4,0)</f>
        <v>2.5</v>
      </c>
      <c r="F417" s="11">
        <f t="shared" si="18"/>
        <v>0</v>
      </c>
      <c r="G417" s="11">
        <f t="shared" si="19"/>
        <v>400000</v>
      </c>
      <c r="H417" s="11">
        <f t="shared" si="20"/>
        <v>0</v>
      </c>
    </row>
    <row r="418" spans="1:8">
      <c r="A418" s="6" t="s">
        <v>18</v>
      </c>
      <c r="B418">
        <v>1724000</v>
      </c>
      <c r="C418">
        <v>1989000</v>
      </c>
      <c r="D418" s="8" t="str">
        <f>VLOOKUP(A418,Лист2!A:E,5,0)</f>
        <v>малые</v>
      </c>
      <c r="E418" s="10">
        <f>VLOOKUP(A418,Лист2!A:E,4,0)</f>
        <v>2.5</v>
      </c>
      <c r="F418" s="11">
        <f t="shared" si="18"/>
        <v>-265000</v>
      </c>
      <c r="G418" s="11">
        <f t="shared" si="19"/>
        <v>689600</v>
      </c>
      <c r="H418" s="11">
        <f t="shared" si="20"/>
        <v>-106000</v>
      </c>
    </row>
    <row r="419" spans="1:8">
      <c r="A419" s="6" t="s">
        <v>18</v>
      </c>
      <c r="B419">
        <v>2250000</v>
      </c>
      <c r="C419">
        <v>2174000</v>
      </c>
      <c r="D419" s="8" t="str">
        <f>VLOOKUP(A419,Лист2!A:E,5,0)</f>
        <v>малые</v>
      </c>
      <c r="E419" s="10">
        <f>VLOOKUP(A419,Лист2!A:E,4,0)</f>
        <v>2.5</v>
      </c>
      <c r="F419" s="11">
        <f t="shared" si="18"/>
        <v>76000</v>
      </c>
      <c r="G419" s="11">
        <f t="shared" si="19"/>
        <v>900000</v>
      </c>
      <c r="H419" s="11">
        <f t="shared" si="20"/>
        <v>30400</v>
      </c>
    </row>
    <row r="420" spans="1:8">
      <c r="A420" s="6" t="s">
        <v>18</v>
      </c>
      <c r="B420">
        <v>300000</v>
      </c>
      <c r="C420">
        <v>225000</v>
      </c>
      <c r="D420" s="8" t="str">
        <f>VLOOKUP(A420,Лист2!A:E,5,0)</f>
        <v>малые</v>
      </c>
      <c r="E420" s="10">
        <f>VLOOKUP(A420,Лист2!A:E,4,0)</f>
        <v>2.5</v>
      </c>
      <c r="F420" s="11">
        <f t="shared" si="18"/>
        <v>75000</v>
      </c>
      <c r="G420" s="11">
        <f t="shared" si="19"/>
        <v>120000</v>
      </c>
      <c r="H420" s="11">
        <f t="shared" si="20"/>
        <v>30000</v>
      </c>
    </row>
    <row r="421" spans="1:8">
      <c r="A421" s="6" t="s">
        <v>18</v>
      </c>
      <c r="B421">
        <v>2990000</v>
      </c>
      <c r="C421">
        <v>6231000</v>
      </c>
      <c r="D421" s="8" t="str">
        <f>VLOOKUP(A421,Лист2!A:E,5,0)</f>
        <v>малые</v>
      </c>
      <c r="E421" s="10">
        <f>VLOOKUP(A421,Лист2!A:E,4,0)</f>
        <v>2.5</v>
      </c>
      <c r="F421" s="11">
        <f t="shared" si="18"/>
        <v>-3241000</v>
      </c>
      <c r="G421" s="11">
        <f t="shared" si="19"/>
        <v>1196000</v>
      </c>
      <c r="H421" s="11">
        <f t="shared" si="20"/>
        <v>-1296400</v>
      </c>
    </row>
    <row r="422" spans="1:8">
      <c r="A422" s="6" t="s">
        <v>22</v>
      </c>
      <c r="B422">
        <v>28256000</v>
      </c>
      <c r="C422">
        <v>28319000</v>
      </c>
      <c r="D422" s="8" t="str">
        <f>VLOOKUP(A422,Лист2!A:E,5,0)</f>
        <v>малые</v>
      </c>
      <c r="E422" s="10">
        <f>VLOOKUP(A422,Лист2!A:E,4,0)</f>
        <v>13</v>
      </c>
      <c r="F422" s="11">
        <f t="shared" si="18"/>
        <v>-63000</v>
      </c>
      <c r="G422" s="11">
        <f t="shared" si="19"/>
        <v>2173538.4615384615</v>
      </c>
      <c r="H422" s="11">
        <f t="shared" si="20"/>
        <v>-4846.1538461538457</v>
      </c>
    </row>
    <row r="423" spans="1:8">
      <c r="A423" s="6" t="s">
        <v>18</v>
      </c>
      <c r="B423">
        <v>1660000</v>
      </c>
      <c r="C423">
        <v>1836000</v>
      </c>
      <c r="D423" s="8" t="str">
        <f>VLOOKUP(A423,Лист2!A:E,5,0)</f>
        <v>малые</v>
      </c>
      <c r="E423" s="10">
        <f>VLOOKUP(A423,Лист2!A:E,4,0)</f>
        <v>2.5</v>
      </c>
      <c r="F423" s="11">
        <f t="shared" si="18"/>
        <v>-176000</v>
      </c>
      <c r="G423" s="11">
        <f t="shared" si="19"/>
        <v>664000</v>
      </c>
      <c r="H423" s="11">
        <f t="shared" si="20"/>
        <v>-70400</v>
      </c>
    </row>
    <row r="424" spans="1:8">
      <c r="A424" s="6" t="s">
        <v>18</v>
      </c>
      <c r="B424">
        <v>28000</v>
      </c>
      <c r="C424">
        <v>22000</v>
      </c>
      <c r="D424" s="8" t="str">
        <f>VLOOKUP(A424,Лист2!A:E,5,0)</f>
        <v>малые</v>
      </c>
      <c r="E424" s="10">
        <f>VLOOKUP(A424,Лист2!A:E,4,0)</f>
        <v>2.5</v>
      </c>
      <c r="F424" s="11">
        <f t="shared" si="18"/>
        <v>6000</v>
      </c>
      <c r="G424" s="11">
        <f t="shared" si="19"/>
        <v>11200</v>
      </c>
      <c r="H424" s="11">
        <f t="shared" si="20"/>
        <v>2400</v>
      </c>
    </row>
    <row r="425" spans="1:8">
      <c r="A425" s="6" t="s">
        <v>18</v>
      </c>
      <c r="B425">
        <v>9771000</v>
      </c>
      <c r="C425">
        <v>5975000</v>
      </c>
      <c r="D425" s="8" t="str">
        <f>VLOOKUP(A425,Лист2!A:E,5,0)</f>
        <v>малые</v>
      </c>
      <c r="E425" s="10">
        <f>VLOOKUP(A425,Лист2!A:E,4,0)</f>
        <v>2.5</v>
      </c>
      <c r="F425" s="11">
        <f t="shared" si="18"/>
        <v>3796000</v>
      </c>
      <c r="G425" s="11">
        <f t="shared" si="19"/>
        <v>3908400</v>
      </c>
      <c r="H425" s="11">
        <f t="shared" si="20"/>
        <v>1518400</v>
      </c>
    </row>
    <row r="426" spans="1:8">
      <c r="A426" s="6" t="s">
        <v>18</v>
      </c>
      <c r="B426">
        <v>179000</v>
      </c>
      <c r="C426">
        <v>179000</v>
      </c>
      <c r="D426" s="8" t="str">
        <f>VLOOKUP(A426,Лист2!A:E,5,0)</f>
        <v>малые</v>
      </c>
      <c r="E426" s="10">
        <f>VLOOKUP(A426,Лист2!A:E,4,0)</f>
        <v>2.5</v>
      </c>
      <c r="F426" s="11">
        <f t="shared" si="18"/>
        <v>0</v>
      </c>
      <c r="G426" s="11">
        <f t="shared" si="19"/>
        <v>71600</v>
      </c>
      <c r="H426" s="11">
        <f t="shared" si="20"/>
        <v>0</v>
      </c>
    </row>
    <row r="427" spans="1:8">
      <c r="A427" s="6" t="s">
        <v>18</v>
      </c>
      <c r="B427">
        <v>5890000</v>
      </c>
      <c r="C427">
        <v>6549000</v>
      </c>
      <c r="D427" s="8" t="str">
        <f>VLOOKUP(A427,Лист2!A:E,5,0)</f>
        <v>малые</v>
      </c>
      <c r="E427" s="10">
        <f>VLOOKUP(A427,Лист2!A:E,4,0)</f>
        <v>2.5</v>
      </c>
      <c r="F427" s="11">
        <f t="shared" si="18"/>
        <v>-659000</v>
      </c>
      <c r="G427" s="11">
        <f t="shared" si="19"/>
        <v>2356000</v>
      </c>
      <c r="H427" s="11">
        <f t="shared" si="20"/>
        <v>-263600</v>
      </c>
    </row>
    <row r="428" spans="1:8">
      <c r="A428" s="6" t="s">
        <v>18</v>
      </c>
      <c r="B428">
        <v>53000</v>
      </c>
      <c r="C428">
        <v>53000</v>
      </c>
      <c r="D428" s="8" t="str">
        <f>VLOOKUP(A428,Лист2!A:E,5,0)</f>
        <v>малые</v>
      </c>
      <c r="E428" s="10">
        <f>VLOOKUP(A428,Лист2!A:E,4,0)</f>
        <v>2.5</v>
      </c>
      <c r="F428" s="11">
        <f t="shared" si="18"/>
        <v>0</v>
      </c>
      <c r="G428" s="11">
        <f t="shared" si="19"/>
        <v>21200</v>
      </c>
      <c r="H428" s="11">
        <f t="shared" si="20"/>
        <v>0</v>
      </c>
    </row>
    <row r="429" spans="1:8">
      <c r="A429" s="6" t="s">
        <v>18</v>
      </c>
      <c r="B429">
        <v>1553000</v>
      </c>
      <c r="C429">
        <v>1557000</v>
      </c>
      <c r="D429" s="8" t="str">
        <f>VLOOKUP(A429,Лист2!A:E,5,0)</f>
        <v>малые</v>
      </c>
      <c r="E429" s="10">
        <f>VLOOKUP(A429,Лист2!A:E,4,0)</f>
        <v>2.5</v>
      </c>
      <c r="F429" s="11">
        <f t="shared" si="18"/>
        <v>-4000</v>
      </c>
      <c r="G429" s="11">
        <f t="shared" si="19"/>
        <v>621200</v>
      </c>
      <c r="H429" s="11">
        <f t="shared" si="20"/>
        <v>-1600</v>
      </c>
    </row>
    <row r="430" spans="1:8">
      <c r="A430" s="6" t="s">
        <v>18</v>
      </c>
      <c r="B430">
        <v>13250000</v>
      </c>
      <c r="C430">
        <v>12881000</v>
      </c>
      <c r="D430" s="8" t="str">
        <f>VLOOKUP(A430,Лист2!A:E,5,0)</f>
        <v>малые</v>
      </c>
      <c r="E430" s="10">
        <f>VLOOKUP(A430,Лист2!A:E,4,0)</f>
        <v>2.5</v>
      </c>
      <c r="F430" s="11">
        <f t="shared" si="18"/>
        <v>369000</v>
      </c>
      <c r="G430" s="11">
        <f t="shared" si="19"/>
        <v>5300000</v>
      </c>
      <c r="H430" s="11">
        <f t="shared" si="20"/>
        <v>147600</v>
      </c>
    </row>
    <row r="431" spans="1:8">
      <c r="A431" s="6" t="s">
        <v>18</v>
      </c>
      <c r="B431">
        <v>274000</v>
      </c>
      <c r="C431">
        <v>274000</v>
      </c>
      <c r="D431" s="8" t="str">
        <f>VLOOKUP(A431,Лист2!A:E,5,0)</f>
        <v>малые</v>
      </c>
      <c r="E431" s="10">
        <f>VLOOKUP(A431,Лист2!A:E,4,0)</f>
        <v>2.5</v>
      </c>
      <c r="F431" s="11">
        <f t="shared" si="18"/>
        <v>0</v>
      </c>
      <c r="G431" s="11">
        <f t="shared" si="19"/>
        <v>109600</v>
      </c>
      <c r="H431" s="11">
        <f t="shared" si="20"/>
        <v>0</v>
      </c>
    </row>
    <row r="432" spans="1:8">
      <c r="A432" s="6" t="s">
        <v>18</v>
      </c>
      <c r="B432">
        <v>214000</v>
      </c>
      <c r="C432">
        <v>170000</v>
      </c>
      <c r="D432" s="8" t="str">
        <f>VLOOKUP(A432,Лист2!A:E,5,0)</f>
        <v>малые</v>
      </c>
      <c r="E432" s="10">
        <f>VLOOKUP(A432,Лист2!A:E,4,0)</f>
        <v>2.5</v>
      </c>
      <c r="F432" s="11">
        <f t="shared" si="18"/>
        <v>44000</v>
      </c>
      <c r="G432" s="11">
        <f t="shared" si="19"/>
        <v>85600</v>
      </c>
      <c r="H432" s="11">
        <f t="shared" si="20"/>
        <v>17600</v>
      </c>
    </row>
    <row r="433" spans="1:8">
      <c r="A433" s="6" t="s">
        <v>18</v>
      </c>
      <c r="B433">
        <v>389000</v>
      </c>
      <c r="C433">
        <v>389000</v>
      </c>
      <c r="D433" s="8" t="str">
        <f>VLOOKUP(A433,Лист2!A:E,5,0)</f>
        <v>малые</v>
      </c>
      <c r="E433" s="10">
        <f>VLOOKUP(A433,Лист2!A:E,4,0)</f>
        <v>2.5</v>
      </c>
      <c r="F433" s="11">
        <f t="shared" si="18"/>
        <v>0</v>
      </c>
      <c r="G433" s="11">
        <f t="shared" si="19"/>
        <v>155600</v>
      </c>
      <c r="H433" s="11">
        <f t="shared" si="20"/>
        <v>0</v>
      </c>
    </row>
    <row r="434" spans="1:8">
      <c r="A434" s="6" t="s">
        <v>18</v>
      </c>
      <c r="B434">
        <v>711000</v>
      </c>
      <c r="C434">
        <v>781000</v>
      </c>
      <c r="D434" s="8" t="str">
        <f>VLOOKUP(A434,Лист2!A:E,5,0)</f>
        <v>малые</v>
      </c>
      <c r="E434" s="10">
        <f>VLOOKUP(A434,Лист2!A:E,4,0)</f>
        <v>2.5</v>
      </c>
      <c r="F434" s="11">
        <f t="shared" si="18"/>
        <v>-70000</v>
      </c>
      <c r="G434" s="11">
        <f t="shared" si="19"/>
        <v>284400</v>
      </c>
      <c r="H434" s="11">
        <f t="shared" si="20"/>
        <v>-28000</v>
      </c>
    </row>
    <row r="435" spans="1:8">
      <c r="A435" s="6" t="s">
        <v>22</v>
      </c>
      <c r="B435">
        <v>467017000</v>
      </c>
      <c r="C435">
        <v>465426000</v>
      </c>
      <c r="D435" s="8" t="str">
        <f>VLOOKUP(A435,Лист2!A:E,5,0)</f>
        <v>малые</v>
      </c>
      <c r="E435" s="10">
        <f>VLOOKUP(A435,Лист2!A:E,4,0)</f>
        <v>13</v>
      </c>
      <c r="F435" s="11">
        <f t="shared" si="18"/>
        <v>1591000</v>
      </c>
      <c r="G435" s="11">
        <f t="shared" si="19"/>
        <v>35924384.615384616</v>
      </c>
      <c r="H435" s="11">
        <f t="shared" si="20"/>
        <v>122384.61538461539</v>
      </c>
    </row>
    <row r="436" spans="1:8">
      <c r="A436" s="6" t="s">
        <v>18</v>
      </c>
      <c r="B436">
        <v>2938000</v>
      </c>
      <c r="C436">
        <v>2106000</v>
      </c>
      <c r="D436" s="8" t="str">
        <f>VLOOKUP(A436,Лист2!A:E,5,0)</f>
        <v>малые</v>
      </c>
      <c r="E436" s="10">
        <f>VLOOKUP(A436,Лист2!A:E,4,0)</f>
        <v>2.5</v>
      </c>
      <c r="F436" s="11">
        <f t="shared" si="18"/>
        <v>832000</v>
      </c>
      <c r="G436" s="11">
        <f t="shared" si="19"/>
        <v>1175200</v>
      </c>
      <c r="H436" s="11">
        <f t="shared" si="20"/>
        <v>332800</v>
      </c>
    </row>
    <row r="437" spans="1:8">
      <c r="A437" s="6" t="s">
        <v>18</v>
      </c>
      <c r="B437">
        <v>778000</v>
      </c>
      <c r="C437">
        <v>393000</v>
      </c>
      <c r="D437" s="8" t="str">
        <f>VLOOKUP(A437,Лист2!A:E,5,0)</f>
        <v>малые</v>
      </c>
      <c r="E437" s="10">
        <f>VLOOKUP(A437,Лист2!A:E,4,0)</f>
        <v>2.5</v>
      </c>
      <c r="F437" s="11">
        <f t="shared" si="18"/>
        <v>385000</v>
      </c>
      <c r="G437" s="11">
        <f t="shared" si="19"/>
        <v>311200</v>
      </c>
      <c r="H437" s="11">
        <f t="shared" si="20"/>
        <v>154000</v>
      </c>
    </row>
    <row r="438" spans="1:8">
      <c r="A438" s="6" t="s">
        <v>18</v>
      </c>
      <c r="B438">
        <v>15779000</v>
      </c>
      <c r="C438">
        <v>13908000</v>
      </c>
      <c r="D438" s="8" t="str">
        <f>VLOOKUP(A438,Лист2!A:E,5,0)</f>
        <v>малые</v>
      </c>
      <c r="E438" s="10">
        <f>VLOOKUP(A438,Лист2!A:E,4,0)</f>
        <v>2.5</v>
      </c>
      <c r="F438" s="11">
        <f t="shared" ref="F438:F498" si="21">B438-C438</f>
        <v>1871000</v>
      </c>
      <c r="G438" s="11">
        <f t="shared" ref="G438:G498" si="22">B438/E438</f>
        <v>6311600</v>
      </c>
      <c r="H438" s="11">
        <f t="shared" ref="H438:H498" si="23">F438/E438</f>
        <v>748400</v>
      </c>
    </row>
    <row r="439" spans="1:8">
      <c r="A439" s="6" t="s">
        <v>18</v>
      </c>
      <c r="B439">
        <v>2050000</v>
      </c>
      <c r="C439">
        <v>1849000</v>
      </c>
      <c r="D439" s="8" t="str">
        <f>VLOOKUP(A439,Лист2!A:E,5,0)</f>
        <v>малые</v>
      </c>
      <c r="E439" s="10">
        <f>VLOOKUP(A439,Лист2!A:E,4,0)</f>
        <v>2.5</v>
      </c>
      <c r="F439" s="11">
        <f t="shared" si="21"/>
        <v>201000</v>
      </c>
      <c r="G439" s="11">
        <f t="shared" si="22"/>
        <v>820000</v>
      </c>
      <c r="H439" s="11">
        <f t="shared" si="23"/>
        <v>80400</v>
      </c>
    </row>
    <row r="440" spans="1:8">
      <c r="A440" s="6" t="s">
        <v>18</v>
      </c>
      <c r="B440">
        <v>25500000</v>
      </c>
      <c r="C440">
        <v>26629000</v>
      </c>
      <c r="D440" s="8" t="str">
        <f>VLOOKUP(A440,Лист2!A:E,5,0)</f>
        <v>малые</v>
      </c>
      <c r="E440" s="10">
        <f>VLOOKUP(A440,Лист2!A:E,4,0)</f>
        <v>2.5</v>
      </c>
      <c r="F440" s="11">
        <f t="shared" si="21"/>
        <v>-1129000</v>
      </c>
      <c r="G440" s="11">
        <f t="shared" si="22"/>
        <v>10200000</v>
      </c>
      <c r="H440" s="11">
        <f t="shared" si="23"/>
        <v>-451600</v>
      </c>
    </row>
    <row r="441" spans="1:8">
      <c r="A441" s="6" t="s">
        <v>18</v>
      </c>
      <c r="B441">
        <v>300000</v>
      </c>
      <c r="C441">
        <v>344000</v>
      </c>
      <c r="D441" s="8" t="str">
        <f>VLOOKUP(A441,Лист2!A:E,5,0)</f>
        <v>малые</v>
      </c>
      <c r="E441" s="10">
        <f>VLOOKUP(A441,Лист2!A:E,4,0)</f>
        <v>2.5</v>
      </c>
      <c r="F441" s="11">
        <f t="shared" si="21"/>
        <v>-44000</v>
      </c>
      <c r="G441" s="11">
        <f t="shared" si="22"/>
        <v>120000</v>
      </c>
      <c r="H441" s="11">
        <f t="shared" si="23"/>
        <v>-17600</v>
      </c>
    </row>
    <row r="442" spans="1:8">
      <c r="A442" s="6" t="s">
        <v>22</v>
      </c>
      <c r="B442">
        <v>1518000</v>
      </c>
      <c r="C442">
        <v>1549000</v>
      </c>
      <c r="D442" s="8" t="str">
        <f>VLOOKUP(A442,Лист2!A:E,5,0)</f>
        <v>малые</v>
      </c>
      <c r="E442" s="10">
        <f>VLOOKUP(A442,Лист2!A:E,4,0)</f>
        <v>13</v>
      </c>
      <c r="F442" s="11">
        <f t="shared" si="21"/>
        <v>-31000</v>
      </c>
      <c r="G442" s="11">
        <f t="shared" si="22"/>
        <v>116769.23076923077</v>
      </c>
      <c r="H442" s="11">
        <f t="shared" si="23"/>
        <v>-2384.6153846153848</v>
      </c>
    </row>
    <row r="443" spans="1:8">
      <c r="A443" s="6" t="s">
        <v>18</v>
      </c>
      <c r="B443">
        <v>16941000</v>
      </c>
      <c r="C443">
        <v>21812000</v>
      </c>
      <c r="D443" s="8" t="str">
        <f>VLOOKUP(A443,Лист2!A:E,5,0)</f>
        <v>малые</v>
      </c>
      <c r="E443" s="10">
        <f>VLOOKUP(A443,Лист2!A:E,4,0)</f>
        <v>2.5</v>
      </c>
      <c r="F443" s="11">
        <f t="shared" si="21"/>
        <v>-4871000</v>
      </c>
      <c r="G443" s="11">
        <f t="shared" si="22"/>
        <v>6776400</v>
      </c>
      <c r="H443" s="11">
        <f t="shared" si="23"/>
        <v>-1948400</v>
      </c>
    </row>
    <row r="444" spans="1:8">
      <c r="A444" s="6" t="s">
        <v>18</v>
      </c>
      <c r="B444">
        <v>2747000</v>
      </c>
      <c r="C444">
        <v>2608000</v>
      </c>
      <c r="D444" s="8" t="str">
        <f>VLOOKUP(A444,Лист2!A:E,5,0)</f>
        <v>малые</v>
      </c>
      <c r="E444" s="10">
        <f>VLOOKUP(A444,Лист2!A:E,4,0)</f>
        <v>2.5</v>
      </c>
      <c r="F444" s="11">
        <f t="shared" si="21"/>
        <v>139000</v>
      </c>
      <c r="G444" s="11">
        <f t="shared" si="22"/>
        <v>1098800</v>
      </c>
      <c r="H444" s="11">
        <f t="shared" si="23"/>
        <v>55600</v>
      </c>
    </row>
    <row r="445" spans="1:8">
      <c r="A445" s="6" t="s">
        <v>18</v>
      </c>
      <c r="B445">
        <v>1831000</v>
      </c>
      <c r="C445">
        <v>2785000</v>
      </c>
      <c r="D445" s="8" t="str">
        <f>VLOOKUP(A445,Лист2!A:E,5,0)</f>
        <v>малые</v>
      </c>
      <c r="E445" s="10">
        <f>VLOOKUP(A445,Лист2!A:E,4,0)</f>
        <v>2.5</v>
      </c>
      <c r="F445" s="11">
        <f t="shared" si="21"/>
        <v>-954000</v>
      </c>
      <c r="G445" s="11">
        <f t="shared" si="22"/>
        <v>732400</v>
      </c>
      <c r="H445" s="11">
        <f t="shared" si="23"/>
        <v>-381600</v>
      </c>
    </row>
    <row r="446" spans="1:8">
      <c r="A446" s="6" t="s">
        <v>18</v>
      </c>
      <c r="B446">
        <v>8042000</v>
      </c>
      <c r="C446">
        <v>7647000</v>
      </c>
      <c r="D446" s="8" t="str">
        <f>VLOOKUP(A446,Лист2!A:E,5,0)</f>
        <v>малые</v>
      </c>
      <c r="E446" s="10">
        <f>VLOOKUP(A446,Лист2!A:E,4,0)</f>
        <v>2.5</v>
      </c>
      <c r="F446" s="11">
        <f t="shared" si="21"/>
        <v>395000</v>
      </c>
      <c r="G446" s="11">
        <f t="shared" si="22"/>
        <v>3216800</v>
      </c>
      <c r="H446" s="11">
        <f t="shared" si="23"/>
        <v>158000</v>
      </c>
    </row>
    <row r="447" spans="1:8">
      <c r="A447" s="6" t="s">
        <v>18</v>
      </c>
      <c r="B447">
        <v>5666000</v>
      </c>
      <c r="C447">
        <v>5876000</v>
      </c>
      <c r="D447" s="8" t="str">
        <f>VLOOKUP(A447,Лист2!A:E,5,0)</f>
        <v>малые</v>
      </c>
      <c r="E447" s="10">
        <f>VLOOKUP(A447,Лист2!A:E,4,0)</f>
        <v>2.5</v>
      </c>
      <c r="F447" s="11">
        <f t="shared" si="21"/>
        <v>-210000</v>
      </c>
      <c r="G447" s="11">
        <f t="shared" si="22"/>
        <v>2266400</v>
      </c>
      <c r="H447" s="11">
        <f t="shared" si="23"/>
        <v>-84000</v>
      </c>
    </row>
    <row r="448" spans="1:8">
      <c r="A448" s="6" t="s">
        <v>18</v>
      </c>
      <c r="B448">
        <v>1569000</v>
      </c>
      <c r="C448">
        <v>1572000</v>
      </c>
      <c r="D448" s="8" t="str">
        <f>VLOOKUP(A448,Лист2!A:E,5,0)</f>
        <v>малые</v>
      </c>
      <c r="E448" s="10">
        <f>VLOOKUP(A448,Лист2!A:E,4,0)</f>
        <v>2.5</v>
      </c>
      <c r="F448" s="11">
        <f t="shared" si="21"/>
        <v>-3000</v>
      </c>
      <c r="G448" s="11">
        <f t="shared" si="22"/>
        <v>627600</v>
      </c>
      <c r="H448" s="11">
        <f t="shared" si="23"/>
        <v>-1200</v>
      </c>
    </row>
    <row r="449" spans="1:8">
      <c r="A449" s="6" t="s">
        <v>18</v>
      </c>
      <c r="B449">
        <v>609000</v>
      </c>
      <c r="C449">
        <v>613000</v>
      </c>
      <c r="D449" s="8" t="str">
        <f>VLOOKUP(A449,Лист2!A:E,5,0)</f>
        <v>малые</v>
      </c>
      <c r="E449" s="10">
        <f>VLOOKUP(A449,Лист2!A:E,4,0)</f>
        <v>2.5</v>
      </c>
      <c r="F449" s="11">
        <f t="shared" si="21"/>
        <v>-4000</v>
      </c>
      <c r="G449" s="11">
        <f t="shared" si="22"/>
        <v>243600</v>
      </c>
      <c r="H449" s="11">
        <f t="shared" si="23"/>
        <v>-1600</v>
      </c>
    </row>
    <row r="450" spans="1:8">
      <c r="A450" s="6" t="s">
        <v>18</v>
      </c>
      <c r="B450">
        <v>6212000</v>
      </c>
      <c r="C450">
        <v>10111000</v>
      </c>
      <c r="D450" s="8" t="str">
        <f>VLOOKUP(A450,Лист2!A:E,5,0)</f>
        <v>малые</v>
      </c>
      <c r="E450" s="10">
        <f>VLOOKUP(A450,Лист2!A:E,4,0)</f>
        <v>2.5</v>
      </c>
      <c r="F450" s="11">
        <f t="shared" si="21"/>
        <v>-3899000</v>
      </c>
      <c r="G450" s="11">
        <f t="shared" si="22"/>
        <v>2484800</v>
      </c>
      <c r="H450" s="11">
        <f t="shared" si="23"/>
        <v>-1559600</v>
      </c>
    </row>
    <row r="451" spans="1:8">
      <c r="A451" s="6" t="s">
        <v>18</v>
      </c>
      <c r="B451">
        <v>200000</v>
      </c>
      <c r="C451">
        <v>200000</v>
      </c>
      <c r="D451" s="8" t="str">
        <f>VLOOKUP(A451,Лист2!A:E,5,0)</f>
        <v>малые</v>
      </c>
      <c r="E451" s="10">
        <f>VLOOKUP(A451,Лист2!A:E,4,0)</f>
        <v>2.5</v>
      </c>
      <c r="F451" s="11">
        <f t="shared" si="21"/>
        <v>0</v>
      </c>
      <c r="G451" s="11">
        <f t="shared" si="22"/>
        <v>80000</v>
      </c>
      <c r="H451" s="11">
        <f t="shared" si="23"/>
        <v>0</v>
      </c>
    </row>
    <row r="452" spans="1:8">
      <c r="A452" s="6" t="s">
        <v>18</v>
      </c>
      <c r="B452">
        <v>2049000</v>
      </c>
      <c r="C452">
        <v>2049000</v>
      </c>
      <c r="D452" s="8" t="str">
        <f>VLOOKUP(A452,Лист2!A:E,5,0)</f>
        <v>малые</v>
      </c>
      <c r="E452" s="10">
        <f>VLOOKUP(A452,Лист2!A:E,4,0)</f>
        <v>2.5</v>
      </c>
      <c r="F452" s="11">
        <f t="shared" si="21"/>
        <v>0</v>
      </c>
      <c r="G452" s="11">
        <f t="shared" si="22"/>
        <v>819600</v>
      </c>
      <c r="H452" s="11">
        <f t="shared" si="23"/>
        <v>0</v>
      </c>
    </row>
    <row r="453" spans="1:8">
      <c r="A453" s="6" t="s">
        <v>18</v>
      </c>
      <c r="B453">
        <v>884000</v>
      </c>
      <c r="C453">
        <v>865000</v>
      </c>
      <c r="D453" s="8" t="str">
        <f>VLOOKUP(A453,Лист2!A:E,5,0)</f>
        <v>малые</v>
      </c>
      <c r="E453" s="10">
        <f>VLOOKUP(A453,Лист2!A:E,4,0)</f>
        <v>2.5</v>
      </c>
      <c r="F453" s="11">
        <f t="shared" si="21"/>
        <v>19000</v>
      </c>
      <c r="G453" s="11">
        <f t="shared" si="22"/>
        <v>353600</v>
      </c>
      <c r="H453" s="11">
        <f t="shared" si="23"/>
        <v>7600</v>
      </c>
    </row>
    <row r="454" spans="1:8">
      <c r="A454" s="6" t="s">
        <v>22</v>
      </c>
      <c r="B454">
        <v>37773000</v>
      </c>
      <c r="C454">
        <v>37871000</v>
      </c>
      <c r="D454" s="8" t="str">
        <f>VLOOKUP(A454,Лист2!A:E,5,0)</f>
        <v>малые</v>
      </c>
      <c r="E454" s="10">
        <f>VLOOKUP(A454,Лист2!A:E,4,0)</f>
        <v>13</v>
      </c>
      <c r="F454" s="11">
        <f t="shared" si="21"/>
        <v>-98000</v>
      </c>
      <c r="G454" s="11">
        <f t="shared" si="22"/>
        <v>2905615.3846153845</v>
      </c>
      <c r="H454" s="11">
        <f t="shared" si="23"/>
        <v>-7538.4615384615381</v>
      </c>
    </row>
    <row r="455" spans="1:8">
      <c r="A455" s="6" t="s">
        <v>18</v>
      </c>
      <c r="B455">
        <v>3594000</v>
      </c>
      <c r="C455">
        <v>4489000</v>
      </c>
      <c r="D455" s="8" t="str">
        <f>VLOOKUP(A455,Лист2!A:E,5,0)</f>
        <v>малые</v>
      </c>
      <c r="E455" s="10">
        <f>VLOOKUP(A455,Лист2!A:E,4,0)</f>
        <v>2.5</v>
      </c>
      <c r="F455" s="11">
        <f t="shared" si="21"/>
        <v>-895000</v>
      </c>
      <c r="G455" s="11">
        <f t="shared" si="22"/>
        <v>1437600</v>
      </c>
      <c r="H455" s="11">
        <f t="shared" si="23"/>
        <v>-358000</v>
      </c>
    </row>
    <row r="456" spans="1:8">
      <c r="A456" s="6" t="s">
        <v>77</v>
      </c>
      <c r="B456">
        <v>44349000</v>
      </c>
      <c r="C456">
        <v>53518000</v>
      </c>
      <c r="D456" s="8" t="str">
        <f>VLOOKUP(A456,Лист2!A:E,5,0)</f>
        <v>малые</v>
      </c>
      <c r="E456" s="10">
        <f>VLOOKUP(A456,Лист2!A:E,4,0)</f>
        <v>8</v>
      </c>
      <c r="F456" s="11">
        <f t="shared" si="21"/>
        <v>-9169000</v>
      </c>
      <c r="G456" s="11">
        <f t="shared" si="22"/>
        <v>5543625</v>
      </c>
      <c r="H456" s="11">
        <f t="shared" si="23"/>
        <v>-1146125</v>
      </c>
    </row>
    <row r="457" spans="1:8">
      <c r="A457" s="6" t="s">
        <v>18</v>
      </c>
      <c r="B457">
        <v>2812000</v>
      </c>
      <c r="C457">
        <v>2847000</v>
      </c>
      <c r="D457" s="8" t="str">
        <f>VLOOKUP(A457,Лист2!A:E,5,0)</f>
        <v>малые</v>
      </c>
      <c r="E457" s="10">
        <f>VLOOKUP(A457,Лист2!A:E,4,0)</f>
        <v>2.5</v>
      </c>
      <c r="F457" s="11">
        <f t="shared" si="21"/>
        <v>-35000</v>
      </c>
      <c r="G457" s="11">
        <f t="shared" si="22"/>
        <v>1124800</v>
      </c>
      <c r="H457" s="11">
        <f t="shared" si="23"/>
        <v>-14000</v>
      </c>
    </row>
    <row r="458" spans="1:8">
      <c r="A458" s="6" t="s">
        <v>18</v>
      </c>
      <c r="B458">
        <v>2356000</v>
      </c>
      <c r="C458">
        <v>1348000</v>
      </c>
      <c r="D458" s="8" t="str">
        <f>VLOOKUP(A458,Лист2!A:E,5,0)</f>
        <v>малые</v>
      </c>
      <c r="E458" s="10">
        <f>VLOOKUP(A458,Лист2!A:E,4,0)</f>
        <v>2.5</v>
      </c>
      <c r="F458" s="11">
        <f t="shared" si="21"/>
        <v>1008000</v>
      </c>
      <c r="G458" s="11">
        <f t="shared" si="22"/>
        <v>942400</v>
      </c>
      <c r="H458" s="11">
        <f t="shared" si="23"/>
        <v>403200</v>
      </c>
    </row>
    <row r="459" spans="1:8">
      <c r="A459" s="6" t="s">
        <v>18</v>
      </c>
      <c r="B459">
        <v>3953000</v>
      </c>
      <c r="C459">
        <v>4100000</v>
      </c>
      <c r="D459" s="8" t="str">
        <f>VLOOKUP(A459,Лист2!A:E,5,0)</f>
        <v>малые</v>
      </c>
      <c r="E459" s="10">
        <f>VLOOKUP(A459,Лист2!A:E,4,0)</f>
        <v>2.5</v>
      </c>
      <c r="F459" s="11">
        <f t="shared" si="21"/>
        <v>-147000</v>
      </c>
      <c r="G459" s="11">
        <f t="shared" si="22"/>
        <v>1581200</v>
      </c>
      <c r="H459" s="11">
        <f t="shared" si="23"/>
        <v>-58800</v>
      </c>
    </row>
    <row r="460" spans="1:8">
      <c r="A460" s="6" t="s">
        <v>18</v>
      </c>
      <c r="B460">
        <v>339000</v>
      </c>
      <c r="C460">
        <v>678000</v>
      </c>
      <c r="D460" s="8" t="str">
        <f>VLOOKUP(A460,Лист2!A:E,5,0)</f>
        <v>малые</v>
      </c>
      <c r="E460" s="10">
        <f>VLOOKUP(A460,Лист2!A:E,4,0)</f>
        <v>2.5</v>
      </c>
      <c r="F460" s="11">
        <f t="shared" si="21"/>
        <v>-339000</v>
      </c>
      <c r="G460" s="11">
        <f t="shared" si="22"/>
        <v>135600</v>
      </c>
      <c r="H460" s="11">
        <f t="shared" si="23"/>
        <v>-135600</v>
      </c>
    </row>
    <row r="461" spans="1:8">
      <c r="A461" s="6" t="s">
        <v>18</v>
      </c>
      <c r="B461">
        <v>1631000</v>
      </c>
      <c r="C461">
        <v>900000</v>
      </c>
      <c r="D461" s="8" t="str">
        <f>VLOOKUP(A461,Лист2!A:E,5,0)</f>
        <v>малые</v>
      </c>
      <c r="E461" s="10">
        <f>VLOOKUP(A461,Лист2!A:E,4,0)</f>
        <v>2.5</v>
      </c>
      <c r="F461" s="11">
        <f t="shared" si="21"/>
        <v>731000</v>
      </c>
      <c r="G461" s="11">
        <f t="shared" si="22"/>
        <v>652400</v>
      </c>
      <c r="H461" s="11">
        <f t="shared" si="23"/>
        <v>292400</v>
      </c>
    </row>
    <row r="462" spans="1:8">
      <c r="A462" s="6" t="s">
        <v>77</v>
      </c>
      <c r="B462">
        <v>254864000</v>
      </c>
      <c r="C462">
        <v>255590000</v>
      </c>
      <c r="D462" s="8" t="str">
        <f>VLOOKUP(A462,Лист2!A:E,5,0)</f>
        <v>малые</v>
      </c>
      <c r="E462" s="10">
        <f>VLOOKUP(A462,Лист2!A:E,4,0)</f>
        <v>8</v>
      </c>
      <c r="F462" s="11">
        <f t="shared" si="21"/>
        <v>-726000</v>
      </c>
      <c r="G462" s="11">
        <f t="shared" si="22"/>
        <v>31858000</v>
      </c>
      <c r="H462" s="11">
        <f t="shared" si="23"/>
        <v>-90750</v>
      </c>
    </row>
    <row r="463" spans="1:8">
      <c r="A463" s="6" t="s">
        <v>18</v>
      </c>
      <c r="B463">
        <v>216914000</v>
      </c>
      <c r="C463">
        <v>209119000</v>
      </c>
      <c r="D463" s="8" t="str">
        <f>VLOOKUP(A463,Лист2!A:E,5,0)</f>
        <v>малые</v>
      </c>
      <c r="E463" s="10">
        <f>VLOOKUP(A463,Лист2!A:E,4,0)</f>
        <v>2.5</v>
      </c>
      <c r="F463" s="11">
        <f t="shared" si="21"/>
        <v>7795000</v>
      </c>
      <c r="G463" s="11">
        <f t="shared" si="22"/>
        <v>86765600</v>
      </c>
      <c r="H463" s="11">
        <f t="shared" si="23"/>
        <v>3118000</v>
      </c>
    </row>
    <row r="464" spans="1:8">
      <c r="A464" s="6" t="s">
        <v>18</v>
      </c>
      <c r="B464">
        <v>90999000</v>
      </c>
      <c r="C464">
        <v>89946000</v>
      </c>
      <c r="D464" s="8" t="str">
        <f>VLOOKUP(A464,Лист2!A:E,5,0)</f>
        <v>малые</v>
      </c>
      <c r="E464" s="10">
        <f>VLOOKUP(A464,Лист2!A:E,4,0)</f>
        <v>2.5</v>
      </c>
      <c r="F464" s="11">
        <f t="shared" si="21"/>
        <v>1053000</v>
      </c>
      <c r="G464" s="11">
        <f t="shared" si="22"/>
        <v>36399600</v>
      </c>
      <c r="H464" s="11">
        <f t="shared" si="23"/>
        <v>421200</v>
      </c>
    </row>
    <row r="465" spans="1:8">
      <c r="A465" s="6" t="s">
        <v>22</v>
      </c>
      <c r="B465">
        <v>53232000</v>
      </c>
      <c r="C465">
        <v>54305000</v>
      </c>
      <c r="D465" s="8" t="str">
        <f>VLOOKUP(A465,Лист2!A:E,5,0)</f>
        <v>малые</v>
      </c>
      <c r="E465" s="10">
        <f>VLOOKUP(A465,Лист2!A:E,4,0)</f>
        <v>13</v>
      </c>
      <c r="F465" s="11">
        <f t="shared" si="21"/>
        <v>-1073000</v>
      </c>
      <c r="G465" s="11">
        <f t="shared" si="22"/>
        <v>4094769.230769231</v>
      </c>
      <c r="H465" s="11">
        <f t="shared" si="23"/>
        <v>-82538.461538461532</v>
      </c>
    </row>
    <row r="466" spans="1:8">
      <c r="A466" s="6" t="s">
        <v>22</v>
      </c>
      <c r="B466">
        <v>2371000</v>
      </c>
      <c r="C466">
        <v>3909000</v>
      </c>
      <c r="D466" s="8" t="str">
        <f>VLOOKUP(A466,Лист2!A:E,5,0)</f>
        <v>малые</v>
      </c>
      <c r="E466" s="10">
        <f>VLOOKUP(A466,Лист2!A:E,4,0)</f>
        <v>13</v>
      </c>
      <c r="F466" s="11">
        <f t="shared" si="21"/>
        <v>-1538000</v>
      </c>
      <c r="G466" s="11">
        <f t="shared" si="22"/>
        <v>182384.61538461538</v>
      </c>
      <c r="H466" s="11">
        <f t="shared" si="23"/>
        <v>-118307.69230769231</v>
      </c>
    </row>
    <row r="467" spans="1:8">
      <c r="A467" s="6" t="s">
        <v>18</v>
      </c>
      <c r="B467">
        <v>1532000</v>
      </c>
      <c r="C467">
        <v>1532000</v>
      </c>
      <c r="D467" s="8" t="str">
        <f>VLOOKUP(A467,Лист2!A:E,5,0)</f>
        <v>малые</v>
      </c>
      <c r="E467" s="10">
        <f>VLOOKUP(A467,Лист2!A:E,4,0)</f>
        <v>2.5</v>
      </c>
      <c r="F467" s="11">
        <f t="shared" si="21"/>
        <v>0</v>
      </c>
      <c r="G467" s="11">
        <f t="shared" si="22"/>
        <v>612800</v>
      </c>
      <c r="H467" s="11">
        <f t="shared" si="23"/>
        <v>0</v>
      </c>
    </row>
    <row r="468" spans="1:8">
      <c r="A468" s="6" t="s">
        <v>18</v>
      </c>
      <c r="B468">
        <v>576000</v>
      </c>
      <c r="C468">
        <v>555000</v>
      </c>
      <c r="D468" s="8" t="str">
        <f>VLOOKUP(A468,Лист2!A:E,5,0)</f>
        <v>малые</v>
      </c>
      <c r="E468" s="10">
        <f>VLOOKUP(A468,Лист2!A:E,4,0)</f>
        <v>2.5</v>
      </c>
      <c r="F468" s="11">
        <f t="shared" si="21"/>
        <v>21000</v>
      </c>
      <c r="G468" s="11">
        <f t="shared" si="22"/>
        <v>230400</v>
      </c>
      <c r="H468" s="11">
        <f t="shared" si="23"/>
        <v>8400</v>
      </c>
    </row>
    <row r="469" spans="1:8">
      <c r="A469" s="6" t="s">
        <v>18</v>
      </c>
      <c r="B469">
        <v>8815000</v>
      </c>
      <c r="C469">
        <v>9946000</v>
      </c>
      <c r="D469" s="8" t="str">
        <f>VLOOKUP(A469,Лист2!A:E,5,0)</f>
        <v>малые</v>
      </c>
      <c r="E469" s="10">
        <f>VLOOKUP(A469,Лист2!A:E,4,0)</f>
        <v>2.5</v>
      </c>
      <c r="F469" s="11">
        <f t="shared" si="21"/>
        <v>-1131000</v>
      </c>
      <c r="G469" s="11">
        <f t="shared" si="22"/>
        <v>3526000</v>
      </c>
      <c r="H469" s="11">
        <f t="shared" si="23"/>
        <v>-452400</v>
      </c>
    </row>
    <row r="470" spans="1:8">
      <c r="A470" s="6" t="s">
        <v>18</v>
      </c>
      <c r="B470">
        <v>200000</v>
      </c>
      <c r="C470">
        <v>200000</v>
      </c>
      <c r="D470" s="8" t="str">
        <f>VLOOKUP(A470,Лист2!A:E,5,0)</f>
        <v>малые</v>
      </c>
      <c r="E470" s="10">
        <f>VLOOKUP(A470,Лист2!A:E,4,0)</f>
        <v>2.5</v>
      </c>
      <c r="F470" s="11">
        <f t="shared" si="21"/>
        <v>0</v>
      </c>
      <c r="G470" s="11">
        <f t="shared" si="22"/>
        <v>80000</v>
      </c>
      <c r="H470" s="11">
        <f t="shared" si="23"/>
        <v>0</v>
      </c>
    </row>
    <row r="471" spans="1:8">
      <c r="A471" s="6" t="s">
        <v>18</v>
      </c>
      <c r="B471">
        <v>660000</v>
      </c>
      <c r="C471">
        <v>659000</v>
      </c>
      <c r="D471" s="8" t="str">
        <f>VLOOKUP(A471,Лист2!A:E,5,0)</f>
        <v>малые</v>
      </c>
      <c r="E471" s="10">
        <f>VLOOKUP(A471,Лист2!A:E,4,0)</f>
        <v>2.5</v>
      </c>
      <c r="F471" s="11">
        <f t="shared" si="21"/>
        <v>1000</v>
      </c>
      <c r="G471" s="11">
        <f t="shared" si="22"/>
        <v>264000</v>
      </c>
      <c r="H471" s="11">
        <f t="shared" si="23"/>
        <v>400</v>
      </c>
    </row>
    <row r="472" spans="1:8">
      <c r="A472" s="6" t="s">
        <v>18</v>
      </c>
      <c r="B472">
        <v>7000</v>
      </c>
      <c r="C472">
        <v>6000</v>
      </c>
      <c r="D472" s="8" t="str">
        <f>VLOOKUP(A472,Лист2!A:E,5,0)</f>
        <v>малые</v>
      </c>
      <c r="E472" s="10">
        <f>VLOOKUP(A472,Лист2!A:E,4,0)</f>
        <v>2.5</v>
      </c>
      <c r="F472" s="11">
        <f t="shared" si="21"/>
        <v>1000</v>
      </c>
      <c r="G472" s="11">
        <f t="shared" si="22"/>
        <v>2800</v>
      </c>
      <c r="H472" s="11">
        <f t="shared" si="23"/>
        <v>400</v>
      </c>
    </row>
    <row r="473" spans="1:8">
      <c r="A473" s="6" t="s">
        <v>18</v>
      </c>
      <c r="B473">
        <v>2557000</v>
      </c>
      <c r="C473">
        <v>3099000</v>
      </c>
      <c r="D473" s="8" t="str">
        <f>VLOOKUP(A473,Лист2!A:E,5,0)</f>
        <v>малые</v>
      </c>
      <c r="E473" s="10">
        <f>VLOOKUP(A473,Лист2!A:E,4,0)</f>
        <v>2.5</v>
      </c>
      <c r="F473" s="11">
        <f t="shared" si="21"/>
        <v>-542000</v>
      </c>
      <c r="G473" s="11">
        <f t="shared" si="22"/>
        <v>1022800</v>
      </c>
      <c r="H473" s="11">
        <f t="shared" si="23"/>
        <v>-216800</v>
      </c>
    </row>
    <row r="474" spans="1:8">
      <c r="A474" s="6" t="s">
        <v>18</v>
      </c>
      <c r="B474">
        <v>14874000</v>
      </c>
      <c r="C474">
        <v>12846000</v>
      </c>
      <c r="D474" s="8" t="str">
        <f>VLOOKUP(A474,Лист2!A:E,5,0)</f>
        <v>малые</v>
      </c>
      <c r="E474" s="10">
        <f>VLOOKUP(A474,Лист2!A:E,4,0)</f>
        <v>2.5</v>
      </c>
      <c r="F474" s="11">
        <f t="shared" si="21"/>
        <v>2028000</v>
      </c>
      <c r="G474" s="11">
        <f t="shared" si="22"/>
        <v>5949600</v>
      </c>
      <c r="H474" s="11">
        <f t="shared" si="23"/>
        <v>811200</v>
      </c>
    </row>
    <row r="475" spans="1:8">
      <c r="A475" s="6" t="s">
        <v>18</v>
      </c>
      <c r="B475">
        <v>2846000</v>
      </c>
      <c r="C475">
        <v>641000</v>
      </c>
      <c r="D475" s="8" t="str">
        <f>VLOOKUP(A475,Лист2!A:E,5,0)</f>
        <v>малые</v>
      </c>
      <c r="E475" s="10">
        <f>VLOOKUP(A475,Лист2!A:E,4,0)</f>
        <v>2.5</v>
      </c>
      <c r="F475" s="11">
        <f t="shared" si="21"/>
        <v>2205000</v>
      </c>
      <c r="G475" s="11">
        <f t="shared" si="22"/>
        <v>1138400</v>
      </c>
      <c r="H475" s="11">
        <f t="shared" si="23"/>
        <v>882000</v>
      </c>
    </row>
    <row r="476" spans="1:8">
      <c r="A476" s="6" t="s">
        <v>18</v>
      </c>
      <c r="B476">
        <v>2754000</v>
      </c>
      <c r="C476">
        <v>2862000</v>
      </c>
      <c r="D476" s="8" t="str">
        <f>VLOOKUP(A476,Лист2!A:E,5,0)</f>
        <v>малые</v>
      </c>
      <c r="E476" s="10">
        <f>VLOOKUP(A476,Лист2!A:E,4,0)</f>
        <v>2.5</v>
      </c>
      <c r="F476" s="11">
        <f t="shared" si="21"/>
        <v>-108000</v>
      </c>
      <c r="G476" s="11">
        <f t="shared" si="22"/>
        <v>1101600</v>
      </c>
      <c r="H476" s="11">
        <f t="shared" si="23"/>
        <v>-43200</v>
      </c>
    </row>
    <row r="477" spans="1:8">
      <c r="A477" s="6" t="s">
        <v>18</v>
      </c>
      <c r="B477">
        <v>424000</v>
      </c>
      <c r="C477">
        <v>342000</v>
      </c>
      <c r="D477" s="8" t="str">
        <f>VLOOKUP(A477,Лист2!A:E,5,0)</f>
        <v>малые</v>
      </c>
      <c r="E477" s="10">
        <f>VLOOKUP(A477,Лист2!A:E,4,0)</f>
        <v>2.5</v>
      </c>
      <c r="F477" s="11">
        <f t="shared" si="21"/>
        <v>82000</v>
      </c>
      <c r="G477" s="11">
        <f t="shared" si="22"/>
        <v>169600</v>
      </c>
      <c r="H477" s="11">
        <f t="shared" si="23"/>
        <v>32800</v>
      </c>
    </row>
    <row r="478" spans="1:8">
      <c r="A478" s="6" t="s">
        <v>18</v>
      </c>
      <c r="B478">
        <v>68000</v>
      </c>
      <c r="C478">
        <v>41000</v>
      </c>
      <c r="D478" s="8" t="str">
        <f>VLOOKUP(A478,Лист2!A:E,5,0)</f>
        <v>малые</v>
      </c>
      <c r="E478" s="10">
        <f>VLOOKUP(A478,Лист2!A:E,4,0)</f>
        <v>2.5</v>
      </c>
      <c r="F478" s="11">
        <f t="shared" si="21"/>
        <v>27000</v>
      </c>
      <c r="G478" s="11">
        <f t="shared" si="22"/>
        <v>27200</v>
      </c>
      <c r="H478" s="11">
        <f t="shared" si="23"/>
        <v>10800</v>
      </c>
    </row>
    <row r="479" spans="1:8">
      <c r="A479" s="6" t="s">
        <v>18</v>
      </c>
      <c r="B479">
        <v>1350000</v>
      </c>
      <c r="C479">
        <v>1344000</v>
      </c>
      <c r="D479" s="8" t="str">
        <f>VLOOKUP(A479,Лист2!A:E,5,0)</f>
        <v>малые</v>
      </c>
      <c r="E479" s="10">
        <f>VLOOKUP(A479,Лист2!A:E,4,0)</f>
        <v>2.5</v>
      </c>
      <c r="F479" s="11">
        <f t="shared" si="21"/>
        <v>6000</v>
      </c>
      <c r="G479" s="11">
        <f t="shared" si="22"/>
        <v>540000</v>
      </c>
      <c r="H479" s="11">
        <f t="shared" si="23"/>
        <v>2400</v>
      </c>
    </row>
    <row r="480" spans="1:8">
      <c r="A480" s="6" t="s">
        <v>18</v>
      </c>
      <c r="B480">
        <v>52000</v>
      </c>
      <c r="C480">
        <v>158000</v>
      </c>
      <c r="D480" s="8" t="str">
        <f>VLOOKUP(A480,Лист2!A:E,5,0)</f>
        <v>малые</v>
      </c>
      <c r="E480" s="10">
        <f>VLOOKUP(A480,Лист2!A:E,4,0)</f>
        <v>2.5</v>
      </c>
      <c r="F480" s="11">
        <f t="shared" si="21"/>
        <v>-106000</v>
      </c>
      <c r="G480" s="11">
        <f t="shared" si="22"/>
        <v>20800</v>
      </c>
      <c r="H480" s="11">
        <f t="shared" si="23"/>
        <v>-42400</v>
      </c>
    </row>
    <row r="481" spans="1:8">
      <c r="A481" s="6" t="s">
        <v>18</v>
      </c>
      <c r="B481">
        <v>11431000</v>
      </c>
      <c r="C481">
        <v>11503000</v>
      </c>
      <c r="D481" s="8" t="str">
        <f>VLOOKUP(A481,Лист2!A:E,5,0)</f>
        <v>малые</v>
      </c>
      <c r="E481" s="10">
        <f>VLOOKUP(A481,Лист2!A:E,4,0)</f>
        <v>2.5</v>
      </c>
      <c r="F481" s="11">
        <f t="shared" si="21"/>
        <v>-72000</v>
      </c>
      <c r="G481" s="11">
        <f t="shared" si="22"/>
        <v>4572400</v>
      </c>
      <c r="H481" s="11">
        <f t="shared" si="23"/>
        <v>-28800</v>
      </c>
    </row>
    <row r="482" spans="1:8">
      <c r="A482" s="6" t="s">
        <v>18</v>
      </c>
      <c r="B482">
        <v>5846000</v>
      </c>
      <c r="C482">
        <v>5939000</v>
      </c>
      <c r="D482" s="8" t="str">
        <f>VLOOKUP(A482,Лист2!A:E,5,0)</f>
        <v>малые</v>
      </c>
      <c r="E482" s="10">
        <f>VLOOKUP(A482,Лист2!A:E,4,0)</f>
        <v>2.5</v>
      </c>
      <c r="F482" s="11">
        <f t="shared" si="21"/>
        <v>-93000</v>
      </c>
      <c r="G482" s="11">
        <f t="shared" si="22"/>
        <v>2338400</v>
      </c>
      <c r="H482" s="11">
        <f t="shared" si="23"/>
        <v>-37200</v>
      </c>
    </row>
    <row r="483" spans="1:8">
      <c r="A483" s="6" t="s">
        <v>18</v>
      </c>
      <c r="B483">
        <v>1384000</v>
      </c>
      <c r="C483">
        <v>1379000</v>
      </c>
      <c r="D483" s="8" t="str">
        <f>VLOOKUP(A483,Лист2!A:E,5,0)</f>
        <v>малые</v>
      </c>
      <c r="E483" s="10">
        <f>VLOOKUP(A483,Лист2!A:E,4,0)</f>
        <v>2.5</v>
      </c>
      <c r="F483" s="11">
        <f t="shared" si="21"/>
        <v>5000</v>
      </c>
      <c r="G483" s="11">
        <f t="shared" si="22"/>
        <v>553600</v>
      </c>
      <c r="H483" s="11">
        <f t="shared" si="23"/>
        <v>2000</v>
      </c>
    </row>
    <row r="484" spans="1:8">
      <c r="A484" s="6" t="s">
        <v>18</v>
      </c>
      <c r="B484">
        <v>1238000</v>
      </c>
      <c r="C484">
        <v>1171000</v>
      </c>
      <c r="D484" s="8" t="str">
        <f>VLOOKUP(A484,Лист2!A:E,5,0)</f>
        <v>малые</v>
      </c>
      <c r="E484" s="10">
        <f>VLOOKUP(A484,Лист2!A:E,4,0)</f>
        <v>2.5</v>
      </c>
      <c r="F484" s="11">
        <f t="shared" si="21"/>
        <v>67000</v>
      </c>
      <c r="G484" s="11">
        <f t="shared" si="22"/>
        <v>495200</v>
      </c>
      <c r="H484" s="11">
        <f t="shared" si="23"/>
        <v>26800</v>
      </c>
    </row>
    <row r="485" spans="1:8">
      <c r="A485" s="6" t="s">
        <v>18</v>
      </c>
      <c r="B485">
        <v>2478000</v>
      </c>
      <c r="C485">
        <v>2326000</v>
      </c>
      <c r="D485" s="8" t="str">
        <f>VLOOKUP(A485,Лист2!A:E,5,0)</f>
        <v>малые</v>
      </c>
      <c r="E485" s="10">
        <f>VLOOKUP(A485,Лист2!A:E,4,0)</f>
        <v>2.5</v>
      </c>
      <c r="F485" s="11">
        <f t="shared" si="21"/>
        <v>152000</v>
      </c>
      <c r="G485" s="11">
        <f t="shared" si="22"/>
        <v>991200</v>
      </c>
      <c r="H485" s="11">
        <f t="shared" si="23"/>
        <v>60800</v>
      </c>
    </row>
    <row r="486" spans="1:8">
      <c r="A486" s="6" t="s">
        <v>18</v>
      </c>
      <c r="B486">
        <v>2926000</v>
      </c>
      <c r="C486">
        <v>2590000</v>
      </c>
      <c r="D486" s="8" t="str">
        <f>VLOOKUP(A486,Лист2!A:E,5,0)</f>
        <v>малые</v>
      </c>
      <c r="E486" s="10">
        <f>VLOOKUP(A486,Лист2!A:E,4,0)</f>
        <v>2.5</v>
      </c>
      <c r="F486" s="11">
        <f t="shared" si="21"/>
        <v>336000</v>
      </c>
      <c r="G486" s="11">
        <f t="shared" si="22"/>
        <v>1170400</v>
      </c>
      <c r="H486" s="11">
        <f t="shared" si="23"/>
        <v>134400</v>
      </c>
    </row>
    <row r="487" spans="1:8">
      <c r="A487" s="6" t="s">
        <v>18</v>
      </c>
      <c r="B487">
        <v>180000</v>
      </c>
      <c r="C487">
        <v>1465000</v>
      </c>
      <c r="D487" s="8" t="str">
        <f>VLOOKUP(A487,Лист2!A:E,5,0)</f>
        <v>малые</v>
      </c>
      <c r="E487" s="10">
        <f>VLOOKUP(A487,Лист2!A:E,4,0)</f>
        <v>2.5</v>
      </c>
      <c r="F487" s="11">
        <f t="shared" si="21"/>
        <v>-1285000</v>
      </c>
      <c r="G487" s="11">
        <f t="shared" si="22"/>
        <v>72000</v>
      </c>
      <c r="H487" s="11">
        <f t="shared" si="23"/>
        <v>-514000</v>
      </c>
    </row>
    <row r="488" spans="1:8">
      <c r="A488" s="6" t="s">
        <v>18</v>
      </c>
      <c r="B488">
        <v>4199000</v>
      </c>
      <c r="C488">
        <v>2151000</v>
      </c>
      <c r="D488" s="8" t="str">
        <f>VLOOKUP(A488,Лист2!A:E,5,0)</f>
        <v>малые</v>
      </c>
      <c r="E488" s="10">
        <f>VLOOKUP(A488,Лист2!A:E,4,0)</f>
        <v>2.5</v>
      </c>
      <c r="F488" s="11">
        <f t="shared" si="21"/>
        <v>2048000</v>
      </c>
      <c r="G488" s="11">
        <f t="shared" si="22"/>
        <v>1679600</v>
      </c>
      <c r="H488" s="11">
        <f t="shared" si="23"/>
        <v>819200</v>
      </c>
    </row>
    <row r="489" spans="1:8">
      <c r="A489" s="6" t="s">
        <v>18</v>
      </c>
      <c r="B489">
        <v>228000</v>
      </c>
      <c r="C489">
        <v>85000</v>
      </c>
      <c r="D489" s="8" t="str">
        <f>VLOOKUP(A489,Лист2!A:E,5,0)</f>
        <v>малые</v>
      </c>
      <c r="E489" s="10">
        <f>VLOOKUP(A489,Лист2!A:E,4,0)</f>
        <v>2.5</v>
      </c>
      <c r="F489" s="11">
        <f t="shared" si="21"/>
        <v>143000</v>
      </c>
      <c r="G489" s="11">
        <f t="shared" si="22"/>
        <v>91200</v>
      </c>
      <c r="H489" s="11">
        <f t="shared" si="23"/>
        <v>57200</v>
      </c>
    </row>
    <row r="490" spans="1:8">
      <c r="A490" s="6" t="s">
        <v>22</v>
      </c>
      <c r="B490">
        <v>11048000</v>
      </c>
      <c r="C490">
        <v>13287000</v>
      </c>
      <c r="D490" s="8" t="str">
        <f>VLOOKUP(A490,Лист2!A:E,5,0)</f>
        <v>малые</v>
      </c>
      <c r="E490" s="10">
        <f>VLOOKUP(A490,Лист2!A:E,4,0)</f>
        <v>13</v>
      </c>
      <c r="F490" s="11">
        <f t="shared" si="21"/>
        <v>-2239000</v>
      </c>
      <c r="G490" s="11">
        <f t="shared" si="22"/>
        <v>849846.15384615387</v>
      </c>
      <c r="H490" s="11">
        <f t="shared" si="23"/>
        <v>-172230.76923076922</v>
      </c>
    </row>
    <row r="491" spans="1:8">
      <c r="A491" s="6" t="s">
        <v>18</v>
      </c>
      <c r="B491">
        <v>280000</v>
      </c>
      <c r="C491">
        <v>34000</v>
      </c>
      <c r="D491" s="8" t="str">
        <f>VLOOKUP(A491,Лист2!A:E,5,0)</f>
        <v>малые</v>
      </c>
      <c r="E491" s="10">
        <f>VLOOKUP(A491,Лист2!A:E,4,0)</f>
        <v>2.5</v>
      </c>
      <c r="F491" s="11">
        <f t="shared" si="21"/>
        <v>246000</v>
      </c>
      <c r="G491" s="11">
        <f t="shared" si="22"/>
        <v>112000</v>
      </c>
      <c r="H491" s="11">
        <f t="shared" si="23"/>
        <v>98400</v>
      </c>
    </row>
    <row r="492" spans="1:8">
      <c r="A492" s="6" t="s">
        <v>18</v>
      </c>
      <c r="B492">
        <v>50000</v>
      </c>
      <c r="C492">
        <v>62000</v>
      </c>
      <c r="D492" s="8" t="str">
        <f>VLOOKUP(A492,Лист2!A:E,5,0)</f>
        <v>малые</v>
      </c>
      <c r="E492" s="10">
        <f>VLOOKUP(A492,Лист2!A:E,4,0)</f>
        <v>2.5</v>
      </c>
      <c r="F492" s="11">
        <f t="shared" si="21"/>
        <v>-12000</v>
      </c>
      <c r="G492" s="11">
        <f t="shared" si="22"/>
        <v>20000</v>
      </c>
      <c r="H492" s="11">
        <f t="shared" si="23"/>
        <v>-4800</v>
      </c>
    </row>
    <row r="493" spans="1:8">
      <c r="A493" s="6" t="s">
        <v>18</v>
      </c>
      <c r="B493">
        <v>137321000</v>
      </c>
      <c r="C493">
        <v>119956000</v>
      </c>
      <c r="D493" s="8" t="str">
        <f>VLOOKUP(A493,Лист2!A:E,5,0)</f>
        <v>малые</v>
      </c>
      <c r="E493" s="10">
        <f>VLOOKUP(A493,Лист2!A:E,4,0)</f>
        <v>2.5</v>
      </c>
      <c r="F493" s="11">
        <f t="shared" si="21"/>
        <v>17365000</v>
      </c>
      <c r="G493" s="11">
        <f t="shared" si="22"/>
        <v>54928400</v>
      </c>
      <c r="H493" s="11">
        <f t="shared" si="23"/>
        <v>6946000</v>
      </c>
    </row>
    <row r="494" spans="1:8">
      <c r="A494" s="6" t="s">
        <v>18</v>
      </c>
      <c r="B494">
        <v>1238000</v>
      </c>
      <c r="C494">
        <v>1264000</v>
      </c>
      <c r="D494" s="8" t="str">
        <f>VLOOKUP(A494,Лист2!A:E,5,0)</f>
        <v>малые</v>
      </c>
      <c r="E494" s="10">
        <f>VLOOKUP(A494,Лист2!A:E,4,0)</f>
        <v>2.5</v>
      </c>
      <c r="F494" s="11">
        <f t="shared" si="21"/>
        <v>-26000</v>
      </c>
      <c r="G494" s="11">
        <f t="shared" si="22"/>
        <v>495200</v>
      </c>
      <c r="H494" s="11">
        <f t="shared" si="23"/>
        <v>-10400</v>
      </c>
    </row>
    <row r="495" spans="1:8">
      <c r="A495" s="6" t="s">
        <v>18</v>
      </c>
      <c r="B495">
        <v>1204000</v>
      </c>
      <c r="C495">
        <v>1144000</v>
      </c>
      <c r="D495" s="8" t="str">
        <f>VLOOKUP(A495,Лист2!A:E,5,0)</f>
        <v>малые</v>
      </c>
      <c r="E495" s="10">
        <f>VLOOKUP(A495,Лист2!A:E,4,0)</f>
        <v>2.5</v>
      </c>
      <c r="F495" s="11">
        <f t="shared" si="21"/>
        <v>60000</v>
      </c>
      <c r="G495" s="11">
        <f t="shared" si="22"/>
        <v>481600</v>
      </c>
      <c r="H495" s="11">
        <f t="shared" si="23"/>
        <v>24000</v>
      </c>
    </row>
    <row r="496" spans="1:8">
      <c r="A496" s="6" t="s">
        <v>18</v>
      </c>
      <c r="B496">
        <v>1596000</v>
      </c>
      <c r="C496">
        <v>1599000</v>
      </c>
      <c r="D496" s="8" t="str">
        <f>VLOOKUP(A496,Лист2!A:E,5,0)</f>
        <v>малые</v>
      </c>
      <c r="E496" s="10">
        <f>VLOOKUP(A496,Лист2!A:E,4,0)</f>
        <v>2.5</v>
      </c>
      <c r="F496" s="11">
        <f t="shared" si="21"/>
        <v>-3000</v>
      </c>
      <c r="G496" s="11">
        <f t="shared" si="22"/>
        <v>638400</v>
      </c>
      <c r="H496" s="11">
        <f t="shared" si="23"/>
        <v>-1200</v>
      </c>
    </row>
    <row r="497" spans="1:8">
      <c r="A497" s="6" t="s">
        <v>18</v>
      </c>
      <c r="B497">
        <v>178028000</v>
      </c>
      <c r="C497">
        <v>170429000</v>
      </c>
      <c r="D497" s="8" t="str">
        <f>VLOOKUP(A497,Лист2!A:E,5,0)</f>
        <v>малые</v>
      </c>
      <c r="E497" s="10">
        <f>VLOOKUP(A497,Лист2!A:E,4,0)</f>
        <v>2.5</v>
      </c>
      <c r="F497" s="11">
        <f t="shared" si="21"/>
        <v>7599000</v>
      </c>
      <c r="G497" s="11">
        <f t="shared" si="22"/>
        <v>71211200</v>
      </c>
      <c r="H497" s="11">
        <f t="shared" si="23"/>
        <v>3039600</v>
      </c>
    </row>
    <row r="498" spans="1:8">
      <c r="A498" s="6" t="s">
        <v>18</v>
      </c>
      <c r="B498">
        <v>184000</v>
      </c>
      <c r="C498">
        <v>284000</v>
      </c>
      <c r="D498" s="8" t="str">
        <f>VLOOKUP(A498,Лист2!A:E,5,0)</f>
        <v>малые</v>
      </c>
      <c r="E498" s="10">
        <f>VLOOKUP(A498,Лист2!A:E,4,0)</f>
        <v>2.5</v>
      </c>
      <c r="F498" s="11">
        <f t="shared" si="21"/>
        <v>-100000</v>
      </c>
      <c r="G498" s="11">
        <f t="shared" si="22"/>
        <v>73600</v>
      </c>
      <c r="H498" s="11">
        <f t="shared" si="23"/>
        <v>-40000</v>
      </c>
    </row>
    <row r="499" spans="1:8">
      <c r="A499" s="6" t="s">
        <v>18</v>
      </c>
      <c r="B499">
        <v>192000</v>
      </c>
      <c r="C499">
        <v>10000</v>
      </c>
      <c r="D499" s="8" t="str">
        <f>VLOOKUP(A499,Лист2!A:E,5,0)</f>
        <v>малые</v>
      </c>
      <c r="E499" s="10">
        <f>VLOOKUP(A499,Лист2!A:E,4,0)</f>
        <v>2.5</v>
      </c>
      <c r="F499" s="11">
        <f t="shared" ref="F499:F554" si="24">B499-C499</f>
        <v>182000</v>
      </c>
      <c r="G499" s="11">
        <f t="shared" ref="G499:G554" si="25">B499/E499</f>
        <v>76800</v>
      </c>
      <c r="H499" s="11">
        <f t="shared" ref="H499:H554" si="26">F499/E499</f>
        <v>72800</v>
      </c>
    </row>
    <row r="500" spans="1:8">
      <c r="A500" s="6" t="s">
        <v>18</v>
      </c>
      <c r="B500">
        <v>2054000</v>
      </c>
      <c r="C500">
        <v>2057000</v>
      </c>
      <c r="D500" s="8" t="str">
        <f>VLOOKUP(A500,Лист2!A:E,5,0)</f>
        <v>малые</v>
      </c>
      <c r="E500" s="10">
        <f>VLOOKUP(A500,Лист2!A:E,4,0)</f>
        <v>2.5</v>
      </c>
      <c r="F500" s="11">
        <f t="shared" si="24"/>
        <v>-3000</v>
      </c>
      <c r="G500" s="11">
        <f t="shared" si="25"/>
        <v>821600</v>
      </c>
      <c r="H500" s="11">
        <f t="shared" si="26"/>
        <v>-1200</v>
      </c>
    </row>
    <row r="501" spans="1:8">
      <c r="A501" s="6" t="s">
        <v>18</v>
      </c>
      <c r="B501">
        <v>30407000</v>
      </c>
      <c r="C501">
        <v>30407000</v>
      </c>
      <c r="D501" s="8" t="str">
        <f>VLOOKUP(A501,Лист2!A:E,5,0)</f>
        <v>малые</v>
      </c>
      <c r="E501" s="10">
        <f>VLOOKUP(A501,Лист2!A:E,4,0)</f>
        <v>2.5</v>
      </c>
      <c r="F501" s="11">
        <f t="shared" si="24"/>
        <v>0</v>
      </c>
      <c r="G501" s="11">
        <f t="shared" si="25"/>
        <v>12162800</v>
      </c>
      <c r="H501" s="11">
        <f t="shared" si="26"/>
        <v>0</v>
      </c>
    </row>
    <row r="502" spans="1:8">
      <c r="A502" s="6" t="s">
        <v>18</v>
      </c>
      <c r="B502">
        <v>500000</v>
      </c>
      <c r="C502">
        <v>493000</v>
      </c>
      <c r="D502" s="8" t="str">
        <f>VLOOKUP(A502,Лист2!A:E,5,0)</f>
        <v>малые</v>
      </c>
      <c r="E502" s="10">
        <f>VLOOKUP(A502,Лист2!A:E,4,0)</f>
        <v>2.5</v>
      </c>
      <c r="F502" s="11">
        <f t="shared" si="24"/>
        <v>7000</v>
      </c>
      <c r="G502" s="11">
        <f t="shared" si="25"/>
        <v>200000</v>
      </c>
      <c r="H502" s="11">
        <f t="shared" si="26"/>
        <v>2800</v>
      </c>
    </row>
    <row r="503" spans="1:8">
      <c r="A503" s="6" t="s">
        <v>18</v>
      </c>
      <c r="B503">
        <v>10000</v>
      </c>
      <c r="C503">
        <v>10000</v>
      </c>
      <c r="D503" s="8" t="str">
        <f>VLOOKUP(A503,Лист2!A:E,5,0)</f>
        <v>малые</v>
      </c>
      <c r="E503" s="10">
        <f>VLOOKUP(A503,Лист2!A:E,4,0)</f>
        <v>2.5</v>
      </c>
      <c r="F503" s="11">
        <f t="shared" si="24"/>
        <v>0</v>
      </c>
      <c r="G503" s="11">
        <f t="shared" si="25"/>
        <v>4000</v>
      </c>
      <c r="H503" s="11">
        <f t="shared" si="26"/>
        <v>0</v>
      </c>
    </row>
    <row r="504" spans="1:8">
      <c r="A504" s="6" t="s">
        <v>18</v>
      </c>
      <c r="B504">
        <v>3524000</v>
      </c>
      <c r="C504">
        <v>2213000</v>
      </c>
      <c r="D504" s="8" t="str">
        <f>VLOOKUP(A504,Лист2!A:E,5,0)</f>
        <v>малые</v>
      </c>
      <c r="E504" s="10">
        <f>VLOOKUP(A504,Лист2!A:E,4,0)</f>
        <v>2.5</v>
      </c>
      <c r="F504" s="11">
        <f t="shared" si="24"/>
        <v>1311000</v>
      </c>
      <c r="G504" s="11">
        <f t="shared" si="25"/>
        <v>1409600</v>
      </c>
      <c r="H504" s="11">
        <f t="shared" si="26"/>
        <v>524400</v>
      </c>
    </row>
    <row r="505" spans="1:8">
      <c r="A505" s="6" t="s">
        <v>18</v>
      </c>
      <c r="B505">
        <v>1840000</v>
      </c>
      <c r="C505">
        <v>3747000</v>
      </c>
      <c r="D505" s="8" t="str">
        <f>VLOOKUP(A505,Лист2!A:E,5,0)</f>
        <v>малые</v>
      </c>
      <c r="E505" s="10">
        <f>VLOOKUP(A505,Лист2!A:E,4,0)</f>
        <v>2.5</v>
      </c>
      <c r="F505" s="11">
        <f t="shared" si="24"/>
        <v>-1907000</v>
      </c>
      <c r="G505" s="11">
        <f t="shared" si="25"/>
        <v>736000</v>
      </c>
      <c r="H505" s="11">
        <f t="shared" si="26"/>
        <v>-762800</v>
      </c>
    </row>
    <row r="506" spans="1:8">
      <c r="A506" s="6" t="s">
        <v>18</v>
      </c>
      <c r="B506">
        <v>2759000</v>
      </c>
      <c r="C506">
        <v>2560000</v>
      </c>
      <c r="D506" s="8" t="str">
        <f>VLOOKUP(A506,Лист2!A:E,5,0)</f>
        <v>малые</v>
      </c>
      <c r="E506" s="10">
        <f>VLOOKUP(A506,Лист2!A:E,4,0)</f>
        <v>2.5</v>
      </c>
      <c r="F506" s="11">
        <f t="shared" si="24"/>
        <v>199000</v>
      </c>
      <c r="G506" s="11">
        <f t="shared" si="25"/>
        <v>1103600</v>
      </c>
      <c r="H506" s="11">
        <f t="shared" si="26"/>
        <v>79600</v>
      </c>
    </row>
    <row r="507" spans="1:8">
      <c r="A507" s="6" t="s">
        <v>18</v>
      </c>
      <c r="B507">
        <v>2396000</v>
      </c>
      <c r="C507">
        <v>2300000</v>
      </c>
      <c r="D507" s="8" t="str">
        <f>VLOOKUP(A507,Лист2!A:E,5,0)</f>
        <v>малые</v>
      </c>
      <c r="E507" s="10">
        <f>VLOOKUP(A507,Лист2!A:E,4,0)</f>
        <v>2.5</v>
      </c>
      <c r="F507" s="11">
        <f t="shared" si="24"/>
        <v>96000</v>
      </c>
      <c r="G507" s="11">
        <f t="shared" si="25"/>
        <v>958400</v>
      </c>
      <c r="H507" s="11">
        <f t="shared" si="26"/>
        <v>38400</v>
      </c>
    </row>
    <row r="508" spans="1:8">
      <c r="A508" s="6" t="s">
        <v>18</v>
      </c>
      <c r="B508">
        <v>649000</v>
      </c>
      <c r="C508">
        <v>196000</v>
      </c>
      <c r="D508" s="8" t="str">
        <f>VLOOKUP(A508,Лист2!A:E,5,0)</f>
        <v>малые</v>
      </c>
      <c r="E508" s="10">
        <f>VLOOKUP(A508,Лист2!A:E,4,0)</f>
        <v>2.5</v>
      </c>
      <c r="F508" s="11">
        <f t="shared" si="24"/>
        <v>453000</v>
      </c>
      <c r="G508" s="11">
        <f t="shared" si="25"/>
        <v>259600</v>
      </c>
      <c r="H508" s="11">
        <f t="shared" si="26"/>
        <v>181200</v>
      </c>
    </row>
    <row r="509" spans="1:8">
      <c r="A509" s="6" t="s">
        <v>18</v>
      </c>
      <c r="B509">
        <v>10194000</v>
      </c>
      <c r="C509">
        <v>3539000</v>
      </c>
      <c r="D509" s="8" t="str">
        <f>VLOOKUP(A509,Лист2!A:E,5,0)</f>
        <v>малые</v>
      </c>
      <c r="E509" s="10">
        <f>VLOOKUP(A509,Лист2!A:E,4,0)</f>
        <v>2.5</v>
      </c>
      <c r="F509" s="11">
        <f t="shared" si="24"/>
        <v>6655000</v>
      </c>
      <c r="G509" s="11">
        <f t="shared" si="25"/>
        <v>4077600</v>
      </c>
      <c r="H509" s="11">
        <f t="shared" si="26"/>
        <v>2662000</v>
      </c>
    </row>
    <row r="510" spans="1:8">
      <c r="A510" s="6" t="s">
        <v>18</v>
      </c>
      <c r="B510">
        <v>190650000</v>
      </c>
      <c r="C510">
        <v>190666000</v>
      </c>
      <c r="D510" s="8" t="str">
        <f>VLOOKUP(A510,Лист2!A:E,5,0)</f>
        <v>малые</v>
      </c>
      <c r="E510" s="10">
        <f>VLOOKUP(A510,Лист2!A:E,4,0)</f>
        <v>2.5</v>
      </c>
      <c r="F510" s="11">
        <f t="shared" si="24"/>
        <v>-16000</v>
      </c>
      <c r="G510" s="11">
        <f t="shared" si="25"/>
        <v>76260000</v>
      </c>
      <c r="H510" s="11">
        <f t="shared" si="26"/>
        <v>-6400</v>
      </c>
    </row>
    <row r="511" spans="1:8">
      <c r="A511" s="6" t="s">
        <v>18</v>
      </c>
      <c r="B511">
        <v>750000</v>
      </c>
      <c r="C511">
        <v>300000</v>
      </c>
      <c r="D511" s="8" t="str">
        <f>VLOOKUP(A511,Лист2!A:E,5,0)</f>
        <v>малые</v>
      </c>
      <c r="E511" s="10">
        <f>VLOOKUP(A511,Лист2!A:E,4,0)</f>
        <v>2.5</v>
      </c>
      <c r="F511" s="11">
        <f t="shared" si="24"/>
        <v>450000</v>
      </c>
      <c r="G511" s="11">
        <f t="shared" si="25"/>
        <v>300000</v>
      </c>
      <c r="H511" s="11">
        <f t="shared" si="26"/>
        <v>180000</v>
      </c>
    </row>
    <row r="512" spans="1:8">
      <c r="A512" s="6" t="s">
        <v>18</v>
      </c>
      <c r="B512">
        <v>276000</v>
      </c>
      <c r="C512">
        <v>172000</v>
      </c>
      <c r="D512" s="8" t="str">
        <f>VLOOKUP(A512,Лист2!A:E,5,0)</f>
        <v>малые</v>
      </c>
      <c r="E512" s="10">
        <f>VLOOKUP(A512,Лист2!A:E,4,0)</f>
        <v>2.5</v>
      </c>
      <c r="F512" s="11">
        <f t="shared" si="24"/>
        <v>104000</v>
      </c>
      <c r="G512" s="11">
        <f t="shared" si="25"/>
        <v>110400</v>
      </c>
      <c r="H512" s="11">
        <f t="shared" si="26"/>
        <v>41600</v>
      </c>
    </row>
    <row r="513" spans="1:8">
      <c r="A513" s="6" t="s">
        <v>18</v>
      </c>
      <c r="B513">
        <v>153000</v>
      </c>
      <c r="C513">
        <v>10000</v>
      </c>
      <c r="D513" s="8" t="str">
        <f>VLOOKUP(A513,Лист2!A:E,5,0)</f>
        <v>малые</v>
      </c>
      <c r="E513" s="10">
        <f>VLOOKUP(A513,Лист2!A:E,4,0)</f>
        <v>2.5</v>
      </c>
      <c r="F513" s="11">
        <f t="shared" si="24"/>
        <v>143000</v>
      </c>
      <c r="G513" s="11">
        <f t="shared" si="25"/>
        <v>61200</v>
      </c>
      <c r="H513" s="11">
        <f t="shared" si="26"/>
        <v>57200</v>
      </c>
    </row>
    <row r="514" spans="1:8">
      <c r="A514" s="6" t="s">
        <v>18</v>
      </c>
      <c r="B514">
        <v>50000</v>
      </c>
      <c r="C514">
        <v>232000</v>
      </c>
      <c r="D514" s="8" t="str">
        <f>VLOOKUP(A514,Лист2!A:E,5,0)</f>
        <v>малые</v>
      </c>
      <c r="E514" s="10">
        <f>VLOOKUP(A514,Лист2!A:E,4,0)</f>
        <v>2.5</v>
      </c>
      <c r="F514" s="11">
        <f t="shared" si="24"/>
        <v>-182000</v>
      </c>
      <c r="G514" s="11">
        <f t="shared" si="25"/>
        <v>20000</v>
      </c>
      <c r="H514" s="11">
        <f t="shared" si="26"/>
        <v>-72800</v>
      </c>
    </row>
    <row r="515" spans="1:8">
      <c r="A515" s="6" t="s">
        <v>18</v>
      </c>
      <c r="B515">
        <v>318000</v>
      </c>
      <c r="C515">
        <v>390000</v>
      </c>
      <c r="D515" s="8" t="str">
        <f>VLOOKUP(A515,Лист2!A:E,5,0)</f>
        <v>малые</v>
      </c>
      <c r="E515" s="10">
        <f>VLOOKUP(A515,Лист2!A:E,4,0)</f>
        <v>2.5</v>
      </c>
      <c r="F515" s="11">
        <f t="shared" si="24"/>
        <v>-72000</v>
      </c>
      <c r="G515" s="11">
        <f t="shared" si="25"/>
        <v>127200</v>
      </c>
      <c r="H515" s="11">
        <f t="shared" si="26"/>
        <v>-28800</v>
      </c>
    </row>
    <row r="516" spans="1:8">
      <c r="A516" s="6" t="s">
        <v>18</v>
      </c>
      <c r="B516">
        <v>600000</v>
      </c>
      <c r="C516">
        <v>513000</v>
      </c>
      <c r="D516" s="8" t="str">
        <f>VLOOKUP(A516,Лист2!A:E,5,0)</f>
        <v>малые</v>
      </c>
      <c r="E516" s="10">
        <f>VLOOKUP(A516,Лист2!A:E,4,0)</f>
        <v>2.5</v>
      </c>
      <c r="F516" s="11">
        <f t="shared" si="24"/>
        <v>87000</v>
      </c>
      <c r="G516" s="11">
        <f t="shared" si="25"/>
        <v>240000</v>
      </c>
      <c r="H516" s="11">
        <f t="shared" si="26"/>
        <v>34800</v>
      </c>
    </row>
    <row r="517" spans="1:8">
      <c r="A517" s="6" t="s">
        <v>18</v>
      </c>
      <c r="B517">
        <v>557000</v>
      </c>
      <c r="C517">
        <v>629000</v>
      </c>
      <c r="D517" s="8" t="str">
        <f>VLOOKUP(A517,Лист2!A:E,5,0)</f>
        <v>малые</v>
      </c>
      <c r="E517" s="10">
        <f>VLOOKUP(A517,Лист2!A:E,4,0)</f>
        <v>2.5</v>
      </c>
      <c r="F517" s="11">
        <f t="shared" si="24"/>
        <v>-72000</v>
      </c>
      <c r="G517" s="11">
        <f t="shared" si="25"/>
        <v>222800</v>
      </c>
      <c r="H517" s="11">
        <f t="shared" si="26"/>
        <v>-28800</v>
      </c>
    </row>
    <row r="518" spans="1:8">
      <c r="A518" s="6" t="s">
        <v>18</v>
      </c>
      <c r="B518">
        <v>4774000</v>
      </c>
      <c r="C518">
        <v>1757000</v>
      </c>
      <c r="D518" s="8" t="str">
        <f>VLOOKUP(A518,Лист2!A:E,5,0)</f>
        <v>малые</v>
      </c>
      <c r="E518" s="10">
        <f>VLOOKUP(A518,Лист2!A:E,4,0)</f>
        <v>2.5</v>
      </c>
      <c r="F518" s="11">
        <f t="shared" si="24"/>
        <v>3017000</v>
      </c>
      <c r="G518" s="11">
        <f t="shared" si="25"/>
        <v>1909600</v>
      </c>
      <c r="H518" s="11">
        <f t="shared" si="26"/>
        <v>1206800</v>
      </c>
    </row>
    <row r="519" spans="1:8">
      <c r="A519" s="6" t="s">
        <v>22</v>
      </c>
      <c r="B519">
        <v>24215000</v>
      </c>
      <c r="C519">
        <v>24234000</v>
      </c>
      <c r="D519" s="8" t="str">
        <f>VLOOKUP(A519,Лист2!A:E,5,0)</f>
        <v>малые</v>
      </c>
      <c r="E519" s="10">
        <f>VLOOKUP(A519,Лист2!A:E,4,0)</f>
        <v>13</v>
      </c>
      <c r="F519" s="11">
        <f t="shared" si="24"/>
        <v>-19000</v>
      </c>
      <c r="G519" s="11">
        <f t="shared" si="25"/>
        <v>1862692.3076923077</v>
      </c>
      <c r="H519" s="11">
        <f t="shared" si="26"/>
        <v>-1461.5384615384614</v>
      </c>
    </row>
    <row r="520" spans="1:8">
      <c r="A520" s="6" t="s">
        <v>18</v>
      </c>
      <c r="B520">
        <v>701000</v>
      </c>
      <c r="C520">
        <v>660000</v>
      </c>
      <c r="D520" s="8" t="str">
        <f>VLOOKUP(A520,Лист2!A:E,5,0)</f>
        <v>малые</v>
      </c>
      <c r="E520" s="10">
        <f>VLOOKUP(A520,Лист2!A:E,4,0)</f>
        <v>2.5</v>
      </c>
      <c r="F520" s="11">
        <f t="shared" si="24"/>
        <v>41000</v>
      </c>
      <c r="G520" s="11">
        <f t="shared" si="25"/>
        <v>280400</v>
      </c>
      <c r="H520" s="11">
        <f t="shared" si="26"/>
        <v>16400</v>
      </c>
    </row>
    <row r="521" spans="1:8">
      <c r="A521" s="6" t="s">
        <v>18</v>
      </c>
      <c r="B521">
        <v>1575000</v>
      </c>
      <c r="C521">
        <v>1854000</v>
      </c>
      <c r="D521" s="8" t="str">
        <f>VLOOKUP(A521,Лист2!A:E,5,0)</f>
        <v>малые</v>
      </c>
      <c r="E521" s="10">
        <f>VLOOKUP(A521,Лист2!A:E,4,0)</f>
        <v>2.5</v>
      </c>
      <c r="F521" s="11">
        <f t="shared" si="24"/>
        <v>-279000</v>
      </c>
      <c r="G521" s="11">
        <f t="shared" si="25"/>
        <v>630000</v>
      </c>
      <c r="H521" s="11">
        <f t="shared" si="26"/>
        <v>-111600</v>
      </c>
    </row>
    <row r="522" spans="1:8">
      <c r="A522" s="6" t="s">
        <v>18</v>
      </c>
      <c r="B522">
        <v>10072000</v>
      </c>
      <c r="C522">
        <v>4179000</v>
      </c>
      <c r="D522" s="8" t="str">
        <f>VLOOKUP(A522,Лист2!A:E,5,0)</f>
        <v>малые</v>
      </c>
      <c r="E522" s="10">
        <f>VLOOKUP(A522,Лист2!A:E,4,0)</f>
        <v>2.5</v>
      </c>
      <c r="F522" s="11">
        <f t="shared" si="24"/>
        <v>5893000</v>
      </c>
      <c r="G522" s="11">
        <f t="shared" si="25"/>
        <v>4028800</v>
      </c>
      <c r="H522" s="11">
        <f t="shared" si="26"/>
        <v>2357200</v>
      </c>
    </row>
    <row r="523" spans="1:8">
      <c r="A523" s="6" t="s">
        <v>18</v>
      </c>
      <c r="B523">
        <v>326000</v>
      </c>
      <c r="C523">
        <v>326000</v>
      </c>
      <c r="D523" s="8" t="str">
        <f>VLOOKUP(A523,Лист2!A:E,5,0)</f>
        <v>малые</v>
      </c>
      <c r="E523" s="10">
        <f>VLOOKUP(A523,Лист2!A:E,4,0)</f>
        <v>2.5</v>
      </c>
      <c r="F523" s="11">
        <f t="shared" si="24"/>
        <v>0</v>
      </c>
      <c r="G523" s="11">
        <f t="shared" si="25"/>
        <v>130400</v>
      </c>
      <c r="H523" s="11">
        <f t="shared" si="26"/>
        <v>0</v>
      </c>
    </row>
    <row r="524" spans="1:8">
      <c r="A524" s="6" t="s">
        <v>18</v>
      </c>
      <c r="B524">
        <v>3456000</v>
      </c>
      <c r="C524">
        <v>2969000</v>
      </c>
      <c r="D524" s="8" t="str">
        <f>VLOOKUP(A524,Лист2!A:E,5,0)</f>
        <v>малые</v>
      </c>
      <c r="E524" s="10">
        <f>VLOOKUP(A524,Лист2!A:E,4,0)</f>
        <v>2.5</v>
      </c>
      <c r="F524" s="11">
        <f t="shared" si="24"/>
        <v>487000</v>
      </c>
      <c r="G524" s="11">
        <f t="shared" si="25"/>
        <v>1382400</v>
      </c>
      <c r="H524" s="11">
        <f t="shared" si="26"/>
        <v>194800</v>
      </c>
    </row>
    <row r="525" spans="1:8">
      <c r="A525" s="6" t="s">
        <v>18</v>
      </c>
      <c r="B525">
        <v>23694000</v>
      </c>
      <c r="C525">
        <v>29578000</v>
      </c>
      <c r="D525" s="8" t="str">
        <f>VLOOKUP(A525,Лист2!A:E,5,0)</f>
        <v>малые</v>
      </c>
      <c r="E525" s="10">
        <f>VLOOKUP(A525,Лист2!A:E,4,0)</f>
        <v>2.5</v>
      </c>
      <c r="F525" s="11">
        <f t="shared" si="24"/>
        <v>-5884000</v>
      </c>
      <c r="G525" s="11">
        <f t="shared" si="25"/>
        <v>9477600</v>
      </c>
      <c r="H525" s="11">
        <f t="shared" si="26"/>
        <v>-2353600</v>
      </c>
    </row>
    <row r="526" spans="1:8">
      <c r="A526" s="6" t="s">
        <v>18</v>
      </c>
      <c r="B526">
        <v>305000</v>
      </c>
      <c r="C526">
        <v>293000</v>
      </c>
      <c r="D526" s="8" t="str">
        <f>VLOOKUP(A526,Лист2!A:E,5,0)</f>
        <v>малые</v>
      </c>
      <c r="E526" s="10">
        <f>VLOOKUP(A526,Лист2!A:E,4,0)</f>
        <v>2.5</v>
      </c>
      <c r="F526" s="11">
        <f t="shared" si="24"/>
        <v>12000</v>
      </c>
      <c r="G526" s="11">
        <f t="shared" si="25"/>
        <v>122000</v>
      </c>
      <c r="H526" s="11">
        <f t="shared" si="26"/>
        <v>4800</v>
      </c>
    </row>
    <row r="527" spans="1:8">
      <c r="A527" s="6" t="s">
        <v>18</v>
      </c>
      <c r="B527">
        <v>5725000</v>
      </c>
      <c r="C527">
        <v>5419000</v>
      </c>
      <c r="D527" s="8" t="str">
        <f>VLOOKUP(A527,Лист2!A:E,5,0)</f>
        <v>малые</v>
      </c>
      <c r="E527" s="10">
        <f>VLOOKUP(A527,Лист2!A:E,4,0)</f>
        <v>2.5</v>
      </c>
      <c r="F527" s="11">
        <f t="shared" si="24"/>
        <v>306000</v>
      </c>
      <c r="G527" s="11">
        <f t="shared" si="25"/>
        <v>2290000</v>
      </c>
      <c r="H527" s="11">
        <f t="shared" si="26"/>
        <v>122400</v>
      </c>
    </row>
    <row r="528" spans="1:8">
      <c r="A528" s="6" t="s">
        <v>18</v>
      </c>
      <c r="B528">
        <v>574000</v>
      </c>
      <c r="C528">
        <v>579000</v>
      </c>
      <c r="D528" s="8" t="str">
        <f>VLOOKUP(A528,Лист2!A:E,5,0)</f>
        <v>малые</v>
      </c>
      <c r="E528" s="10">
        <f>VLOOKUP(A528,Лист2!A:E,4,0)</f>
        <v>2.5</v>
      </c>
      <c r="F528" s="11">
        <f t="shared" si="24"/>
        <v>-5000</v>
      </c>
      <c r="G528" s="11">
        <f t="shared" si="25"/>
        <v>229600</v>
      </c>
      <c r="H528" s="11">
        <f t="shared" si="26"/>
        <v>-2000</v>
      </c>
    </row>
    <row r="529" spans="1:8">
      <c r="A529" s="6" t="s">
        <v>18</v>
      </c>
      <c r="B529">
        <v>25000</v>
      </c>
      <c r="C529">
        <v>53000</v>
      </c>
      <c r="D529" s="8" t="str">
        <f>VLOOKUP(A529,Лист2!A:E,5,0)</f>
        <v>малые</v>
      </c>
      <c r="E529" s="10">
        <f>VLOOKUP(A529,Лист2!A:E,4,0)</f>
        <v>2.5</v>
      </c>
      <c r="F529" s="11">
        <f t="shared" si="24"/>
        <v>-28000</v>
      </c>
      <c r="G529" s="11">
        <f t="shared" si="25"/>
        <v>10000</v>
      </c>
      <c r="H529" s="11">
        <f t="shared" si="26"/>
        <v>-11200</v>
      </c>
    </row>
    <row r="530" spans="1:8">
      <c r="A530" s="6" t="s">
        <v>18</v>
      </c>
      <c r="B530">
        <v>6800000</v>
      </c>
      <c r="C530">
        <v>6839000</v>
      </c>
      <c r="D530" s="8" t="str">
        <f>VLOOKUP(A530,Лист2!A:E,5,0)</f>
        <v>малые</v>
      </c>
      <c r="E530" s="10">
        <f>VLOOKUP(A530,Лист2!A:E,4,0)</f>
        <v>2.5</v>
      </c>
      <c r="F530" s="11">
        <f t="shared" si="24"/>
        <v>-39000</v>
      </c>
      <c r="G530" s="11">
        <f t="shared" si="25"/>
        <v>2720000</v>
      </c>
      <c r="H530" s="11">
        <f t="shared" si="26"/>
        <v>-15600</v>
      </c>
    </row>
    <row r="531" spans="1:8">
      <c r="A531" s="6" t="s">
        <v>18</v>
      </c>
      <c r="B531">
        <v>160000</v>
      </c>
      <c r="C531">
        <v>149000</v>
      </c>
      <c r="D531" s="8" t="str">
        <f>VLOOKUP(A531,Лист2!A:E,5,0)</f>
        <v>малые</v>
      </c>
      <c r="E531" s="10">
        <f>VLOOKUP(A531,Лист2!A:E,4,0)</f>
        <v>2.5</v>
      </c>
      <c r="F531" s="11">
        <f t="shared" si="24"/>
        <v>11000</v>
      </c>
      <c r="G531" s="11">
        <f t="shared" si="25"/>
        <v>64000</v>
      </c>
      <c r="H531" s="11">
        <f t="shared" si="26"/>
        <v>4400</v>
      </c>
    </row>
    <row r="532" spans="1:8">
      <c r="A532" s="6" t="s">
        <v>18</v>
      </c>
      <c r="B532">
        <v>900000</v>
      </c>
      <c r="C532">
        <v>898000</v>
      </c>
      <c r="D532" s="8" t="str">
        <f>VLOOKUP(A532,Лист2!A:E,5,0)</f>
        <v>малые</v>
      </c>
      <c r="E532" s="10">
        <f>VLOOKUP(A532,Лист2!A:E,4,0)</f>
        <v>2.5</v>
      </c>
      <c r="F532" s="11">
        <f t="shared" si="24"/>
        <v>2000</v>
      </c>
      <c r="G532" s="11">
        <f t="shared" si="25"/>
        <v>360000</v>
      </c>
      <c r="H532" s="11">
        <f t="shared" si="26"/>
        <v>800</v>
      </c>
    </row>
    <row r="533" spans="1:8">
      <c r="A533" s="6" t="s">
        <v>18</v>
      </c>
      <c r="B533">
        <v>1730000</v>
      </c>
      <c r="C533">
        <v>1590000</v>
      </c>
      <c r="D533" s="8" t="str">
        <f>VLOOKUP(A533,Лист2!A:E,5,0)</f>
        <v>малые</v>
      </c>
      <c r="E533" s="10">
        <f>VLOOKUP(A533,Лист2!A:E,4,0)</f>
        <v>2.5</v>
      </c>
      <c r="F533" s="11">
        <f t="shared" si="24"/>
        <v>140000</v>
      </c>
      <c r="G533" s="11">
        <f t="shared" si="25"/>
        <v>692000</v>
      </c>
      <c r="H533" s="11">
        <f t="shared" si="26"/>
        <v>56000</v>
      </c>
    </row>
    <row r="534" spans="1:8">
      <c r="A534" s="6" t="s">
        <v>18</v>
      </c>
      <c r="B534">
        <v>1653000</v>
      </c>
      <c r="C534">
        <v>1676000</v>
      </c>
      <c r="D534" s="8" t="str">
        <f>VLOOKUP(A534,Лист2!A:E,5,0)</f>
        <v>малые</v>
      </c>
      <c r="E534" s="10">
        <f>VLOOKUP(A534,Лист2!A:E,4,0)</f>
        <v>2.5</v>
      </c>
      <c r="F534" s="11">
        <f t="shared" si="24"/>
        <v>-23000</v>
      </c>
      <c r="G534" s="11">
        <f t="shared" si="25"/>
        <v>661200</v>
      </c>
      <c r="H534" s="11">
        <f t="shared" si="26"/>
        <v>-9200</v>
      </c>
    </row>
    <row r="535" spans="1:8">
      <c r="A535" s="6" t="s">
        <v>18</v>
      </c>
      <c r="B535">
        <v>2165000</v>
      </c>
      <c r="C535">
        <v>2480000</v>
      </c>
      <c r="D535" s="8" t="str">
        <f>VLOOKUP(A535,Лист2!A:E,5,0)</f>
        <v>малые</v>
      </c>
      <c r="E535" s="10">
        <f>VLOOKUP(A535,Лист2!A:E,4,0)</f>
        <v>2.5</v>
      </c>
      <c r="F535" s="11">
        <f t="shared" si="24"/>
        <v>-315000</v>
      </c>
      <c r="G535" s="11">
        <f t="shared" si="25"/>
        <v>866000</v>
      </c>
      <c r="H535" s="11">
        <f t="shared" si="26"/>
        <v>-126000</v>
      </c>
    </row>
    <row r="536" spans="1:8">
      <c r="A536" s="6" t="s">
        <v>18</v>
      </c>
      <c r="B536">
        <v>1210000</v>
      </c>
      <c r="C536">
        <v>1207000</v>
      </c>
      <c r="D536" s="8" t="str">
        <f>VLOOKUP(A536,Лист2!A:E,5,0)</f>
        <v>малые</v>
      </c>
      <c r="E536" s="10">
        <f>VLOOKUP(A536,Лист2!A:E,4,0)</f>
        <v>2.5</v>
      </c>
      <c r="F536" s="11">
        <f t="shared" si="24"/>
        <v>3000</v>
      </c>
      <c r="G536" s="11">
        <f t="shared" si="25"/>
        <v>484000</v>
      </c>
      <c r="H536" s="11">
        <f t="shared" si="26"/>
        <v>1200</v>
      </c>
    </row>
    <row r="537" spans="1:8">
      <c r="A537" s="6" t="s">
        <v>18</v>
      </c>
      <c r="B537">
        <v>34000000</v>
      </c>
      <c r="C537">
        <v>34246000</v>
      </c>
      <c r="D537" s="8" t="str">
        <f>VLOOKUP(A537,Лист2!A:E,5,0)</f>
        <v>малые</v>
      </c>
      <c r="E537" s="10">
        <f>VLOOKUP(A537,Лист2!A:E,4,0)</f>
        <v>2.5</v>
      </c>
      <c r="F537" s="11">
        <f t="shared" si="24"/>
        <v>-246000</v>
      </c>
      <c r="G537" s="11">
        <f t="shared" si="25"/>
        <v>13600000</v>
      </c>
      <c r="H537" s="11">
        <f t="shared" si="26"/>
        <v>-98400</v>
      </c>
    </row>
    <row r="538" spans="1:8">
      <c r="A538" s="6" t="s">
        <v>18</v>
      </c>
      <c r="B538">
        <v>1302000</v>
      </c>
      <c r="C538">
        <v>546000</v>
      </c>
      <c r="D538" s="8" t="str">
        <f>VLOOKUP(A538,Лист2!A:E,5,0)</f>
        <v>малые</v>
      </c>
      <c r="E538" s="10">
        <f>VLOOKUP(A538,Лист2!A:E,4,0)</f>
        <v>2.5</v>
      </c>
      <c r="F538" s="11">
        <f t="shared" si="24"/>
        <v>756000</v>
      </c>
      <c r="G538" s="11">
        <f t="shared" si="25"/>
        <v>520800</v>
      </c>
      <c r="H538" s="11">
        <f t="shared" si="26"/>
        <v>302400</v>
      </c>
    </row>
    <row r="539" spans="1:8">
      <c r="A539" s="6" t="s">
        <v>18</v>
      </c>
      <c r="B539">
        <v>14205000</v>
      </c>
      <c r="C539">
        <v>13913000</v>
      </c>
      <c r="D539" s="8" t="str">
        <f>VLOOKUP(A539,Лист2!A:E,5,0)</f>
        <v>малые</v>
      </c>
      <c r="E539" s="10">
        <f>VLOOKUP(A539,Лист2!A:E,4,0)</f>
        <v>2.5</v>
      </c>
      <c r="F539" s="11">
        <f t="shared" si="24"/>
        <v>292000</v>
      </c>
      <c r="G539" s="11">
        <f t="shared" si="25"/>
        <v>5682000</v>
      </c>
      <c r="H539" s="11">
        <f t="shared" si="26"/>
        <v>116800</v>
      </c>
    </row>
    <row r="540" spans="1:8">
      <c r="A540" s="6" t="s">
        <v>18</v>
      </c>
      <c r="B540">
        <v>163000</v>
      </c>
      <c r="C540">
        <v>518000</v>
      </c>
      <c r="D540" s="8" t="str">
        <f>VLOOKUP(A540,Лист2!A:E,5,0)</f>
        <v>малые</v>
      </c>
      <c r="E540" s="10">
        <f>VLOOKUP(A540,Лист2!A:E,4,0)</f>
        <v>2.5</v>
      </c>
      <c r="F540" s="11">
        <f t="shared" si="24"/>
        <v>-355000</v>
      </c>
      <c r="G540" s="11">
        <f t="shared" si="25"/>
        <v>65200</v>
      </c>
      <c r="H540" s="11">
        <f t="shared" si="26"/>
        <v>-142000</v>
      </c>
    </row>
    <row r="541" spans="1:8">
      <c r="A541" s="6" t="s">
        <v>18</v>
      </c>
      <c r="B541">
        <v>35000</v>
      </c>
      <c r="C541">
        <v>28000</v>
      </c>
      <c r="D541" s="8" t="str">
        <f>VLOOKUP(A541,Лист2!A:E,5,0)</f>
        <v>малые</v>
      </c>
      <c r="E541" s="10">
        <f>VLOOKUP(A541,Лист2!A:E,4,0)</f>
        <v>2.5</v>
      </c>
      <c r="F541" s="11">
        <f t="shared" si="24"/>
        <v>7000</v>
      </c>
      <c r="G541" s="11">
        <f t="shared" si="25"/>
        <v>14000</v>
      </c>
      <c r="H541" s="11">
        <f t="shared" si="26"/>
        <v>2800</v>
      </c>
    </row>
    <row r="542" spans="1:8">
      <c r="A542" s="6" t="s">
        <v>18</v>
      </c>
      <c r="B542">
        <v>3560000</v>
      </c>
      <c r="C542">
        <v>3560000</v>
      </c>
      <c r="D542" s="8" t="str">
        <f>VLOOKUP(A542,Лист2!A:E,5,0)</f>
        <v>малые</v>
      </c>
      <c r="E542" s="10">
        <f>VLOOKUP(A542,Лист2!A:E,4,0)</f>
        <v>2.5</v>
      </c>
      <c r="F542" s="11">
        <f t="shared" si="24"/>
        <v>0</v>
      </c>
      <c r="G542" s="11">
        <f t="shared" si="25"/>
        <v>1424000</v>
      </c>
      <c r="H542" s="11">
        <f t="shared" si="26"/>
        <v>0</v>
      </c>
    </row>
    <row r="543" spans="1:8">
      <c r="A543" s="6" t="s">
        <v>18</v>
      </c>
      <c r="B543">
        <v>178000</v>
      </c>
      <c r="C543">
        <v>155000</v>
      </c>
      <c r="D543" s="8" t="str">
        <f>VLOOKUP(A543,Лист2!A:E,5,0)</f>
        <v>малые</v>
      </c>
      <c r="E543" s="10">
        <f>VLOOKUP(A543,Лист2!A:E,4,0)</f>
        <v>2.5</v>
      </c>
      <c r="F543" s="11">
        <f t="shared" si="24"/>
        <v>23000</v>
      </c>
      <c r="G543" s="11">
        <f t="shared" si="25"/>
        <v>71200</v>
      </c>
      <c r="H543" s="11">
        <f t="shared" si="26"/>
        <v>9200</v>
      </c>
    </row>
    <row r="544" spans="1:8">
      <c r="A544" s="6" t="s">
        <v>18</v>
      </c>
      <c r="B544">
        <v>2453000</v>
      </c>
      <c r="C544">
        <v>2702000</v>
      </c>
      <c r="D544" s="8" t="str">
        <f>VLOOKUP(A544,Лист2!A:E,5,0)</f>
        <v>малые</v>
      </c>
      <c r="E544" s="10">
        <f>VLOOKUP(A544,Лист2!A:E,4,0)</f>
        <v>2.5</v>
      </c>
      <c r="F544" s="11">
        <f t="shared" si="24"/>
        <v>-249000</v>
      </c>
      <c r="G544" s="11">
        <f t="shared" si="25"/>
        <v>981200</v>
      </c>
      <c r="H544" s="11">
        <f t="shared" si="26"/>
        <v>-99600</v>
      </c>
    </row>
    <row r="545" spans="1:8">
      <c r="A545" s="6" t="s">
        <v>18</v>
      </c>
      <c r="B545">
        <v>370000</v>
      </c>
      <c r="C545">
        <v>391000</v>
      </c>
      <c r="D545" s="8" t="str">
        <f>VLOOKUP(A545,Лист2!A:E,5,0)</f>
        <v>малые</v>
      </c>
      <c r="E545" s="10">
        <f>VLOOKUP(A545,Лист2!A:E,4,0)</f>
        <v>2.5</v>
      </c>
      <c r="F545" s="11">
        <f t="shared" si="24"/>
        <v>-21000</v>
      </c>
      <c r="G545" s="11">
        <f t="shared" si="25"/>
        <v>148000</v>
      </c>
      <c r="H545" s="11">
        <f t="shared" si="26"/>
        <v>-8400</v>
      </c>
    </row>
    <row r="546" spans="1:8">
      <c r="A546" s="6" t="s">
        <v>18</v>
      </c>
      <c r="B546">
        <v>799000</v>
      </c>
      <c r="C546">
        <v>789000</v>
      </c>
      <c r="D546" s="8" t="str">
        <f>VLOOKUP(A546,Лист2!A:E,5,0)</f>
        <v>малые</v>
      </c>
      <c r="E546" s="10">
        <f>VLOOKUP(A546,Лист2!A:E,4,0)</f>
        <v>2.5</v>
      </c>
      <c r="F546" s="11">
        <f t="shared" si="24"/>
        <v>10000</v>
      </c>
      <c r="G546" s="11">
        <f t="shared" si="25"/>
        <v>319600</v>
      </c>
      <c r="H546" s="11">
        <f t="shared" si="26"/>
        <v>4000</v>
      </c>
    </row>
    <row r="547" spans="1:8">
      <c r="A547" s="6" t="s">
        <v>18</v>
      </c>
      <c r="B547">
        <v>2797000</v>
      </c>
      <c r="C547">
        <v>3224000</v>
      </c>
      <c r="D547" s="8" t="str">
        <f>VLOOKUP(A547,Лист2!A:E,5,0)</f>
        <v>малые</v>
      </c>
      <c r="E547" s="10">
        <f>VLOOKUP(A547,Лист2!A:E,4,0)</f>
        <v>2.5</v>
      </c>
      <c r="F547" s="11">
        <f t="shared" si="24"/>
        <v>-427000</v>
      </c>
      <c r="G547" s="11">
        <f t="shared" si="25"/>
        <v>1118800</v>
      </c>
      <c r="H547" s="11">
        <f t="shared" si="26"/>
        <v>-170800</v>
      </c>
    </row>
    <row r="548" spans="1:8">
      <c r="A548" s="6" t="s">
        <v>18</v>
      </c>
      <c r="B548">
        <v>384000</v>
      </c>
      <c r="C548">
        <v>455000</v>
      </c>
      <c r="D548" s="8" t="str">
        <f>VLOOKUP(A548,Лист2!A:E,5,0)</f>
        <v>малые</v>
      </c>
      <c r="E548" s="10">
        <f>VLOOKUP(A548,Лист2!A:E,4,0)</f>
        <v>2.5</v>
      </c>
      <c r="F548" s="11">
        <f t="shared" si="24"/>
        <v>-71000</v>
      </c>
      <c r="G548" s="11">
        <f t="shared" si="25"/>
        <v>153600</v>
      </c>
      <c r="H548" s="11">
        <f t="shared" si="26"/>
        <v>-28400</v>
      </c>
    </row>
    <row r="549" spans="1:8">
      <c r="A549" s="6" t="s">
        <v>18</v>
      </c>
      <c r="B549">
        <v>6541000</v>
      </c>
      <c r="C549">
        <v>5865000</v>
      </c>
      <c r="D549" s="8" t="str">
        <f>VLOOKUP(A549,Лист2!A:E,5,0)</f>
        <v>малые</v>
      </c>
      <c r="E549" s="10">
        <f>VLOOKUP(A549,Лист2!A:E,4,0)</f>
        <v>2.5</v>
      </c>
      <c r="F549" s="11">
        <f t="shared" si="24"/>
        <v>676000</v>
      </c>
      <c r="G549" s="11">
        <f t="shared" si="25"/>
        <v>2616400</v>
      </c>
      <c r="H549" s="11">
        <f t="shared" si="26"/>
        <v>270400</v>
      </c>
    </row>
    <row r="550" spans="1:8">
      <c r="A550" s="6" t="s">
        <v>18</v>
      </c>
      <c r="B550">
        <v>431000</v>
      </c>
      <c r="C550">
        <v>440000</v>
      </c>
      <c r="D550" s="8" t="str">
        <f>VLOOKUP(A550,Лист2!A:E,5,0)</f>
        <v>малые</v>
      </c>
      <c r="E550" s="10">
        <f>VLOOKUP(A550,Лист2!A:E,4,0)</f>
        <v>2.5</v>
      </c>
      <c r="F550" s="11">
        <f t="shared" si="24"/>
        <v>-9000</v>
      </c>
      <c r="G550" s="11">
        <f t="shared" si="25"/>
        <v>172400</v>
      </c>
      <c r="H550" s="11">
        <f t="shared" si="26"/>
        <v>-3600</v>
      </c>
    </row>
    <row r="551" spans="1:8">
      <c r="A551" s="6" t="s">
        <v>18</v>
      </c>
      <c r="B551">
        <v>1731000</v>
      </c>
      <c r="C551">
        <v>1705000</v>
      </c>
      <c r="D551" s="8" t="str">
        <f>VLOOKUP(A551,Лист2!A:E,5,0)</f>
        <v>малые</v>
      </c>
      <c r="E551" s="10">
        <f>VLOOKUP(A551,Лист2!A:E,4,0)</f>
        <v>2.5</v>
      </c>
      <c r="F551" s="11">
        <f t="shared" si="24"/>
        <v>26000</v>
      </c>
      <c r="G551" s="11">
        <f t="shared" si="25"/>
        <v>692400</v>
      </c>
      <c r="H551" s="11">
        <f t="shared" si="26"/>
        <v>10400</v>
      </c>
    </row>
    <row r="552" spans="1:8">
      <c r="A552" s="6" t="s">
        <v>18</v>
      </c>
      <c r="B552">
        <v>1213000</v>
      </c>
      <c r="C552">
        <v>385000</v>
      </c>
      <c r="D552" s="8" t="str">
        <f>VLOOKUP(A552,Лист2!A:E,5,0)</f>
        <v>малые</v>
      </c>
      <c r="E552" s="10">
        <f>VLOOKUP(A552,Лист2!A:E,4,0)</f>
        <v>2.5</v>
      </c>
      <c r="F552" s="11">
        <f t="shared" si="24"/>
        <v>828000</v>
      </c>
      <c r="G552" s="11">
        <f t="shared" si="25"/>
        <v>485200</v>
      </c>
      <c r="H552" s="11">
        <f t="shared" si="26"/>
        <v>331200</v>
      </c>
    </row>
    <row r="553" spans="1:8">
      <c r="A553" s="6" t="s">
        <v>18</v>
      </c>
      <c r="B553">
        <v>442000</v>
      </c>
      <c r="C553">
        <v>625000</v>
      </c>
      <c r="D553" s="8" t="str">
        <f>VLOOKUP(A553,Лист2!A:E,5,0)</f>
        <v>малые</v>
      </c>
      <c r="E553" s="10">
        <f>VLOOKUP(A553,Лист2!A:E,4,0)</f>
        <v>2.5</v>
      </c>
      <c r="F553" s="11">
        <f t="shared" si="24"/>
        <v>-183000</v>
      </c>
      <c r="G553" s="11">
        <f t="shared" si="25"/>
        <v>176800</v>
      </c>
      <c r="H553" s="11">
        <f t="shared" si="26"/>
        <v>-73200</v>
      </c>
    </row>
    <row r="554" spans="1:8">
      <c r="A554" s="6" t="s">
        <v>18</v>
      </c>
      <c r="B554">
        <v>2035000</v>
      </c>
      <c r="C554">
        <v>2078000</v>
      </c>
      <c r="D554" s="8" t="str">
        <f>VLOOKUP(A554,Лист2!A:E,5,0)</f>
        <v>малые</v>
      </c>
      <c r="E554" s="10">
        <f>VLOOKUP(A554,Лист2!A:E,4,0)</f>
        <v>2.5</v>
      </c>
      <c r="F554" s="11">
        <f t="shared" si="24"/>
        <v>-43000</v>
      </c>
      <c r="G554" s="11">
        <f t="shared" si="25"/>
        <v>814000</v>
      </c>
      <c r="H554" s="11">
        <f t="shared" si="26"/>
        <v>-17200</v>
      </c>
    </row>
    <row r="555" spans="1:8">
      <c r="A555" s="6" t="s">
        <v>18</v>
      </c>
      <c r="B555">
        <v>366179000</v>
      </c>
      <c r="C555">
        <v>236970000</v>
      </c>
      <c r="D555" s="8" t="str">
        <f>VLOOKUP(A555,Лист2!A:E,5,0)</f>
        <v>малые</v>
      </c>
      <c r="E555" s="10">
        <f>VLOOKUP(A555,Лист2!A:E,4,0)</f>
        <v>2.5</v>
      </c>
      <c r="F555" s="11">
        <f t="shared" ref="F555:F617" si="27">B555-C555</f>
        <v>129209000</v>
      </c>
      <c r="G555" s="11">
        <f t="shared" ref="G555:G617" si="28">B555/E555</f>
        <v>146471600</v>
      </c>
      <c r="H555" s="11">
        <f t="shared" ref="H555:H617" si="29">F555/E555</f>
        <v>51683600</v>
      </c>
    </row>
    <row r="556" spans="1:8">
      <c r="A556" s="6" t="s">
        <v>18</v>
      </c>
      <c r="B556">
        <v>523669000</v>
      </c>
      <c r="C556">
        <v>341295000</v>
      </c>
      <c r="D556" s="8" t="str">
        <f>VLOOKUP(A556,Лист2!A:E,5,0)</f>
        <v>малые</v>
      </c>
      <c r="E556" s="10">
        <f>VLOOKUP(A556,Лист2!A:E,4,0)</f>
        <v>2.5</v>
      </c>
      <c r="F556" s="11">
        <f t="shared" si="27"/>
        <v>182374000</v>
      </c>
      <c r="G556" s="11">
        <f t="shared" si="28"/>
        <v>209467600</v>
      </c>
      <c r="H556" s="11">
        <f t="shared" si="29"/>
        <v>72949600</v>
      </c>
    </row>
    <row r="557" spans="1:8">
      <c r="A557" s="6" t="s">
        <v>18</v>
      </c>
      <c r="B557">
        <v>2650000</v>
      </c>
      <c r="C557">
        <v>2588000</v>
      </c>
      <c r="D557" s="8" t="str">
        <f>VLOOKUP(A557,Лист2!A:E,5,0)</f>
        <v>малые</v>
      </c>
      <c r="E557" s="10">
        <f>VLOOKUP(A557,Лист2!A:E,4,0)</f>
        <v>2.5</v>
      </c>
      <c r="F557" s="11">
        <f t="shared" si="27"/>
        <v>62000</v>
      </c>
      <c r="G557" s="11">
        <f t="shared" si="28"/>
        <v>1060000</v>
      </c>
      <c r="H557" s="11">
        <f t="shared" si="29"/>
        <v>24800</v>
      </c>
    </row>
    <row r="558" spans="1:8">
      <c r="A558" s="6" t="s">
        <v>18</v>
      </c>
      <c r="B558">
        <v>573000</v>
      </c>
      <c r="C558">
        <v>573000</v>
      </c>
      <c r="D558" s="8" t="str">
        <f>VLOOKUP(A558,Лист2!A:E,5,0)</f>
        <v>малые</v>
      </c>
      <c r="E558" s="10">
        <f>VLOOKUP(A558,Лист2!A:E,4,0)</f>
        <v>2.5</v>
      </c>
      <c r="F558" s="11">
        <f t="shared" si="27"/>
        <v>0</v>
      </c>
      <c r="G558" s="11">
        <f t="shared" si="28"/>
        <v>229200</v>
      </c>
      <c r="H558" s="11">
        <f t="shared" si="29"/>
        <v>0</v>
      </c>
    </row>
    <row r="559" spans="1:8">
      <c r="A559" s="6" t="s">
        <v>18</v>
      </c>
      <c r="B559">
        <v>3017000</v>
      </c>
      <c r="C559">
        <v>2609000</v>
      </c>
      <c r="D559" s="8" t="str">
        <f>VLOOKUP(A559,Лист2!A:E,5,0)</f>
        <v>малые</v>
      </c>
      <c r="E559" s="10">
        <f>VLOOKUP(A559,Лист2!A:E,4,0)</f>
        <v>2.5</v>
      </c>
      <c r="F559" s="11">
        <f t="shared" si="27"/>
        <v>408000</v>
      </c>
      <c r="G559" s="11">
        <f t="shared" si="28"/>
        <v>1206800</v>
      </c>
      <c r="H559" s="11">
        <f t="shared" si="29"/>
        <v>163200</v>
      </c>
    </row>
    <row r="560" spans="1:8">
      <c r="A560" s="6" t="s">
        <v>18</v>
      </c>
      <c r="B560">
        <v>1340000</v>
      </c>
      <c r="C560">
        <v>3230000</v>
      </c>
      <c r="D560" s="8" t="str">
        <f>VLOOKUP(A560,Лист2!A:E,5,0)</f>
        <v>малые</v>
      </c>
      <c r="E560" s="10">
        <f>VLOOKUP(A560,Лист2!A:E,4,0)</f>
        <v>2.5</v>
      </c>
      <c r="F560" s="11">
        <f t="shared" si="27"/>
        <v>-1890000</v>
      </c>
      <c r="G560" s="11">
        <f t="shared" si="28"/>
        <v>536000</v>
      </c>
      <c r="H560" s="11">
        <f t="shared" si="29"/>
        <v>-756000</v>
      </c>
    </row>
    <row r="561" spans="1:8">
      <c r="A561" s="6" t="s">
        <v>18</v>
      </c>
      <c r="B561">
        <v>1101000</v>
      </c>
      <c r="C561">
        <v>1041000</v>
      </c>
      <c r="D561" s="8" t="str">
        <f>VLOOKUP(A561,Лист2!A:E,5,0)</f>
        <v>малые</v>
      </c>
      <c r="E561" s="10">
        <f>VLOOKUP(A561,Лист2!A:E,4,0)</f>
        <v>2.5</v>
      </c>
      <c r="F561" s="11">
        <f t="shared" si="27"/>
        <v>60000</v>
      </c>
      <c r="G561" s="11">
        <f t="shared" si="28"/>
        <v>440400</v>
      </c>
      <c r="H561" s="11">
        <f t="shared" si="29"/>
        <v>24000</v>
      </c>
    </row>
    <row r="562" spans="1:8">
      <c r="A562" s="6" t="s">
        <v>18</v>
      </c>
      <c r="B562">
        <v>1984000</v>
      </c>
      <c r="C562">
        <v>1750000</v>
      </c>
      <c r="D562" s="8" t="str">
        <f>VLOOKUP(A562,Лист2!A:E,5,0)</f>
        <v>малые</v>
      </c>
      <c r="E562" s="10">
        <f>VLOOKUP(A562,Лист2!A:E,4,0)</f>
        <v>2.5</v>
      </c>
      <c r="F562" s="11">
        <f t="shared" si="27"/>
        <v>234000</v>
      </c>
      <c r="G562" s="11">
        <f t="shared" si="28"/>
        <v>793600</v>
      </c>
      <c r="H562" s="11">
        <f t="shared" si="29"/>
        <v>93600</v>
      </c>
    </row>
    <row r="563" spans="1:8">
      <c r="A563" s="6" t="s">
        <v>18</v>
      </c>
      <c r="B563">
        <v>795000</v>
      </c>
      <c r="C563">
        <v>44000</v>
      </c>
      <c r="D563" s="8" t="str">
        <f>VLOOKUP(A563,Лист2!A:E,5,0)</f>
        <v>малые</v>
      </c>
      <c r="E563" s="10">
        <f>VLOOKUP(A563,Лист2!A:E,4,0)</f>
        <v>2.5</v>
      </c>
      <c r="F563" s="11">
        <f t="shared" si="27"/>
        <v>751000</v>
      </c>
      <c r="G563" s="11">
        <f t="shared" si="28"/>
        <v>318000</v>
      </c>
      <c r="H563" s="11">
        <f t="shared" si="29"/>
        <v>300400</v>
      </c>
    </row>
    <row r="564" spans="1:8">
      <c r="A564" s="6" t="s">
        <v>18</v>
      </c>
      <c r="B564">
        <v>6594000</v>
      </c>
      <c r="C564">
        <v>5735000</v>
      </c>
      <c r="D564" s="8" t="str">
        <f>VLOOKUP(A564,Лист2!A:E,5,0)</f>
        <v>малые</v>
      </c>
      <c r="E564" s="10">
        <f>VLOOKUP(A564,Лист2!A:E,4,0)</f>
        <v>2.5</v>
      </c>
      <c r="F564" s="11">
        <f t="shared" si="27"/>
        <v>859000</v>
      </c>
      <c r="G564" s="11">
        <f t="shared" si="28"/>
        <v>2637600</v>
      </c>
      <c r="H564" s="11">
        <f t="shared" si="29"/>
        <v>343600</v>
      </c>
    </row>
    <row r="565" spans="1:8">
      <c r="A565" s="6" t="s">
        <v>18</v>
      </c>
      <c r="B565">
        <v>34008000</v>
      </c>
      <c r="C565">
        <v>12000</v>
      </c>
      <c r="D565" s="8" t="str">
        <f>VLOOKUP(A565,Лист2!A:E,5,0)</f>
        <v>малые</v>
      </c>
      <c r="E565" s="10">
        <f>VLOOKUP(A565,Лист2!A:E,4,0)</f>
        <v>2.5</v>
      </c>
      <c r="F565" s="11">
        <f t="shared" si="27"/>
        <v>33996000</v>
      </c>
      <c r="G565" s="11">
        <f t="shared" si="28"/>
        <v>13603200</v>
      </c>
      <c r="H565" s="11">
        <f t="shared" si="29"/>
        <v>13598400</v>
      </c>
    </row>
    <row r="566" spans="1:8">
      <c r="A566" s="6" t="s">
        <v>18</v>
      </c>
      <c r="B566">
        <v>7600000</v>
      </c>
      <c r="C566">
        <v>7579000</v>
      </c>
      <c r="D566" s="8" t="str">
        <f>VLOOKUP(A566,Лист2!A:E,5,0)</f>
        <v>малые</v>
      </c>
      <c r="E566" s="10">
        <f>VLOOKUP(A566,Лист2!A:E,4,0)</f>
        <v>2.5</v>
      </c>
      <c r="F566" s="11">
        <f t="shared" si="27"/>
        <v>21000</v>
      </c>
      <c r="G566" s="11">
        <f t="shared" si="28"/>
        <v>3040000</v>
      </c>
      <c r="H566" s="11">
        <f t="shared" si="29"/>
        <v>8400</v>
      </c>
    </row>
    <row r="567" spans="1:8">
      <c r="A567" s="6" t="s">
        <v>18</v>
      </c>
      <c r="B567">
        <v>1097581000</v>
      </c>
      <c r="C567">
        <v>1028487000</v>
      </c>
      <c r="D567" s="8" t="str">
        <f>VLOOKUP(A567,Лист2!A:E,5,0)</f>
        <v>малые</v>
      </c>
      <c r="E567" s="10">
        <f>VLOOKUP(A567,Лист2!A:E,4,0)</f>
        <v>2.5</v>
      </c>
      <c r="F567" s="11">
        <f t="shared" si="27"/>
        <v>69094000</v>
      </c>
      <c r="G567" s="11">
        <f t="shared" si="28"/>
        <v>439032400</v>
      </c>
      <c r="H567" s="11">
        <f t="shared" si="29"/>
        <v>27637600</v>
      </c>
    </row>
    <row r="568" spans="1:8">
      <c r="A568" s="6" t="s">
        <v>18</v>
      </c>
      <c r="B568">
        <v>1166000</v>
      </c>
      <c r="C568">
        <v>1379000</v>
      </c>
      <c r="D568" s="8" t="str">
        <f>VLOOKUP(A568,Лист2!A:E,5,0)</f>
        <v>малые</v>
      </c>
      <c r="E568" s="10">
        <f>VLOOKUP(A568,Лист2!A:E,4,0)</f>
        <v>2.5</v>
      </c>
      <c r="F568" s="11">
        <f t="shared" si="27"/>
        <v>-213000</v>
      </c>
      <c r="G568" s="11">
        <f t="shared" si="28"/>
        <v>466400</v>
      </c>
      <c r="H568" s="11">
        <f t="shared" si="29"/>
        <v>-85200</v>
      </c>
    </row>
    <row r="569" spans="1:8">
      <c r="A569" s="6" t="s">
        <v>18</v>
      </c>
      <c r="B569">
        <v>7762000</v>
      </c>
      <c r="C569">
        <v>7682000</v>
      </c>
      <c r="D569" s="8" t="str">
        <f>VLOOKUP(A569,Лист2!A:E,5,0)</f>
        <v>малые</v>
      </c>
      <c r="E569" s="10">
        <f>VLOOKUP(A569,Лист2!A:E,4,0)</f>
        <v>2.5</v>
      </c>
      <c r="F569" s="11">
        <f t="shared" si="27"/>
        <v>80000</v>
      </c>
      <c r="G569" s="11">
        <f t="shared" si="28"/>
        <v>3104800</v>
      </c>
      <c r="H569" s="11">
        <f t="shared" si="29"/>
        <v>32000</v>
      </c>
    </row>
    <row r="570" spans="1:8">
      <c r="A570" s="6" t="s">
        <v>18</v>
      </c>
      <c r="B570">
        <v>8863000</v>
      </c>
      <c r="C570">
        <v>7529000</v>
      </c>
      <c r="D570" s="8" t="str">
        <f>VLOOKUP(A570,Лист2!A:E,5,0)</f>
        <v>малые</v>
      </c>
      <c r="E570" s="10">
        <f>VLOOKUP(A570,Лист2!A:E,4,0)</f>
        <v>2.5</v>
      </c>
      <c r="F570" s="11">
        <f t="shared" si="27"/>
        <v>1334000</v>
      </c>
      <c r="G570" s="11">
        <f t="shared" si="28"/>
        <v>3545200</v>
      </c>
      <c r="H570" s="11">
        <f t="shared" si="29"/>
        <v>533600</v>
      </c>
    </row>
    <row r="571" spans="1:8">
      <c r="A571" s="6" t="s">
        <v>77</v>
      </c>
      <c r="B571">
        <v>42098000</v>
      </c>
      <c r="C571">
        <v>41683000</v>
      </c>
      <c r="D571" s="8" t="str">
        <f>VLOOKUP(A571,Лист2!A:E,5,0)</f>
        <v>малые</v>
      </c>
      <c r="E571" s="10">
        <f>VLOOKUP(A571,Лист2!A:E,4,0)</f>
        <v>8</v>
      </c>
      <c r="F571" s="11">
        <f t="shared" si="27"/>
        <v>415000</v>
      </c>
      <c r="G571" s="11">
        <f t="shared" si="28"/>
        <v>5262250</v>
      </c>
      <c r="H571" s="11">
        <f t="shared" si="29"/>
        <v>51875</v>
      </c>
    </row>
    <row r="572" spans="1:8">
      <c r="A572" s="6" t="s">
        <v>18</v>
      </c>
      <c r="B572">
        <v>4153000</v>
      </c>
      <c r="C572">
        <v>4088000</v>
      </c>
      <c r="D572" s="8" t="str">
        <f>VLOOKUP(A572,Лист2!A:E,5,0)</f>
        <v>малые</v>
      </c>
      <c r="E572" s="10">
        <f>VLOOKUP(A572,Лист2!A:E,4,0)</f>
        <v>2.5</v>
      </c>
      <c r="F572" s="11">
        <f t="shared" si="27"/>
        <v>65000</v>
      </c>
      <c r="G572" s="11">
        <f t="shared" si="28"/>
        <v>1661200</v>
      </c>
      <c r="H572" s="11">
        <f t="shared" si="29"/>
        <v>26000</v>
      </c>
    </row>
    <row r="573" spans="1:8">
      <c r="A573" s="6" t="s">
        <v>18</v>
      </c>
      <c r="B573">
        <v>1350000</v>
      </c>
      <c r="C573">
        <v>1341000</v>
      </c>
      <c r="D573" s="8" t="str">
        <f>VLOOKUP(A573,Лист2!A:E,5,0)</f>
        <v>малые</v>
      </c>
      <c r="E573" s="10">
        <f>VLOOKUP(A573,Лист2!A:E,4,0)</f>
        <v>2.5</v>
      </c>
      <c r="F573" s="11">
        <f t="shared" si="27"/>
        <v>9000</v>
      </c>
      <c r="G573" s="11">
        <f t="shared" si="28"/>
        <v>540000</v>
      </c>
      <c r="H573" s="11">
        <f t="shared" si="29"/>
        <v>3600</v>
      </c>
    </row>
    <row r="574" spans="1:8">
      <c r="A574" s="6" t="s">
        <v>23</v>
      </c>
      <c r="B574">
        <v>27828000</v>
      </c>
      <c r="C574">
        <v>28976000</v>
      </c>
      <c r="D574" s="8" t="str">
        <f>VLOOKUP(A574,Лист2!A:E,5,0)</f>
        <v>средние</v>
      </c>
      <c r="E574" s="10">
        <f>VLOOKUP(A574,Лист2!A:E,4,0)</f>
        <v>75.5</v>
      </c>
      <c r="F574" s="11">
        <f t="shared" si="27"/>
        <v>-1148000</v>
      </c>
      <c r="G574" s="11">
        <f t="shared" si="28"/>
        <v>368582.78145695367</v>
      </c>
      <c r="H574" s="11">
        <f t="shared" si="29"/>
        <v>-15205.298013245034</v>
      </c>
    </row>
    <row r="575" spans="1:8">
      <c r="A575" s="6" t="s">
        <v>18</v>
      </c>
      <c r="B575">
        <v>9260000</v>
      </c>
      <c r="C575">
        <v>9735000</v>
      </c>
      <c r="D575" s="8" t="str">
        <f>VLOOKUP(A575,Лист2!A:E,5,0)</f>
        <v>малые</v>
      </c>
      <c r="E575" s="10">
        <f>VLOOKUP(A575,Лист2!A:E,4,0)</f>
        <v>2.5</v>
      </c>
      <c r="F575" s="11">
        <f t="shared" si="27"/>
        <v>-475000</v>
      </c>
      <c r="G575" s="11">
        <f t="shared" si="28"/>
        <v>3704000</v>
      </c>
      <c r="H575" s="11">
        <f t="shared" si="29"/>
        <v>-190000</v>
      </c>
    </row>
    <row r="576" spans="1:8">
      <c r="A576" s="6" t="s">
        <v>18</v>
      </c>
      <c r="B576">
        <v>24196000</v>
      </c>
      <c r="C576">
        <v>13883000</v>
      </c>
      <c r="D576" s="8" t="str">
        <f>VLOOKUP(A576,Лист2!A:E,5,0)</f>
        <v>малые</v>
      </c>
      <c r="E576" s="10">
        <f>VLOOKUP(A576,Лист2!A:E,4,0)</f>
        <v>2.5</v>
      </c>
      <c r="F576" s="11">
        <f t="shared" si="27"/>
        <v>10313000</v>
      </c>
      <c r="G576" s="11">
        <f t="shared" si="28"/>
        <v>9678400</v>
      </c>
      <c r="H576" s="11">
        <f t="shared" si="29"/>
        <v>4125200</v>
      </c>
    </row>
    <row r="577" spans="1:8">
      <c r="A577" s="6" t="s">
        <v>18</v>
      </c>
      <c r="B577">
        <v>284000</v>
      </c>
      <c r="C577">
        <v>284000</v>
      </c>
      <c r="D577" s="8" t="str">
        <f>VLOOKUP(A577,Лист2!A:E,5,0)</f>
        <v>малые</v>
      </c>
      <c r="E577" s="10">
        <f>VLOOKUP(A577,Лист2!A:E,4,0)</f>
        <v>2.5</v>
      </c>
      <c r="F577" s="11">
        <f t="shared" si="27"/>
        <v>0</v>
      </c>
      <c r="G577" s="11">
        <f t="shared" si="28"/>
        <v>113600</v>
      </c>
      <c r="H577" s="11">
        <f t="shared" si="29"/>
        <v>0</v>
      </c>
    </row>
    <row r="578" spans="1:8">
      <c r="A578" s="6" t="s">
        <v>18</v>
      </c>
      <c r="B578">
        <v>1817000</v>
      </c>
      <c r="C578">
        <v>1874000</v>
      </c>
      <c r="D578" s="8" t="str">
        <f>VLOOKUP(A578,Лист2!A:E,5,0)</f>
        <v>малые</v>
      </c>
      <c r="E578" s="10">
        <f>VLOOKUP(A578,Лист2!A:E,4,0)</f>
        <v>2.5</v>
      </c>
      <c r="F578" s="11">
        <f t="shared" si="27"/>
        <v>-57000</v>
      </c>
      <c r="G578" s="11">
        <f t="shared" si="28"/>
        <v>726800</v>
      </c>
      <c r="H578" s="11">
        <f t="shared" si="29"/>
        <v>-22800</v>
      </c>
    </row>
    <row r="579" spans="1:8">
      <c r="A579" s="6" t="s">
        <v>18</v>
      </c>
      <c r="B579">
        <v>511000</v>
      </c>
      <c r="C579">
        <v>437000</v>
      </c>
      <c r="D579" s="8" t="str">
        <f>VLOOKUP(A579,Лист2!A:E,5,0)</f>
        <v>малые</v>
      </c>
      <c r="E579" s="10">
        <f>VLOOKUP(A579,Лист2!A:E,4,0)</f>
        <v>2.5</v>
      </c>
      <c r="F579" s="11">
        <f t="shared" si="27"/>
        <v>74000</v>
      </c>
      <c r="G579" s="11">
        <f t="shared" si="28"/>
        <v>204400</v>
      </c>
      <c r="H579" s="11">
        <f t="shared" si="29"/>
        <v>29600</v>
      </c>
    </row>
    <row r="580" spans="1:8">
      <c r="A580" s="6" t="s">
        <v>18</v>
      </c>
      <c r="B580">
        <v>5841000</v>
      </c>
      <c r="C580">
        <v>5793000</v>
      </c>
      <c r="D580" s="8" t="str">
        <f>VLOOKUP(A580,Лист2!A:E,5,0)</f>
        <v>малые</v>
      </c>
      <c r="E580" s="10">
        <f>VLOOKUP(A580,Лист2!A:E,4,0)</f>
        <v>2.5</v>
      </c>
      <c r="F580" s="11">
        <f t="shared" si="27"/>
        <v>48000</v>
      </c>
      <c r="G580" s="11">
        <f t="shared" si="28"/>
        <v>2336400</v>
      </c>
      <c r="H580" s="11">
        <f t="shared" si="29"/>
        <v>19200</v>
      </c>
    </row>
    <row r="581" spans="1:8">
      <c r="A581" s="6" t="s">
        <v>18</v>
      </c>
      <c r="B581">
        <v>714000</v>
      </c>
      <c r="C581">
        <v>798000</v>
      </c>
      <c r="D581" s="8" t="str">
        <f>VLOOKUP(A581,Лист2!A:E,5,0)</f>
        <v>малые</v>
      </c>
      <c r="E581" s="10">
        <f>VLOOKUP(A581,Лист2!A:E,4,0)</f>
        <v>2.5</v>
      </c>
      <c r="F581" s="11">
        <f t="shared" si="27"/>
        <v>-84000</v>
      </c>
      <c r="G581" s="11">
        <f t="shared" si="28"/>
        <v>285600</v>
      </c>
      <c r="H581" s="11">
        <f t="shared" si="29"/>
        <v>-33600</v>
      </c>
    </row>
    <row r="582" spans="1:8">
      <c r="A582" s="6" t="s">
        <v>18</v>
      </c>
      <c r="B582">
        <v>21540000</v>
      </c>
      <c r="C582">
        <v>24909000</v>
      </c>
      <c r="D582" s="8" t="str">
        <f>VLOOKUP(A582,Лист2!A:E,5,0)</f>
        <v>малые</v>
      </c>
      <c r="E582" s="10">
        <f>VLOOKUP(A582,Лист2!A:E,4,0)</f>
        <v>2.5</v>
      </c>
      <c r="F582" s="11">
        <f t="shared" si="27"/>
        <v>-3369000</v>
      </c>
      <c r="G582" s="11">
        <f t="shared" si="28"/>
        <v>8616000</v>
      </c>
      <c r="H582" s="11">
        <f t="shared" si="29"/>
        <v>-1347600</v>
      </c>
    </row>
    <row r="583" spans="1:8">
      <c r="A583" s="6" t="s">
        <v>18</v>
      </c>
      <c r="B583">
        <v>8596000</v>
      </c>
      <c r="C583">
        <v>9220000</v>
      </c>
      <c r="D583" s="8" t="str">
        <f>VLOOKUP(A583,Лист2!A:E,5,0)</f>
        <v>малые</v>
      </c>
      <c r="E583" s="10">
        <f>VLOOKUP(A583,Лист2!A:E,4,0)</f>
        <v>2.5</v>
      </c>
      <c r="F583" s="11">
        <f t="shared" si="27"/>
        <v>-624000</v>
      </c>
      <c r="G583" s="11">
        <f t="shared" si="28"/>
        <v>3438400</v>
      </c>
      <c r="H583" s="11">
        <f t="shared" si="29"/>
        <v>-249600</v>
      </c>
    </row>
    <row r="584" spans="1:8">
      <c r="A584" s="6" t="s">
        <v>18</v>
      </c>
      <c r="B584">
        <v>177000</v>
      </c>
      <c r="C584">
        <v>234000</v>
      </c>
      <c r="D584" s="8" t="str">
        <f>VLOOKUP(A584,Лист2!A:E,5,0)</f>
        <v>малые</v>
      </c>
      <c r="E584" s="10">
        <f>VLOOKUP(A584,Лист2!A:E,4,0)</f>
        <v>2.5</v>
      </c>
      <c r="F584" s="11">
        <f t="shared" si="27"/>
        <v>-57000</v>
      </c>
      <c r="G584" s="11">
        <f t="shared" si="28"/>
        <v>70800</v>
      </c>
      <c r="H584" s="11">
        <f t="shared" si="29"/>
        <v>-22800</v>
      </c>
    </row>
    <row r="585" spans="1:8">
      <c r="A585" s="6" t="s">
        <v>18</v>
      </c>
      <c r="B585">
        <v>4888000</v>
      </c>
      <c r="C585">
        <v>3836000</v>
      </c>
      <c r="D585" s="8" t="str">
        <f>VLOOKUP(A585,Лист2!A:E,5,0)</f>
        <v>малые</v>
      </c>
      <c r="E585" s="10">
        <f>VLOOKUP(A585,Лист2!A:E,4,0)</f>
        <v>2.5</v>
      </c>
      <c r="F585" s="11">
        <f t="shared" si="27"/>
        <v>1052000</v>
      </c>
      <c r="G585" s="11">
        <f t="shared" si="28"/>
        <v>1955200</v>
      </c>
      <c r="H585" s="11">
        <f t="shared" si="29"/>
        <v>420800</v>
      </c>
    </row>
    <row r="586" spans="1:8">
      <c r="A586" s="6" t="s">
        <v>18</v>
      </c>
      <c r="B586">
        <v>5777000</v>
      </c>
      <c r="C586">
        <v>5621000</v>
      </c>
      <c r="D586" s="8" t="str">
        <f>VLOOKUP(A586,Лист2!A:E,5,0)</f>
        <v>малые</v>
      </c>
      <c r="E586" s="10">
        <f>VLOOKUP(A586,Лист2!A:E,4,0)</f>
        <v>2.5</v>
      </c>
      <c r="F586" s="11">
        <f t="shared" si="27"/>
        <v>156000</v>
      </c>
      <c r="G586" s="11">
        <f t="shared" si="28"/>
        <v>2310800</v>
      </c>
      <c r="H586" s="11">
        <f t="shared" si="29"/>
        <v>62400</v>
      </c>
    </row>
    <row r="587" spans="1:8">
      <c r="A587" s="6" t="s">
        <v>18</v>
      </c>
      <c r="B587">
        <v>1126000</v>
      </c>
      <c r="C587">
        <v>1139000</v>
      </c>
      <c r="D587" s="8" t="str">
        <f>VLOOKUP(A587,Лист2!A:E,5,0)</f>
        <v>малые</v>
      </c>
      <c r="E587" s="10">
        <f>VLOOKUP(A587,Лист2!A:E,4,0)</f>
        <v>2.5</v>
      </c>
      <c r="F587" s="11">
        <f t="shared" si="27"/>
        <v>-13000</v>
      </c>
      <c r="G587" s="11">
        <f t="shared" si="28"/>
        <v>450400</v>
      </c>
      <c r="H587" s="11">
        <f t="shared" si="29"/>
        <v>-5200</v>
      </c>
    </row>
    <row r="588" spans="1:8">
      <c r="A588" s="6" t="s">
        <v>18</v>
      </c>
      <c r="B588">
        <v>725000</v>
      </c>
      <c r="C588">
        <v>978000</v>
      </c>
      <c r="D588" s="8" t="str">
        <f>VLOOKUP(A588,Лист2!A:E,5,0)</f>
        <v>малые</v>
      </c>
      <c r="E588" s="10">
        <f>VLOOKUP(A588,Лист2!A:E,4,0)</f>
        <v>2.5</v>
      </c>
      <c r="F588" s="11">
        <f t="shared" si="27"/>
        <v>-253000</v>
      </c>
      <c r="G588" s="11">
        <f t="shared" si="28"/>
        <v>290000</v>
      </c>
      <c r="H588" s="11">
        <f t="shared" si="29"/>
        <v>-101200</v>
      </c>
    </row>
    <row r="589" spans="1:8">
      <c r="A589" s="6" t="s">
        <v>18</v>
      </c>
      <c r="B589">
        <v>643000</v>
      </c>
      <c r="C589">
        <v>625000</v>
      </c>
      <c r="D589" s="8" t="str">
        <f>VLOOKUP(A589,Лист2!A:E,5,0)</f>
        <v>малые</v>
      </c>
      <c r="E589" s="10">
        <f>VLOOKUP(A589,Лист2!A:E,4,0)</f>
        <v>2.5</v>
      </c>
      <c r="F589" s="11">
        <f t="shared" si="27"/>
        <v>18000</v>
      </c>
      <c r="G589" s="11">
        <f t="shared" si="28"/>
        <v>257200</v>
      </c>
      <c r="H589" s="11">
        <f t="shared" si="29"/>
        <v>7200</v>
      </c>
    </row>
    <row r="590" spans="1:8">
      <c r="A590" s="6" t="s">
        <v>22</v>
      </c>
      <c r="B590">
        <v>6435000</v>
      </c>
      <c r="C590">
        <v>6469000</v>
      </c>
      <c r="D590" s="8" t="str">
        <f>VLOOKUP(A590,Лист2!A:E,5,0)</f>
        <v>малые</v>
      </c>
      <c r="E590" s="10">
        <f>VLOOKUP(A590,Лист2!A:E,4,0)</f>
        <v>13</v>
      </c>
      <c r="F590" s="11">
        <f t="shared" si="27"/>
        <v>-34000</v>
      </c>
      <c r="G590" s="11">
        <f t="shared" si="28"/>
        <v>495000</v>
      </c>
      <c r="H590" s="11">
        <f t="shared" si="29"/>
        <v>-2615.3846153846152</v>
      </c>
    </row>
    <row r="591" spans="1:8">
      <c r="A591" s="6" t="s">
        <v>18</v>
      </c>
      <c r="B591">
        <v>702000</v>
      </c>
      <c r="C591">
        <v>702000</v>
      </c>
      <c r="D591" s="8" t="str">
        <f>VLOOKUP(A591,Лист2!A:E,5,0)</f>
        <v>малые</v>
      </c>
      <c r="E591" s="10">
        <f>VLOOKUP(A591,Лист2!A:E,4,0)</f>
        <v>2.5</v>
      </c>
      <c r="F591" s="11">
        <f t="shared" si="27"/>
        <v>0</v>
      </c>
      <c r="G591" s="11">
        <f t="shared" si="28"/>
        <v>280800</v>
      </c>
      <c r="H591" s="11">
        <f t="shared" si="29"/>
        <v>0</v>
      </c>
    </row>
    <row r="592" spans="1:8">
      <c r="A592" s="6" t="s">
        <v>18</v>
      </c>
      <c r="B592">
        <v>2248000</v>
      </c>
      <c r="C592">
        <v>2417000</v>
      </c>
      <c r="D592" s="8" t="str">
        <f>VLOOKUP(A592,Лист2!A:E,5,0)</f>
        <v>малые</v>
      </c>
      <c r="E592" s="10">
        <f>VLOOKUP(A592,Лист2!A:E,4,0)</f>
        <v>2.5</v>
      </c>
      <c r="F592" s="11">
        <f t="shared" si="27"/>
        <v>-169000</v>
      </c>
      <c r="G592" s="11">
        <f t="shared" si="28"/>
        <v>899200</v>
      </c>
      <c r="H592" s="11">
        <f t="shared" si="29"/>
        <v>-67600</v>
      </c>
    </row>
    <row r="593" spans="1:8">
      <c r="A593" s="6" t="s">
        <v>18</v>
      </c>
      <c r="B593">
        <v>70120000</v>
      </c>
      <c r="C593">
        <v>36942000</v>
      </c>
      <c r="D593" s="8" t="str">
        <f>VLOOKUP(A593,Лист2!A:E,5,0)</f>
        <v>малые</v>
      </c>
      <c r="E593" s="10">
        <f>VLOOKUP(A593,Лист2!A:E,4,0)</f>
        <v>2.5</v>
      </c>
      <c r="F593" s="11">
        <f t="shared" si="27"/>
        <v>33178000</v>
      </c>
      <c r="G593" s="11">
        <f t="shared" si="28"/>
        <v>28048000</v>
      </c>
      <c r="H593" s="11">
        <f t="shared" si="29"/>
        <v>13271200</v>
      </c>
    </row>
    <row r="594" spans="1:8">
      <c r="A594" s="6" t="s">
        <v>18</v>
      </c>
      <c r="B594">
        <v>155000</v>
      </c>
      <c r="C594">
        <v>29000</v>
      </c>
      <c r="D594" s="8" t="str">
        <f>VLOOKUP(A594,Лист2!A:E,5,0)</f>
        <v>малые</v>
      </c>
      <c r="E594" s="10">
        <f>VLOOKUP(A594,Лист2!A:E,4,0)</f>
        <v>2.5</v>
      </c>
      <c r="F594" s="11">
        <f t="shared" si="27"/>
        <v>126000</v>
      </c>
      <c r="G594" s="11">
        <f t="shared" si="28"/>
        <v>62000</v>
      </c>
      <c r="H594" s="11">
        <f t="shared" si="29"/>
        <v>50400</v>
      </c>
    </row>
    <row r="595" spans="1:8">
      <c r="A595" s="6" t="s">
        <v>18</v>
      </c>
      <c r="B595">
        <v>60000</v>
      </c>
      <c r="C595">
        <v>113000</v>
      </c>
      <c r="D595" s="8" t="str">
        <f>VLOOKUP(A595,Лист2!A:E,5,0)</f>
        <v>малые</v>
      </c>
      <c r="E595" s="10">
        <f>VLOOKUP(A595,Лист2!A:E,4,0)</f>
        <v>2.5</v>
      </c>
      <c r="F595" s="11">
        <f t="shared" si="27"/>
        <v>-53000</v>
      </c>
      <c r="G595" s="11">
        <f t="shared" si="28"/>
        <v>24000</v>
      </c>
      <c r="H595" s="11">
        <f t="shared" si="29"/>
        <v>-21200</v>
      </c>
    </row>
    <row r="596" spans="1:8">
      <c r="A596" s="6" t="s">
        <v>18</v>
      </c>
      <c r="B596">
        <v>6958000</v>
      </c>
      <c r="C596">
        <v>8025000</v>
      </c>
      <c r="D596" s="8" t="str">
        <f>VLOOKUP(A596,Лист2!A:E,5,0)</f>
        <v>малые</v>
      </c>
      <c r="E596" s="10">
        <f>VLOOKUP(A596,Лист2!A:E,4,0)</f>
        <v>2.5</v>
      </c>
      <c r="F596" s="11">
        <f t="shared" si="27"/>
        <v>-1067000</v>
      </c>
      <c r="G596" s="11">
        <f t="shared" si="28"/>
        <v>2783200</v>
      </c>
      <c r="H596" s="11">
        <f t="shared" si="29"/>
        <v>-426800</v>
      </c>
    </row>
    <row r="597" spans="1:8">
      <c r="A597" s="6" t="s">
        <v>18</v>
      </c>
      <c r="B597">
        <v>424000</v>
      </c>
      <c r="C597">
        <v>424000</v>
      </c>
      <c r="D597" s="8" t="str">
        <f>VLOOKUP(A597,Лист2!A:E,5,0)</f>
        <v>малые</v>
      </c>
      <c r="E597" s="10">
        <f>VLOOKUP(A597,Лист2!A:E,4,0)</f>
        <v>2.5</v>
      </c>
      <c r="F597" s="11">
        <f t="shared" si="27"/>
        <v>0</v>
      </c>
      <c r="G597" s="11">
        <f t="shared" si="28"/>
        <v>169600</v>
      </c>
      <c r="H597" s="11">
        <f t="shared" si="29"/>
        <v>0</v>
      </c>
    </row>
    <row r="598" spans="1:8">
      <c r="A598" s="6" t="s">
        <v>18</v>
      </c>
      <c r="B598">
        <v>984000</v>
      </c>
      <c r="C598">
        <v>1824000</v>
      </c>
      <c r="D598" s="8" t="str">
        <f>VLOOKUP(A598,Лист2!A:E,5,0)</f>
        <v>малые</v>
      </c>
      <c r="E598" s="10">
        <f>VLOOKUP(A598,Лист2!A:E,4,0)</f>
        <v>2.5</v>
      </c>
      <c r="F598" s="11">
        <f t="shared" si="27"/>
        <v>-840000</v>
      </c>
      <c r="G598" s="11">
        <f t="shared" si="28"/>
        <v>393600</v>
      </c>
      <c r="H598" s="11">
        <f t="shared" si="29"/>
        <v>-336000</v>
      </c>
    </row>
    <row r="599" spans="1:8">
      <c r="A599" s="6" t="s">
        <v>18</v>
      </c>
      <c r="B599">
        <v>3301000</v>
      </c>
      <c r="C599">
        <v>3049000</v>
      </c>
      <c r="D599" s="8" t="str">
        <f>VLOOKUP(A599,Лист2!A:E,5,0)</f>
        <v>малые</v>
      </c>
      <c r="E599" s="10">
        <f>VLOOKUP(A599,Лист2!A:E,4,0)</f>
        <v>2.5</v>
      </c>
      <c r="F599" s="11">
        <f t="shared" si="27"/>
        <v>252000</v>
      </c>
      <c r="G599" s="11">
        <f t="shared" si="28"/>
        <v>1320400</v>
      </c>
      <c r="H599" s="11">
        <f t="shared" si="29"/>
        <v>100800</v>
      </c>
    </row>
    <row r="600" spans="1:8">
      <c r="A600" s="6" t="s">
        <v>18</v>
      </c>
      <c r="B600">
        <v>785000</v>
      </c>
      <c r="C600">
        <v>891000</v>
      </c>
      <c r="D600" s="8" t="str">
        <f>VLOOKUP(A600,Лист2!A:E,5,0)</f>
        <v>малые</v>
      </c>
      <c r="E600" s="10">
        <f>VLOOKUP(A600,Лист2!A:E,4,0)</f>
        <v>2.5</v>
      </c>
      <c r="F600" s="11">
        <f t="shared" si="27"/>
        <v>-106000</v>
      </c>
      <c r="G600" s="11">
        <f t="shared" si="28"/>
        <v>314000</v>
      </c>
      <c r="H600" s="11">
        <f t="shared" si="29"/>
        <v>-42400</v>
      </c>
    </row>
    <row r="601" spans="1:8">
      <c r="A601" s="6" t="s">
        <v>18</v>
      </c>
      <c r="B601">
        <v>2794000</v>
      </c>
      <c r="C601">
        <v>3872000</v>
      </c>
      <c r="D601" s="8" t="str">
        <f>VLOOKUP(A601,Лист2!A:E,5,0)</f>
        <v>малые</v>
      </c>
      <c r="E601" s="10">
        <f>VLOOKUP(A601,Лист2!A:E,4,0)</f>
        <v>2.5</v>
      </c>
      <c r="F601" s="11">
        <f t="shared" si="27"/>
        <v>-1078000</v>
      </c>
      <c r="G601" s="11">
        <f t="shared" si="28"/>
        <v>1117600</v>
      </c>
      <c r="H601" s="11">
        <f t="shared" si="29"/>
        <v>-431200</v>
      </c>
    </row>
    <row r="602" spans="1:8">
      <c r="A602" s="6" t="s">
        <v>18</v>
      </c>
      <c r="B602">
        <v>264000</v>
      </c>
      <c r="C602">
        <v>245000</v>
      </c>
      <c r="D602" s="8" t="str">
        <f>VLOOKUP(A602,Лист2!A:E,5,0)</f>
        <v>малые</v>
      </c>
      <c r="E602" s="10">
        <f>VLOOKUP(A602,Лист2!A:E,4,0)</f>
        <v>2.5</v>
      </c>
      <c r="F602" s="11">
        <f t="shared" si="27"/>
        <v>19000</v>
      </c>
      <c r="G602" s="11">
        <f t="shared" si="28"/>
        <v>105600</v>
      </c>
      <c r="H602" s="11">
        <f t="shared" si="29"/>
        <v>7600</v>
      </c>
    </row>
    <row r="603" spans="1:8">
      <c r="A603" s="6" t="s">
        <v>18</v>
      </c>
      <c r="B603">
        <v>1133000</v>
      </c>
      <c r="C603">
        <v>1131000</v>
      </c>
      <c r="D603" s="8" t="str">
        <f>VLOOKUP(A603,Лист2!A:E,5,0)</f>
        <v>малые</v>
      </c>
      <c r="E603" s="10">
        <f>VLOOKUP(A603,Лист2!A:E,4,0)</f>
        <v>2.5</v>
      </c>
      <c r="F603" s="11">
        <f t="shared" si="27"/>
        <v>2000</v>
      </c>
      <c r="G603" s="11">
        <f t="shared" si="28"/>
        <v>453200</v>
      </c>
      <c r="H603" s="11">
        <f t="shared" si="29"/>
        <v>800</v>
      </c>
    </row>
    <row r="604" spans="1:8">
      <c r="A604" s="6" t="s">
        <v>18</v>
      </c>
      <c r="B604">
        <v>300000</v>
      </c>
      <c r="C604">
        <v>239000</v>
      </c>
      <c r="D604" s="8" t="str">
        <f>VLOOKUP(A604,Лист2!A:E,5,0)</f>
        <v>малые</v>
      </c>
      <c r="E604" s="10">
        <f>VLOOKUP(A604,Лист2!A:E,4,0)</f>
        <v>2.5</v>
      </c>
      <c r="F604" s="11">
        <f t="shared" si="27"/>
        <v>61000</v>
      </c>
      <c r="G604" s="11">
        <f t="shared" si="28"/>
        <v>120000</v>
      </c>
      <c r="H604" s="11">
        <f t="shared" si="29"/>
        <v>24400</v>
      </c>
    </row>
    <row r="605" spans="1:8">
      <c r="A605" s="6" t="s">
        <v>18</v>
      </c>
      <c r="B605">
        <v>22194000</v>
      </c>
      <c r="C605">
        <v>17488000</v>
      </c>
      <c r="D605" s="8" t="str">
        <f>VLOOKUP(A605,Лист2!A:E,5,0)</f>
        <v>малые</v>
      </c>
      <c r="E605" s="10">
        <f>VLOOKUP(A605,Лист2!A:E,4,0)</f>
        <v>2.5</v>
      </c>
      <c r="F605" s="11">
        <f t="shared" si="27"/>
        <v>4706000</v>
      </c>
      <c r="G605" s="11">
        <f t="shared" si="28"/>
        <v>8877600</v>
      </c>
      <c r="H605" s="11">
        <f t="shared" si="29"/>
        <v>1882400</v>
      </c>
    </row>
    <row r="606" spans="1:8">
      <c r="A606" s="6" t="s">
        <v>18</v>
      </c>
      <c r="B606">
        <v>887000</v>
      </c>
      <c r="C606">
        <v>963000</v>
      </c>
      <c r="D606" s="8" t="str">
        <f>VLOOKUP(A606,Лист2!A:E,5,0)</f>
        <v>малые</v>
      </c>
      <c r="E606" s="10">
        <f>VLOOKUP(A606,Лист2!A:E,4,0)</f>
        <v>2.5</v>
      </c>
      <c r="F606" s="11">
        <f t="shared" si="27"/>
        <v>-76000</v>
      </c>
      <c r="G606" s="11">
        <f t="shared" si="28"/>
        <v>354800</v>
      </c>
      <c r="H606" s="11">
        <f t="shared" si="29"/>
        <v>-30400</v>
      </c>
    </row>
    <row r="607" spans="1:8">
      <c r="A607" s="6" t="s">
        <v>18</v>
      </c>
      <c r="B607">
        <v>790000</v>
      </c>
      <c r="C607">
        <v>790000</v>
      </c>
      <c r="D607" s="8" t="str">
        <f>VLOOKUP(A607,Лист2!A:E,5,0)</f>
        <v>малые</v>
      </c>
      <c r="E607" s="10">
        <f>VLOOKUP(A607,Лист2!A:E,4,0)</f>
        <v>2.5</v>
      </c>
      <c r="F607" s="11">
        <f t="shared" si="27"/>
        <v>0</v>
      </c>
      <c r="G607" s="11">
        <f t="shared" si="28"/>
        <v>316000</v>
      </c>
      <c r="H607" s="11">
        <f t="shared" si="29"/>
        <v>0</v>
      </c>
    </row>
    <row r="608" spans="1:8">
      <c r="A608" s="6" t="s">
        <v>18</v>
      </c>
      <c r="B608">
        <v>2530000</v>
      </c>
      <c r="C608">
        <v>3064000</v>
      </c>
      <c r="D608" s="8" t="str">
        <f>VLOOKUP(A608,Лист2!A:E,5,0)</f>
        <v>малые</v>
      </c>
      <c r="E608" s="10">
        <f>VLOOKUP(A608,Лист2!A:E,4,0)</f>
        <v>2.5</v>
      </c>
      <c r="F608" s="11">
        <f t="shared" si="27"/>
        <v>-534000</v>
      </c>
      <c r="G608" s="11">
        <f t="shared" si="28"/>
        <v>1012000</v>
      </c>
      <c r="H608" s="11">
        <f t="shared" si="29"/>
        <v>-213600</v>
      </c>
    </row>
    <row r="609" spans="1:8">
      <c r="A609" s="6" t="s">
        <v>18</v>
      </c>
      <c r="B609">
        <v>14400000</v>
      </c>
      <c r="C609">
        <v>15661000</v>
      </c>
      <c r="D609" s="8" t="str">
        <f>VLOOKUP(A609,Лист2!A:E,5,0)</f>
        <v>малые</v>
      </c>
      <c r="E609" s="10">
        <f>VLOOKUP(A609,Лист2!A:E,4,0)</f>
        <v>2.5</v>
      </c>
      <c r="F609" s="11">
        <f t="shared" si="27"/>
        <v>-1261000</v>
      </c>
      <c r="G609" s="11">
        <f t="shared" si="28"/>
        <v>5760000</v>
      </c>
      <c r="H609" s="11">
        <f t="shared" si="29"/>
        <v>-504400</v>
      </c>
    </row>
    <row r="610" spans="1:8">
      <c r="A610" s="6" t="s">
        <v>18</v>
      </c>
      <c r="B610">
        <v>1170000</v>
      </c>
      <c r="C610">
        <v>968000</v>
      </c>
      <c r="D610" s="8" t="str">
        <f>VLOOKUP(A610,Лист2!A:E,5,0)</f>
        <v>малые</v>
      </c>
      <c r="E610" s="10">
        <f>VLOOKUP(A610,Лист2!A:E,4,0)</f>
        <v>2.5</v>
      </c>
      <c r="F610" s="11">
        <f t="shared" si="27"/>
        <v>202000</v>
      </c>
      <c r="G610" s="11">
        <f t="shared" si="28"/>
        <v>468000</v>
      </c>
      <c r="H610" s="11">
        <f t="shared" si="29"/>
        <v>80800</v>
      </c>
    </row>
    <row r="611" spans="1:8">
      <c r="A611" s="6" t="s">
        <v>18</v>
      </c>
      <c r="B611">
        <v>34000</v>
      </c>
      <c r="C611">
        <v>56000</v>
      </c>
      <c r="D611" s="8" t="str">
        <f>VLOOKUP(A611,Лист2!A:E,5,0)</f>
        <v>малые</v>
      </c>
      <c r="E611" s="10">
        <f>VLOOKUP(A611,Лист2!A:E,4,0)</f>
        <v>2.5</v>
      </c>
      <c r="F611" s="11">
        <f t="shared" si="27"/>
        <v>-22000</v>
      </c>
      <c r="G611" s="11">
        <f t="shared" si="28"/>
        <v>13600</v>
      </c>
      <c r="H611" s="11">
        <f t="shared" si="29"/>
        <v>-8800</v>
      </c>
    </row>
    <row r="612" spans="1:8">
      <c r="A612" s="6" t="s">
        <v>18</v>
      </c>
      <c r="B612">
        <v>55202000</v>
      </c>
      <c r="C612">
        <v>44774000</v>
      </c>
      <c r="D612" s="8" t="str">
        <f>VLOOKUP(A612,Лист2!A:E,5,0)</f>
        <v>малые</v>
      </c>
      <c r="E612" s="10">
        <f>VLOOKUP(A612,Лист2!A:E,4,0)</f>
        <v>2.5</v>
      </c>
      <c r="F612" s="11">
        <f t="shared" si="27"/>
        <v>10428000</v>
      </c>
      <c r="G612" s="11">
        <f t="shared" si="28"/>
        <v>22080800</v>
      </c>
      <c r="H612" s="11">
        <f t="shared" si="29"/>
        <v>4171200</v>
      </c>
    </row>
    <row r="613" spans="1:8">
      <c r="A613" s="6" t="s">
        <v>18</v>
      </c>
      <c r="B613">
        <v>58000</v>
      </c>
      <c r="C613">
        <v>58000</v>
      </c>
      <c r="D613" s="8" t="str">
        <f>VLOOKUP(A613,Лист2!A:E,5,0)</f>
        <v>малые</v>
      </c>
      <c r="E613" s="10">
        <f>VLOOKUP(A613,Лист2!A:E,4,0)</f>
        <v>2.5</v>
      </c>
      <c r="F613" s="11">
        <f t="shared" si="27"/>
        <v>0</v>
      </c>
      <c r="G613" s="11">
        <f t="shared" si="28"/>
        <v>23200</v>
      </c>
      <c r="H613" s="11">
        <f t="shared" si="29"/>
        <v>0</v>
      </c>
    </row>
    <row r="614" spans="1:8">
      <c r="A614" s="6" t="s">
        <v>18</v>
      </c>
      <c r="B614">
        <v>534000</v>
      </c>
      <c r="C614">
        <v>581000</v>
      </c>
      <c r="D614" s="8" t="str">
        <f>VLOOKUP(A614,Лист2!A:E,5,0)</f>
        <v>малые</v>
      </c>
      <c r="E614" s="10">
        <f>VLOOKUP(A614,Лист2!A:E,4,0)</f>
        <v>2.5</v>
      </c>
      <c r="F614" s="11">
        <f t="shared" si="27"/>
        <v>-47000</v>
      </c>
      <c r="G614" s="11">
        <f t="shared" si="28"/>
        <v>213600</v>
      </c>
      <c r="H614" s="11">
        <f t="shared" si="29"/>
        <v>-18800</v>
      </c>
    </row>
    <row r="615" spans="1:8">
      <c r="A615" s="6" t="s">
        <v>18</v>
      </c>
      <c r="B615">
        <v>1350000</v>
      </c>
      <c r="C615">
        <v>1959000</v>
      </c>
      <c r="D615" s="8" t="str">
        <f>VLOOKUP(A615,Лист2!A:E,5,0)</f>
        <v>малые</v>
      </c>
      <c r="E615" s="10">
        <f>VLOOKUP(A615,Лист2!A:E,4,0)</f>
        <v>2.5</v>
      </c>
      <c r="F615" s="11">
        <f t="shared" si="27"/>
        <v>-609000</v>
      </c>
      <c r="G615" s="11">
        <f t="shared" si="28"/>
        <v>540000</v>
      </c>
      <c r="H615" s="11">
        <f t="shared" si="29"/>
        <v>-243600</v>
      </c>
    </row>
    <row r="616" spans="1:8">
      <c r="A616" s="6" t="s">
        <v>18</v>
      </c>
      <c r="B616">
        <v>277000</v>
      </c>
      <c r="C616">
        <v>311000</v>
      </c>
      <c r="D616" s="8" t="str">
        <f>VLOOKUP(A616,Лист2!A:E,5,0)</f>
        <v>малые</v>
      </c>
      <c r="E616" s="10">
        <f>VLOOKUP(A616,Лист2!A:E,4,0)</f>
        <v>2.5</v>
      </c>
      <c r="F616" s="11">
        <f t="shared" si="27"/>
        <v>-34000</v>
      </c>
      <c r="G616" s="11">
        <f t="shared" si="28"/>
        <v>110800</v>
      </c>
      <c r="H616" s="11">
        <f t="shared" si="29"/>
        <v>-13600</v>
      </c>
    </row>
    <row r="617" spans="1:8">
      <c r="A617" s="6" t="s">
        <v>18</v>
      </c>
      <c r="B617">
        <v>20000</v>
      </c>
      <c r="C617">
        <v>33000</v>
      </c>
      <c r="D617" s="8" t="str">
        <f>VLOOKUP(A617,Лист2!A:E,5,0)</f>
        <v>малые</v>
      </c>
      <c r="E617" s="10">
        <f>VLOOKUP(A617,Лист2!A:E,4,0)</f>
        <v>2.5</v>
      </c>
      <c r="F617" s="11">
        <f t="shared" si="27"/>
        <v>-13000</v>
      </c>
      <c r="G617" s="11">
        <f t="shared" si="28"/>
        <v>8000</v>
      </c>
      <c r="H617" s="11">
        <f t="shared" si="29"/>
        <v>-5200</v>
      </c>
    </row>
    <row r="618" spans="1:8">
      <c r="A618" s="6" t="s">
        <v>18</v>
      </c>
      <c r="B618">
        <v>2458000</v>
      </c>
      <c r="C618">
        <v>4937000</v>
      </c>
      <c r="D618" s="8" t="str">
        <f>VLOOKUP(A618,Лист2!A:E,5,0)</f>
        <v>малые</v>
      </c>
      <c r="E618" s="10">
        <f>VLOOKUP(A618,Лист2!A:E,4,0)</f>
        <v>2.5</v>
      </c>
      <c r="F618" s="11">
        <f t="shared" ref="F618:F678" si="30">B618-C618</f>
        <v>-2479000</v>
      </c>
      <c r="G618" s="11">
        <f t="shared" ref="G618:G678" si="31">B618/E618</f>
        <v>983200</v>
      </c>
      <c r="H618" s="11">
        <f t="shared" ref="H618:H678" si="32">F618/E618</f>
        <v>-991600</v>
      </c>
    </row>
    <row r="619" spans="1:8">
      <c r="A619" s="6" t="s">
        <v>18</v>
      </c>
      <c r="B619">
        <v>15359000</v>
      </c>
      <c r="C619">
        <v>17273000</v>
      </c>
      <c r="D619" s="8" t="str">
        <f>VLOOKUP(A619,Лист2!A:E,5,0)</f>
        <v>малые</v>
      </c>
      <c r="E619" s="10">
        <f>VLOOKUP(A619,Лист2!A:E,4,0)</f>
        <v>2.5</v>
      </c>
      <c r="F619" s="11">
        <f t="shared" si="30"/>
        <v>-1914000</v>
      </c>
      <c r="G619" s="11">
        <f t="shared" si="31"/>
        <v>6143600</v>
      </c>
      <c r="H619" s="11">
        <f t="shared" si="32"/>
        <v>-765600</v>
      </c>
    </row>
    <row r="620" spans="1:8">
      <c r="A620" s="6" t="s">
        <v>18</v>
      </c>
      <c r="B620">
        <v>288000</v>
      </c>
      <c r="C620">
        <v>267000</v>
      </c>
      <c r="D620" s="8" t="str">
        <f>VLOOKUP(A620,Лист2!A:E,5,0)</f>
        <v>малые</v>
      </c>
      <c r="E620" s="10">
        <f>VLOOKUP(A620,Лист2!A:E,4,0)</f>
        <v>2.5</v>
      </c>
      <c r="F620" s="11">
        <f t="shared" si="30"/>
        <v>21000</v>
      </c>
      <c r="G620" s="11">
        <f t="shared" si="31"/>
        <v>115200</v>
      </c>
      <c r="H620" s="11">
        <f t="shared" si="32"/>
        <v>8400</v>
      </c>
    </row>
    <row r="621" spans="1:8">
      <c r="A621" s="6" t="s">
        <v>18</v>
      </c>
      <c r="B621">
        <v>2288000</v>
      </c>
      <c r="C621">
        <v>2230000</v>
      </c>
      <c r="D621" s="8" t="str">
        <f>VLOOKUP(A621,Лист2!A:E,5,0)</f>
        <v>малые</v>
      </c>
      <c r="E621" s="10">
        <f>VLOOKUP(A621,Лист2!A:E,4,0)</f>
        <v>2.5</v>
      </c>
      <c r="F621" s="11">
        <f t="shared" si="30"/>
        <v>58000</v>
      </c>
      <c r="G621" s="11">
        <f t="shared" si="31"/>
        <v>915200</v>
      </c>
      <c r="H621" s="11">
        <f t="shared" si="32"/>
        <v>23200</v>
      </c>
    </row>
    <row r="622" spans="1:8">
      <c r="A622" s="6" t="s">
        <v>18</v>
      </c>
      <c r="B622">
        <v>957000</v>
      </c>
      <c r="C622">
        <v>957000</v>
      </c>
      <c r="D622" s="8" t="str">
        <f>VLOOKUP(A622,Лист2!A:E,5,0)</f>
        <v>малые</v>
      </c>
      <c r="E622" s="10">
        <f>VLOOKUP(A622,Лист2!A:E,4,0)</f>
        <v>2.5</v>
      </c>
      <c r="F622" s="11">
        <f t="shared" si="30"/>
        <v>0</v>
      </c>
      <c r="G622" s="11">
        <f t="shared" si="31"/>
        <v>382800</v>
      </c>
      <c r="H622" s="11">
        <f t="shared" si="32"/>
        <v>0</v>
      </c>
    </row>
    <row r="623" spans="1:8">
      <c r="A623" s="6" t="s">
        <v>18</v>
      </c>
      <c r="B623">
        <v>583000</v>
      </c>
      <c r="C623">
        <v>404000</v>
      </c>
      <c r="D623" s="8" t="str">
        <f>VLOOKUP(A623,Лист2!A:E,5,0)</f>
        <v>малые</v>
      </c>
      <c r="E623" s="10">
        <f>VLOOKUP(A623,Лист2!A:E,4,0)</f>
        <v>2.5</v>
      </c>
      <c r="F623" s="11">
        <f t="shared" si="30"/>
        <v>179000</v>
      </c>
      <c r="G623" s="11">
        <f t="shared" si="31"/>
        <v>233200</v>
      </c>
      <c r="H623" s="11">
        <f t="shared" si="32"/>
        <v>71600</v>
      </c>
    </row>
    <row r="624" spans="1:8">
      <c r="A624" s="6" t="s">
        <v>18</v>
      </c>
      <c r="B624">
        <v>45222000</v>
      </c>
      <c r="C624">
        <v>14013000</v>
      </c>
      <c r="D624" s="8" t="str">
        <f>VLOOKUP(A624,Лист2!A:E,5,0)</f>
        <v>малые</v>
      </c>
      <c r="E624" s="10">
        <f>VLOOKUP(A624,Лист2!A:E,4,0)</f>
        <v>2.5</v>
      </c>
      <c r="F624" s="11">
        <f t="shared" si="30"/>
        <v>31209000</v>
      </c>
      <c r="G624" s="11">
        <f t="shared" si="31"/>
        <v>18088800</v>
      </c>
      <c r="H624" s="11">
        <f t="shared" si="32"/>
        <v>12483600</v>
      </c>
    </row>
    <row r="625" spans="1:8">
      <c r="A625" s="6" t="s">
        <v>18</v>
      </c>
      <c r="B625">
        <v>5158000</v>
      </c>
      <c r="C625">
        <v>3029000</v>
      </c>
      <c r="D625" s="8" t="str">
        <f>VLOOKUP(A625,Лист2!A:E,5,0)</f>
        <v>малые</v>
      </c>
      <c r="E625" s="10">
        <f>VLOOKUP(A625,Лист2!A:E,4,0)</f>
        <v>2.5</v>
      </c>
      <c r="F625" s="11">
        <f t="shared" si="30"/>
        <v>2129000</v>
      </c>
      <c r="G625" s="11">
        <f t="shared" si="31"/>
        <v>2063200</v>
      </c>
      <c r="H625" s="11">
        <f t="shared" si="32"/>
        <v>851600</v>
      </c>
    </row>
    <row r="626" spans="1:8">
      <c r="A626" s="6" t="s">
        <v>18</v>
      </c>
      <c r="B626">
        <v>328000</v>
      </c>
      <c r="C626">
        <v>328000</v>
      </c>
      <c r="D626" s="8" t="str">
        <f>VLOOKUP(A626,Лист2!A:E,5,0)</f>
        <v>малые</v>
      </c>
      <c r="E626" s="10">
        <f>VLOOKUP(A626,Лист2!A:E,4,0)</f>
        <v>2.5</v>
      </c>
      <c r="F626" s="11">
        <f t="shared" si="30"/>
        <v>0</v>
      </c>
      <c r="G626" s="11">
        <f t="shared" si="31"/>
        <v>131200</v>
      </c>
      <c r="H626" s="11">
        <f t="shared" si="32"/>
        <v>0</v>
      </c>
    </row>
    <row r="627" spans="1:8">
      <c r="A627" s="6" t="s">
        <v>77</v>
      </c>
      <c r="B627">
        <v>4475000</v>
      </c>
      <c r="C627">
        <v>3830000</v>
      </c>
      <c r="D627" s="8" t="str">
        <f>VLOOKUP(A627,Лист2!A:E,5,0)</f>
        <v>малые</v>
      </c>
      <c r="E627" s="10">
        <f>VLOOKUP(A627,Лист2!A:E,4,0)</f>
        <v>8</v>
      </c>
      <c r="F627" s="11">
        <f t="shared" si="30"/>
        <v>645000</v>
      </c>
      <c r="G627" s="11">
        <f t="shared" si="31"/>
        <v>559375</v>
      </c>
      <c r="H627" s="11">
        <f t="shared" si="32"/>
        <v>80625</v>
      </c>
    </row>
    <row r="628" spans="1:8">
      <c r="A628" s="6" t="s">
        <v>18</v>
      </c>
      <c r="B628">
        <v>397000</v>
      </c>
      <c r="C628">
        <v>399000</v>
      </c>
      <c r="D628" s="8" t="str">
        <f>VLOOKUP(A628,Лист2!A:E,5,0)</f>
        <v>малые</v>
      </c>
      <c r="E628" s="10">
        <f>VLOOKUP(A628,Лист2!A:E,4,0)</f>
        <v>2.5</v>
      </c>
      <c r="F628" s="11">
        <f t="shared" si="30"/>
        <v>-2000</v>
      </c>
      <c r="G628" s="11">
        <f t="shared" si="31"/>
        <v>158800</v>
      </c>
      <c r="H628" s="11">
        <f t="shared" si="32"/>
        <v>-800</v>
      </c>
    </row>
    <row r="629" spans="1:8">
      <c r="A629" s="6" t="s">
        <v>18</v>
      </c>
      <c r="B629">
        <v>2391000</v>
      </c>
      <c r="C629">
        <v>2218000</v>
      </c>
      <c r="D629" s="8" t="str">
        <f>VLOOKUP(A629,Лист2!A:E,5,0)</f>
        <v>малые</v>
      </c>
      <c r="E629" s="10">
        <f>VLOOKUP(A629,Лист2!A:E,4,0)</f>
        <v>2.5</v>
      </c>
      <c r="F629" s="11">
        <f t="shared" si="30"/>
        <v>173000</v>
      </c>
      <c r="G629" s="11">
        <f t="shared" si="31"/>
        <v>956400</v>
      </c>
      <c r="H629" s="11">
        <f t="shared" si="32"/>
        <v>69200</v>
      </c>
    </row>
    <row r="630" spans="1:8">
      <c r="A630" s="6" t="s">
        <v>18</v>
      </c>
      <c r="B630">
        <v>5400000</v>
      </c>
      <c r="C630">
        <v>4779000</v>
      </c>
      <c r="D630" s="8" t="str">
        <f>VLOOKUP(A630,Лист2!A:E,5,0)</f>
        <v>малые</v>
      </c>
      <c r="E630" s="10">
        <f>VLOOKUP(A630,Лист2!A:E,4,0)</f>
        <v>2.5</v>
      </c>
      <c r="F630" s="11">
        <f t="shared" si="30"/>
        <v>621000</v>
      </c>
      <c r="G630" s="11">
        <f t="shared" si="31"/>
        <v>2160000</v>
      </c>
      <c r="H630" s="11">
        <f t="shared" si="32"/>
        <v>248400</v>
      </c>
    </row>
    <row r="631" spans="1:8">
      <c r="A631" s="6" t="s">
        <v>18</v>
      </c>
      <c r="B631">
        <v>7460000</v>
      </c>
      <c r="C631">
        <v>9790000</v>
      </c>
      <c r="D631" s="8" t="str">
        <f>VLOOKUP(A631,Лист2!A:E,5,0)</f>
        <v>малые</v>
      </c>
      <c r="E631" s="10">
        <f>VLOOKUP(A631,Лист2!A:E,4,0)</f>
        <v>2.5</v>
      </c>
      <c r="F631" s="11">
        <f t="shared" si="30"/>
        <v>-2330000</v>
      </c>
      <c r="G631" s="11">
        <f t="shared" si="31"/>
        <v>2984000</v>
      </c>
      <c r="H631" s="11">
        <f t="shared" si="32"/>
        <v>-932000</v>
      </c>
    </row>
    <row r="632" spans="1:8">
      <c r="A632" s="6" t="s">
        <v>18</v>
      </c>
      <c r="B632">
        <v>946000</v>
      </c>
      <c r="C632">
        <v>673000</v>
      </c>
      <c r="D632" s="8" t="str">
        <f>VLOOKUP(A632,Лист2!A:E,5,0)</f>
        <v>малые</v>
      </c>
      <c r="E632" s="10">
        <f>VLOOKUP(A632,Лист2!A:E,4,0)</f>
        <v>2.5</v>
      </c>
      <c r="F632" s="11">
        <f t="shared" si="30"/>
        <v>273000</v>
      </c>
      <c r="G632" s="11">
        <f t="shared" si="31"/>
        <v>378400</v>
      </c>
      <c r="H632" s="11">
        <f t="shared" si="32"/>
        <v>109200</v>
      </c>
    </row>
    <row r="633" spans="1:8">
      <c r="A633" s="6" t="s">
        <v>77</v>
      </c>
      <c r="B633">
        <v>49236000</v>
      </c>
      <c r="C633">
        <v>48717000</v>
      </c>
      <c r="D633" s="8" t="str">
        <f>VLOOKUP(A633,Лист2!A:E,5,0)</f>
        <v>малые</v>
      </c>
      <c r="E633" s="10">
        <f>VLOOKUP(A633,Лист2!A:E,4,0)</f>
        <v>8</v>
      </c>
      <c r="F633" s="11">
        <f t="shared" si="30"/>
        <v>519000</v>
      </c>
      <c r="G633" s="11">
        <f t="shared" si="31"/>
        <v>6154500</v>
      </c>
      <c r="H633" s="11">
        <f t="shared" si="32"/>
        <v>64875</v>
      </c>
    </row>
    <row r="634" spans="1:8">
      <c r="A634" s="6" t="s">
        <v>18</v>
      </c>
      <c r="B634">
        <v>19879000</v>
      </c>
      <c r="C634">
        <v>7816000</v>
      </c>
      <c r="D634" s="8" t="str">
        <f>VLOOKUP(A634,Лист2!A:E,5,0)</f>
        <v>малые</v>
      </c>
      <c r="E634" s="10">
        <f>VLOOKUP(A634,Лист2!A:E,4,0)</f>
        <v>2.5</v>
      </c>
      <c r="F634" s="11">
        <f t="shared" si="30"/>
        <v>12063000</v>
      </c>
      <c r="G634" s="11">
        <f t="shared" si="31"/>
        <v>7951600</v>
      </c>
      <c r="H634" s="11">
        <f t="shared" si="32"/>
        <v>4825200</v>
      </c>
    </row>
    <row r="635" spans="1:8">
      <c r="A635" s="6" t="s">
        <v>18</v>
      </c>
      <c r="B635">
        <v>82080000</v>
      </c>
      <c r="C635">
        <v>79246000</v>
      </c>
      <c r="D635" s="8" t="str">
        <f>VLOOKUP(A635,Лист2!A:E,5,0)</f>
        <v>малые</v>
      </c>
      <c r="E635" s="10">
        <f>VLOOKUP(A635,Лист2!A:E,4,0)</f>
        <v>2.5</v>
      </c>
      <c r="F635" s="11">
        <f t="shared" si="30"/>
        <v>2834000</v>
      </c>
      <c r="G635" s="11">
        <f t="shared" si="31"/>
        <v>32832000</v>
      </c>
      <c r="H635" s="11">
        <f t="shared" si="32"/>
        <v>1133600</v>
      </c>
    </row>
    <row r="636" spans="1:8">
      <c r="A636" s="6" t="s">
        <v>18</v>
      </c>
      <c r="B636">
        <v>4378000</v>
      </c>
      <c r="C636">
        <v>4272000</v>
      </c>
      <c r="D636" s="8" t="str">
        <f>VLOOKUP(A636,Лист2!A:E,5,0)</f>
        <v>малые</v>
      </c>
      <c r="E636" s="10">
        <f>VLOOKUP(A636,Лист2!A:E,4,0)</f>
        <v>2.5</v>
      </c>
      <c r="F636" s="11">
        <f t="shared" si="30"/>
        <v>106000</v>
      </c>
      <c r="G636" s="11">
        <f t="shared" si="31"/>
        <v>1751200</v>
      </c>
      <c r="H636" s="11">
        <f t="shared" si="32"/>
        <v>42400</v>
      </c>
    </row>
    <row r="637" spans="1:8">
      <c r="A637" s="6" t="s">
        <v>18</v>
      </c>
      <c r="B637">
        <v>754000</v>
      </c>
      <c r="C637">
        <v>754000</v>
      </c>
      <c r="D637" s="8" t="str">
        <f>VLOOKUP(A637,Лист2!A:E,5,0)</f>
        <v>малые</v>
      </c>
      <c r="E637" s="10">
        <f>VLOOKUP(A637,Лист2!A:E,4,0)</f>
        <v>2.5</v>
      </c>
      <c r="F637" s="11">
        <f t="shared" si="30"/>
        <v>0</v>
      </c>
      <c r="G637" s="11">
        <f t="shared" si="31"/>
        <v>301600</v>
      </c>
      <c r="H637" s="11">
        <f t="shared" si="32"/>
        <v>0</v>
      </c>
    </row>
    <row r="638" spans="1:8">
      <c r="A638" s="6" t="s">
        <v>18</v>
      </c>
      <c r="B638">
        <v>64000</v>
      </c>
      <c r="C638">
        <v>94000</v>
      </c>
      <c r="D638" s="8" t="str">
        <f>VLOOKUP(A638,Лист2!A:E,5,0)</f>
        <v>малые</v>
      </c>
      <c r="E638" s="10">
        <f>VLOOKUP(A638,Лист2!A:E,4,0)</f>
        <v>2.5</v>
      </c>
      <c r="F638" s="11">
        <f t="shared" si="30"/>
        <v>-30000</v>
      </c>
      <c r="G638" s="11">
        <f t="shared" si="31"/>
        <v>25600</v>
      </c>
      <c r="H638" s="11">
        <f t="shared" si="32"/>
        <v>-12000</v>
      </c>
    </row>
    <row r="639" spans="1:8">
      <c r="A639" s="6" t="s">
        <v>18</v>
      </c>
      <c r="B639">
        <v>449000</v>
      </c>
      <c r="C639">
        <v>528000</v>
      </c>
      <c r="D639" s="8" t="str">
        <f>VLOOKUP(A639,Лист2!A:E,5,0)</f>
        <v>малые</v>
      </c>
      <c r="E639" s="10">
        <f>VLOOKUP(A639,Лист2!A:E,4,0)</f>
        <v>2.5</v>
      </c>
      <c r="F639" s="11">
        <f t="shared" si="30"/>
        <v>-79000</v>
      </c>
      <c r="G639" s="11">
        <f t="shared" si="31"/>
        <v>179600</v>
      </c>
      <c r="H639" s="11">
        <f t="shared" si="32"/>
        <v>-31600</v>
      </c>
    </row>
    <row r="640" spans="1:8">
      <c r="A640" s="6" t="s">
        <v>18</v>
      </c>
      <c r="B640">
        <v>2672000</v>
      </c>
      <c r="C640">
        <v>2793000</v>
      </c>
      <c r="D640" s="8" t="str">
        <f>VLOOKUP(A640,Лист2!A:E,5,0)</f>
        <v>малые</v>
      </c>
      <c r="E640" s="10">
        <f>VLOOKUP(A640,Лист2!A:E,4,0)</f>
        <v>2.5</v>
      </c>
      <c r="F640" s="11">
        <f t="shared" si="30"/>
        <v>-121000</v>
      </c>
      <c r="G640" s="11">
        <f t="shared" si="31"/>
        <v>1068800</v>
      </c>
      <c r="H640" s="11">
        <f t="shared" si="32"/>
        <v>-48400</v>
      </c>
    </row>
    <row r="641" spans="1:8">
      <c r="A641" s="6" t="s">
        <v>77</v>
      </c>
      <c r="B641">
        <v>23000</v>
      </c>
      <c r="C641">
        <v>223000</v>
      </c>
      <c r="D641" s="8" t="str">
        <f>VLOOKUP(A641,Лист2!A:E,5,0)</f>
        <v>малые</v>
      </c>
      <c r="E641" s="10">
        <f>VLOOKUP(A641,Лист2!A:E,4,0)</f>
        <v>8</v>
      </c>
      <c r="F641" s="11">
        <f t="shared" si="30"/>
        <v>-200000</v>
      </c>
      <c r="G641" s="11">
        <f t="shared" si="31"/>
        <v>2875</v>
      </c>
      <c r="H641" s="11">
        <f t="shared" si="32"/>
        <v>-25000</v>
      </c>
    </row>
    <row r="642" spans="1:8">
      <c r="A642" s="6" t="s">
        <v>18</v>
      </c>
      <c r="B642">
        <v>2975000</v>
      </c>
      <c r="C642">
        <v>2975000</v>
      </c>
      <c r="D642" s="8" t="str">
        <f>VLOOKUP(A642,Лист2!A:E,5,0)</f>
        <v>малые</v>
      </c>
      <c r="E642" s="10">
        <f>VLOOKUP(A642,Лист2!A:E,4,0)</f>
        <v>2.5</v>
      </c>
      <c r="F642" s="11">
        <f t="shared" si="30"/>
        <v>0</v>
      </c>
      <c r="G642" s="11">
        <f t="shared" si="31"/>
        <v>1190000</v>
      </c>
      <c r="H642" s="11">
        <f t="shared" si="32"/>
        <v>0</v>
      </c>
    </row>
    <row r="643" spans="1:8">
      <c r="A643" s="6" t="s">
        <v>18</v>
      </c>
      <c r="B643">
        <v>65000</v>
      </c>
      <c r="C643">
        <v>104000</v>
      </c>
      <c r="D643" s="8" t="str">
        <f>VLOOKUP(A643,Лист2!A:E,5,0)</f>
        <v>малые</v>
      </c>
      <c r="E643" s="10">
        <f>VLOOKUP(A643,Лист2!A:E,4,0)</f>
        <v>2.5</v>
      </c>
      <c r="F643" s="11">
        <f t="shared" si="30"/>
        <v>-39000</v>
      </c>
      <c r="G643" s="11">
        <f t="shared" si="31"/>
        <v>26000</v>
      </c>
      <c r="H643" s="11">
        <f t="shared" si="32"/>
        <v>-15600</v>
      </c>
    </row>
    <row r="644" spans="1:8">
      <c r="A644" s="6" t="s">
        <v>18</v>
      </c>
      <c r="B644">
        <v>12116000</v>
      </c>
      <c r="C644">
        <v>12334000</v>
      </c>
      <c r="D644" s="8" t="str">
        <f>VLOOKUP(A644,Лист2!A:E,5,0)</f>
        <v>малые</v>
      </c>
      <c r="E644" s="10">
        <f>VLOOKUP(A644,Лист2!A:E,4,0)</f>
        <v>2.5</v>
      </c>
      <c r="F644" s="11">
        <f t="shared" si="30"/>
        <v>-218000</v>
      </c>
      <c r="G644" s="11">
        <f t="shared" si="31"/>
        <v>4846400</v>
      </c>
      <c r="H644" s="11">
        <f t="shared" si="32"/>
        <v>-87200</v>
      </c>
    </row>
    <row r="645" spans="1:8">
      <c r="A645" s="6" t="s">
        <v>77</v>
      </c>
      <c r="B645">
        <v>5336000</v>
      </c>
      <c r="C645">
        <v>5179000</v>
      </c>
      <c r="D645" s="8" t="str">
        <f>VLOOKUP(A645,Лист2!A:E,5,0)</f>
        <v>малые</v>
      </c>
      <c r="E645" s="10">
        <f>VLOOKUP(A645,Лист2!A:E,4,0)</f>
        <v>8</v>
      </c>
      <c r="F645" s="11">
        <f t="shared" si="30"/>
        <v>157000</v>
      </c>
      <c r="G645" s="11">
        <f t="shared" si="31"/>
        <v>667000</v>
      </c>
      <c r="H645" s="11">
        <f t="shared" si="32"/>
        <v>19625</v>
      </c>
    </row>
    <row r="646" spans="1:8">
      <c r="A646" s="6" t="s">
        <v>18</v>
      </c>
      <c r="B646">
        <v>110000</v>
      </c>
      <c r="C646">
        <v>111000</v>
      </c>
      <c r="D646" s="8" t="str">
        <f>VLOOKUP(A646,Лист2!A:E,5,0)</f>
        <v>малые</v>
      </c>
      <c r="E646" s="10">
        <f>VLOOKUP(A646,Лист2!A:E,4,0)</f>
        <v>2.5</v>
      </c>
      <c r="F646" s="11">
        <f t="shared" si="30"/>
        <v>-1000</v>
      </c>
      <c r="G646" s="11">
        <f t="shared" si="31"/>
        <v>44000</v>
      </c>
      <c r="H646" s="11">
        <f t="shared" si="32"/>
        <v>-400</v>
      </c>
    </row>
    <row r="647" spans="1:8">
      <c r="A647" s="6" t="s">
        <v>18</v>
      </c>
      <c r="B647">
        <v>921000</v>
      </c>
      <c r="C647">
        <v>921000</v>
      </c>
      <c r="D647" s="8" t="str">
        <f>VLOOKUP(A647,Лист2!A:E,5,0)</f>
        <v>малые</v>
      </c>
      <c r="E647" s="10">
        <f>VLOOKUP(A647,Лист2!A:E,4,0)</f>
        <v>2.5</v>
      </c>
      <c r="F647" s="11">
        <f t="shared" si="30"/>
        <v>0</v>
      </c>
      <c r="G647" s="11">
        <f t="shared" si="31"/>
        <v>368400</v>
      </c>
      <c r="H647" s="11">
        <f t="shared" si="32"/>
        <v>0</v>
      </c>
    </row>
    <row r="648" spans="1:8">
      <c r="A648" s="6" t="s">
        <v>18</v>
      </c>
      <c r="B648">
        <v>5000</v>
      </c>
      <c r="C648">
        <v>5000</v>
      </c>
      <c r="D648" s="8" t="str">
        <f>VLOOKUP(A648,Лист2!A:E,5,0)</f>
        <v>малые</v>
      </c>
      <c r="E648" s="10">
        <f>VLOOKUP(A648,Лист2!A:E,4,0)</f>
        <v>2.5</v>
      </c>
      <c r="F648" s="11">
        <f t="shared" si="30"/>
        <v>0</v>
      </c>
      <c r="G648" s="11">
        <f t="shared" si="31"/>
        <v>2000</v>
      </c>
      <c r="H648" s="11">
        <f t="shared" si="32"/>
        <v>0</v>
      </c>
    </row>
    <row r="649" spans="1:8">
      <c r="A649" s="6" t="s">
        <v>18</v>
      </c>
      <c r="B649">
        <v>758000</v>
      </c>
      <c r="C649">
        <v>1682000</v>
      </c>
      <c r="D649" s="8" t="str">
        <f>VLOOKUP(A649,Лист2!A:E,5,0)</f>
        <v>малые</v>
      </c>
      <c r="E649" s="10">
        <f>VLOOKUP(A649,Лист2!A:E,4,0)</f>
        <v>2.5</v>
      </c>
      <c r="F649" s="11">
        <f t="shared" si="30"/>
        <v>-924000</v>
      </c>
      <c r="G649" s="11">
        <f t="shared" si="31"/>
        <v>303200</v>
      </c>
      <c r="H649" s="11">
        <f t="shared" si="32"/>
        <v>-369600</v>
      </c>
    </row>
    <row r="650" spans="1:8">
      <c r="A650" s="6" t="s">
        <v>18</v>
      </c>
      <c r="B650">
        <v>3176000</v>
      </c>
      <c r="C650">
        <v>3277000</v>
      </c>
      <c r="D650" s="8" t="str">
        <f>VLOOKUP(A650,Лист2!A:E,5,0)</f>
        <v>малые</v>
      </c>
      <c r="E650" s="10">
        <f>VLOOKUP(A650,Лист2!A:E,4,0)</f>
        <v>2.5</v>
      </c>
      <c r="F650" s="11">
        <f t="shared" si="30"/>
        <v>-101000</v>
      </c>
      <c r="G650" s="11">
        <f t="shared" si="31"/>
        <v>1270400</v>
      </c>
      <c r="H650" s="11">
        <f t="shared" si="32"/>
        <v>-40400</v>
      </c>
    </row>
    <row r="651" spans="1:8">
      <c r="A651" s="6" t="s">
        <v>18</v>
      </c>
      <c r="B651">
        <v>4040000</v>
      </c>
      <c r="C651">
        <v>3670000</v>
      </c>
      <c r="D651" s="8" t="str">
        <f>VLOOKUP(A651,Лист2!A:E,5,0)</f>
        <v>малые</v>
      </c>
      <c r="E651" s="10">
        <f>VLOOKUP(A651,Лист2!A:E,4,0)</f>
        <v>2.5</v>
      </c>
      <c r="F651" s="11">
        <f t="shared" si="30"/>
        <v>370000</v>
      </c>
      <c r="G651" s="11">
        <f t="shared" si="31"/>
        <v>1616000</v>
      </c>
      <c r="H651" s="11">
        <f t="shared" si="32"/>
        <v>148000</v>
      </c>
    </row>
    <row r="652" spans="1:8">
      <c r="A652" s="6" t="s">
        <v>18</v>
      </c>
      <c r="B652">
        <v>3959000</v>
      </c>
      <c r="C652">
        <v>2994000</v>
      </c>
      <c r="D652" s="8" t="str">
        <f>VLOOKUP(A652,Лист2!A:E,5,0)</f>
        <v>малые</v>
      </c>
      <c r="E652" s="10">
        <f>VLOOKUP(A652,Лист2!A:E,4,0)</f>
        <v>2.5</v>
      </c>
      <c r="F652" s="11">
        <f t="shared" si="30"/>
        <v>965000</v>
      </c>
      <c r="G652" s="11">
        <f t="shared" si="31"/>
        <v>1583600</v>
      </c>
      <c r="H652" s="11">
        <f t="shared" si="32"/>
        <v>386000</v>
      </c>
    </row>
    <row r="653" spans="1:8">
      <c r="A653" s="6" t="s">
        <v>18</v>
      </c>
      <c r="B653">
        <v>33000</v>
      </c>
      <c r="C653">
        <v>45000</v>
      </c>
      <c r="D653" s="8" t="str">
        <f>VLOOKUP(A653,Лист2!A:E,5,0)</f>
        <v>малые</v>
      </c>
      <c r="E653" s="10">
        <f>VLOOKUP(A653,Лист2!A:E,4,0)</f>
        <v>2.5</v>
      </c>
      <c r="F653" s="11">
        <f t="shared" si="30"/>
        <v>-12000</v>
      </c>
      <c r="G653" s="11">
        <f t="shared" si="31"/>
        <v>13200</v>
      </c>
      <c r="H653" s="11">
        <f t="shared" si="32"/>
        <v>-4800</v>
      </c>
    </row>
    <row r="654" spans="1:8">
      <c r="A654" s="6" t="s">
        <v>18</v>
      </c>
      <c r="B654">
        <v>2015000</v>
      </c>
      <c r="C654">
        <v>2002000</v>
      </c>
      <c r="D654" s="8" t="str">
        <f>VLOOKUP(A654,Лист2!A:E,5,0)</f>
        <v>малые</v>
      </c>
      <c r="E654" s="10">
        <f>VLOOKUP(A654,Лист2!A:E,4,0)</f>
        <v>2.5</v>
      </c>
      <c r="F654" s="11">
        <f t="shared" si="30"/>
        <v>13000</v>
      </c>
      <c r="G654" s="11">
        <f t="shared" si="31"/>
        <v>806000</v>
      </c>
      <c r="H654" s="11">
        <f t="shared" si="32"/>
        <v>5200</v>
      </c>
    </row>
    <row r="655" spans="1:8">
      <c r="A655" s="6" t="s">
        <v>22</v>
      </c>
      <c r="B655">
        <v>146677000</v>
      </c>
      <c r="C655">
        <v>152301000</v>
      </c>
      <c r="D655" s="8" t="str">
        <f>VLOOKUP(A655,Лист2!A:E,5,0)</f>
        <v>малые</v>
      </c>
      <c r="E655" s="10">
        <f>VLOOKUP(A655,Лист2!A:E,4,0)</f>
        <v>13</v>
      </c>
      <c r="F655" s="11">
        <f t="shared" si="30"/>
        <v>-5624000</v>
      </c>
      <c r="G655" s="11">
        <f t="shared" si="31"/>
        <v>11282846.153846154</v>
      </c>
      <c r="H655" s="11">
        <f t="shared" si="32"/>
        <v>-432615.38461538462</v>
      </c>
    </row>
    <row r="656" spans="1:8">
      <c r="A656" s="6" t="s">
        <v>22</v>
      </c>
      <c r="B656">
        <v>83455000</v>
      </c>
      <c r="C656">
        <v>28706000</v>
      </c>
      <c r="D656" s="8" t="str">
        <f>VLOOKUP(A656,Лист2!A:E,5,0)</f>
        <v>малые</v>
      </c>
      <c r="E656" s="10">
        <f>VLOOKUP(A656,Лист2!A:E,4,0)</f>
        <v>13</v>
      </c>
      <c r="F656" s="11">
        <f t="shared" si="30"/>
        <v>54749000</v>
      </c>
      <c r="G656" s="11">
        <f t="shared" si="31"/>
        <v>6419615.384615385</v>
      </c>
      <c r="H656" s="11">
        <f t="shared" si="32"/>
        <v>4211461.538461538</v>
      </c>
    </row>
    <row r="657" spans="1:8">
      <c r="A657" s="6" t="s">
        <v>18</v>
      </c>
      <c r="B657">
        <v>47338000</v>
      </c>
      <c r="C657">
        <v>40000000</v>
      </c>
      <c r="D657" s="8" t="str">
        <f>VLOOKUP(A657,Лист2!A:E,5,0)</f>
        <v>малые</v>
      </c>
      <c r="E657" s="10">
        <f>VLOOKUP(A657,Лист2!A:E,4,0)</f>
        <v>2.5</v>
      </c>
      <c r="F657" s="11">
        <f t="shared" si="30"/>
        <v>7338000</v>
      </c>
      <c r="G657" s="11">
        <f t="shared" si="31"/>
        <v>18935200</v>
      </c>
      <c r="H657" s="11">
        <f t="shared" si="32"/>
        <v>2935200</v>
      </c>
    </row>
    <row r="658" spans="1:8">
      <c r="A658" s="6" t="s">
        <v>18</v>
      </c>
      <c r="B658">
        <v>499000</v>
      </c>
      <c r="C658">
        <v>220000</v>
      </c>
      <c r="D658" s="8" t="str">
        <f>VLOOKUP(A658,Лист2!A:E,5,0)</f>
        <v>малые</v>
      </c>
      <c r="E658" s="10">
        <f>VLOOKUP(A658,Лист2!A:E,4,0)</f>
        <v>2.5</v>
      </c>
      <c r="F658" s="11">
        <f t="shared" si="30"/>
        <v>279000</v>
      </c>
      <c r="G658" s="11">
        <f t="shared" si="31"/>
        <v>199600</v>
      </c>
      <c r="H658" s="11">
        <f t="shared" si="32"/>
        <v>111600</v>
      </c>
    </row>
    <row r="659" spans="1:8">
      <c r="A659" s="6" t="s">
        <v>18</v>
      </c>
      <c r="B659">
        <v>3691000</v>
      </c>
      <c r="C659">
        <v>3979000</v>
      </c>
      <c r="D659" s="8" t="str">
        <f>VLOOKUP(A659,Лист2!A:E,5,0)</f>
        <v>малые</v>
      </c>
      <c r="E659" s="10">
        <f>VLOOKUP(A659,Лист2!A:E,4,0)</f>
        <v>2.5</v>
      </c>
      <c r="F659" s="11">
        <f t="shared" si="30"/>
        <v>-288000</v>
      </c>
      <c r="G659" s="11">
        <f t="shared" si="31"/>
        <v>1476400</v>
      </c>
      <c r="H659" s="11">
        <f t="shared" si="32"/>
        <v>-115200</v>
      </c>
    </row>
    <row r="660" spans="1:8">
      <c r="A660" s="6" t="s">
        <v>77</v>
      </c>
      <c r="B660">
        <v>19565000</v>
      </c>
      <c r="C660">
        <v>16964000</v>
      </c>
      <c r="D660" s="8" t="str">
        <f>VLOOKUP(A660,Лист2!A:E,5,0)</f>
        <v>малые</v>
      </c>
      <c r="E660" s="10">
        <f>VLOOKUP(A660,Лист2!A:E,4,0)</f>
        <v>8</v>
      </c>
      <c r="F660" s="11">
        <f t="shared" si="30"/>
        <v>2601000</v>
      </c>
      <c r="G660" s="11">
        <f t="shared" si="31"/>
        <v>2445625</v>
      </c>
      <c r="H660" s="11">
        <f t="shared" si="32"/>
        <v>325125</v>
      </c>
    </row>
    <row r="661" spans="1:8">
      <c r="A661" s="6" t="s">
        <v>18</v>
      </c>
      <c r="B661">
        <v>729000</v>
      </c>
      <c r="C661">
        <v>678000</v>
      </c>
      <c r="D661" s="8" t="str">
        <f>VLOOKUP(A661,Лист2!A:E,5,0)</f>
        <v>малые</v>
      </c>
      <c r="E661" s="10">
        <f>VLOOKUP(A661,Лист2!A:E,4,0)</f>
        <v>2.5</v>
      </c>
      <c r="F661" s="11">
        <f t="shared" si="30"/>
        <v>51000</v>
      </c>
      <c r="G661" s="11">
        <f t="shared" si="31"/>
        <v>291600</v>
      </c>
      <c r="H661" s="11">
        <f t="shared" si="32"/>
        <v>20400</v>
      </c>
    </row>
    <row r="662" spans="1:8">
      <c r="A662" s="6" t="s">
        <v>18</v>
      </c>
      <c r="B662">
        <v>1030000</v>
      </c>
      <c r="C662">
        <v>1027000</v>
      </c>
      <c r="D662" s="8" t="str">
        <f>VLOOKUP(A662,Лист2!A:E,5,0)</f>
        <v>малые</v>
      </c>
      <c r="E662" s="10">
        <f>VLOOKUP(A662,Лист2!A:E,4,0)</f>
        <v>2.5</v>
      </c>
      <c r="F662" s="11">
        <f t="shared" si="30"/>
        <v>3000</v>
      </c>
      <c r="G662" s="11">
        <f t="shared" si="31"/>
        <v>412000</v>
      </c>
      <c r="H662" s="11">
        <f t="shared" si="32"/>
        <v>1200</v>
      </c>
    </row>
    <row r="663" spans="1:8">
      <c r="A663" s="6" t="s">
        <v>18</v>
      </c>
      <c r="B663">
        <v>6309000</v>
      </c>
      <c r="C663">
        <v>5563000</v>
      </c>
      <c r="D663" s="8" t="str">
        <f>VLOOKUP(A663,Лист2!A:E,5,0)</f>
        <v>малые</v>
      </c>
      <c r="E663" s="10">
        <f>VLOOKUP(A663,Лист2!A:E,4,0)</f>
        <v>2.5</v>
      </c>
      <c r="F663" s="11">
        <f t="shared" si="30"/>
        <v>746000</v>
      </c>
      <c r="G663" s="11">
        <f t="shared" si="31"/>
        <v>2523600</v>
      </c>
      <c r="H663" s="11">
        <f t="shared" si="32"/>
        <v>298400</v>
      </c>
    </row>
    <row r="664" spans="1:8">
      <c r="A664" s="6" t="s">
        <v>18</v>
      </c>
      <c r="B664">
        <v>5293000</v>
      </c>
      <c r="C664">
        <v>3967000</v>
      </c>
      <c r="D664" s="8" t="str">
        <f>VLOOKUP(A664,Лист2!A:E,5,0)</f>
        <v>малые</v>
      </c>
      <c r="E664" s="10">
        <f>VLOOKUP(A664,Лист2!A:E,4,0)</f>
        <v>2.5</v>
      </c>
      <c r="F664" s="11">
        <f t="shared" si="30"/>
        <v>1326000</v>
      </c>
      <c r="G664" s="11">
        <f t="shared" si="31"/>
        <v>2117200</v>
      </c>
      <c r="H664" s="11">
        <f t="shared" si="32"/>
        <v>530400</v>
      </c>
    </row>
    <row r="665" spans="1:8">
      <c r="A665" s="6" t="s">
        <v>18</v>
      </c>
      <c r="B665">
        <v>48000</v>
      </c>
      <c r="C665">
        <v>48000</v>
      </c>
      <c r="D665" s="8" t="str">
        <f>VLOOKUP(A665,Лист2!A:E,5,0)</f>
        <v>малые</v>
      </c>
      <c r="E665" s="10">
        <f>VLOOKUP(A665,Лист2!A:E,4,0)</f>
        <v>2.5</v>
      </c>
      <c r="F665" s="11">
        <f t="shared" si="30"/>
        <v>0</v>
      </c>
      <c r="G665" s="11">
        <f t="shared" si="31"/>
        <v>19200</v>
      </c>
      <c r="H665" s="11">
        <f t="shared" si="32"/>
        <v>0</v>
      </c>
    </row>
    <row r="666" spans="1:8">
      <c r="A666" s="6" t="s">
        <v>18</v>
      </c>
      <c r="B666">
        <v>2911000</v>
      </c>
      <c r="C666">
        <v>4321000</v>
      </c>
      <c r="D666" s="8" t="str">
        <f>VLOOKUP(A666,Лист2!A:E,5,0)</f>
        <v>малые</v>
      </c>
      <c r="E666" s="10">
        <f>VLOOKUP(A666,Лист2!A:E,4,0)</f>
        <v>2.5</v>
      </c>
      <c r="F666" s="11">
        <f t="shared" si="30"/>
        <v>-1410000</v>
      </c>
      <c r="G666" s="11">
        <f t="shared" si="31"/>
        <v>1164400</v>
      </c>
      <c r="H666" s="11">
        <f t="shared" si="32"/>
        <v>-564000</v>
      </c>
    </row>
    <row r="667" spans="1:8">
      <c r="A667" s="6" t="s">
        <v>18</v>
      </c>
      <c r="B667">
        <v>7962000</v>
      </c>
      <c r="C667">
        <v>7962000</v>
      </c>
      <c r="D667" s="8" t="str">
        <f>VLOOKUP(A667,Лист2!A:E,5,0)</f>
        <v>малые</v>
      </c>
      <c r="E667" s="10">
        <f>VLOOKUP(A667,Лист2!A:E,4,0)</f>
        <v>2.5</v>
      </c>
      <c r="F667" s="11">
        <f t="shared" si="30"/>
        <v>0</v>
      </c>
      <c r="G667" s="11">
        <f t="shared" si="31"/>
        <v>3184800</v>
      </c>
      <c r="H667" s="11">
        <f t="shared" si="32"/>
        <v>0</v>
      </c>
    </row>
    <row r="668" spans="1:8">
      <c r="A668" s="6" t="s">
        <v>18</v>
      </c>
      <c r="B668">
        <v>19168000</v>
      </c>
      <c r="C668">
        <v>17272000</v>
      </c>
      <c r="D668" s="8" t="str">
        <f>VLOOKUP(A668,Лист2!A:E,5,0)</f>
        <v>малые</v>
      </c>
      <c r="E668" s="10">
        <f>VLOOKUP(A668,Лист2!A:E,4,0)</f>
        <v>2.5</v>
      </c>
      <c r="F668" s="11">
        <f t="shared" si="30"/>
        <v>1896000</v>
      </c>
      <c r="G668" s="11">
        <f t="shared" si="31"/>
        <v>7667200</v>
      </c>
      <c r="H668" s="11">
        <f t="shared" si="32"/>
        <v>758400</v>
      </c>
    </row>
    <row r="669" spans="1:8">
      <c r="A669" s="6" t="s">
        <v>18</v>
      </c>
      <c r="B669">
        <v>82000</v>
      </c>
      <c r="C669">
        <v>50000</v>
      </c>
      <c r="D669" s="8" t="str">
        <f>VLOOKUP(A669,Лист2!A:E,5,0)</f>
        <v>малые</v>
      </c>
      <c r="E669" s="10">
        <f>VLOOKUP(A669,Лист2!A:E,4,0)</f>
        <v>2.5</v>
      </c>
      <c r="F669" s="11">
        <f t="shared" si="30"/>
        <v>32000</v>
      </c>
      <c r="G669" s="11">
        <f t="shared" si="31"/>
        <v>32800</v>
      </c>
      <c r="H669" s="11">
        <f t="shared" si="32"/>
        <v>12800</v>
      </c>
    </row>
    <row r="670" spans="1:8">
      <c r="A670" s="6" t="s">
        <v>18</v>
      </c>
      <c r="B670">
        <v>2250000</v>
      </c>
      <c r="C670">
        <v>2336000</v>
      </c>
      <c r="D670" s="8" t="str">
        <f>VLOOKUP(A670,Лист2!A:E,5,0)</f>
        <v>малые</v>
      </c>
      <c r="E670" s="10">
        <f>VLOOKUP(A670,Лист2!A:E,4,0)</f>
        <v>2.5</v>
      </c>
      <c r="F670" s="11">
        <f t="shared" si="30"/>
        <v>-86000</v>
      </c>
      <c r="G670" s="11">
        <f t="shared" si="31"/>
        <v>900000</v>
      </c>
      <c r="H670" s="11">
        <f t="shared" si="32"/>
        <v>-34400</v>
      </c>
    </row>
    <row r="671" spans="1:8">
      <c r="A671" s="6" t="s">
        <v>18</v>
      </c>
      <c r="B671">
        <v>356000</v>
      </c>
      <c r="C671">
        <v>349000</v>
      </c>
      <c r="D671" s="8" t="str">
        <f>VLOOKUP(A671,Лист2!A:E,5,0)</f>
        <v>малые</v>
      </c>
      <c r="E671" s="10">
        <f>VLOOKUP(A671,Лист2!A:E,4,0)</f>
        <v>2.5</v>
      </c>
      <c r="F671" s="11">
        <f t="shared" si="30"/>
        <v>7000</v>
      </c>
      <c r="G671" s="11">
        <f t="shared" si="31"/>
        <v>142400</v>
      </c>
      <c r="H671" s="11">
        <f t="shared" si="32"/>
        <v>2800</v>
      </c>
    </row>
    <row r="672" spans="1:8">
      <c r="A672" s="6" t="s">
        <v>18</v>
      </c>
      <c r="B672">
        <v>2384000</v>
      </c>
      <c r="C672">
        <v>1808000</v>
      </c>
      <c r="D672" s="8" t="str">
        <f>VLOOKUP(A672,Лист2!A:E,5,0)</f>
        <v>малые</v>
      </c>
      <c r="E672" s="10">
        <f>VLOOKUP(A672,Лист2!A:E,4,0)</f>
        <v>2.5</v>
      </c>
      <c r="F672" s="11">
        <f t="shared" si="30"/>
        <v>576000</v>
      </c>
      <c r="G672" s="11">
        <f t="shared" si="31"/>
        <v>953600</v>
      </c>
      <c r="H672" s="11">
        <f t="shared" si="32"/>
        <v>230400</v>
      </c>
    </row>
    <row r="673" spans="1:8">
      <c r="A673" s="6" t="s">
        <v>18</v>
      </c>
      <c r="B673">
        <v>1167000</v>
      </c>
      <c r="C673">
        <v>1095000</v>
      </c>
      <c r="D673" s="8" t="str">
        <f>VLOOKUP(A673,Лист2!A:E,5,0)</f>
        <v>малые</v>
      </c>
      <c r="E673" s="10">
        <f>VLOOKUP(A673,Лист2!A:E,4,0)</f>
        <v>2.5</v>
      </c>
      <c r="F673" s="11">
        <f t="shared" si="30"/>
        <v>72000</v>
      </c>
      <c r="G673" s="11">
        <f t="shared" si="31"/>
        <v>466800</v>
      </c>
      <c r="H673" s="11">
        <f t="shared" si="32"/>
        <v>28800</v>
      </c>
    </row>
    <row r="674" spans="1:8">
      <c r="A674" s="6" t="s">
        <v>77</v>
      </c>
      <c r="B674">
        <v>1636000</v>
      </c>
      <c r="C674">
        <v>1549000</v>
      </c>
      <c r="D674" s="8" t="str">
        <f>VLOOKUP(A674,Лист2!A:E,5,0)</f>
        <v>малые</v>
      </c>
      <c r="E674" s="10">
        <f>VLOOKUP(A674,Лист2!A:E,4,0)</f>
        <v>8</v>
      </c>
      <c r="F674" s="11">
        <f t="shared" si="30"/>
        <v>87000</v>
      </c>
      <c r="G674" s="11">
        <f t="shared" si="31"/>
        <v>204500</v>
      </c>
      <c r="H674" s="11">
        <f t="shared" si="32"/>
        <v>10875</v>
      </c>
    </row>
    <row r="675" spans="1:8">
      <c r="A675" s="6" t="s">
        <v>18</v>
      </c>
      <c r="B675">
        <v>615000</v>
      </c>
      <c r="C675">
        <v>563000</v>
      </c>
      <c r="D675" s="8" t="str">
        <f>VLOOKUP(A675,Лист2!A:E,5,0)</f>
        <v>малые</v>
      </c>
      <c r="E675" s="10">
        <f>VLOOKUP(A675,Лист2!A:E,4,0)</f>
        <v>2.5</v>
      </c>
      <c r="F675" s="11">
        <f t="shared" si="30"/>
        <v>52000</v>
      </c>
      <c r="G675" s="11">
        <f t="shared" si="31"/>
        <v>246000</v>
      </c>
      <c r="H675" s="11">
        <f t="shared" si="32"/>
        <v>20800</v>
      </c>
    </row>
    <row r="676" spans="1:8">
      <c r="A676" s="6" t="s">
        <v>18</v>
      </c>
      <c r="B676">
        <v>1871000</v>
      </c>
      <c r="C676">
        <v>1840000</v>
      </c>
      <c r="D676" s="8" t="str">
        <f>VLOOKUP(A676,Лист2!A:E,5,0)</f>
        <v>малые</v>
      </c>
      <c r="E676" s="10">
        <f>VLOOKUP(A676,Лист2!A:E,4,0)</f>
        <v>2.5</v>
      </c>
      <c r="F676" s="11">
        <f t="shared" si="30"/>
        <v>31000</v>
      </c>
      <c r="G676" s="11">
        <f t="shared" si="31"/>
        <v>748400</v>
      </c>
      <c r="H676" s="11">
        <f t="shared" si="32"/>
        <v>12400</v>
      </c>
    </row>
    <row r="677" spans="1:8">
      <c r="A677" s="6" t="s">
        <v>18</v>
      </c>
      <c r="B677">
        <v>627000</v>
      </c>
      <c r="C677">
        <v>647000</v>
      </c>
      <c r="D677" s="8" t="str">
        <f>VLOOKUP(A677,Лист2!A:E,5,0)</f>
        <v>малые</v>
      </c>
      <c r="E677" s="10">
        <f>VLOOKUP(A677,Лист2!A:E,4,0)</f>
        <v>2.5</v>
      </c>
      <c r="F677" s="11">
        <f t="shared" si="30"/>
        <v>-20000</v>
      </c>
      <c r="G677" s="11">
        <f t="shared" si="31"/>
        <v>250800</v>
      </c>
      <c r="H677" s="11">
        <f t="shared" si="32"/>
        <v>-8000</v>
      </c>
    </row>
    <row r="678" spans="1:8">
      <c r="A678" s="6" t="s">
        <v>18</v>
      </c>
      <c r="B678">
        <v>1369000</v>
      </c>
      <c r="C678">
        <v>1571000</v>
      </c>
      <c r="D678" s="8" t="str">
        <f>VLOOKUP(A678,Лист2!A:E,5,0)</f>
        <v>малые</v>
      </c>
      <c r="E678" s="10">
        <f>VLOOKUP(A678,Лист2!A:E,4,0)</f>
        <v>2.5</v>
      </c>
      <c r="F678" s="11">
        <f t="shared" si="30"/>
        <v>-202000</v>
      </c>
      <c r="G678" s="11">
        <f t="shared" si="31"/>
        <v>547600</v>
      </c>
      <c r="H678" s="11">
        <f t="shared" si="32"/>
        <v>-80800</v>
      </c>
    </row>
    <row r="679" spans="1:8">
      <c r="A679" s="6" t="s">
        <v>18</v>
      </c>
      <c r="B679">
        <v>1410000</v>
      </c>
      <c r="C679">
        <v>1396000</v>
      </c>
      <c r="D679" s="8" t="str">
        <f>VLOOKUP(A679,Лист2!A:E,5,0)</f>
        <v>малые</v>
      </c>
      <c r="E679" s="10">
        <f>VLOOKUP(A679,Лист2!A:E,4,0)</f>
        <v>2.5</v>
      </c>
      <c r="F679" s="11">
        <f t="shared" ref="F679:F740" si="33">B679-C679</f>
        <v>14000</v>
      </c>
      <c r="G679" s="11">
        <f t="shared" ref="G679:G740" si="34">B679/E679</f>
        <v>564000</v>
      </c>
      <c r="H679" s="11">
        <f t="shared" ref="H679:H740" si="35">F679/E679</f>
        <v>5600</v>
      </c>
    </row>
    <row r="680" spans="1:8">
      <c r="A680" s="6" t="s">
        <v>18</v>
      </c>
      <c r="B680">
        <v>3434000</v>
      </c>
      <c r="C680">
        <v>3432000</v>
      </c>
      <c r="D680" s="8" t="str">
        <f>VLOOKUP(A680,Лист2!A:E,5,0)</f>
        <v>малые</v>
      </c>
      <c r="E680" s="10">
        <f>VLOOKUP(A680,Лист2!A:E,4,0)</f>
        <v>2.5</v>
      </c>
      <c r="F680" s="11">
        <f t="shared" si="33"/>
        <v>2000</v>
      </c>
      <c r="G680" s="11">
        <f t="shared" si="34"/>
        <v>1373600</v>
      </c>
      <c r="H680" s="11">
        <f t="shared" si="35"/>
        <v>800</v>
      </c>
    </row>
    <row r="681" spans="1:8">
      <c r="A681" s="6" t="s">
        <v>18</v>
      </c>
      <c r="B681">
        <v>5256000</v>
      </c>
      <c r="C681">
        <v>4883000</v>
      </c>
      <c r="D681" s="8" t="str">
        <f>VLOOKUP(A681,Лист2!A:E,5,0)</f>
        <v>малые</v>
      </c>
      <c r="E681" s="10">
        <f>VLOOKUP(A681,Лист2!A:E,4,0)</f>
        <v>2.5</v>
      </c>
      <c r="F681" s="11">
        <f t="shared" si="33"/>
        <v>373000</v>
      </c>
      <c r="G681" s="11">
        <f t="shared" si="34"/>
        <v>2102400</v>
      </c>
      <c r="H681" s="11">
        <f t="shared" si="35"/>
        <v>149200</v>
      </c>
    </row>
    <row r="682" spans="1:8">
      <c r="A682" s="6" t="s">
        <v>18</v>
      </c>
      <c r="B682">
        <v>206000</v>
      </c>
      <c r="C682">
        <v>206000</v>
      </c>
      <c r="D682" s="8" t="str">
        <f>VLOOKUP(A682,Лист2!A:E,5,0)</f>
        <v>малые</v>
      </c>
      <c r="E682" s="10">
        <f>VLOOKUP(A682,Лист2!A:E,4,0)</f>
        <v>2.5</v>
      </c>
      <c r="F682" s="11">
        <f t="shared" si="33"/>
        <v>0</v>
      </c>
      <c r="G682" s="11">
        <f t="shared" si="34"/>
        <v>82400</v>
      </c>
      <c r="H682" s="11">
        <f t="shared" si="35"/>
        <v>0</v>
      </c>
    </row>
    <row r="683" spans="1:8">
      <c r="A683" s="6" t="s">
        <v>18</v>
      </c>
      <c r="B683">
        <v>195000</v>
      </c>
      <c r="C683">
        <v>489000</v>
      </c>
      <c r="D683" s="8" t="str">
        <f>VLOOKUP(A683,Лист2!A:E,5,0)</f>
        <v>малые</v>
      </c>
      <c r="E683" s="10">
        <f>VLOOKUP(A683,Лист2!A:E,4,0)</f>
        <v>2.5</v>
      </c>
      <c r="F683" s="11">
        <f t="shared" si="33"/>
        <v>-294000</v>
      </c>
      <c r="G683" s="11">
        <f t="shared" si="34"/>
        <v>78000</v>
      </c>
      <c r="H683" s="11">
        <f t="shared" si="35"/>
        <v>-117600</v>
      </c>
    </row>
    <row r="684" spans="1:8">
      <c r="A684" s="6" t="s">
        <v>77</v>
      </c>
      <c r="B684">
        <v>11807000</v>
      </c>
      <c r="C684">
        <v>13545000</v>
      </c>
      <c r="D684" s="8" t="str">
        <f>VLOOKUP(A684,Лист2!A:E,5,0)</f>
        <v>малые</v>
      </c>
      <c r="E684" s="10">
        <f>VLOOKUP(A684,Лист2!A:E,4,0)</f>
        <v>8</v>
      </c>
      <c r="F684" s="11">
        <f t="shared" si="33"/>
        <v>-1738000</v>
      </c>
      <c r="G684" s="11">
        <f t="shared" si="34"/>
        <v>1475875</v>
      </c>
      <c r="H684" s="11">
        <f t="shared" si="35"/>
        <v>-217250</v>
      </c>
    </row>
    <row r="685" spans="1:8">
      <c r="A685" s="6" t="s">
        <v>18</v>
      </c>
      <c r="B685">
        <v>2020000</v>
      </c>
      <c r="C685">
        <v>2027000</v>
      </c>
      <c r="D685" s="8" t="str">
        <f>VLOOKUP(A685,Лист2!A:E,5,0)</f>
        <v>малые</v>
      </c>
      <c r="E685" s="10">
        <f>VLOOKUP(A685,Лист2!A:E,4,0)</f>
        <v>2.5</v>
      </c>
      <c r="F685" s="11">
        <f t="shared" si="33"/>
        <v>-7000</v>
      </c>
      <c r="G685" s="11">
        <f t="shared" si="34"/>
        <v>808000</v>
      </c>
      <c r="H685" s="11">
        <f t="shared" si="35"/>
        <v>-2800</v>
      </c>
    </row>
    <row r="686" spans="1:8">
      <c r="A686" s="6" t="s">
        <v>18</v>
      </c>
      <c r="B686">
        <v>2080000</v>
      </c>
      <c r="C686">
        <v>2088000</v>
      </c>
      <c r="D686" s="8" t="str">
        <f>VLOOKUP(A686,Лист2!A:E,5,0)</f>
        <v>малые</v>
      </c>
      <c r="E686" s="10">
        <f>VLOOKUP(A686,Лист2!A:E,4,0)</f>
        <v>2.5</v>
      </c>
      <c r="F686" s="11">
        <f t="shared" si="33"/>
        <v>-8000</v>
      </c>
      <c r="G686" s="11">
        <f t="shared" si="34"/>
        <v>832000</v>
      </c>
      <c r="H686" s="11">
        <f t="shared" si="35"/>
        <v>-3200</v>
      </c>
    </row>
    <row r="687" spans="1:8">
      <c r="A687" s="6" t="s">
        <v>18</v>
      </c>
      <c r="B687">
        <v>10312000</v>
      </c>
      <c r="C687">
        <v>10572000</v>
      </c>
      <c r="D687" s="8" t="str">
        <f>VLOOKUP(A687,Лист2!A:E,5,0)</f>
        <v>малые</v>
      </c>
      <c r="E687" s="10">
        <f>VLOOKUP(A687,Лист2!A:E,4,0)</f>
        <v>2.5</v>
      </c>
      <c r="F687" s="11">
        <f t="shared" si="33"/>
        <v>-260000</v>
      </c>
      <c r="G687" s="11">
        <f t="shared" si="34"/>
        <v>4124800</v>
      </c>
      <c r="H687" s="11">
        <f t="shared" si="35"/>
        <v>-104000</v>
      </c>
    </row>
    <row r="688" spans="1:8">
      <c r="A688" s="6" t="s">
        <v>18</v>
      </c>
      <c r="B688">
        <v>125000</v>
      </c>
      <c r="C688">
        <v>123000</v>
      </c>
      <c r="D688" s="8" t="str">
        <f>VLOOKUP(A688,Лист2!A:E,5,0)</f>
        <v>малые</v>
      </c>
      <c r="E688" s="10">
        <f>VLOOKUP(A688,Лист2!A:E,4,0)</f>
        <v>2.5</v>
      </c>
      <c r="F688" s="11">
        <f t="shared" si="33"/>
        <v>2000</v>
      </c>
      <c r="G688" s="11">
        <f t="shared" si="34"/>
        <v>50000</v>
      </c>
      <c r="H688" s="11">
        <f t="shared" si="35"/>
        <v>800</v>
      </c>
    </row>
    <row r="689" spans="1:8">
      <c r="A689" s="6" t="s">
        <v>18</v>
      </c>
      <c r="B689">
        <v>12367000</v>
      </c>
      <c r="C689">
        <v>19194000</v>
      </c>
      <c r="D689" s="8" t="str">
        <f>VLOOKUP(A689,Лист2!A:E,5,0)</f>
        <v>малые</v>
      </c>
      <c r="E689" s="10">
        <f>VLOOKUP(A689,Лист2!A:E,4,0)</f>
        <v>2.5</v>
      </c>
      <c r="F689" s="11">
        <f t="shared" si="33"/>
        <v>-6827000</v>
      </c>
      <c r="G689" s="11">
        <f t="shared" si="34"/>
        <v>4946800</v>
      </c>
      <c r="H689" s="11">
        <f t="shared" si="35"/>
        <v>-2730800</v>
      </c>
    </row>
    <row r="690" spans="1:8">
      <c r="A690" s="6" t="s">
        <v>18</v>
      </c>
      <c r="B690">
        <v>1736000</v>
      </c>
      <c r="C690">
        <v>1047000</v>
      </c>
      <c r="D690" s="8" t="str">
        <f>VLOOKUP(A690,Лист2!A:E,5,0)</f>
        <v>малые</v>
      </c>
      <c r="E690" s="10">
        <f>VLOOKUP(A690,Лист2!A:E,4,0)</f>
        <v>2.5</v>
      </c>
      <c r="F690" s="11">
        <f t="shared" si="33"/>
        <v>689000</v>
      </c>
      <c r="G690" s="11">
        <f t="shared" si="34"/>
        <v>694400</v>
      </c>
      <c r="H690" s="11">
        <f t="shared" si="35"/>
        <v>275600</v>
      </c>
    </row>
    <row r="691" spans="1:8">
      <c r="A691" s="6" t="s">
        <v>18</v>
      </c>
      <c r="B691">
        <v>1013000</v>
      </c>
      <c r="C691">
        <v>1550000</v>
      </c>
      <c r="D691" s="8" t="str">
        <f>VLOOKUP(A691,Лист2!A:E,5,0)</f>
        <v>малые</v>
      </c>
      <c r="E691" s="10">
        <f>VLOOKUP(A691,Лист2!A:E,4,0)</f>
        <v>2.5</v>
      </c>
      <c r="F691" s="11">
        <f t="shared" si="33"/>
        <v>-537000</v>
      </c>
      <c r="G691" s="11">
        <f t="shared" si="34"/>
        <v>405200</v>
      </c>
      <c r="H691" s="11">
        <f t="shared" si="35"/>
        <v>-214800</v>
      </c>
    </row>
    <row r="692" spans="1:8">
      <c r="A692" s="6" t="s">
        <v>18</v>
      </c>
      <c r="B692">
        <v>1162000</v>
      </c>
      <c r="C692">
        <v>1210000</v>
      </c>
      <c r="D692" s="8" t="str">
        <f>VLOOKUP(A692,Лист2!A:E,5,0)</f>
        <v>малые</v>
      </c>
      <c r="E692" s="10">
        <f>VLOOKUP(A692,Лист2!A:E,4,0)</f>
        <v>2.5</v>
      </c>
      <c r="F692" s="11">
        <f t="shared" si="33"/>
        <v>-48000</v>
      </c>
      <c r="G692" s="11">
        <f t="shared" si="34"/>
        <v>464800</v>
      </c>
      <c r="H692" s="11">
        <f t="shared" si="35"/>
        <v>-19200</v>
      </c>
    </row>
    <row r="693" spans="1:8">
      <c r="A693" s="6" t="s">
        <v>18</v>
      </c>
      <c r="B693">
        <v>35000</v>
      </c>
      <c r="C693">
        <v>36000</v>
      </c>
      <c r="D693" s="8" t="str">
        <f>VLOOKUP(A693,Лист2!A:E,5,0)</f>
        <v>малые</v>
      </c>
      <c r="E693" s="10">
        <f>VLOOKUP(A693,Лист2!A:E,4,0)</f>
        <v>2.5</v>
      </c>
      <c r="F693" s="11">
        <f t="shared" si="33"/>
        <v>-1000</v>
      </c>
      <c r="G693" s="11">
        <f t="shared" si="34"/>
        <v>14000</v>
      </c>
      <c r="H693" s="11">
        <f t="shared" si="35"/>
        <v>-400</v>
      </c>
    </row>
    <row r="694" spans="1:8">
      <c r="A694" s="6" t="s">
        <v>18</v>
      </c>
      <c r="B694">
        <v>31000</v>
      </c>
      <c r="C694">
        <v>22000</v>
      </c>
      <c r="D694" s="8" t="str">
        <f>VLOOKUP(A694,Лист2!A:E,5,0)</f>
        <v>малые</v>
      </c>
      <c r="E694" s="10">
        <f>VLOOKUP(A694,Лист2!A:E,4,0)</f>
        <v>2.5</v>
      </c>
      <c r="F694" s="11">
        <f t="shared" si="33"/>
        <v>9000</v>
      </c>
      <c r="G694" s="11">
        <f t="shared" si="34"/>
        <v>12400</v>
      </c>
      <c r="H694" s="11">
        <f t="shared" si="35"/>
        <v>3600</v>
      </c>
    </row>
    <row r="695" spans="1:8">
      <c r="A695" s="6" t="s">
        <v>18</v>
      </c>
      <c r="B695">
        <v>19479000</v>
      </c>
      <c r="C695">
        <v>18106000</v>
      </c>
      <c r="D695" s="8" t="str">
        <f>VLOOKUP(A695,Лист2!A:E,5,0)</f>
        <v>малые</v>
      </c>
      <c r="E695" s="10">
        <f>VLOOKUP(A695,Лист2!A:E,4,0)</f>
        <v>2.5</v>
      </c>
      <c r="F695" s="11">
        <f t="shared" si="33"/>
        <v>1373000</v>
      </c>
      <c r="G695" s="11">
        <f t="shared" si="34"/>
        <v>7791600</v>
      </c>
      <c r="H695" s="11">
        <f t="shared" si="35"/>
        <v>549200</v>
      </c>
    </row>
    <row r="696" spans="1:8">
      <c r="A696" s="6" t="s">
        <v>22</v>
      </c>
      <c r="B696">
        <v>1346000</v>
      </c>
      <c r="C696">
        <v>1677000</v>
      </c>
      <c r="D696" s="8" t="str">
        <f>VLOOKUP(A696,Лист2!A:E,5,0)</f>
        <v>малые</v>
      </c>
      <c r="E696" s="10">
        <f>VLOOKUP(A696,Лист2!A:E,4,0)</f>
        <v>13</v>
      </c>
      <c r="F696" s="11">
        <f t="shared" si="33"/>
        <v>-331000</v>
      </c>
      <c r="G696" s="11">
        <f t="shared" si="34"/>
        <v>103538.46153846153</v>
      </c>
      <c r="H696" s="11">
        <f t="shared" si="35"/>
        <v>-25461.538461538461</v>
      </c>
    </row>
    <row r="697" spans="1:8">
      <c r="A697" s="6" t="s">
        <v>18</v>
      </c>
      <c r="B697">
        <v>540000</v>
      </c>
      <c r="C697">
        <v>540000</v>
      </c>
      <c r="D697" s="8" t="str">
        <f>VLOOKUP(A697,Лист2!A:E,5,0)</f>
        <v>малые</v>
      </c>
      <c r="E697" s="10">
        <f>VLOOKUP(A697,Лист2!A:E,4,0)</f>
        <v>2.5</v>
      </c>
      <c r="F697" s="11">
        <f t="shared" si="33"/>
        <v>0</v>
      </c>
      <c r="G697" s="11">
        <f t="shared" si="34"/>
        <v>216000</v>
      </c>
      <c r="H697" s="11">
        <f t="shared" si="35"/>
        <v>0</v>
      </c>
    </row>
    <row r="698" spans="1:8">
      <c r="A698" s="6" t="s">
        <v>18</v>
      </c>
      <c r="B698">
        <v>500000</v>
      </c>
      <c r="C698">
        <v>884000</v>
      </c>
      <c r="D698" s="8" t="str">
        <f>VLOOKUP(A698,Лист2!A:E,5,0)</f>
        <v>малые</v>
      </c>
      <c r="E698" s="10">
        <f>VLOOKUP(A698,Лист2!A:E,4,0)</f>
        <v>2.5</v>
      </c>
      <c r="F698" s="11">
        <f t="shared" si="33"/>
        <v>-384000</v>
      </c>
      <c r="G698" s="11">
        <f t="shared" si="34"/>
        <v>200000</v>
      </c>
      <c r="H698" s="11">
        <f t="shared" si="35"/>
        <v>-153600</v>
      </c>
    </row>
    <row r="699" spans="1:8">
      <c r="A699" s="6" t="s">
        <v>18</v>
      </c>
      <c r="B699">
        <v>26508000</v>
      </c>
      <c r="C699">
        <v>26577000</v>
      </c>
      <c r="D699" s="8" t="str">
        <f>VLOOKUP(A699,Лист2!A:E,5,0)</f>
        <v>малые</v>
      </c>
      <c r="E699" s="10">
        <f>VLOOKUP(A699,Лист2!A:E,4,0)</f>
        <v>2.5</v>
      </c>
      <c r="F699" s="11">
        <f t="shared" si="33"/>
        <v>-69000</v>
      </c>
      <c r="G699" s="11">
        <f t="shared" si="34"/>
        <v>10603200</v>
      </c>
      <c r="H699" s="11">
        <f t="shared" si="35"/>
        <v>-27600</v>
      </c>
    </row>
    <row r="700" spans="1:8">
      <c r="A700" s="6" t="s">
        <v>18</v>
      </c>
      <c r="B700">
        <v>1104000</v>
      </c>
      <c r="C700">
        <v>1097000</v>
      </c>
      <c r="D700" s="8" t="str">
        <f>VLOOKUP(A700,Лист2!A:E,5,0)</f>
        <v>малые</v>
      </c>
      <c r="E700" s="10">
        <f>VLOOKUP(A700,Лист2!A:E,4,0)</f>
        <v>2.5</v>
      </c>
      <c r="F700" s="11">
        <f t="shared" si="33"/>
        <v>7000</v>
      </c>
      <c r="G700" s="11">
        <f t="shared" si="34"/>
        <v>441600</v>
      </c>
      <c r="H700" s="11">
        <f t="shared" si="35"/>
        <v>2800</v>
      </c>
    </row>
    <row r="701" spans="1:8">
      <c r="A701" s="6" t="s">
        <v>77</v>
      </c>
      <c r="B701">
        <v>22727000</v>
      </c>
      <c r="C701">
        <v>25299000</v>
      </c>
      <c r="D701" s="8" t="str">
        <f>VLOOKUP(A701,Лист2!A:E,5,0)</f>
        <v>малые</v>
      </c>
      <c r="E701" s="10">
        <f>VLOOKUP(A701,Лист2!A:E,4,0)</f>
        <v>8</v>
      </c>
      <c r="F701" s="11">
        <f t="shared" si="33"/>
        <v>-2572000</v>
      </c>
      <c r="G701" s="11">
        <f t="shared" si="34"/>
        <v>2840875</v>
      </c>
      <c r="H701" s="11">
        <f t="shared" si="35"/>
        <v>-321500</v>
      </c>
    </row>
    <row r="702" spans="1:8">
      <c r="A702" s="6" t="s">
        <v>18</v>
      </c>
      <c r="B702">
        <v>3533000</v>
      </c>
      <c r="C702">
        <v>3559000</v>
      </c>
      <c r="D702" s="8" t="str">
        <f>VLOOKUP(A702,Лист2!A:E,5,0)</f>
        <v>малые</v>
      </c>
      <c r="E702" s="10">
        <f>VLOOKUP(A702,Лист2!A:E,4,0)</f>
        <v>2.5</v>
      </c>
      <c r="F702" s="11">
        <f t="shared" si="33"/>
        <v>-26000</v>
      </c>
      <c r="G702" s="11">
        <f t="shared" si="34"/>
        <v>1413200</v>
      </c>
      <c r="H702" s="11">
        <f t="shared" si="35"/>
        <v>-10400</v>
      </c>
    </row>
    <row r="703" spans="1:8">
      <c r="A703" s="6" t="s">
        <v>18</v>
      </c>
      <c r="B703">
        <v>1542000</v>
      </c>
      <c r="C703">
        <v>1355000</v>
      </c>
      <c r="D703" s="8" t="str">
        <f>VLOOKUP(A703,Лист2!A:E,5,0)</f>
        <v>малые</v>
      </c>
      <c r="E703" s="10">
        <f>VLOOKUP(A703,Лист2!A:E,4,0)</f>
        <v>2.5</v>
      </c>
      <c r="F703" s="11">
        <f t="shared" si="33"/>
        <v>187000</v>
      </c>
      <c r="G703" s="11">
        <f t="shared" si="34"/>
        <v>616800</v>
      </c>
      <c r="H703" s="11">
        <f t="shared" si="35"/>
        <v>74800</v>
      </c>
    </row>
    <row r="704" spans="1:8">
      <c r="A704" s="6" t="s">
        <v>18</v>
      </c>
      <c r="B704">
        <v>621000</v>
      </c>
      <c r="C704">
        <v>762000</v>
      </c>
      <c r="D704" s="8" t="str">
        <f>VLOOKUP(A704,Лист2!A:E,5,0)</f>
        <v>малые</v>
      </c>
      <c r="E704" s="10">
        <f>VLOOKUP(A704,Лист2!A:E,4,0)</f>
        <v>2.5</v>
      </c>
      <c r="F704" s="11">
        <f t="shared" si="33"/>
        <v>-141000</v>
      </c>
      <c r="G704" s="11">
        <f t="shared" si="34"/>
        <v>248400</v>
      </c>
      <c r="H704" s="11">
        <f t="shared" si="35"/>
        <v>-56400</v>
      </c>
    </row>
    <row r="705" spans="1:8">
      <c r="A705" s="6" t="s">
        <v>18</v>
      </c>
      <c r="B705">
        <v>296000</v>
      </c>
      <c r="C705">
        <v>296000</v>
      </c>
      <c r="D705" s="8" t="str">
        <f>VLOOKUP(A705,Лист2!A:E,5,0)</f>
        <v>малые</v>
      </c>
      <c r="E705" s="10">
        <f>VLOOKUP(A705,Лист2!A:E,4,0)</f>
        <v>2.5</v>
      </c>
      <c r="F705" s="11">
        <f t="shared" si="33"/>
        <v>0</v>
      </c>
      <c r="G705" s="11">
        <f t="shared" si="34"/>
        <v>118400</v>
      </c>
      <c r="H705" s="11">
        <f t="shared" si="35"/>
        <v>0</v>
      </c>
    </row>
    <row r="706" spans="1:8">
      <c r="A706" s="6" t="s">
        <v>18</v>
      </c>
      <c r="B706">
        <v>3747000</v>
      </c>
      <c r="C706">
        <v>3287000</v>
      </c>
      <c r="D706" s="8" t="str">
        <f>VLOOKUP(A706,Лист2!A:E,5,0)</f>
        <v>малые</v>
      </c>
      <c r="E706" s="10">
        <f>VLOOKUP(A706,Лист2!A:E,4,0)</f>
        <v>2.5</v>
      </c>
      <c r="F706" s="11">
        <f t="shared" si="33"/>
        <v>460000</v>
      </c>
      <c r="G706" s="11">
        <f t="shared" si="34"/>
        <v>1498800</v>
      </c>
      <c r="H706" s="11">
        <f t="shared" si="35"/>
        <v>184000</v>
      </c>
    </row>
    <row r="707" spans="1:8">
      <c r="A707" s="6" t="s">
        <v>22</v>
      </c>
      <c r="B707">
        <v>6860000</v>
      </c>
      <c r="C707">
        <v>7129000</v>
      </c>
      <c r="D707" s="8" t="str">
        <f>VLOOKUP(A707,Лист2!A:E,5,0)</f>
        <v>малые</v>
      </c>
      <c r="E707" s="10">
        <f>VLOOKUP(A707,Лист2!A:E,4,0)</f>
        <v>13</v>
      </c>
      <c r="F707" s="11">
        <f t="shared" si="33"/>
        <v>-269000</v>
      </c>
      <c r="G707" s="11">
        <f t="shared" si="34"/>
        <v>527692.30769230775</v>
      </c>
      <c r="H707" s="11">
        <f t="shared" si="35"/>
        <v>-20692.307692307691</v>
      </c>
    </row>
    <row r="708" spans="1:8">
      <c r="A708" s="6" t="s">
        <v>18</v>
      </c>
      <c r="B708">
        <v>5928000</v>
      </c>
      <c r="C708">
        <v>6244000</v>
      </c>
      <c r="D708" s="8" t="str">
        <f>VLOOKUP(A708,Лист2!A:E,5,0)</f>
        <v>малые</v>
      </c>
      <c r="E708" s="10">
        <f>VLOOKUP(A708,Лист2!A:E,4,0)</f>
        <v>2.5</v>
      </c>
      <c r="F708" s="11">
        <f t="shared" si="33"/>
        <v>-316000</v>
      </c>
      <c r="G708" s="11">
        <f t="shared" si="34"/>
        <v>2371200</v>
      </c>
      <c r="H708" s="11">
        <f t="shared" si="35"/>
        <v>-126400</v>
      </c>
    </row>
    <row r="709" spans="1:8">
      <c r="A709" s="6" t="s">
        <v>18</v>
      </c>
      <c r="B709">
        <v>2000</v>
      </c>
      <c r="C709">
        <v>2000</v>
      </c>
      <c r="D709" s="8" t="str">
        <f>VLOOKUP(A709,Лист2!A:E,5,0)</f>
        <v>малые</v>
      </c>
      <c r="E709" s="10">
        <f>VLOOKUP(A709,Лист2!A:E,4,0)</f>
        <v>2.5</v>
      </c>
      <c r="F709" s="11">
        <f t="shared" si="33"/>
        <v>0</v>
      </c>
      <c r="G709" s="11">
        <f t="shared" si="34"/>
        <v>800</v>
      </c>
      <c r="H709" s="11">
        <f t="shared" si="35"/>
        <v>0</v>
      </c>
    </row>
    <row r="710" spans="1:8">
      <c r="A710" s="6" t="s">
        <v>18</v>
      </c>
      <c r="B710">
        <v>1254000</v>
      </c>
      <c r="C710">
        <v>1998000</v>
      </c>
      <c r="D710" s="8" t="str">
        <f>VLOOKUP(A710,Лист2!A:E,5,0)</f>
        <v>малые</v>
      </c>
      <c r="E710" s="10">
        <f>VLOOKUP(A710,Лист2!A:E,4,0)</f>
        <v>2.5</v>
      </c>
      <c r="F710" s="11">
        <f t="shared" si="33"/>
        <v>-744000</v>
      </c>
      <c r="G710" s="11">
        <f t="shared" si="34"/>
        <v>501600</v>
      </c>
      <c r="H710" s="11">
        <f t="shared" si="35"/>
        <v>-297600</v>
      </c>
    </row>
    <row r="711" spans="1:8">
      <c r="A711" s="6" t="s">
        <v>18</v>
      </c>
      <c r="B711">
        <v>1092000</v>
      </c>
      <c r="C711">
        <v>1180000</v>
      </c>
      <c r="D711" s="8" t="str">
        <f>VLOOKUP(A711,Лист2!A:E,5,0)</f>
        <v>малые</v>
      </c>
      <c r="E711" s="10">
        <f>VLOOKUP(A711,Лист2!A:E,4,0)</f>
        <v>2.5</v>
      </c>
      <c r="F711" s="11">
        <f t="shared" si="33"/>
        <v>-88000</v>
      </c>
      <c r="G711" s="11">
        <f t="shared" si="34"/>
        <v>436800</v>
      </c>
      <c r="H711" s="11">
        <f t="shared" si="35"/>
        <v>-35200</v>
      </c>
    </row>
    <row r="712" spans="1:8">
      <c r="A712" s="6" t="s">
        <v>22</v>
      </c>
      <c r="B712">
        <v>25085000</v>
      </c>
      <c r="C712">
        <v>21943000</v>
      </c>
      <c r="D712" s="8" t="str">
        <f>VLOOKUP(A712,Лист2!A:E,5,0)</f>
        <v>малые</v>
      </c>
      <c r="E712" s="10">
        <f>VLOOKUP(A712,Лист2!A:E,4,0)</f>
        <v>13</v>
      </c>
      <c r="F712" s="11">
        <f t="shared" si="33"/>
        <v>3142000</v>
      </c>
      <c r="G712" s="11">
        <f t="shared" si="34"/>
        <v>1929615.3846153845</v>
      </c>
      <c r="H712" s="11">
        <f t="shared" si="35"/>
        <v>241692.30769230769</v>
      </c>
    </row>
    <row r="713" spans="1:8">
      <c r="A713" s="6" t="s">
        <v>77</v>
      </c>
      <c r="B713">
        <v>17813000</v>
      </c>
      <c r="C713">
        <v>17620000</v>
      </c>
      <c r="D713" s="8" t="str">
        <f>VLOOKUP(A713,Лист2!A:E,5,0)</f>
        <v>малые</v>
      </c>
      <c r="E713" s="10">
        <f>VLOOKUP(A713,Лист2!A:E,4,0)</f>
        <v>8</v>
      </c>
      <c r="F713" s="11">
        <f t="shared" si="33"/>
        <v>193000</v>
      </c>
      <c r="G713" s="11">
        <f t="shared" si="34"/>
        <v>2226625</v>
      </c>
      <c r="H713" s="11">
        <f t="shared" si="35"/>
        <v>24125</v>
      </c>
    </row>
    <row r="714" spans="1:8">
      <c r="A714" s="6" t="s">
        <v>18</v>
      </c>
      <c r="B714">
        <v>928000</v>
      </c>
      <c r="C714">
        <v>928000</v>
      </c>
      <c r="D714" s="8" t="str">
        <f>VLOOKUP(A714,Лист2!A:E,5,0)</f>
        <v>малые</v>
      </c>
      <c r="E714" s="10">
        <f>VLOOKUP(A714,Лист2!A:E,4,0)</f>
        <v>2.5</v>
      </c>
      <c r="F714" s="11">
        <f t="shared" si="33"/>
        <v>0</v>
      </c>
      <c r="G714" s="11">
        <f t="shared" si="34"/>
        <v>371200</v>
      </c>
      <c r="H714" s="11">
        <f t="shared" si="35"/>
        <v>0</v>
      </c>
    </row>
    <row r="715" spans="1:8">
      <c r="A715" s="6" t="s">
        <v>22</v>
      </c>
      <c r="B715">
        <v>130875000</v>
      </c>
      <c r="C715">
        <v>129010000</v>
      </c>
      <c r="D715" s="8" t="str">
        <f>VLOOKUP(A715,Лист2!A:E,5,0)</f>
        <v>малые</v>
      </c>
      <c r="E715" s="10">
        <f>VLOOKUP(A715,Лист2!A:E,4,0)</f>
        <v>13</v>
      </c>
      <c r="F715" s="11">
        <f t="shared" si="33"/>
        <v>1865000</v>
      </c>
      <c r="G715" s="11">
        <f t="shared" si="34"/>
        <v>10067307.692307692</v>
      </c>
      <c r="H715" s="11">
        <f t="shared" si="35"/>
        <v>143461.53846153847</v>
      </c>
    </row>
    <row r="716" spans="1:8">
      <c r="A716" s="6" t="s">
        <v>18</v>
      </c>
      <c r="B716">
        <v>97000</v>
      </c>
      <c r="C716">
        <v>94000</v>
      </c>
      <c r="D716" s="8" t="str">
        <f>VLOOKUP(A716,Лист2!A:E,5,0)</f>
        <v>малые</v>
      </c>
      <c r="E716" s="10">
        <f>VLOOKUP(A716,Лист2!A:E,4,0)</f>
        <v>2.5</v>
      </c>
      <c r="F716" s="11">
        <f t="shared" si="33"/>
        <v>3000</v>
      </c>
      <c r="G716" s="11">
        <f t="shared" si="34"/>
        <v>38800</v>
      </c>
      <c r="H716" s="11">
        <f t="shared" si="35"/>
        <v>1200</v>
      </c>
    </row>
    <row r="717" spans="1:8">
      <c r="A717" s="6" t="s">
        <v>22</v>
      </c>
      <c r="B717">
        <v>4347000</v>
      </c>
      <c r="C717">
        <v>3772000</v>
      </c>
      <c r="D717" s="8" t="str">
        <f>VLOOKUP(A717,Лист2!A:E,5,0)</f>
        <v>малые</v>
      </c>
      <c r="E717" s="10">
        <f>VLOOKUP(A717,Лист2!A:E,4,0)</f>
        <v>13</v>
      </c>
      <c r="F717" s="11">
        <f t="shared" si="33"/>
        <v>575000</v>
      </c>
      <c r="G717" s="11">
        <f t="shared" si="34"/>
        <v>334384.61538461538</v>
      </c>
      <c r="H717" s="11">
        <f t="shared" si="35"/>
        <v>44230.769230769234</v>
      </c>
    </row>
    <row r="718" spans="1:8">
      <c r="A718" s="6" t="s">
        <v>18</v>
      </c>
      <c r="B718">
        <v>1308000</v>
      </c>
      <c r="C718">
        <v>1091000</v>
      </c>
      <c r="D718" s="8" t="str">
        <f>VLOOKUP(A718,Лист2!A:E,5,0)</f>
        <v>малые</v>
      </c>
      <c r="E718" s="10">
        <f>VLOOKUP(A718,Лист2!A:E,4,0)</f>
        <v>2.5</v>
      </c>
      <c r="F718" s="11">
        <f t="shared" si="33"/>
        <v>217000</v>
      </c>
      <c r="G718" s="11">
        <f t="shared" si="34"/>
        <v>523200</v>
      </c>
      <c r="H718" s="11">
        <f t="shared" si="35"/>
        <v>86800</v>
      </c>
    </row>
    <row r="719" spans="1:8">
      <c r="A719" s="6" t="s">
        <v>18</v>
      </c>
      <c r="B719">
        <v>1140000</v>
      </c>
      <c r="C719">
        <v>1091000</v>
      </c>
      <c r="D719" s="8" t="str">
        <f>VLOOKUP(A719,Лист2!A:E,5,0)</f>
        <v>малые</v>
      </c>
      <c r="E719" s="10">
        <f>VLOOKUP(A719,Лист2!A:E,4,0)</f>
        <v>2.5</v>
      </c>
      <c r="F719" s="11">
        <f t="shared" si="33"/>
        <v>49000</v>
      </c>
      <c r="G719" s="11">
        <f t="shared" si="34"/>
        <v>456000</v>
      </c>
      <c r="H719" s="11">
        <f t="shared" si="35"/>
        <v>19600</v>
      </c>
    </row>
    <row r="720" spans="1:8">
      <c r="A720" s="6" t="s">
        <v>18</v>
      </c>
      <c r="B720">
        <v>9429000</v>
      </c>
      <c r="C720">
        <v>5431000</v>
      </c>
      <c r="D720" s="8" t="str">
        <f>VLOOKUP(A720,Лист2!A:E,5,0)</f>
        <v>малые</v>
      </c>
      <c r="E720" s="10">
        <f>VLOOKUP(A720,Лист2!A:E,4,0)</f>
        <v>2.5</v>
      </c>
      <c r="F720" s="11">
        <f t="shared" si="33"/>
        <v>3998000</v>
      </c>
      <c r="G720" s="11">
        <f t="shared" si="34"/>
        <v>3771600</v>
      </c>
      <c r="H720" s="11">
        <f t="shared" si="35"/>
        <v>1599200</v>
      </c>
    </row>
    <row r="721" spans="1:8">
      <c r="A721" s="6" t="s">
        <v>18</v>
      </c>
      <c r="B721">
        <v>679000</v>
      </c>
      <c r="C721">
        <v>599000</v>
      </c>
      <c r="D721" s="8" t="str">
        <f>VLOOKUP(A721,Лист2!A:E,5,0)</f>
        <v>малые</v>
      </c>
      <c r="E721" s="10">
        <f>VLOOKUP(A721,Лист2!A:E,4,0)</f>
        <v>2.5</v>
      </c>
      <c r="F721" s="11">
        <f t="shared" si="33"/>
        <v>80000</v>
      </c>
      <c r="G721" s="11">
        <f t="shared" si="34"/>
        <v>271600</v>
      </c>
      <c r="H721" s="11">
        <f t="shared" si="35"/>
        <v>32000</v>
      </c>
    </row>
    <row r="722" spans="1:8">
      <c r="A722" s="6" t="s">
        <v>18</v>
      </c>
      <c r="B722">
        <v>20450000</v>
      </c>
      <c r="C722">
        <v>36058000</v>
      </c>
      <c r="D722" s="8" t="str">
        <f>VLOOKUP(A722,Лист2!A:E,5,0)</f>
        <v>малые</v>
      </c>
      <c r="E722" s="10">
        <f>VLOOKUP(A722,Лист2!A:E,4,0)</f>
        <v>2.5</v>
      </c>
      <c r="F722" s="11">
        <f t="shared" si="33"/>
        <v>-15608000</v>
      </c>
      <c r="G722" s="11">
        <f t="shared" si="34"/>
        <v>8180000</v>
      </c>
      <c r="H722" s="11">
        <f t="shared" si="35"/>
        <v>-6243200</v>
      </c>
    </row>
    <row r="723" spans="1:8">
      <c r="A723" s="6" t="s">
        <v>18</v>
      </c>
      <c r="B723">
        <v>1928000</v>
      </c>
      <c r="C723">
        <v>1905000</v>
      </c>
      <c r="D723" s="8" t="str">
        <f>VLOOKUP(A723,Лист2!A:E,5,0)</f>
        <v>малые</v>
      </c>
      <c r="E723" s="10">
        <f>VLOOKUP(A723,Лист2!A:E,4,0)</f>
        <v>2.5</v>
      </c>
      <c r="F723" s="11">
        <f t="shared" si="33"/>
        <v>23000</v>
      </c>
      <c r="G723" s="11">
        <f t="shared" si="34"/>
        <v>771200</v>
      </c>
      <c r="H723" s="11">
        <f t="shared" si="35"/>
        <v>9200</v>
      </c>
    </row>
    <row r="724" spans="1:8">
      <c r="A724" s="6" t="s">
        <v>18</v>
      </c>
      <c r="B724">
        <v>414000</v>
      </c>
      <c r="C724">
        <v>373000</v>
      </c>
      <c r="D724" s="8" t="str">
        <f>VLOOKUP(A724,Лист2!A:E,5,0)</f>
        <v>малые</v>
      </c>
      <c r="E724" s="10">
        <f>VLOOKUP(A724,Лист2!A:E,4,0)</f>
        <v>2.5</v>
      </c>
      <c r="F724" s="11">
        <f t="shared" si="33"/>
        <v>41000</v>
      </c>
      <c r="G724" s="11">
        <f t="shared" si="34"/>
        <v>165600</v>
      </c>
      <c r="H724" s="11">
        <f t="shared" si="35"/>
        <v>16400</v>
      </c>
    </row>
    <row r="725" spans="1:8">
      <c r="A725" s="6" t="s">
        <v>22</v>
      </c>
      <c r="B725">
        <v>4861000</v>
      </c>
      <c r="C725">
        <v>4715000</v>
      </c>
      <c r="D725" s="8" t="str">
        <f>VLOOKUP(A725,Лист2!A:E,5,0)</f>
        <v>малые</v>
      </c>
      <c r="E725" s="10">
        <f>VLOOKUP(A725,Лист2!A:E,4,0)</f>
        <v>13</v>
      </c>
      <c r="F725" s="11">
        <f t="shared" si="33"/>
        <v>146000</v>
      </c>
      <c r="G725" s="11">
        <f t="shared" si="34"/>
        <v>373923.07692307694</v>
      </c>
      <c r="H725" s="11">
        <f t="shared" si="35"/>
        <v>11230.76923076923</v>
      </c>
    </row>
    <row r="726" spans="1:8">
      <c r="A726" s="6" t="s">
        <v>18</v>
      </c>
      <c r="B726">
        <v>10376000</v>
      </c>
      <c r="C726">
        <v>11277000</v>
      </c>
      <c r="D726" s="8" t="str">
        <f>VLOOKUP(A726,Лист2!A:E,5,0)</f>
        <v>малые</v>
      </c>
      <c r="E726" s="10">
        <f>VLOOKUP(A726,Лист2!A:E,4,0)</f>
        <v>2.5</v>
      </c>
      <c r="F726" s="11">
        <f t="shared" si="33"/>
        <v>-901000</v>
      </c>
      <c r="G726" s="11">
        <f t="shared" si="34"/>
        <v>4150400</v>
      </c>
      <c r="H726" s="11">
        <f t="shared" si="35"/>
        <v>-360400</v>
      </c>
    </row>
    <row r="727" spans="1:8">
      <c r="A727" s="6" t="s">
        <v>18</v>
      </c>
      <c r="B727">
        <v>344000</v>
      </c>
      <c r="C727">
        <v>344000</v>
      </c>
      <c r="D727" s="8" t="str">
        <f>VLOOKUP(A727,Лист2!A:E,5,0)</f>
        <v>малые</v>
      </c>
      <c r="E727" s="10">
        <f>VLOOKUP(A727,Лист2!A:E,4,0)</f>
        <v>2.5</v>
      </c>
      <c r="F727" s="11">
        <f t="shared" si="33"/>
        <v>0</v>
      </c>
      <c r="G727" s="11">
        <f t="shared" si="34"/>
        <v>137600</v>
      </c>
      <c r="H727" s="11">
        <f t="shared" si="35"/>
        <v>0</v>
      </c>
    </row>
    <row r="728" spans="1:8">
      <c r="A728" s="6" t="s">
        <v>18</v>
      </c>
      <c r="B728">
        <v>4264000</v>
      </c>
      <c r="C728">
        <v>4287000</v>
      </c>
      <c r="D728" s="8" t="str">
        <f>VLOOKUP(A728,Лист2!A:E,5,0)</f>
        <v>малые</v>
      </c>
      <c r="E728" s="10">
        <f>VLOOKUP(A728,Лист2!A:E,4,0)</f>
        <v>2.5</v>
      </c>
      <c r="F728" s="11">
        <f t="shared" si="33"/>
        <v>-23000</v>
      </c>
      <c r="G728" s="11">
        <f t="shared" si="34"/>
        <v>1705600</v>
      </c>
      <c r="H728" s="11">
        <f t="shared" si="35"/>
        <v>-9200</v>
      </c>
    </row>
    <row r="729" spans="1:8">
      <c r="A729" s="6" t="s">
        <v>18</v>
      </c>
      <c r="B729">
        <v>396000</v>
      </c>
      <c r="C729">
        <v>382000</v>
      </c>
      <c r="D729" s="8" t="str">
        <f>VLOOKUP(A729,Лист2!A:E,5,0)</f>
        <v>малые</v>
      </c>
      <c r="E729" s="10">
        <f>VLOOKUP(A729,Лист2!A:E,4,0)</f>
        <v>2.5</v>
      </c>
      <c r="F729" s="11">
        <f t="shared" si="33"/>
        <v>14000</v>
      </c>
      <c r="G729" s="11">
        <f t="shared" si="34"/>
        <v>158400</v>
      </c>
      <c r="H729" s="11">
        <f t="shared" si="35"/>
        <v>5600</v>
      </c>
    </row>
    <row r="730" spans="1:8">
      <c r="A730" s="6" t="s">
        <v>18</v>
      </c>
      <c r="B730">
        <v>733000</v>
      </c>
      <c r="C730">
        <v>699000</v>
      </c>
      <c r="D730" s="8" t="str">
        <f>VLOOKUP(A730,Лист2!A:E,5,0)</f>
        <v>малые</v>
      </c>
      <c r="E730" s="10">
        <f>VLOOKUP(A730,Лист2!A:E,4,0)</f>
        <v>2.5</v>
      </c>
      <c r="F730" s="11">
        <f t="shared" si="33"/>
        <v>34000</v>
      </c>
      <c r="G730" s="11">
        <f t="shared" si="34"/>
        <v>293200</v>
      </c>
      <c r="H730" s="11">
        <f t="shared" si="35"/>
        <v>13600</v>
      </c>
    </row>
    <row r="731" spans="1:8">
      <c r="A731" s="6" t="s">
        <v>18</v>
      </c>
      <c r="B731">
        <v>7215000</v>
      </c>
      <c r="C731">
        <v>7030000</v>
      </c>
      <c r="D731" s="8" t="str">
        <f>VLOOKUP(A731,Лист2!A:E,5,0)</f>
        <v>малые</v>
      </c>
      <c r="E731" s="10">
        <f>VLOOKUP(A731,Лист2!A:E,4,0)</f>
        <v>2.5</v>
      </c>
      <c r="F731" s="11">
        <f t="shared" si="33"/>
        <v>185000</v>
      </c>
      <c r="G731" s="11">
        <f t="shared" si="34"/>
        <v>2886000</v>
      </c>
      <c r="H731" s="11">
        <f t="shared" si="35"/>
        <v>74000</v>
      </c>
    </row>
    <row r="732" spans="1:8">
      <c r="A732" s="6" t="s">
        <v>22</v>
      </c>
      <c r="B732">
        <v>22047000</v>
      </c>
      <c r="C732">
        <v>21313000</v>
      </c>
      <c r="D732" s="8" t="str">
        <f>VLOOKUP(A732,Лист2!A:E,5,0)</f>
        <v>малые</v>
      </c>
      <c r="E732" s="10">
        <f>VLOOKUP(A732,Лист2!A:E,4,0)</f>
        <v>13</v>
      </c>
      <c r="F732" s="11">
        <f t="shared" si="33"/>
        <v>734000</v>
      </c>
      <c r="G732" s="11">
        <f t="shared" si="34"/>
        <v>1695923.076923077</v>
      </c>
      <c r="H732" s="11">
        <f t="shared" si="35"/>
        <v>56461.538461538461</v>
      </c>
    </row>
    <row r="733" spans="1:8">
      <c r="A733" s="6" t="s">
        <v>18</v>
      </c>
      <c r="B733">
        <v>828000</v>
      </c>
      <c r="C733">
        <v>820000</v>
      </c>
      <c r="D733" s="8" t="str">
        <f>VLOOKUP(A733,Лист2!A:E,5,0)</f>
        <v>малые</v>
      </c>
      <c r="E733" s="10">
        <f>VLOOKUP(A733,Лист2!A:E,4,0)</f>
        <v>2.5</v>
      </c>
      <c r="F733" s="11">
        <f t="shared" si="33"/>
        <v>8000</v>
      </c>
      <c r="G733" s="11">
        <f t="shared" si="34"/>
        <v>331200</v>
      </c>
      <c r="H733" s="11">
        <f t="shared" si="35"/>
        <v>3200</v>
      </c>
    </row>
    <row r="734" spans="1:8">
      <c r="A734" s="6" t="s">
        <v>18</v>
      </c>
      <c r="B734">
        <v>2390000</v>
      </c>
      <c r="C734">
        <v>2232000</v>
      </c>
      <c r="D734" s="8" t="str">
        <f>VLOOKUP(A734,Лист2!A:E,5,0)</f>
        <v>малые</v>
      </c>
      <c r="E734" s="10">
        <f>VLOOKUP(A734,Лист2!A:E,4,0)</f>
        <v>2.5</v>
      </c>
      <c r="F734" s="11">
        <f t="shared" si="33"/>
        <v>158000</v>
      </c>
      <c r="G734" s="11">
        <f t="shared" si="34"/>
        <v>956000</v>
      </c>
      <c r="H734" s="11">
        <f t="shared" si="35"/>
        <v>63200</v>
      </c>
    </row>
    <row r="735" spans="1:8">
      <c r="A735" s="6" t="s">
        <v>18</v>
      </c>
      <c r="B735">
        <v>9245000</v>
      </c>
      <c r="C735">
        <v>8916000</v>
      </c>
      <c r="D735" s="8" t="str">
        <f>VLOOKUP(A735,Лист2!A:E,5,0)</f>
        <v>малые</v>
      </c>
      <c r="E735" s="10">
        <f>VLOOKUP(A735,Лист2!A:E,4,0)</f>
        <v>2.5</v>
      </c>
      <c r="F735" s="11">
        <f t="shared" si="33"/>
        <v>329000</v>
      </c>
      <c r="G735" s="11">
        <f t="shared" si="34"/>
        <v>3698000</v>
      </c>
      <c r="H735" s="11">
        <f t="shared" si="35"/>
        <v>131600</v>
      </c>
    </row>
    <row r="736" spans="1:8">
      <c r="A736" s="6" t="s">
        <v>18</v>
      </c>
      <c r="B736">
        <v>514000</v>
      </c>
      <c r="C736">
        <v>523000</v>
      </c>
      <c r="D736" s="8" t="str">
        <f>VLOOKUP(A736,Лист2!A:E,5,0)</f>
        <v>малые</v>
      </c>
      <c r="E736" s="10">
        <f>VLOOKUP(A736,Лист2!A:E,4,0)</f>
        <v>2.5</v>
      </c>
      <c r="F736" s="11">
        <f t="shared" si="33"/>
        <v>-9000</v>
      </c>
      <c r="G736" s="11">
        <f t="shared" si="34"/>
        <v>205600</v>
      </c>
      <c r="H736" s="11">
        <f t="shared" si="35"/>
        <v>-3600</v>
      </c>
    </row>
    <row r="737" spans="1:8">
      <c r="A737" s="6" t="s">
        <v>18</v>
      </c>
      <c r="B737">
        <v>1541000</v>
      </c>
      <c r="C737">
        <v>1531000</v>
      </c>
      <c r="D737" s="8" t="str">
        <f>VLOOKUP(A737,Лист2!A:E,5,0)</f>
        <v>малые</v>
      </c>
      <c r="E737" s="10">
        <f>VLOOKUP(A737,Лист2!A:E,4,0)</f>
        <v>2.5</v>
      </c>
      <c r="F737" s="11">
        <f t="shared" si="33"/>
        <v>10000</v>
      </c>
      <c r="G737" s="11">
        <f t="shared" si="34"/>
        <v>616400</v>
      </c>
      <c r="H737" s="11">
        <f t="shared" si="35"/>
        <v>4000</v>
      </c>
    </row>
    <row r="738" spans="1:8">
      <c r="A738" s="6" t="s">
        <v>18</v>
      </c>
      <c r="B738">
        <v>2610000</v>
      </c>
      <c r="C738">
        <v>2117000</v>
      </c>
      <c r="D738" s="8" t="str">
        <f>VLOOKUP(A738,Лист2!A:E,5,0)</f>
        <v>малые</v>
      </c>
      <c r="E738" s="10">
        <f>VLOOKUP(A738,Лист2!A:E,4,0)</f>
        <v>2.5</v>
      </c>
      <c r="F738" s="11">
        <f t="shared" si="33"/>
        <v>493000</v>
      </c>
      <c r="G738" s="11">
        <f t="shared" si="34"/>
        <v>1044000</v>
      </c>
      <c r="H738" s="11">
        <f t="shared" si="35"/>
        <v>197200</v>
      </c>
    </row>
    <row r="739" spans="1:8">
      <c r="A739" s="6" t="s">
        <v>18</v>
      </c>
      <c r="B739">
        <v>2291000</v>
      </c>
      <c r="C739">
        <v>1355000</v>
      </c>
      <c r="D739" s="8" t="str">
        <f>VLOOKUP(A739,Лист2!A:E,5,0)</f>
        <v>малые</v>
      </c>
      <c r="E739" s="10">
        <f>VLOOKUP(A739,Лист2!A:E,4,0)</f>
        <v>2.5</v>
      </c>
      <c r="F739" s="11">
        <f t="shared" si="33"/>
        <v>936000</v>
      </c>
      <c r="G739" s="11">
        <f t="shared" si="34"/>
        <v>916400</v>
      </c>
      <c r="H739" s="11">
        <f t="shared" si="35"/>
        <v>374400</v>
      </c>
    </row>
    <row r="740" spans="1:8">
      <c r="A740" s="6" t="s">
        <v>18</v>
      </c>
      <c r="B740">
        <v>1370000</v>
      </c>
      <c r="C740">
        <v>958000</v>
      </c>
      <c r="D740" s="8" t="str">
        <f>VLOOKUP(A740,Лист2!A:E,5,0)</f>
        <v>малые</v>
      </c>
      <c r="E740" s="10">
        <f>VLOOKUP(A740,Лист2!A:E,4,0)</f>
        <v>2.5</v>
      </c>
      <c r="F740" s="11">
        <f t="shared" si="33"/>
        <v>412000</v>
      </c>
      <c r="G740" s="11">
        <f t="shared" si="34"/>
        <v>548000</v>
      </c>
      <c r="H740" s="11">
        <f t="shared" si="35"/>
        <v>164800</v>
      </c>
    </row>
    <row r="741" spans="1:8">
      <c r="A741" s="6" t="s">
        <v>18</v>
      </c>
      <c r="B741">
        <v>182000</v>
      </c>
      <c r="C741">
        <v>15000</v>
      </c>
      <c r="D741" s="8" t="str">
        <f>VLOOKUP(A741,Лист2!A:E,5,0)</f>
        <v>малые</v>
      </c>
      <c r="E741" s="10">
        <f>VLOOKUP(A741,Лист2!A:E,4,0)</f>
        <v>2.5</v>
      </c>
      <c r="F741" s="11">
        <f t="shared" ref="F741:F799" si="36">B741-C741</f>
        <v>167000</v>
      </c>
      <c r="G741" s="11">
        <f t="shared" ref="G741:G799" si="37">B741/E741</f>
        <v>72800</v>
      </c>
      <c r="H741" s="11">
        <f t="shared" ref="H741:H799" si="38">F741/E741</f>
        <v>66800</v>
      </c>
    </row>
    <row r="742" spans="1:8">
      <c r="A742" s="6" t="s">
        <v>18</v>
      </c>
      <c r="B742">
        <v>8824000</v>
      </c>
      <c r="C742">
        <v>7500000</v>
      </c>
      <c r="D742" s="8" t="str">
        <f>VLOOKUP(A742,Лист2!A:E,5,0)</f>
        <v>малые</v>
      </c>
      <c r="E742" s="10">
        <f>VLOOKUP(A742,Лист2!A:E,4,0)</f>
        <v>2.5</v>
      </c>
      <c r="F742" s="11">
        <f t="shared" si="36"/>
        <v>1324000</v>
      </c>
      <c r="G742" s="11">
        <f t="shared" si="37"/>
        <v>3529600</v>
      </c>
      <c r="H742" s="11">
        <f t="shared" si="38"/>
        <v>529600</v>
      </c>
    </row>
    <row r="743" spans="1:8">
      <c r="A743" s="6" t="s">
        <v>18</v>
      </c>
      <c r="B743">
        <v>285000</v>
      </c>
      <c r="C743">
        <v>292000</v>
      </c>
      <c r="D743" s="8" t="str">
        <f>VLOOKUP(A743,Лист2!A:E,5,0)</f>
        <v>малые</v>
      </c>
      <c r="E743" s="10">
        <f>VLOOKUP(A743,Лист2!A:E,4,0)</f>
        <v>2.5</v>
      </c>
      <c r="F743" s="11">
        <f t="shared" si="36"/>
        <v>-7000</v>
      </c>
      <c r="G743" s="11">
        <f t="shared" si="37"/>
        <v>114000</v>
      </c>
      <c r="H743" s="11">
        <f t="shared" si="38"/>
        <v>-2800</v>
      </c>
    </row>
    <row r="744" spans="1:8">
      <c r="A744" s="6" t="s">
        <v>18</v>
      </c>
      <c r="B744">
        <v>367000</v>
      </c>
      <c r="C744">
        <v>382000</v>
      </c>
      <c r="D744" s="8" t="str">
        <f>VLOOKUP(A744,Лист2!A:E,5,0)</f>
        <v>малые</v>
      </c>
      <c r="E744" s="10">
        <f>VLOOKUP(A744,Лист2!A:E,4,0)</f>
        <v>2.5</v>
      </c>
      <c r="F744" s="11">
        <f t="shared" si="36"/>
        <v>-15000</v>
      </c>
      <c r="G744" s="11">
        <f t="shared" si="37"/>
        <v>146800</v>
      </c>
      <c r="H744" s="11">
        <f t="shared" si="38"/>
        <v>-6000</v>
      </c>
    </row>
    <row r="745" spans="1:8">
      <c r="A745" s="6" t="s">
        <v>18</v>
      </c>
      <c r="B745">
        <v>1588000</v>
      </c>
      <c r="C745">
        <v>2573000</v>
      </c>
      <c r="D745" s="8" t="str">
        <f>VLOOKUP(A745,Лист2!A:E,5,0)</f>
        <v>малые</v>
      </c>
      <c r="E745" s="10">
        <f>VLOOKUP(A745,Лист2!A:E,4,0)</f>
        <v>2.5</v>
      </c>
      <c r="F745" s="11">
        <f t="shared" si="36"/>
        <v>-985000</v>
      </c>
      <c r="G745" s="11">
        <f t="shared" si="37"/>
        <v>635200</v>
      </c>
      <c r="H745" s="11">
        <f t="shared" si="38"/>
        <v>-394000</v>
      </c>
    </row>
    <row r="746" spans="1:8">
      <c r="A746" s="6" t="s">
        <v>18</v>
      </c>
      <c r="B746">
        <v>11000</v>
      </c>
      <c r="C746">
        <v>32000</v>
      </c>
      <c r="D746" s="8" t="str">
        <f>VLOOKUP(A746,Лист2!A:E,5,0)</f>
        <v>малые</v>
      </c>
      <c r="E746" s="10">
        <f>VLOOKUP(A746,Лист2!A:E,4,0)</f>
        <v>2.5</v>
      </c>
      <c r="F746" s="11">
        <f t="shared" si="36"/>
        <v>-21000</v>
      </c>
      <c r="G746" s="11">
        <f t="shared" si="37"/>
        <v>4400</v>
      </c>
      <c r="H746" s="11">
        <f t="shared" si="38"/>
        <v>-8400</v>
      </c>
    </row>
    <row r="747" spans="1:8">
      <c r="A747" s="6" t="s">
        <v>18</v>
      </c>
      <c r="B747">
        <v>922000</v>
      </c>
      <c r="C747">
        <v>1086000</v>
      </c>
      <c r="D747" s="8" t="str">
        <f>VLOOKUP(A747,Лист2!A:E,5,0)</f>
        <v>малые</v>
      </c>
      <c r="E747" s="10">
        <f>VLOOKUP(A747,Лист2!A:E,4,0)</f>
        <v>2.5</v>
      </c>
      <c r="F747" s="11">
        <f t="shared" si="36"/>
        <v>-164000</v>
      </c>
      <c r="G747" s="11">
        <f t="shared" si="37"/>
        <v>368800</v>
      </c>
      <c r="H747" s="11">
        <f t="shared" si="38"/>
        <v>-65600</v>
      </c>
    </row>
    <row r="748" spans="1:8">
      <c r="A748" s="6" t="s">
        <v>18</v>
      </c>
      <c r="B748">
        <v>485000</v>
      </c>
      <c r="C748">
        <v>387000</v>
      </c>
      <c r="D748" s="8" t="str">
        <f>VLOOKUP(A748,Лист2!A:E,5,0)</f>
        <v>малые</v>
      </c>
      <c r="E748" s="10">
        <f>VLOOKUP(A748,Лист2!A:E,4,0)</f>
        <v>2.5</v>
      </c>
      <c r="F748" s="11">
        <f t="shared" si="36"/>
        <v>98000</v>
      </c>
      <c r="G748" s="11">
        <f t="shared" si="37"/>
        <v>194000</v>
      </c>
      <c r="H748" s="11">
        <f t="shared" si="38"/>
        <v>39200</v>
      </c>
    </row>
    <row r="749" spans="1:8">
      <c r="A749" s="6" t="s">
        <v>18</v>
      </c>
      <c r="B749">
        <v>16605000</v>
      </c>
      <c r="C749">
        <v>18092000</v>
      </c>
      <c r="D749" s="8" t="str">
        <f>VLOOKUP(A749,Лист2!A:E,5,0)</f>
        <v>малые</v>
      </c>
      <c r="E749" s="10">
        <f>VLOOKUP(A749,Лист2!A:E,4,0)</f>
        <v>2.5</v>
      </c>
      <c r="F749" s="11">
        <f t="shared" si="36"/>
        <v>-1487000</v>
      </c>
      <c r="G749" s="11">
        <f t="shared" si="37"/>
        <v>6642000</v>
      </c>
      <c r="H749" s="11">
        <f t="shared" si="38"/>
        <v>-594800</v>
      </c>
    </row>
    <row r="750" spans="1:8">
      <c r="A750" s="6" t="s">
        <v>18</v>
      </c>
      <c r="B750">
        <v>444000</v>
      </c>
      <c r="C750">
        <v>670000</v>
      </c>
      <c r="D750" s="8" t="str">
        <f>VLOOKUP(A750,Лист2!A:E,5,0)</f>
        <v>малые</v>
      </c>
      <c r="E750" s="10">
        <f>VLOOKUP(A750,Лист2!A:E,4,0)</f>
        <v>2.5</v>
      </c>
      <c r="F750" s="11">
        <f t="shared" si="36"/>
        <v>-226000</v>
      </c>
      <c r="G750" s="11">
        <f t="shared" si="37"/>
        <v>177600</v>
      </c>
      <c r="H750" s="11">
        <f t="shared" si="38"/>
        <v>-90400</v>
      </c>
    </row>
    <row r="751" spans="1:8">
      <c r="A751" s="6" t="s">
        <v>18</v>
      </c>
      <c r="B751">
        <v>292000</v>
      </c>
      <c r="C751">
        <v>274000</v>
      </c>
      <c r="D751" s="8" t="str">
        <f>VLOOKUP(A751,Лист2!A:E,5,0)</f>
        <v>малые</v>
      </c>
      <c r="E751" s="10">
        <f>VLOOKUP(A751,Лист2!A:E,4,0)</f>
        <v>2.5</v>
      </c>
      <c r="F751" s="11">
        <f t="shared" si="36"/>
        <v>18000</v>
      </c>
      <c r="G751" s="11">
        <f t="shared" si="37"/>
        <v>116800</v>
      </c>
      <c r="H751" s="11">
        <f t="shared" si="38"/>
        <v>7200</v>
      </c>
    </row>
    <row r="752" spans="1:8">
      <c r="A752" s="6" t="s">
        <v>18</v>
      </c>
      <c r="B752">
        <v>2358000</v>
      </c>
      <c r="C752">
        <v>2486000</v>
      </c>
      <c r="D752" s="8" t="str">
        <f>VLOOKUP(A752,Лист2!A:E,5,0)</f>
        <v>малые</v>
      </c>
      <c r="E752" s="10">
        <f>VLOOKUP(A752,Лист2!A:E,4,0)</f>
        <v>2.5</v>
      </c>
      <c r="F752" s="11">
        <f t="shared" si="36"/>
        <v>-128000</v>
      </c>
      <c r="G752" s="11">
        <f t="shared" si="37"/>
        <v>943200</v>
      </c>
      <c r="H752" s="11">
        <f t="shared" si="38"/>
        <v>-51200</v>
      </c>
    </row>
    <row r="753" spans="1:8">
      <c r="A753" s="6" t="s">
        <v>18</v>
      </c>
      <c r="B753">
        <v>611000</v>
      </c>
      <c r="C753">
        <v>611000</v>
      </c>
      <c r="D753" s="8" t="str">
        <f>VLOOKUP(A753,Лист2!A:E,5,0)</f>
        <v>малые</v>
      </c>
      <c r="E753" s="10">
        <f>VLOOKUP(A753,Лист2!A:E,4,0)</f>
        <v>2.5</v>
      </c>
      <c r="F753" s="11">
        <f t="shared" si="36"/>
        <v>0</v>
      </c>
      <c r="G753" s="11">
        <f t="shared" si="37"/>
        <v>244400</v>
      </c>
      <c r="H753" s="11">
        <f t="shared" si="38"/>
        <v>0</v>
      </c>
    </row>
    <row r="754" spans="1:8">
      <c r="A754" s="6" t="s">
        <v>18</v>
      </c>
      <c r="B754">
        <v>1294000</v>
      </c>
      <c r="C754">
        <v>1234000</v>
      </c>
      <c r="D754" s="8" t="str">
        <f>VLOOKUP(A754,Лист2!A:E,5,0)</f>
        <v>малые</v>
      </c>
      <c r="E754" s="10">
        <f>VLOOKUP(A754,Лист2!A:E,4,0)</f>
        <v>2.5</v>
      </c>
      <c r="F754" s="11">
        <f t="shared" si="36"/>
        <v>60000</v>
      </c>
      <c r="G754" s="11">
        <f t="shared" si="37"/>
        <v>517600</v>
      </c>
      <c r="H754" s="11">
        <f t="shared" si="38"/>
        <v>24000</v>
      </c>
    </row>
    <row r="755" spans="1:8">
      <c r="A755" s="6" t="s">
        <v>18</v>
      </c>
      <c r="B755">
        <v>266000</v>
      </c>
      <c r="C755">
        <v>214000</v>
      </c>
      <c r="D755" s="8" t="str">
        <f>VLOOKUP(A755,Лист2!A:E,5,0)</f>
        <v>малые</v>
      </c>
      <c r="E755" s="10">
        <f>VLOOKUP(A755,Лист2!A:E,4,0)</f>
        <v>2.5</v>
      </c>
      <c r="F755" s="11">
        <f t="shared" si="36"/>
        <v>52000</v>
      </c>
      <c r="G755" s="11">
        <f t="shared" si="37"/>
        <v>106400</v>
      </c>
      <c r="H755" s="11">
        <f t="shared" si="38"/>
        <v>20800</v>
      </c>
    </row>
    <row r="756" spans="1:8">
      <c r="A756" s="6" t="s">
        <v>18</v>
      </c>
      <c r="B756">
        <v>766000</v>
      </c>
      <c r="C756">
        <v>122000</v>
      </c>
      <c r="D756" s="8" t="str">
        <f>VLOOKUP(A756,Лист2!A:E,5,0)</f>
        <v>малые</v>
      </c>
      <c r="E756" s="10">
        <f>VLOOKUP(A756,Лист2!A:E,4,0)</f>
        <v>2.5</v>
      </c>
      <c r="F756" s="11">
        <f t="shared" si="36"/>
        <v>644000</v>
      </c>
      <c r="G756" s="11">
        <f t="shared" si="37"/>
        <v>306400</v>
      </c>
      <c r="H756" s="11">
        <f t="shared" si="38"/>
        <v>257600</v>
      </c>
    </row>
    <row r="757" spans="1:8">
      <c r="A757" s="6" t="s">
        <v>18</v>
      </c>
      <c r="B757">
        <v>3284000</v>
      </c>
      <c r="C757">
        <v>4281000</v>
      </c>
      <c r="D757" s="8" t="str">
        <f>VLOOKUP(A757,Лист2!A:E,5,0)</f>
        <v>малые</v>
      </c>
      <c r="E757" s="10">
        <f>VLOOKUP(A757,Лист2!A:E,4,0)</f>
        <v>2.5</v>
      </c>
      <c r="F757" s="11">
        <f t="shared" si="36"/>
        <v>-997000</v>
      </c>
      <c r="G757" s="11">
        <f t="shared" si="37"/>
        <v>1313600</v>
      </c>
      <c r="H757" s="11">
        <f t="shared" si="38"/>
        <v>-398800</v>
      </c>
    </row>
    <row r="758" spans="1:8">
      <c r="A758" s="6" t="s">
        <v>77</v>
      </c>
      <c r="B758">
        <v>43154000</v>
      </c>
      <c r="C758">
        <v>51871000</v>
      </c>
      <c r="D758" s="8" t="str">
        <f>VLOOKUP(A758,Лист2!A:E,5,0)</f>
        <v>малые</v>
      </c>
      <c r="E758" s="10">
        <f>VLOOKUP(A758,Лист2!A:E,4,0)</f>
        <v>8</v>
      </c>
      <c r="F758" s="11">
        <f t="shared" si="36"/>
        <v>-8717000</v>
      </c>
      <c r="G758" s="11">
        <f t="shared" si="37"/>
        <v>5394250</v>
      </c>
      <c r="H758" s="11">
        <f t="shared" si="38"/>
        <v>-1089625</v>
      </c>
    </row>
    <row r="759" spans="1:8">
      <c r="A759" s="6" t="s">
        <v>18</v>
      </c>
      <c r="B759">
        <v>662000</v>
      </c>
      <c r="C759">
        <v>1110000</v>
      </c>
      <c r="D759" s="8" t="str">
        <f>VLOOKUP(A759,Лист2!A:E,5,0)</f>
        <v>малые</v>
      </c>
      <c r="E759" s="10">
        <f>VLOOKUP(A759,Лист2!A:E,4,0)</f>
        <v>2.5</v>
      </c>
      <c r="F759" s="11">
        <f t="shared" si="36"/>
        <v>-448000</v>
      </c>
      <c r="G759" s="11">
        <f t="shared" si="37"/>
        <v>264800</v>
      </c>
      <c r="H759" s="11">
        <f t="shared" si="38"/>
        <v>-179200</v>
      </c>
    </row>
    <row r="760" spans="1:8">
      <c r="A760" s="6" t="s">
        <v>18</v>
      </c>
      <c r="B760">
        <v>2700000</v>
      </c>
      <c r="C760">
        <v>2699000</v>
      </c>
      <c r="D760" s="8" t="str">
        <f>VLOOKUP(A760,Лист2!A:E,5,0)</f>
        <v>малые</v>
      </c>
      <c r="E760" s="10">
        <f>VLOOKUP(A760,Лист2!A:E,4,0)</f>
        <v>2.5</v>
      </c>
      <c r="F760" s="11">
        <f t="shared" si="36"/>
        <v>1000</v>
      </c>
      <c r="G760" s="11">
        <f t="shared" si="37"/>
        <v>1080000</v>
      </c>
      <c r="H760" s="11">
        <f t="shared" si="38"/>
        <v>400</v>
      </c>
    </row>
    <row r="761" spans="1:8">
      <c r="A761" s="6" t="s">
        <v>18</v>
      </c>
      <c r="B761">
        <v>647000</v>
      </c>
      <c r="C761">
        <v>567000</v>
      </c>
      <c r="D761" s="8" t="str">
        <f>VLOOKUP(A761,Лист2!A:E,5,0)</f>
        <v>малые</v>
      </c>
      <c r="E761" s="10">
        <f>VLOOKUP(A761,Лист2!A:E,4,0)</f>
        <v>2.5</v>
      </c>
      <c r="F761" s="11">
        <f t="shared" si="36"/>
        <v>80000</v>
      </c>
      <c r="G761" s="11">
        <f t="shared" si="37"/>
        <v>258800</v>
      </c>
      <c r="H761" s="11">
        <f t="shared" si="38"/>
        <v>32000</v>
      </c>
    </row>
    <row r="762" spans="1:8">
      <c r="A762" s="6" t="s">
        <v>18</v>
      </c>
      <c r="B762">
        <v>5576000</v>
      </c>
      <c r="C762">
        <v>4571000</v>
      </c>
      <c r="D762" s="8" t="str">
        <f>VLOOKUP(A762,Лист2!A:E,5,0)</f>
        <v>малые</v>
      </c>
      <c r="E762" s="10">
        <f>VLOOKUP(A762,Лист2!A:E,4,0)</f>
        <v>2.5</v>
      </c>
      <c r="F762" s="11">
        <f t="shared" si="36"/>
        <v>1005000</v>
      </c>
      <c r="G762" s="11">
        <f t="shared" si="37"/>
        <v>2230400</v>
      </c>
      <c r="H762" s="11">
        <f t="shared" si="38"/>
        <v>402000</v>
      </c>
    </row>
    <row r="763" spans="1:8">
      <c r="A763" s="6" t="s">
        <v>18</v>
      </c>
      <c r="B763">
        <v>3904000</v>
      </c>
      <c r="C763">
        <v>3336000</v>
      </c>
      <c r="D763" s="8" t="str">
        <f>VLOOKUP(A763,Лист2!A:E,5,0)</f>
        <v>малые</v>
      </c>
      <c r="E763" s="10">
        <f>VLOOKUP(A763,Лист2!A:E,4,0)</f>
        <v>2.5</v>
      </c>
      <c r="F763" s="11">
        <f t="shared" si="36"/>
        <v>568000</v>
      </c>
      <c r="G763" s="11">
        <f t="shared" si="37"/>
        <v>1561600</v>
      </c>
      <c r="H763" s="11">
        <f t="shared" si="38"/>
        <v>227200</v>
      </c>
    </row>
    <row r="764" spans="1:8">
      <c r="A764" s="6" t="s">
        <v>18</v>
      </c>
      <c r="B764">
        <v>1122000</v>
      </c>
      <c r="C764">
        <v>1230000</v>
      </c>
      <c r="D764" s="8" t="str">
        <f>VLOOKUP(A764,Лист2!A:E,5,0)</f>
        <v>малые</v>
      </c>
      <c r="E764" s="10">
        <f>VLOOKUP(A764,Лист2!A:E,4,0)</f>
        <v>2.5</v>
      </c>
      <c r="F764" s="11">
        <f t="shared" si="36"/>
        <v>-108000</v>
      </c>
      <c r="G764" s="11">
        <f t="shared" si="37"/>
        <v>448800</v>
      </c>
      <c r="H764" s="11">
        <f t="shared" si="38"/>
        <v>-43200</v>
      </c>
    </row>
    <row r="765" spans="1:8">
      <c r="A765" s="6" t="s">
        <v>18</v>
      </c>
      <c r="B765">
        <v>76000</v>
      </c>
      <c r="C765">
        <v>44000</v>
      </c>
      <c r="D765" s="8" t="str">
        <f>VLOOKUP(A765,Лист2!A:E,5,0)</f>
        <v>малые</v>
      </c>
      <c r="E765" s="10">
        <f>VLOOKUP(A765,Лист2!A:E,4,0)</f>
        <v>2.5</v>
      </c>
      <c r="F765" s="11">
        <f t="shared" si="36"/>
        <v>32000</v>
      </c>
      <c r="G765" s="11">
        <f t="shared" si="37"/>
        <v>30400</v>
      </c>
      <c r="H765" s="11">
        <f t="shared" si="38"/>
        <v>12800</v>
      </c>
    </row>
    <row r="766" spans="1:8">
      <c r="A766" s="6" t="s">
        <v>18</v>
      </c>
      <c r="B766">
        <v>320000</v>
      </c>
      <c r="C766">
        <v>320000</v>
      </c>
      <c r="D766" s="8" t="str">
        <f>VLOOKUP(A766,Лист2!A:E,5,0)</f>
        <v>малые</v>
      </c>
      <c r="E766" s="10">
        <f>VLOOKUP(A766,Лист2!A:E,4,0)</f>
        <v>2.5</v>
      </c>
      <c r="F766" s="11">
        <f t="shared" si="36"/>
        <v>0</v>
      </c>
      <c r="G766" s="11">
        <f t="shared" si="37"/>
        <v>128000</v>
      </c>
      <c r="H766" s="11">
        <f t="shared" si="38"/>
        <v>0</v>
      </c>
    </row>
    <row r="767" spans="1:8">
      <c r="A767" s="6" t="s">
        <v>18</v>
      </c>
      <c r="B767">
        <v>49000</v>
      </c>
      <c r="C767">
        <v>289000</v>
      </c>
      <c r="D767" s="8" t="str">
        <f>VLOOKUP(A767,Лист2!A:E,5,0)</f>
        <v>малые</v>
      </c>
      <c r="E767" s="10">
        <f>VLOOKUP(A767,Лист2!A:E,4,0)</f>
        <v>2.5</v>
      </c>
      <c r="F767" s="11">
        <f t="shared" si="36"/>
        <v>-240000</v>
      </c>
      <c r="G767" s="11">
        <f t="shared" si="37"/>
        <v>19600</v>
      </c>
      <c r="H767" s="11">
        <f t="shared" si="38"/>
        <v>-96000</v>
      </c>
    </row>
    <row r="768" spans="1:8">
      <c r="A768" s="6" t="s">
        <v>18</v>
      </c>
      <c r="B768">
        <v>17457000</v>
      </c>
      <c r="C768">
        <v>15191000</v>
      </c>
      <c r="D768" s="8" t="str">
        <f>VLOOKUP(A768,Лист2!A:E,5,0)</f>
        <v>малые</v>
      </c>
      <c r="E768" s="10">
        <f>VLOOKUP(A768,Лист2!A:E,4,0)</f>
        <v>2.5</v>
      </c>
      <c r="F768" s="11">
        <f t="shared" si="36"/>
        <v>2266000</v>
      </c>
      <c r="G768" s="11">
        <f t="shared" si="37"/>
        <v>6982800</v>
      </c>
      <c r="H768" s="11">
        <f t="shared" si="38"/>
        <v>906400</v>
      </c>
    </row>
    <row r="769" spans="1:8">
      <c r="A769" s="6" t="s">
        <v>18</v>
      </c>
      <c r="B769">
        <v>23000</v>
      </c>
      <c r="C769">
        <v>27000</v>
      </c>
      <c r="D769" s="8" t="str">
        <f>VLOOKUP(A769,Лист2!A:E,5,0)</f>
        <v>малые</v>
      </c>
      <c r="E769" s="10">
        <f>VLOOKUP(A769,Лист2!A:E,4,0)</f>
        <v>2.5</v>
      </c>
      <c r="F769" s="11">
        <f t="shared" si="36"/>
        <v>-4000</v>
      </c>
      <c r="G769" s="11">
        <f t="shared" si="37"/>
        <v>9200</v>
      </c>
      <c r="H769" s="11">
        <f t="shared" si="38"/>
        <v>-1600</v>
      </c>
    </row>
    <row r="770" spans="1:8">
      <c r="A770" s="6" t="s">
        <v>18</v>
      </c>
      <c r="B770">
        <v>14718000</v>
      </c>
      <c r="C770">
        <v>13676000</v>
      </c>
      <c r="D770" s="8" t="str">
        <f>VLOOKUP(A770,Лист2!A:E,5,0)</f>
        <v>малые</v>
      </c>
      <c r="E770" s="10">
        <f>VLOOKUP(A770,Лист2!A:E,4,0)</f>
        <v>2.5</v>
      </c>
      <c r="F770" s="11">
        <f t="shared" si="36"/>
        <v>1042000</v>
      </c>
      <c r="G770" s="11">
        <f t="shared" si="37"/>
        <v>5887200</v>
      </c>
      <c r="H770" s="11">
        <f t="shared" si="38"/>
        <v>416800</v>
      </c>
    </row>
    <row r="771" spans="1:8">
      <c r="A771" s="6" t="s">
        <v>18</v>
      </c>
      <c r="B771">
        <v>77000</v>
      </c>
      <c r="C771">
        <v>78000</v>
      </c>
      <c r="D771" s="8" t="str">
        <f>VLOOKUP(A771,Лист2!A:E,5,0)</f>
        <v>малые</v>
      </c>
      <c r="E771" s="10">
        <f>VLOOKUP(A771,Лист2!A:E,4,0)</f>
        <v>2.5</v>
      </c>
      <c r="F771" s="11">
        <f t="shared" si="36"/>
        <v>-1000</v>
      </c>
      <c r="G771" s="11">
        <f t="shared" si="37"/>
        <v>30800</v>
      </c>
      <c r="H771" s="11">
        <f t="shared" si="38"/>
        <v>-400</v>
      </c>
    </row>
    <row r="772" spans="1:8">
      <c r="A772" s="6" t="s">
        <v>18</v>
      </c>
      <c r="B772">
        <v>192000</v>
      </c>
      <c r="C772">
        <v>192000</v>
      </c>
      <c r="D772" s="8" t="str">
        <f>VLOOKUP(A772,Лист2!A:E,5,0)</f>
        <v>малые</v>
      </c>
      <c r="E772" s="10">
        <f>VLOOKUP(A772,Лист2!A:E,4,0)</f>
        <v>2.5</v>
      </c>
      <c r="F772" s="11">
        <f t="shared" si="36"/>
        <v>0</v>
      </c>
      <c r="G772" s="11">
        <f t="shared" si="37"/>
        <v>76800</v>
      </c>
      <c r="H772" s="11">
        <f t="shared" si="38"/>
        <v>0</v>
      </c>
    </row>
    <row r="773" spans="1:8">
      <c r="A773" s="6" t="s">
        <v>18</v>
      </c>
      <c r="B773">
        <v>1680000</v>
      </c>
      <c r="C773">
        <v>1911000</v>
      </c>
      <c r="D773" s="8" t="str">
        <f>VLOOKUP(A773,Лист2!A:E,5,0)</f>
        <v>малые</v>
      </c>
      <c r="E773" s="10">
        <f>VLOOKUP(A773,Лист2!A:E,4,0)</f>
        <v>2.5</v>
      </c>
      <c r="F773" s="11">
        <f t="shared" si="36"/>
        <v>-231000</v>
      </c>
      <c r="G773" s="11">
        <f t="shared" si="37"/>
        <v>672000</v>
      </c>
      <c r="H773" s="11">
        <f t="shared" si="38"/>
        <v>-92400</v>
      </c>
    </row>
    <row r="774" spans="1:8">
      <c r="A774" s="6" t="s">
        <v>18</v>
      </c>
      <c r="B774">
        <v>800000</v>
      </c>
      <c r="C774">
        <v>804000</v>
      </c>
      <c r="D774" s="8" t="str">
        <f>VLOOKUP(A774,Лист2!A:E,5,0)</f>
        <v>малые</v>
      </c>
      <c r="E774" s="10">
        <f>VLOOKUP(A774,Лист2!A:E,4,0)</f>
        <v>2.5</v>
      </c>
      <c r="F774" s="11">
        <f t="shared" si="36"/>
        <v>-4000</v>
      </c>
      <c r="G774" s="11">
        <f t="shared" si="37"/>
        <v>320000</v>
      </c>
      <c r="H774" s="11">
        <f t="shared" si="38"/>
        <v>-1600</v>
      </c>
    </row>
    <row r="775" spans="1:8">
      <c r="A775" s="6" t="s">
        <v>18</v>
      </c>
      <c r="B775">
        <v>1410000</v>
      </c>
      <c r="C775">
        <v>1420000</v>
      </c>
      <c r="D775" s="8" t="str">
        <f>VLOOKUP(A775,Лист2!A:E,5,0)</f>
        <v>малые</v>
      </c>
      <c r="E775" s="10">
        <f>VLOOKUP(A775,Лист2!A:E,4,0)</f>
        <v>2.5</v>
      </c>
      <c r="F775" s="11">
        <f t="shared" si="36"/>
        <v>-10000</v>
      </c>
      <c r="G775" s="11">
        <f t="shared" si="37"/>
        <v>564000</v>
      </c>
      <c r="H775" s="11">
        <f t="shared" si="38"/>
        <v>-4000</v>
      </c>
    </row>
    <row r="776" spans="1:8">
      <c r="A776" s="6" t="s">
        <v>18</v>
      </c>
      <c r="B776">
        <v>4625000</v>
      </c>
      <c r="C776">
        <v>2946000</v>
      </c>
      <c r="D776" s="8" t="str">
        <f>VLOOKUP(A776,Лист2!A:E,5,0)</f>
        <v>малые</v>
      </c>
      <c r="E776" s="10">
        <f>VLOOKUP(A776,Лист2!A:E,4,0)</f>
        <v>2.5</v>
      </c>
      <c r="F776" s="11">
        <f t="shared" si="36"/>
        <v>1679000</v>
      </c>
      <c r="G776" s="11">
        <f t="shared" si="37"/>
        <v>1850000</v>
      </c>
      <c r="H776" s="11">
        <f t="shared" si="38"/>
        <v>671600</v>
      </c>
    </row>
    <row r="777" spans="1:8">
      <c r="A777" s="6" t="s">
        <v>18</v>
      </c>
      <c r="B777">
        <v>3500000</v>
      </c>
      <c r="C777">
        <v>3571000</v>
      </c>
      <c r="D777" s="8" t="str">
        <f>VLOOKUP(A777,Лист2!A:E,5,0)</f>
        <v>малые</v>
      </c>
      <c r="E777" s="10">
        <f>VLOOKUP(A777,Лист2!A:E,4,0)</f>
        <v>2.5</v>
      </c>
      <c r="F777" s="11">
        <f t="shared" si="36"/>
        <v>-71000</v>
      </c>
      <c r="G777" s="11">
        <f t="shared" si="37"/>
        <v>1400000</v>
      </c>
      <c r="H777" s="11">
        <f t="shared" si="38"/>
        <v>-28400</v>
      </c>
    </row>
    <row r="778" spans="1:8">
      <c r="A778" s="6" t="s">
        <v>807</v>
      </c>
      <c r="B778">
        <v>71350000</v>
      </c>
      <c r="C778">
        <v>71271000</v>
      </c>
      <c r="D778" s="8" t="str">
        <f>VLOOKUP(A778,Лист2!A:E,5,0)</f>
        <v>средние</v>
      </c>
      <c r="E778" s="10">
        <f>VLOOKUP(A778,Лист2!A:E,4,0)</f>
        <v>175.5</v>
      </c>
      <c r="F778" s="11">
        <f t="shared" si="36"/>
        <v>79000</v>
      </c>
      <c r="G778" s="11">
        <f t="shared" si="37"/>
        <v>406552.70655270654</v>
      </c>
      <c r="H778" s="11">
        <f t="shared" si="38"/>
        <v>450.14245014245012</v>
      </c>
    </row>
    <row r="779" spans="1:8">
      <c r="A779" s="6" t="s">
        <v>18</v>
      </c>
      <c r="B779">
        <v>3983000</v>
      </c>
      <c r="C779">
        <v>3983000</v>
      </c>
      <c r="D779" s="8" t="str">
        <f>VLOOKUP(A779,Лист2!A:E,5,0)</f>
        <v>малые</v>
      </c>
      <c r="E779" s="10">
        <f>VLOOKUP(A779,Лист2!A:E,4,0)</f>
        <v>2.5</v>
      </c>
      <c r="F779" s="11">
        <f t="shared" si="36"/>
        <v>0</v>
      </c>
      <c r="G779" s="11">
        <f t="shared" si="37"/>
        <v>1593200</v>
      </c>
      <c r="H779" s="11">
        <f t="shared" si="38"/>
        <v>0</v>
      </c>
    </row>
    <row r="780" spans="1:8">
      <c r="A780" s="6" t="s">
        <v>18</v>
      </c>
      <c r="B780">
        <v>2721000</v>
      </c>
      <c r="C780">
        <v>2835000</v>
      </c>
      <c r="D780" s="8" t="str">
        <f>VLOOKUP(A780,Лист2!A:E,5,0)</f>
        <v>малые</v>
      </c>
      <c r="E780" s="10">
        <f>VLOOKUP(A780,Лист2!A:E,4,0)</f>
        <v>2.5</v>
      </c>
      <c r="F780" s="11">
        <f t="shared" si="36"/>
        <v>-114000</v>
      </c>
      <c r="G780" s="11">
        <f t="shared" si="37"/>
        <v>1088400</v>
      </c>
      <c r="H780" s="11">
        <f t="shared" si="38"/>
        <v>-45600</v>
      </c>
    </row>
    <row r="781" spans="1:8">
      <c r="A781" s="6" t="s">
        <v>18</v>
      </c>
      <c r="B781">
        <v>7647000</v>
      </c>
      <c r="C781">
        <v>7152000</v>
      </c>
      <c r="D781" s="8" t="str">
        <f>VLOOKUP(A781,Лист2!A:E,5,0)</f>
        <v>малые</v>
      </c>
      <c r="E781" s="10">
        <f>VLOOKUP(A781,Лист2!A:E,4,0)</f>
        <v>2.5</v>
      </c>
      <c r="F781" s="11">
        <f t="shared" si="36"/>
        <v>495000</v>
      </c>
      <c r="G781" s="11">
        <f t="shared" si="37"/>
        <v>3058800</v>
      </c>
      <c r="H781" s="11">
        <f t="shared" si="38"/>
        <v>198000</v>
      </c>
    </row>
    <row r="782" spans="1:8">
      <c r="A782" s="6" t="s">
        <v>18</v>
      </c>
      <c r="B782">
        <v>120228000</v>
      </c>
      <c r="C782">
        <v>16390000</v>
      </c>
      <c r="D782" s="8" t="str">
        <f>VLOOKUP(A782,Лист2!A:E,5,0)</f>
        <v>малые</v>
      </c>
      <c r="E782" s="10">
        <f>VLOOKUP(A782,Лист2!A:E,4,0)</f>
        <v>2.5</v>
      </c>
      <c r="F782" s="11">
        <f t="shared" si="36"/>
        <v>103838000</v>
      </c>
      <c r="G782" s="11">
        <f t="shared" si="37"/>
        <v>48091200</v>
      </c>
      <c r="H782" s="11">
        <f t="shared" si="38"/>
        <v>41535200</v>
      </c>
    </row>
    <row r="783" spans="1:8">
      <c r="A783" s="6" t="s">
        <v>18</v>
      </c>
      <c r="B783">
        <v>190000</v>
      </c>
      <c r="C783">
        <v>91000</v>
      </c>
      <c r="D783" s="8" t="str">
        <f>VLOOKUP(A783,Лист2!A:E,5,0)</f>
        <v>малые</v>
      </c>
      <c r="E783" s="10">
        <f>VLOOKUP(A783,Лист2!A:E,4,0)</f>
        <v>2.5</v>
      </c>
      <c r="F783" s="11">
        <f t="shared" si="36"/>
        <v>99000</v>
      </c>
      <c r="G783" s="11">
        <f t="shared" si="37"/>
        <v>76000</v>
      </c>
      <c r="H783" s="11">
        <f t="shared" si="38"/>
        <v>39600</v>
      </c>
    </row>
    <row r="784" spans="1:8">
      <c r="A784" s="6" t="s">
        <v>18</v>
      </c>
      <c r="B784">
        <v>1100000</v>
      </c>
      <c r="C784">
        <v>1111000</v>
      </c>
      <c r="D784" s="8" t="str">
        <f>VLOOKUP(A784,Лист2!A:E,5,0)</f>
        <v>малые</v>
      </c>
      <c r="E784" s="10">
        <f>VLOOKUP(A784,Лист2!A:E,4,0)</f>
        <v>2.5</v>
      </c>
      <c r="F784" s="11">
        <f t="shared" si="36"/>
        <v>-11000</v>
      </c>
      <c r="G784" s="11">
        <f t="shared" si="37"/>
        <v>440000</v>
      </c>
      <c r="H784" s="11">
        <f t="shared" si="38"/>
        <v>-4400</v>
      </c>
    </row>
    <row r="785" spans="1:8">
      <c r="A785" s="6" t="s">
        <v>18</v>
      </c>
      <c r="B785">
        <v>4612000</v>
      </c>
      <c r="C785">
        <v>5016000</v>
      </c>
      <c r="D785" s="8" t="str">
        <f>VLOOKUP(A785,Лист2!A:E,5,0)</f>
        <v>малые</v>
      </c>
      <c r="E785" s="10">
        <f>VLOOKUP(A785,Лист2!A:E,4,0)</f>
        <v>2.5</v>
      </c>
      <c r="F785" s="11">
        <f t="shared" si="36"/>
        <v>-404000</v>
      </c>
      <c r="G785" s="11">
        <f t="shared" si="37"/>
        <v>1844800</v>
      </c>
      <c r="H785" s="11">
        <f t="shared" si="38"/>
        <v>-161600</v>
      </c>
    </row>
    <row r="786" spans="1:8">
      <c r="A786" s="6" t="s">
        <v>22</v>
      </c>
      <c r="B786">
        <v>62765000</v>
      </c>
      <c r="C786">
        <v>73680000</v>
      </c>
      <c r="D786" s="8" t="str">
        <f>VLOOKUP(A786,Лист2!A:E,5,0)</f>
        <v>малые</v>
      </c>
      <c r="E786" s="10">
        <f>VLOOKUP(A786,Лист2!A:E,4,0)</f>
        <v>13</v>
      </c>
      <c r="F786" s="11">
        <f t="shared" si="36"/>
        <v>-10915000</v>
      </c>
      <c r="G786" s="11">
        <f t="shared" si="37"/>
        <v>4828076.923076923</v>
      </c>
      <c r="H786" s="11">
        <f t="shared" si="38"/>
        <v>-839615.38461538462</v>
      </c>
    </row>
    <row r="787" spans="1:8">
      <c r="A787" s="6" t="s">
        <v>18</v>
      </c>
      <c r="B787">
        <v>2500000</v>
      </c>
      <c r="C787">
        <v>2512000</v>
      </c>
      <c r="D787" s="8" t="str">
        <f>VLOOKUP(A787,Лист2!A:E,5,0)</f>
        <v>малые</v>
      </c>
      <c r="E787" s="10">
        <f>VLOOKUP(A787,Лист2!A:E,4,0)</f>
        <v>2.5</v>
      </c>
      <c r="F787" s="11">
        <f t="shared" si="36"/>
        <v>-12000</v>
      </c>
      <c r="G787" s="11">
        <f t="shared" si="37"/>
        <v>1000000</v>
      </c>
      <c r="H787" s="11">
        <f t="shared" si="38"/>
        <v>-4800</v>
      </c>
    </row>
    <row r="788" spans="1:8">
      <c r="A788" s="6" t="s">
        <v>18</v>
      </c>
      <c r="B788">
        <v>1027000</v>
      </c>
      <c r="C788">
        <v>1035000</v>
      </c>
      <c r="D788" s="8" t="str">
        <f>VLOOKUP(A788,Лист2!A:E,5,0)</f>
        <v>малые</v>
      </c>
      <c r="E788" s="10">
        <f>VLOOKUP(A788,Лист2!A:E,4,0)</f>
        <v>2.5</v>
      </c>
      <c r="F788" s="11">
        <f t="shared" si="36"/>
        <v>-8000</v>
      </c>
      <c r="G788" s="11">
        <f t="shared" si="37"/>
        <v>410800</v>
      </c>
      <c r="H788" s="11">
        <f t="shared" si="38"/>
        <v>-3200</v>
      </c>
    </row>
    <row r="789" spans="1:8">
      <c r="A789" s="6" t="s">
        <v>18</v>
      </c>
      <c r="B789">
        <v>75000</v>
      </c>
      <c r="C789">
        <v>71000</v>
      </c>
      <c r="D789" s="8" t="str">
        <f>VLOOKUP(A789,Лист2!A:E,5,0)</f>
        <v>малые</v>
      </c>
      <c r="E789" s="10">
        <f>VLOOKUP(A789,Лист2!A:E,4,0)</f>
        <v>2.5</v>
      </c>
      <c r="F789" s="11">
        <f t="shared" si="36"/>
        <v>4000</v>
      </c>
      <c r="G789" s="11">
        <f t="shared" si="37"/>
        <v>30000</v>
      </c>
      <c r="H789" s="11">
        <f t="shared" si="38"/>
        <v>1600</v>
      </c>
    </row>
    <row r="790" spans="1:8">
      <c r="A790" s="6" t="s">
        <v>18</v>
      </c>
      <c r="B790">
        <v>28346000</v>
      </c>
      <c r="C790">
        <v>24187000</v>
      </c>
      <c r="D790" s="8" t="str">
        <f>VLOOKUP(A790,Лист2!A:E,5,0)</f>
        <v>малые</v>
      </c>
      <c r="E790" s="10">
        <f>VLOOKUP(A790,Лист2!A:E,4,0)</f>
        <v>2.5</v>
      </c>
      <c r="F790" s="11">
        <f t="shared" si="36"/>
        <v>4159000</v>
      </c>
      <c r="G790" s="11">
        <f t="shared" si="37"/>
        <v>11338400</v>
      </c>
      <c r="H790" s="11">
        <f t="shared" si="38"/>
        <v>1663600</v>
      </c>
    </row>
    <row r="791" spans="1:8">
      <c r="A791" s="6" t="s">
        <v>18</v>
      </c>
      <c r="B791">
        <v>5415000</v>
      </c>
      <c r="C791">
        <v>4818000</v>
      </c>
      <c r="D791" s="8" t="str">
        <f>VLOOKUP(A791,Лист2!A:E,5,0)</f>
        <v>малые</v>
      </c>
      <c r="E791" s="10">
        <f>VLOOKUP(A791,Лист2!A:E,4,0)</f>
        <v>2.5</v>
      </c>
      <c r="F791" s="11">
        <f t="shared" si="36"/>
        <v>597000</v>
      </c>
      <c r="G791" s="11">
        <f t="shared" si="37"/>
        <v>2166000</v>
      </c>
      <c r="H791" s="11">
        <f t="shared" si="38"/>
        <v>238800</v>
      </c>
    </row>
    <row r="792" spans="1:8">
      <c r="A792" s="6" t="s">
        <v>18</v>
      </c>
      <c r="B792">
        <v>5311000</v>
      </c>
      <c r="C792">
        <v>5144000</v>
      </c>
      <c r="D792" s="8" t="str">
        <f>VLOOKUP(A792,Лист2!A:E,5,0)</f>
        <v>малые</v>
      </c>
      <c r="E792" s="10">
        <f>VLOOKUP(A792,Лист2!A:E,4,0)</f>
        <v>2.5</v>
      </c>
      <c r="F792" s="11">
        <f t="shared" si="36"/>
        <v>167000</v>
      </c>
      <c r="G792" s="11">
        <f t="shared" si="37"/>
        <v>2124400</v>
      </c>
      <c r="H792" s="11">
        <f t="shared" si="38"/>
        <v>66800</v>
      </c>
    </row>
    <row r="793" spans="1:8">
      <c r="A793" s="6" t="s">
        <v>18</v>
      </c>
      <c r="B793">
        <v>38000</v>
      </c>
      <c r="C793">
        <v>44000</v>
      </c>
      <c r="D793" s="8" t="str">
        <f>VLOOKUP(A793,Лист2!A:E,5,0)</f>
        <v>малые</v>
      </c>
      <c r="E793" s="10">
        <f>VLOOKUP(A793,Лист2!A:E,4,0)</f>
        <v>2.5</v>
      </c>
      <c r="F793" s="11">
        <f t="shared" si="36"/>
        <v>-6000</v>
      </c>
      <c r="G793" s="11">
        <f t="shared" si="37"/>
        <v>15200</v>
      </c>
      <c r="H793" s="11">
        <f t="shared" si="38"/>
        <v>-2400</v>
      </c>
    </row>
    <row r="794" spans="1:8">
      <c r="A794" s="6" t="s">
        <v>18</v>
      </c>
      <c r="B794">
        <v>3103000</v>
      </c>
      <c r="C794">
        <v>2867000</v>
      </c>
      <c r="D794" s="8" t="str">
        <f>VLOOKUP(A794,Лист2!A:E,5,0)</f>
        <v>малые</v>
      </c>
      <c r="E794" s="10">
        <f>VLOOKUP(A794,Лист2!A:E,4,0)</f>
        <v>2.5</v>
      </c>
      <c r="F794" s="11">
        <f t="shared" si="36"/>
        <v>236000</v>
      </c>
      <c r="G794" s="11">
        <f t="shared" si="37"/>
        <v>1241200</v>
      </c>
      <c r="H794" s="11">
        <f t="shared" si="38"/>
        <v>94400</v>
      </c>
    </row>
    <row r="795" spans="1:8">
      <c r="A795" s="6" t="s">
        <v>18</v>
      </c>
      <c r="B795">
        <v>595000</v>
      </c>
      <c r="C795">
        <v>159000</v>
      </c>
      <c r="D795" s="8" t="str">
        <f>VLOOKUP(A795,Лист2!A:E,5,0)</f>
        <v>малые</v>
      </c>
      <c r="E795" s="10">
        <f>VLOOKUP(A795,Лист2!A:E,4,0)</f>
        <v>2.5</v>
      </c>
      <c r="F795" s="11">
        <f t="shared" si="36"/>
        <v>436000</v>
      </c>
      <c r="G795" s="11">
        <f t="shared" si="37"/>
        <v>238000</v>
      </c>
      <c r="H795" s="11">
        <f t="shared" si="38"/>
        <v>174400</v>
      </c>
    </row>
    <row r="796" spans="1:8">
      <c r="A796" s="6" t="s">
        <v>18</v>
      </c>
      <c r="B796">
        <v>109000</v>
      </c>
      <c r="C796">
        <v>113000</v>
      </c>
      <c r="D796" s="8" t="str">
        <f>VLOOKUP(A796,Лист2!A:E,5,0)</f>
        <v>малые</v>
      </c>
      <c r="E796" s="10">
        <f>VLOOKUP(A796,Лист2!A:E,4,0)</f>
        <v>2.5</v>
      </c>
      <c r="F796" s="11">
        <f t="shared" si="36"/>
        <v>-4000</v>
      </c>
      <c r="G796" s="11">
        <f t="shared" si="37"/>
        <v>43600</v>
      </c>
      <c r="H796" s="11">
        <f t="shared" si="38"/>
        <v>-1600</v>
      </c>
    </row>
    <row r="797" spans="1:8">
      <c r="A797" s="6" t="s">
        <v>23</v>
      </c>
      <c r="B797">
        <v>39620000</v>
      </c>
      <c r="C797">
        <v>40134000</v>
      </c>
      <c r="D797" s="8" t="str">
        <f>VLOOKUP(A797,Лист2!A:E,5,0)</f>
        <v>средние</v>
      </c>
      <c r="E797" s="10">
        <f>VLOOKUP(A797,Лист2!A:E,4,0)</f>
        <v>75.5</v>
      </c>
      <c r="F797" s="11">
        <f t="shared" si="36"/>
        <v>-514000</v>
      </c>
      <c r="G797" s="11">
        <f t="shared" si="37"/>
        <v>524768.21192052984</v>
      </c>
      <c r="H797" s="11">
        <f t="shared" si="38"/>
        <v>-6807.9470198675499</v>
      </c>
    </row>
    <row r="798" spans="1:8">
      <c r="A798" s="6" t="s">
        <v>18</v>
      </c>
      <c r="B798">
        <v>1685000</v>
      </c>
      <c r="C798">
        <v>1663000</v>
      </c>
      <c r="D798" s="8" t="str">
        <f>VLOOKUP(A798,Лист2!A:E,5,0)</f>
        <v>малые</v>
      </c>
      <c r="E798" s="10">
        <f>VLOOKUP(A798,Лист2!A:E,4,0)</f>
        <v>2.5</v>
      </c>
      <c r="F798" s="11">
        <f t="shared" si="36"/>
        <v>22000</v>
      </c>
      <c r="G798" s="11">
        <f t="shared" si="37"/>
        <v>674000</v>
      </c>
      <c r="H798" s="11">
        <f t="shared" si="38"/>
        <v>8800</v>
      </c>
    </row>
    <row r="799" spans="1:8">
      <c r="A799" s="6" t="s">
        <v>18</v>
      </c>
      <c r="B799">
        <v>768000</v>
      </c>
      <c r="C799">
        <v>802000</v>
      </c>
      <c r="D799" s="8" t="str">
        <f>VLOOKUP(A799,Лист2!A:E,5,0)</f>
        <v>малые</v>
      </c>
      <c r="E799" s="10">
        <f>VLOOKUP(A799,Лист2!A:E,4,0)</f>
        <v>2.5</v>
      </c>
      <c r="F799" s="11">
        <f t="shared" si="36"/>
        <v>-34000</v>
      </c>
      <c r="G799" s="11">
        <f t="shared" si="37"/>
        <v>307200</v>
      </c>
      <c r="H799" s="11">
        <f t="shared" si="38"/>
        <v>-13600</v>
      </c>
    </row>
    <row r="800" spans="1:8">
      <c r="A800" s="6" t="s">
        <v>77</v>
      </c>
      <c r="B800">
        <v>1369000</v>
      </c>
      <c r="C800">
        <v>1661000</v>
      </c>
      <c r="D800" s="8" t="str">
        <f>VLOOKUP(A800,Лист2!A:E,5,0)</f>
        <v>малые</v>
      </c>
      <c r="E800" s="10">
        <f>VLOOKUP(A800,Лист2!A:E,4,0)</f>
        <v>8</v>
      </c>
      <c r="F800" s="11">
        <f t="shared" ref="F800:F859" si="39">B800-C800</f>
        <v>-292000</v>
      </c>
      <c r="G800" s="11">
        <f t="shared" ref="G800:G859" si="40">B800/E800</f>
        <v>171125</v>
      </c>
      <c r="H800" s="11">
        <f t="shared" ref="H800:H859" si="41">F800/E800</f>
        <v>-36500</v>
      </c>
    </row>
    <row r="801" spans="1:8">
      <c r="A801" s="6" t="s">
        <v>18</v>
      </c>
      <c r="B801">
        <v>90000</v>
      </c>
      <c r="C801">
        <v>90000</v>
      </c>
      <c r="D801" s="8" t="str">
        <f>VLOOKUP(A801,Лист2!A:E,5,0)</f>
        <v>малые</v>
      </c>
      <c r="E801" s="10">
        <f>VLOOKUP(A801,Лист2!A:E,4,0)</f>
        <v>2.5</v>
      </c>
      <c r="F801" s="11">
        <f t="shared" si="39"/>
        <v>0</v>
      </c>
      <c r="G801" s="11">
        <f t="shared" si="40"/>
        <v>36000</v>
      </c>
      <c r="H801" s="11">
        <f t="shared" si="41"/>
        <v>0</v>
      </c>
    </row>
    <row r="802" spans="1:8">
      <c r="A802" s="6" t="s">
        <v>18</v>
      </c>
      <c r="B802">
        <v>425000</v>
      </c>
      <c r="C802">
        <v>372000</v>
      </c>
      <c r="D802" s="8" t="str">
        <f>VLOOKUP(A802,Лист2!A:E,5,0)</f>
        <v>малые</v>
      </c>
      <c r="E802" s="10">
        <f>VLOOKUP(A802,Лист2!A:E,4,0)</f>
        <v>2.5</v>
      </c>
      <c r="F802" s="11">
        <f t="shared" si="39"/>
        <v>53000</v>
      </c>
      <c r="G802" s="11">
        <f t="shared" si="40"/>
        <v>170000</v>
      </c>
      <c r="H802" s="11">
        <f t="shared" si="41"/>
        <v>21200</v>
      </c>
    </row>
    <row r="803" spans="1:8">
      <c r="A803" s="6" t="s">
        <v>18</v>
      </c>
      <c r="B803">
        <v>16570000</v>
      </c>
      <c r="C803">
        <v>14303000</v>
      </c>
      <c r="D803" s="8" t="str">
        <f>VLOOKUP(A803,Лист2!A:E,5,0)</f>
        <v>малые</v>
      </c>
      <c r="E803" s="10">
        <f>VLOOKUP(A803,Лист2!A:E,4,0)</f>
        <v>2.5</v>
      </c>
      <c r="F803" s="11">
        <f t="shared" si="39"/>
        <v>2267000</v>
      </c>
      <c r="G803" s="11">
        <f t="shared" si="40"/>
        <v>6628000</v>
      </c>
      <c r="H803" s="11">
        <f t="shared" si="41"/>
        <v>906800</v>
      </c>
    </row>
    <row r="804" spans="1:8">
      <c r="A804" s="6" t="s">
        <v>18</v>
      </c>
      <c r="B804">
        <v>20000000</v>
      </c>
      <c r="C804">
        <v>20000000</v>
      </c>
      <c r="D804" s="8" t="str">
        <f>VLOOKUP(A804,Лист2!A:E,5,0)</f>
        <v>малые</v>
      </c>
      <c r="E804" s="10">
        <f>VLOOKUP(A804,Лист2!A:E,4,0)</f>
        <v>2.5</v>
      </c>
      <c r="F804" s="11">
        <f t="shared" si="39"/>
        <v>0</v>
      </c>
      <c r="G804" s="11">
        <f t="shared" si="40"/>
        <v>8000000</v>
      </c>
      <c r="H804" s="11">
        <f t="shared" si="41"/>
        <v>0</v>
      </c>
    </row>
    <row r="805" spans="1:8">
      <c r="A805" s="6" t="s">
        <v>18</v>
      </c>
      <c r="B805">
        <v>499000</v>
      </c>
      <c r="C805">
        <v>201000</v>
      </c>
      <c r="D805" s="8" t="str">
        <f>VLOOKUP(A805,Лист2!A:E,5,0)</f>
        <v>малые</v>
      </c>
      <c r="E805" s="10">
        <f>VLOOKUP(A805,Лист2!A:E,4,0)</f>
        <v>2.5</v>
      </c>
      <c r="F805" s="11">
        <f t="shared" si="39"/>
        <v>298000</v>
      </c>
      <c r="G805" s="11">
        <f t="shared" si="40"/>
        <v>199600</v>
      </c>
      <c r="H805" s="11">
        <f t="shared" si="41"/>
        <v>119200</v>
      </c>
    </row>
    <row r="806" spans="1:8">
      <c r="A806" s="6" t="s">
        <v>18</v>
      </c>
      <c r="B806">
        <v>4179000</v>
      </c>
      <c r="C806">
        <v>4172000</v>
      </c>
      <c r="D806" s="8" t="str">
        <f>VLOOKUP(A806,Лист2!A:E,5,0)</f>
        <v>малые</v>
      </c>
      <c r="E806" s="10">
        <f>VLOOKUP(A806,Лист2!A:E,4,0)</f>
        <v>2.5</v>
      </c>
      <c r="F806" s="11">
        <f t="shared" si="39"/>
        <v>7000</v>
      </c>
      <c r="G806" s="11">
        <f t="shared" si="40"/>
        <v>1671600</v>
      </c>
      <c r="H806" s="11">
        <f t="shared" si="41"/>
        <v>2800</v>
      </c>
    </row>
    <row r="807" spans="1:8">
      <c r="A807" s="6" t="s">
        <v>18</v>
      </c>
      <c r="B807">
        <v>6714000</v>
      </c>
      <c r="C807">
        <v>7733000</v>
      </c>
      <c r="D807" s="8" t="str">
        <f>VLOOKUP(A807,Лист2!A:E,5,0)</f>
        <v>малые</v>
      </c>
      <c r="E807" s="10">
        <f>VLOOKUP(A807,Лист2!A:E,4,0)</f>
        <v>2.5</v>
      </c>
      <c r="F807" s="11">
        <f t="shared" si="39"/>
        <v>-1019000</v>
      </c>
      <c r="G807" s="11">
        <f t="shared" si="40"/>
        <v>2685600</v>
      </c>
      <c r="H807" s="11">
        <f t="shared" si="41"/>
        <v>-407600</v>
      </c>
    </row>
    <row r="808" spans="1:8">
      <c r="A808" s="6" t="s">
        <v>18</v>
      </c>
      <c r="B808">
        <v>301000</v>
      </c>
      <c r="C808">
        <v>301000</v>
      </c>
      <c r="D808" s="8" t="str">
        <f>VLOOKUP(A808,Лист2!A:E,5,0)</f>
        <v>малые</v>
      </c>
      <c r="E808" s="10">
        <f>VLOOKUP(A808,Лист2!A:E,4,0)</f>
        <v>2.5</v>
      </c>
      <c r="F808" s="11">
        <f t="shared" si="39"/>
        <v>0</v>
      </c>
      <c r="G808" s="11">
        <f t="shared" si="40"/>
        <v>120400</v>
      </c>
      <c r="H808" s="11">
        <f t="shared" si="41"/>
        <v>0</v>
      </c>
    </row>
    <row r="809" spans="1:8">
      <c r="A809" s="6" t="s">
        <v>18</v>
      </c>
      <c r="B809">
        <v>2500000</v>
      </c>
      <c r="C809">
        <v>2482000</v>
      </c>
      <c r="D809" s="8" t="str">
        <f>VLOOKUP(A809,Лист2!A:E,5,0)</f>
        <v>малые</v>
      </c>
      <c r="E809" s="10">
        <f>VLOOKUP(A809,Лист2!A:E,4,0)</f>
        <v>2.5</v>
      </c>
      <c r="F809" s="11">
        <f t="shared" si="39"/>
        <v>18000</v>
      </c>
      <c r="G809" s="11">
        <f t="shared" si="40"/>
        <v>1000000</v>
      </c>
      <c r="H809" s="11">
        <f t="shared" si="41"/>
        <v>7200</v>
      </c>
    </row>
    <row r="810" spans="1:8">
      <c r="A810" s="6" t="s">
        <v>18</v>
      </c>
      <c r="B810">
        <v>492000</v>
      </c>
      <c r="C810">
        <v>487000</v>
      </c>
      <c r="D810" s="8" t="str">
        <f>VLOOKUP(A810,Лист2!A:E,5,0)</f>
        <v>малые</v>
      </c>
      <c r="E810" s="10">
        <f>VLOOKUP(A810,Лист2!A:E,4,0)</f>
        <v>2.5</v>
      </c>
      <c r="F810" s="11">
        <f t="shared" si="39"/>
        <v>5000</v>
      </c>
      <c r="G810" s="11">
        <f t="shared" si="40"/>
        <v>196800</v>
      </c>
      <c r="H810" s="11">
        <f t="shared" si="41"/>
        <v>2000</v>
      </c>
    </row>
    <row r="811" spans="1:8">
      <c r="A811" s="6" t="s">
        <v>18</v>
      </c>
      <c r="B811">
        <v>9023000</v>
      </c>
      <c r="C811">
        <v>9628000</v>
      </c>
      <c r="D811" s="8" t="str">
        <f>VLOOKUP(A811,Лист2!A:E,5,0)</f>
        <v>малые</v>
      </c>
      <c r="E811" s="10">
        <f>VLOOKUP(A811,Лист2!A:E,4,0)</f>
        <v>2.5</v>
      </c>
      <c r="F811" s="11">
        <f t="shared" si="39"/>
        <v>-605000</v>
      </c>
      <c r="G811" s="11">
        <f t="shared" si="40"/>
        <v>3609200</v>
      </c>
      <c r="H811" s="11">
        <f t="shared" si="41"/>
        <v>-242000</v>
      </c>
    </row>
    <row r="812" spans="1:8">
      <c r="A812" s="6" t="s">
        <v>18</v>
      </c>
      <c r="B812">
        <v>31523000</v>
      </c>
      <c r="C812">
        <v>27480000</v>
      </c>
      <c r="D812" s="8" t="str">
        <f>VLOOKUP(A812,Лист2!A:E,5,0)</f>
        <v>малые</v>
      </c>
      <c r="E812" s="10">
        <f>VLOOKUP(A812,Лист2!A:E,4,0)</f>
        <v>2.5</v>
      </c>
      <c r="F812" s="11">
        <f t="shared" si="39"/>
        <v>4043000</v>
      </c>
      <c r="G812" s="11">
        <f t="shared" si="40"/>
        <v>12609200</v>
      </c>
      <c r="H812" s="11">
        <f t="shared" si="41"/>
        <v>1617200</v>
      </c>
    </row>
    <row r="813" spans="1:8">
      <c r="A813" s="6" t="s">
        <v>18</v>
      </c>
      <c r="B813">
        <v>4058000</v>
      </c>
      <c r="C813">
        <v>3634000</v>
      </c>
      <c r="D813" s="8" t="str">
        <f>VLOOKUP(A813,Лист2!A:E,5,0)</f>
        <v>малые</v>
      </c>
      <c r="E813" s="10">
        <f>VLOOKUP(A813,Лист2!A:E,4,0)</f>
        <v>2.5</v>
      </c>
      <c r="F813" s="11">
        <f t="shared" si="39"/>
        <v>424000</v>
      </c>
      <c r="G813" s="11">
        <f t="shared" si="40"/>
        <v>1623200</v>
      </c>
      <c r="H813" s="11">
        <f t="shared" si="41"/>
        <v>169600</v>
      </c>
    </row>
    <row r="814" spans="1:8">
      <c r="A814" s="6" t="s">
        <v>18</v>
      </c>
      <c r="B814">
        <v>1154000</v>
      </c>
      <c r="C814">
        <v>1011000</v>
      </c>
      <c r="D814" s="8" t="str">
        <f>VLOOKUP(A814,Лист2!A:E,5,0)</f>
        <v>малые</v>
      </c>
      <c r="E814" s="10">
        <f>VLOOKUP(A814,Лист2!A:E,4,0)</f>
        <v>2.5</v>
      </c>
      <c r="F814" s="11">
        <f t="shared" si="39"/>
        <v>143000</v>
      </c>
      <c r="G814" s="11">
        <f t="shared" si="40"/>
        <v>461600</v>
      </c>
      <c r="H814" s="11">
        <f t="shared" si="41"/>
        <v>57200</v>
      </c>
    </row>
    <row r="815" spans="1:8">
      <c r="A815" s="6" t="s">
        <v>18</v>
      </c>
      <c r="B815">
        <v>5090000</v>
      </c>
      <c r="C815">
        <v>4771000</v>
      </c>
      <c r="D815" s="8" t="str">
        <f>VLOOKUP(A815,Лист2!A:E,5,0)</f>
        <v>малые</v>
      </c>
      <c r="E815" s="10">
        <f>VLOOKUP(A815,Лист2!A:E,4,0)</f>
        <v>2.5</v>
      </c>
      <c r="F815" s="11">
        <f t="shared" si="39"/>
        <v>319000</v>
      </c>
      <c r="G815" s="11">
        <f t="shared" si="40"/>
        <v>2036000</v>
      </c>
      <c r="H815" s="11">
        <f t="shared" si="41"/>
        <v>127600</v>
      </c>
    </row>
    <row r="816" spans="1:8">
      <c r="A816" s="6" t="s">
        <v>18</v>
      </c>
      <c r="B816">
        <v>2331000</v>
      </c>
      <c r="C816">
        <v>2465000</v>
      </c>
      <c r="D816" s="8" t="str">
        <f>VLOOKUP(A816,Лист2!A:E,5,0)</f>
        <v>малые</v>
      </c>
      <c r="E816" s="10">
        <f>VLOOKUP(A816,Лист2!A:E,4,0)</f>
        <v>2.5</v>
      </c>
      <c r="F816" s="11">
        <f t="shared" si="39"/>
        <v>-134000</v>
      </c>
      <c r="G816" s="11">
        <f t="shared" si="40"/>
        <v>932400</v>
      </c>
      <c r="H816" s="11">
        <f t="shared" si="41"/>
        <v>-53600</v>
      </c>
    </row>
    <row r="817" spans="1:8">
      <c r="A817" s="6" t="s">
        <v>18</v>
      </c>
      <c r="B817">
        <v>6467000</v>
      </c>
      <c r="C817">
        <v>6467000</v>
      </c>
      <c r="D817" s="8" t="str">
        <f>VLOOKUP(A817,Лист2!A:E,5,0)</f>
        <v>малые</v>
      </c>
      <c r="E817" s="10">
        <f>VLOOKUP(A817,Лист2!A:E,4,0)</f>
        <v>2.5</v>
      </c>
      <c r="F817" s="11">
        <f t="shared" si="39"/>
        <v>0</v>
      </c>
      <c r="G817" s="11">
        <f t="shared" si="40"/>
        <v>2586800</v>
      </c>
      <c r="H817" s="11">
        <f t="shared" si="41"/>
        <v>0</v>
      </c>
    </row>
    <row r="818" spans="1:8">
      <c r="A818" s="6" t="s">
        <v>18</v>
      </c>
      <c r="B818">
        <v>1441000</v>
      </c>
      <c r="C818">
        <v>1052000</v>
      </c>
      <c r="D818" s="8" t="str">
        <f>VLOOKUP(A818,Лист2!A:E,5,0)</f>
        <v>малые</v>
      </c>
      <c r="E818" s="10">
        <f>VLOOKUP(A818,Лист2!A:E,4,0)</f>
        <v>2.5</v>
      </c>
      <c r="F818" s="11">
        <f t="shared" si="39"/>
        <v>389000</v>
      </c>
      <c r="G818" s="11">
        <f t="shared" si="40"/>
        <v>576400</v>
      </c>
      <c r="H818" s="11">
        <f t="shared" si="41"/>
        <v>155600</v>
      </c>
    </row>
    <row r="819" spans="1:8">
      <c r="A819" s="6" t="s">
        <v>18</v>
      </c>
      <c r="B819">
        <v>500000</v>
      </c>
      <c r="C819">
        <v>969000</v>
      </c>
      <c r="D819" s="8" t="str">
        <f>VLOOKUP(A819,Лист2!A:E,5,0)</f>
        <v>малые</v>
      </c>
      <c r="E819" s="10">
        <f>VLOOKUP(A819,Лист2!A:E,4,0)</f>
        <v>2.5</v>
      </c>
      <c r="F819" s="11">
        <f t="shared" si="39"/>
        <v>-469000</v>
      </c>
      <c r="G819" s="11">
        <f t="shared" si="40"/>
        <v>200000</v>
      </c>
      <c r="H819" s="11">
        <f t="shared" si="41"/>
        <v>-187600</v>
      </c>
    </row>
    <row r="820" spans="1:8">
      <c r="A820" s="6" t="s">
        <v>18</v>
      </c>
      <c r="B820">
        <v>19619000</v>
      </c>
      <c r="C820">
        <v>18865000</v>
      </c>
      <c r="D820" s="8" t="str">
        <f>VLOOKUP(A820,Лист2!A:E,5,0)</f>
        <v>малые</v>
      </c>
      <c r="E820" s="10">
        <f>VLOOKUP(A820,Лист2!A:E,4,0)</f>
        <v>2.5</v>
      </c>
      <c r="F820" s="11">
        <f t="shared" si="39"/>
        <v>754000</v>
      </c>
      <c r="G820" s="11">
        <f t="shared" si="40"/>
        <v>7847600</v>
      </c>
      <c r="H820" s="11">
        <f t="shared" si="41"/>
        <v>301600</v>
      </c>
    </row>
    <row r="821" spans="1:8">
      <c r="A821" s="6" t="s">
        <v>18</v>
      </c>
      <c r="B821">
        <v>43000</v>
      </c>
      <c r="C821">
        <v>50000</v>
      </c>
      <c r="D821" s="8" t="str">
        <f>VLOOKUP(A821,Лист2!A:E,5,0)</f>
        <v>малые</v>
      </c>
      <c r="E821" s="10">
        <f>VLOOKUP(A821,Лист2!A:E,4,0)</f>
        <v>2.5</v>
      </c>
      <c r="F821" s="11">
        <f t="shared" si="39"/>
        <v>-7000</v>
      </c>
      <c r="G821" s="11">
        <f t="shared" si="40"/>
        <v>17200</v>
      </c>
      <c r="H821" s="11">
        <f t="shared" si="41"/>
        <v>-2800</v>
      </c>
    </row>
    <row r="822" spans="1:8">
      <c r="A822" s="6" t="s">
        <v>18</v>
      </c>
      <c r="B822">
        <v>35196000</v>
      </c>
      <c r="C822">
        <v>30806000</v>
      </c>
      <c r="D822" s="8" t="str">
        <f>VLOOKUP(A822,Лист2!A:E,5,0)</f>
        <v>малые</v>
      </c>
      <c r="E822" s="10">
        <f>VLOOKUP(A822,Лист2!A:E,4,0)</f>
        <v>2.5</v>
      </c>
      <c r="F822" s="11">
        <f t="shared" si="39"/>
        <v>4390000</v>
      </c>
      <c r="G822" s="11">
        <f t="shared" si="40"/>
        <v>14078400</v>
      </c>
      <c r="H822" s="11">
        <f t="shared" si="41"/>
        <v>1756000</v>
      </c>
    </row>
    <row r="823" spans="1:8">
      <c r="A823" s="6" t="s">
        <v>22</v>
      </c>
      <c r="B823">
        <v>11668000</v>
      </c>
      <c r="C823">
        <v>12344000</v>
      </c>
      <c r="D823" s="8" t="str">
        <f>VLOOKUP(A823,Лист2!A:E,5,0)</f>
        <v>малые</v>
      </c>
      <c r="E823" s="10">
        <f>VLOOKUP(A823,Лист2!A:E,4,0)</f>
        <v>13</v>
      </c>
      <c r="F823" s="11">
        <f t="shared" si="39"/>
        <v>-676000</v>
      </c>
      <c r="G823" s="11">
        <f t="shared" si="40"/>
        <v>897538.4615384615</v>
      </c>
      <c r="H823" s="11">
        <f t="shared" si="41"/>
        <v>-52000</v>
      </c>
    </row>
    <row r="824" spans="1:8">
      <c r="A824" s="6" t="s">
        <v>18</v>
      </c>
      <c r="B824">
        <v>1353000</v>
      </c>
      <c r="C824">
        <v>1233000</v>
      </c>
      <c r="D824" s="8" t="str">
        <f>VLOOKUP(A824,Лист2!A:E,5,0)</f>
        <v>малые</v>
      </c>
      <c r="E824" s="10">
        <f>VLOOKUP(A824,Лист2!A:E,4,0)</f>
        <v>2.5</v>
      </c>
      <c r="F824" s="11">
        <f t="shared" si="39"/>
        <v>120000</v>
      </c>
      <c r="G824" s="11">
        <f t="shared" si="40"/>
        <v>541200</v>
      </c>
      <c r="H824" s="11">
        <f t="shared" si="41"/>
        <v>48000</v>
      </c>
    </row>
    <row r="825" spans="1:8">
      <c r="A825" s="6" t="s">
        <v>77</v>
      </c>
      <c r="B825">
        <v>32403000</v>
      </c>
      <c r="C825">
        <v>32730000</v>
      </c>
      <c r="D825" s="8" t="str">
        <f>VLOOKUP(A825,Лист2!A:E,5,0)</f>
        <v>малые</v>
      </c>
      <c r="E825" s="10">
        <f>VLOOKUP(A825,Лист2!A:E,4,0)</f>
        <v>8</v>
      </c>
      <c r="F825" s="11">
        <f t="shared" si="39"/>
        <v>-327000</v>
      </c>
      <c r="G825" s="11">
        <f t="shared" si="40"/>
        <v>4050375</v>
      </c>
      <c r="H825" s="11">
        <f t="shared" si="41"/>
        <v>-40875</v>
      </c>
    </row>
    <row r="826" spans="1:8">
      <c r="A826" s="6" t="s">
        <v>18</v>
      </c>
      <c r="B826">
        <v>263000</v>
      </c>
      <c r="C826">
        <v>258000</v>
      </c>
      <c r="D826" s="8" t="str">
        <f>VLOOKUP(A826,Лист2!A:E,5,0)</f>
        <v>малые</v>
      </c>
      <c r="E826" s="10">
        <f>VLOOKUP(A826,Лист2!A:E,4,0)</f>
        <v>2.5</v>
      </c>
      <c r="F826" s="11">
        <f t="shared" si="39"/>
        <v>5000</v>
      </c>
      <c r="G826" s="11">
        <f t="shared" si="40"/>
        <v>105200</v>
      </c>
      <c r="H826" s="11">
        <f t="shared" si="41"/>
        <v>2000</v>
      </c>
    </row>
    <row r="827" spans="1:8">
      <c r="A827" s="6" t="s">
        <v>18</v>
      </c>
      <c r="B827">
        <v>38688000</v>
      </c>
      <c r="C827">
        <v>25334000</v>
      </c>
      <c r="D827" s="8" t="str">
        <f>VLOOKUP(A827,Лист2!A:E,5,0)</f>
        <v>малые</v>
      </c>
      <c r="E827" s="10">
        <f>VLOOKUP(A827,Лист2!A:E,4,0)</f>
        <v>2.5</v>
      </c>
      <c r="F827" s="11">
        <f t="shared" si="39"/>
        <v>13354000</v>
      </c>
      <c r="G827" s="11">
        <f t="shared" si="40"/>
        <v>15475200</v>
      </c>
      <c r="H827" s="11">
        <f t="shared" si="41"/>
        <v>5341600</v>
      </c>
    </row>
    <row r="828" spans="1:8">
      <c r="A828" s="6" t="s">
        <v>18</v>
      </c>
      <c r="B828">
        <v>1564000</v>
      </c>
      <c r="C828">
        <v>1421000</v>
      </c>
      <c r="D828" s="8" t="str">
        <f>VLOOKUP(A828,Лист2!A:E,5,0)</f>
        <v>малые</v>
      </c>
      <c r="E828" s="10">
        <f>VLOOKUP(A828,Лист2!A:E,4,0)</f>
        <v>2.5</v>
      </c>
      <c r="F828" s="11">
        <f t="shared" si="39"/>
        <v>143000</v>
      </c>
      <c r="G828" s="11">
        <f t="shared" si="40"/>
        <v>625600</v>
      </c>
      <c r="H828" s="11">
        <f t="shared" si="41"/>
        <v>57200</v>
      </c>
    </row>
    <row r="829" spans="1:8">
      <c r="A829" s="6" t="s">
        <v>18</v>
      </c>
      <c r="B829">
        <v>3000</v>
      </c>
      <c r="C829">
        <v>6000</v>
      </c>
      <c r="D829" s="8" t="str">
        <f>VLOOKUP(A829,Лист2!A:E,5,0)</f>
        <v>малые</v>
      </c>
      <c r="E829" s="10">
        <f>VLOOKUP(A829,Лист2!A:E,4,0)</f>
        <v>2.5</v>
      </c>
      <c r="F829" s="11">
        <f t="shared" si="39"/>
        <v>-3000</v>
      </c>
      <c r="G829" s="11">
        <f t="shared" si="40"/>
        <v>1200</v>
      </c>
      <c r="H829" s="11">
        <f t="shared" si="41"/>
        <v>-1200</v>
      </c>
    </row>
    <row r="830" spans="1:8">
      <c r="A830" s="6" t="s">
        <v>18</v>
      </c>
      <c r="B830">
        <v>642000</v>
      </c>
      <c r="C830">
        <v>642000</v>
      </c>
      <c r="D830" s="8" t="str">
        <f>VLOOKUP(A830,Лист2!A:E,5,0)</f>
        <v>малые</v>
      </c>
      <c r="E830" s="10">
        <f>VLOOKUP(A830,Лист2!A:E,4,0)</f>
        <v>2.5</v>
      </c>
      <c r="F830" s="11">
        <f t="shared" si="39"/>
        <v>0</v>
      </c>
      <c r="G830" s="11">
        <f t="shared" si="40"/>
        <v>256800</v>
      </c>
      <c r="H830" s="11">
        <f t="shared" si="41"/>
        <v>0</v>
      </c>
    </row>
    <row r="831" spans="1:8">
      <c r="A831" s="6" t="s">
        <v>18</v>
      </c>
      <c r="B831">
        <v>38981000</v>
      </c>
      <c r="C831">
        <v>39707000</v>
      </c>
      <c r="D831" s="8" t="str">
        <f>VLOOKUP(A831,Лист2!A:E,5,0)</f>
        <v>малые</v>
      </c>
      <c r="E831" s="10">
        <f>VLOOKUP(A831,Лист2!A:E,4,0)</f>
        <v>2.5</v>
      </c>
      <c r="F831" s="11">
        <f t="shared" si="39"/>
        <v>-726000</v>
      </c>
      <c r="G831" s="11">
        <f t="shared" si="40"/>
        <v>15592400</v>
      </c>
      <c r="H831" s="11">
        <f t="shared" si="41"/>
        <v>-290400</v>
      </c>
    </row>
    <row r="832" spans="1:8">
      <c r="A832" s="6" t="s">
        <v>18</v>
      </c>
      <c r="B832">
        <v>963000</v>
      </c>
      <c r="C832">
        <v>1021000</v>
      </c>
      <c r="D832" s="8" t="str">
        <f>VLOOKUP(A832,Лист2!A:E,5,0)</f>
        <v>малые</v>
      </c>
      <c r="E832" s="10">
        <f>VLOOKUP(A832,Лист2!A:E,4,0)</f>
        <v>2.5</v>
      </c>
      <c r="F832" s="11">
        <f t="shared" si="39"/>
        <v>-58000</v>
      </c>
      <c r="G832" s="11">
        <f t="shared" si="40"/>
        <v>385200</v>
      </c>
      <c r="H832" s="11">
        <f t="shared" si="41"/>
        <v>-23200</v>
      </c>
    </row>
    <row r="833" spans="1:8">
      <c r="A833" s="6" t="s">
        <v>18</v>
      </c>
      <c r="B833">
        <v>2827000</v>
      </c>
      <c r="C833">
        <v>2540000</v>
      </c>
      <c r="D833" s="8" t="str">
        <f>VLOOKUP(A833,Лист2!A:E,5,0)</f>
        <v>малые</v>
      </c>
      <c r="E833" s="10">
        <f>VLOOKUP(A833,Лист2!A:E,4,0)</f>
        <v>2.5</v>
      </c>
      <c r="F833" s="11">
        <f t="shared" si="39"/>
        <v>287000</v>
      </c>
      <c r="G833" s="11">
        <f t="shared" si="40"/>
        <v>1130800</v>
      </c>
      <c r="H833" s="11">
        <f t="shared" si="41"/>
        <v>114800</v>
      </c>
    </row>
    <row r="834" spans="1:8">
      <c r="A834" s="6" t="s">
        <v>18</v>
      </c>
      <c r="B834">
        <v>23000</v>
      </c>
      <c r="C834">
        <v>62000</v>
      </c>
      <c r="D834" s="8" t="str">
        <f>VLOOKUP(A834,Лист2!A:E,5,0)</f>
        <v>малые</v>
      </c>
      <c r="E834" s="10">
        <f>VLOOKUP(A834,Лист2!A:E,4,0)</f>
        <v>2.5</v>
      </c>
      <c r="F834" s="11">
        <f t="shared" si="39"/>
        <v>-39000</v>
      </c>
      <c r="G834" s="11">
        <f t="shared" si="40"/>
        <v>9200</v>
      </c>
      <c r="H834" s="11">
        <f t="shared" si="41"/>
        <v>-15600</v>
      </c>
    </row>
    <row r="835" spans="1:8">
      <c r="A835" s="6" t="s">
        <v>18</v>
      </c>
      <c r="B835">
        <v>7537000</v>
      </c>
      <c r="C835">
        <v>6875000</v>
      </c>
      <c r="D835" s="8" t="str">
        <f>VLOOKUP(A835,Лист2!A:E,5,0)</f>
        <v>малые</v>
      </c>
      <c r="E835" s="10">
        <f>VLOOKUP(A835,Лист2!A:E,4,0)</f>
        <v>2.5</v>
      </c>
      <c r="F835" s="11">
        <f t="shared" si="39"/>
        <v>662000</v>
      </c>
      <c r="G835" s="11">
        <f t="shared" si="40"/>
        <v>3014800</v>
      </c>
      <c r="H835" s="11">
        <f t="shared" si="41"/>
        <v>264800</v>
      </c>
    </row>
    <row r="836" spans="1:8">
      <c r="A836" s="6" t="s">
        <v>18</v>
      </c>
      <c r="B836">
        <v>202000</v>
      </c>
      <c r="C836">
        <v>187000</v>
      </c>
      <c r="D836" s="8" t="str">
        <f>VLOOKUP(A836,Лист2!A:E,5,0)</f>
        <v>малые</v>
      </c>
      <c r="E836" s="10">
        <f>VLOOKUP(A836,Лист2!A:E,4,0)</f>
        <v>2.5</v>
      </c>
      <c r="F836" s="11">
        <f t="shared" si="39"/>
        <v>15000</v>
      </c>
      <c r="G836" s="11">
        <f t="shared" si="40"/>
        <v>80800</v>
      </c>
      <c r="H836" s="11">
        <f t="shared" si="41"/>
        <v>6000</v>
      </c>
    </row>
    <row r="837" spans="1:8">
      <c r="A837" s="6" t="s">
        <v>18</v>
      </c>
      <c r="B837">
        <v>69000</v>
      </c>
      <c r="C837">
        <v>54000</v>
      </c>
      <c r="D837" s="8" t="str">
        <f>VLOOKUP(A837,Лист2!A:E,5,0)</f>
        <v>малые</v>
      </c>
      <c r="E837" s="10">
        <f>VLOOKUP(A837,Лист2!A:E,4,0)</f>
        <v>2.5</v>
      </c>
      <c r="F837" s="11">
        <f t="shared" si="39"/>
        <v>15000</v>
      </c>
      <c r="G837" s="11">
        <f t="shared" si="40"/>
        <v>27600</v>
      </c>
      <c r="H837" s="11">
        <f t="shared" si="41"/>
        <v>6000</v>
      </c>
    </row>
    <row r="838" spans="1:8">
      <c r="A838" s="6" t="s">
        <v>18</v>
      </c>
      <c r="B838">
        <v>15000</v>
      </c>
      <c r="C838">
        <v>15000</v>
      </c>
      <c r="D838" s="8" t="str">
        <f>VLOOKUP(A838,Лист2!A:E,5,0)</f>
        <v>малые</v>
      </c>
      <c r="E838" s="10">
        <f>VLOOKUP(A838,Лист2!A:E,4,0)</f>
        <v>2.5</v>
      </c>
      <c r="F838" s="11">
        <f t="shared" si="39"/>
        <v>0</v>
      </c>
      <c r="G838" s="11">
        <f t="shared" si="40"/>
        <v>6000</v>
      </c>
      <c r="H838" s="11">
        <f t="shared" si="41"/>
        <v>0</v>
      </c>
    </row>
    <row r="839" spans="1:8">
      <c r="A839" s="6" t="s">
        <v>22</v>
      </c>
      <c r="B839">
        <v>1102000</v>
      </c>
      <c r="C839">
        <v>251000</v>
      </c>
      <c r="D839" s="8" t="str">
        <f>VLOOKUP(A839,Лист2!A:E,5,0)</f>
        <v>малые</v>
      </c>
      <c r="E839" s="10">
        <f>VLOOKUP(A839,Лист2!A:E,4,0)</f>
        <v>13</v>
      </c>
      <c r="F839" s="11">
        <f t="shared" si="39"/>
        <v>851000</v>
      </c>
      <c r="G839" s="11">
        <f t="shared" si="40"/>
        <v>84769.230769230766</v>
      </c>
      <c r="H839" s="11">
        <f t="shared" si="41"/>
        <v>65461.538461538461</v>
      </c>
    </row>
    <row r="840" spans="1:8">
      <c r="A840" s="6" t="s">
        <v>18</v>
      </c>
      <c r="B840">
        <v>2280000</v>
      </c>
      <c r="C840">
        <v>2807000</v>
      </c>
      <c r="D840" s="8" t="str">
        <f>VLOOKUP(A840,Лист2!A:E,5,0)</f>
        <v>малые</v>
      </c>
      <c r="E840" s="10">
        <f>VLOOKUP(A840,Лист2!A:E,4,0)</f>
        <v>2.5</v>
      </c>
      <c r="F840" s="11">
        <f t="shared" si="39"/>
        <v>-527000</v>
      </c>
      <c r="G840" s="11">
        <f t="shared" si="40"/>
        <v>912000</v>
      </c>
      <c r="H840" s="11">
        <f t="shared" si="41"/>
        <v>-210800</v>
      </c>
    </row>
    <row r="841" spans="1:8">
      <c r="A841" s="6" t="s">
        <v>18</v>
      </c>
      <c r="B841">
        <v>4000</v>
      </c>
      <c r="C841">
        <v>5000</v>
      </c>
      <c r="D841" s="8" t="str">
        <f>VLOOKUP(A841,Лист2!A:E,5,0)</f>
        <v>малые</v>
      </c>
      <c r="E841" s="10">
        <f>VLOOKUP(A841,Лист2!A:E,4,0)</f>
        <v>2.5</v>
      </c>
      <c r="F841" s="11">
        <f t="shared" si="39"/>
        <v>-1000</v>
      </c>
      <c r="G841" s="11">
        <f t="shared" si="40"/>
        <v>1600</v>
      </c>
      <c r="H841" s="11">
        <f t="shared" si="41"/>
        <v>-400</v>
      </c>
    </row>
    <row r="842" spans="1:8">
      <c r="A842" s="6" t="s">
        <v>18</v>
      </c>
      <c r="B842">
        <v>143000</v>
      </c>
      <c r="C842">
        <v>144000</v>
      </c>
      <c r="D842" s="8" t="str">
        <f>VLOOKUP(A842,Лист2!A:E,5,0)</f>
        <v>малые</v>
      </c>
      <c r="E842" s="10">
        <f>VLOOKUP(A842,Лист2!A:E,4,0)</f>
        <v>2.5</v>
      </c>
      <c r="F842" s="11">
        <f t="shared" si="39"/>
        <v>-1000</v>
      </c>
      <c r="G842" s="11">
        <f t="shared" si="40"/>
        <v>57200</v>
      </c>
      <c r="H842" s="11">
        <f t="shared" si="41"/>
        <v>-400</v>
      </c>
    </row>
    <row r="843" spans="1:8">
      <c r="A843" s="6" t="s">
        <v>18</v>
      </c>
      <c r="B843">
        <v>1459000</v>
      </c>
      <c r="C843">
        <v>1518000</v>
      </c>
      <c r="D843" s="8" t="str">
        <f>VLOOKUP(A843,Лист2!A:E,5,0)</f>
        <v>малые</v>
      </c>
      <c r="E843" s="10">
        <f>VLOOKUP(A843,Лист2!A:E,4,0)</f>
        <v>2.5</v>
      </c>
      <c r="F843" s="11">
        <f t="shared" si="39"/>
        <v>-59000</v>
      </c>
      <c r="G843" s="11">
        <f t="shared" si="40"/>
        <v>583600</v>
      </c>
      <c r="H843" s="11">
        <f t="shared" si="41"/>
        <v>-23600</v>
      </c>
    </row>
    <row r="844" spans="1:8">
      <c r="A844" s="6" t="s">
        <v>18</v>
      </c>
      <c r="B844">
        <v>4968000</v>
      </c>
      <c r="C844">
        <v>4887000</v>
      </c>
      <c r="D844" s="8" t="str">
        <f>VLOOKUP(A844,Лист2!A:E,5,0)</f>
        <v>малые</v>
      </c>
      <c r="E844" s="10">
        <f>VLOOKUP(A844,Лист2!A:E,4,0)</f>
        <v>2.5</v>
      </c>
      <c r="F844" s="11">
        <f t="shared" si="39"/>
        <v>81000</v>
      </c>
      <c r="G844" s="11">
        <f t="shared" si="40"/>
        <v>1987200</v>
      </c>
      <c r="H844" s="11">
        <f t="shared" si="41"/>
        <v>32400</v>
      </c>
    </row>
    <row r="845" spans="1:8">
      <c r="A845" s="6" t="s">
        <v>18</v>
      </c>
      <c r="B845">
        <v>3048000</v>
      </c>
      <c r="C845">
        <v>2847000</v>
      </c>
      <c r="D845" s="8" t="str">
        <f>VLOOKUP(A845,Лист2!A:E,5,0)</f>
        <v>малые</v>
      </c>
      <c r="E845" s="10">
        <f>VLOOKUP(A845,Лист2!A:E,4,0)</f>
        <v>2.5</v>
      </c>
      <c r="F845" s="11">
        <f t="shared" si="39"/>
        <v>201000</v>
      </c>
      <c r="G845" s="11">
        <f t="shared" si="40"/>
        <v>1219200</v>
      </c>
      <c r="H845" s="11">
        <f t="shared" si="41"/>
        <v>80400</v>
      </c>
    </row>
    <row r="846" spans="1:8">
      <c r="A846" s="6" t="s">
        <v>18</v>
      </c>
      <c r="B846">
        <v>461000</v>
      </c>
      <c r="C846">
        <v>461000</v>
      </c>
      <c r="D846" s="8" t="str">
        <f>VLOOKUP(A846,Лист2!A:E,5,0)</f>
        <v>малые</v>
      </c>
      <c r="E846" s="10">
        <f>VLOOKUP(A846,Лист2!A:E,4,0)</f>
        <v>2.5</v>
      </c>
      <c r="F846" s="11">
        <f t="shared" si="39"/>
        <v>0</v>
      </c>
      <c r="G846" s="11">
        <f t="shared" si="40"/>
        <v>184400</v>
      </c>
      <c r="H846" s="11">
        <f t="shared" si="41"/>
        <v>0</v>
      </c>
    </row>
    <row r="847" spans="1:8">
      <c r="A847" s="6" t="s">
        <v>18</v>
      </c>
      <c r="B847">
        <v>5094000</v>
      </c>
      <c r="C847">
        <v>5109000</v>
      </c>
      <c r="D847" s="8" t="str">
        <f>VLOOKUP(A847,Лист2!A:E,5,0)</f>
        <v>малые</v>
      </c>
      <c r="E847" s="10">
        <f>VLOOKUP(A847,Лист2!A:E,4,0)</f>
        <v>2.5</v>
      </c>
      <c r="F847" s="11">
        <f t="shared" si="39"/>
        <v>-15000</v>
      </c>
      <c r="G847" s="11">
        <f t="shared" si="40"/>
        <v>2037600</v>
      </c>
      <c r="H847" s="11">
        <f t="shared" si="41"/>
        <v>-6000</v>
      </c>
    </row>
    <row r="848" spans="1:8">
      <c r="A848" s="6" t="s">
        <v>18</v>
      </c>
      <c r="B848">
        <v>25000</v>
      </c>
      <c r="C848">
        <v>25000</v>
      </c>
      <c r="D848" s="8" t="str">
        <f>VLOOKUP(A848,Лист2!A:E,5,0)</f>
        <v>малые</v>
      </c>
      <c r="E848" s="10">
        <f>VLOOKUP(A848,Лист2!A:E,4,0)</f>
        <v>2.5</v>
      </c>
      <c r="F848" s="11">
        <f t="shared" si="39"/>
        <v>0</v>
      </c>
      <c r="G848" s="11">
        <f t="shared" si="40"/>
        <v>10000</v>
      </c>
      <c r="H848" s="11">
        <f t="shared" si="41"/>
        <v>0</v>
      </c>
    </row>
    <row r="849" spans="1:8">
      <c r="A849" s="6" t="s">
        <v>18</v>
      </c>
      <c r="B849">
        <v>192000</v>
      </c>
      <c r="C849">
        <v>232000</v>
      </c>
      <c r="D849" s="8" t="str">
        <f>VLOOKUP(A849,Лист2!A:E,5,0)</f>
        <v>малые</v>
      </c>
      <c r="E849" s="10">
        <f>VLOOKUP(A849,Лист2!A:E,4,0)</f>
        <v>2.5</v>
      </c>
      <c r="F849" s="11">
        <f t="shared" si="39"/>
        <v>-40000</v>
      </c>
      <c r="G849" s="11">
        <f t="shared" si="40"/>
        <v>76800</v>
      </c>
      <c r="H849" s="11">
        <f t="shared" si="41"/>
        <v>-16000</v>
      </c>
    </row>
    <row r="850" spans="1:8">
      <c r="A850" s="6" t="s">
        <v>18</v>
      </c>
      <c r="B850">
        <v>29000</v>
      </c>
      <c r="C850">
        <v>38000</v>
      </c>
      <c r="D850" s="8" t="str">
        <f>VLOOKUP(A850,Лист2!A:E,5,0)</f>
        <v>малые</v>
      </c>
      <c r="E850" s="10">
        <f>VLOOKUP(A850,Лист2!A:E,4,0)</f>
        <v>2.5</v>
      </c>
      <c r="F850" s="11">
        <f t="shared" si="39"/>
        <v>-9000</v>
      </c>
      <c r="G850" s="11">
        <f t="shared" si="40"/>
        <v>11600</v>
      </c>
      <c r="H850" s="11">
        <f t="shared" si="41"/>
        <v>-3600</v>
      </c>
    </row>
    <row r="851" spans="1:8">
      <c r="A851" s="6" t="s">
        <v>18</v>
      </c>
      <c r="B851">
        <v>409578000</v>
      </c>
      <c r="C851">
        <v>418186000</v>
      </c>
      <c r="D851" s="8" t="str">
        <f>VLOOKUP(A851,Лист2!A:E,5,0)</f>
        <v>малые</v>
      </c>
      <c r="E851" s="10">
        <f>VLOOKUP(A851,Лист2!A:E,4,0)</f>
        <v>2.5</v>
      </c>
      <c r="F851" s="11">
        <f t="shared" si="39"/>
        <v>-8608000</v>
      </c>
      <c r="G851" s="11">
        <f t="shared" si="40"/>
        <v>163831200</v>
      </c>
      <c r="H851" s="11">
        <f t="shared" si="41"/>
        <v>-3443200</v>
      </c>
    </row>
    <row r="852" spans="1:8">
      <c r="A852" s="6" t="s">
        <v>18</v>
      </c>
      <c r="B852">
        <v>671000</v>
      </c>
      <c r="C852">
        <v>751000</v>
      </c>
      <c r="D852" s="8" t="str">
        <f>VLOOKUP(A852,Лист2!A:E,5,0)</f>
        <v>малые</v>
      </c>
      <c r="E852" s="10">
        <f>VLOOKUP(A852,Лист2!A:E,4,0)</f>
        <v>2.5</v>
      </c>
      <c r="F852" s="11">
        <f t="shared" si="39"/>
        <v>-80000</v>
      </c>
      <c r="G852" s="11">
        <f t="shared" si="40"/>
        <v>268400</v>
      </c>
      <c r="H852" s="11">
        <f t="shared" si="41"/>
        <v>-32000</v>
      </c>
    </row>
    <row r="853" spans="1:8">
      <c r="A853" s="6" t="s">
        <v>18</v>
      </c>
      <c r="B853">
        <v>4842000</v>
      </c>
      <c r="C853">
        <v>4934000</v>
      </c>
      <c r="D853" s="8" t="str">
        <f>VLOOKUP(A853,Лист2!A:E,5,0)</f>
        <v>малые</v>
      </c>
      <c r="E853" s="10">
        <f>VLOOKUP(A853,Лист2!A:E,4,0)</f>
        <v>2.5</v>
      </c>
      <c r="F853" s="11">
        <f t="shared" si="39"/>
        <v>-92000</v>
      </c>
      <c r="G853" s="11">
        <f t="shared" si="40"/>
        <v>1936800</v>
      </c>
      <c r="H853" s="11">
        <f t="shared" si="41"/>
        <v>-36800</v>
      </c>
    </row>
    <row r="854" spans="1:8">
      <c r="A854" s="6" t="s">
        <v>18</v>
      </c>
      <c r="B854">
        <v>27604000</v>
      </c>
      <c r="C854">
        <v>28159000</v>
      </c>
      <c r="D854" s="8" t="str">
        <f>VLOOKUP(A854,Лист2!A:E,5,0)</f>
        <v>малые</v>
      </c>
      <c r="E854" s="10">
        <f>VLOOKUP(A854,Лист2!A:E,4,0)</f>
        <v>2.5</v>
      </c>
      <c r="F854" s="11">
        <f t="shared" si="39"/>
        <v>-555000</v>
      </c>
      <c r="G854" s="11">
        <f t="shared" si="40"/>
        <v>11041600</v>
      </c>
      <c r="H854" s="11">
        <f t="shared" si="41"/>
        <v>-222000</v>
      </c>
    </row>
    <row r="855" spans="1:8">
      <c r="A855" s="6" t="s">
        <v>18</v>
      </c>
      <c r="B855">
        <v>798270000</v>
      </c>
      <c r="C855">
        <v>790904000</v>
      </c>
      <c r="D855" s="8" t="str">
        <f>VLOOKUP(A855,Лист2!A:E,5,0)</f>
        <v>малые</v>
      </c>
      <c r="E855" s="10">
        <f>VLOOKUP(A855,Лист2!A:E,4,0)</f>
        <v>2.5</v>
      </c>
      <c r="F855" s="11">
        <f t="shared" si="39"/>
        <v>7366000</v>
      </c>
      <c r="G855" s="11">
        <f t="shared" si="40"/>
        <v>319308000</v>
      </c>
      <c r="H855" s="11">
        <f t="shared" si="41"/>
        <v>2946400</v>
      </c>
    </row>
    <row r="856" spans="1:8">
      <c r="A856" s="6" t="s">
        <v>18</v>
      </c>
      <c r="B856">
        <v>200000</v>
      </c>
      <c r="C856">
        <v>5000</v>
      </c>
      <c r="D856" s="8" t="str">
        <f>VLOOKUP(A856,Лист2!A:E,5,0)</f>
        <v>малые</v>
      </c>
      <c r="E856" s="10">
        <f>VLOOKUP(A856,Лист2!A:E,4,0)</f>
        <v>2.5</v>
      </c>
      <c r="F856" s="11">
        <f t="shared" si="39"/>
        <v>195000</v>
      </c>
      <c r="G856" s="11">
        <f t="shared" si="40"/>
        <v>80000</v>
      </c>
      <c r="H856" s="11">
        <f t="shared" si="41"/>
        <v>78000</v>
      </c>
    </row>
    <row r="857" spans="1:8">
      <c r="A857" s="6" t="s">
        <v>18</v>
      </c>
      <c r="B857">
        <v>326000</v>
      </c>
      <c r="C857">
        <v>347000</v>
      </c>
      <c r="D857" s="8" t="str">
        <f>VLOOKUP(A857,Лист2!A:E,5,0)</f>
        <v>малые</v>
      </c>
      <c r="E857" s="10">
        <f>VLOOKUP(A857,Лист2!A:E,4,0)</f>
        <v>2.5</v>
      </c>
      <c r="F857" s="11">
        <f t="shared" si="39"/>
        <v>-21000</v>
      </c>
      <c r="G857" s="11">
        <f t="shared" si="40"/>
        <v>130400</v>
      </c>
      <c r="H857" s="11">
        <f t="shared" si="41"/>
        <v>-8400</v>
      </c>
    </row>
    <row r="858" spans="1:8">
      <c r="A858" s="6" t="s">
        <v>18</v>
      </c>
      <c r="B858">
        <v>6788000</v>
      </c>
      <c r="C858">
        <v>6813000</v>
      </c>
      <c r="D858" s="8" t="str">
        <f>VLOOKUP(A858,Лист2!A:E,5,0)</f>
        <v>малые</v>
      </c>
      <c r="E858" s="10">
        <f>VLOOKUP(A858,Лист2!A:E,4,0)</f>
        <v>2.5</v>
      </c>
      <c r="F858" s="11">
        <f t="shared" si="39"/>
        <v>-25000</v>
      </c>
      <c r="G858" s="11">
        <f t="shared" si="40"/>
        <v>2715200</v>
      </c>
      <c r="H858" s="11">
        <f t="shared" si="41"/>
        <v>-10000</v>
      </c>
    </row>
    <row r="859" spans="1:8">
      <c r="A859" s="6" t="s">
        <v>18</v>
      </c>
      <c r="B859">
        <v>19555000</v>
      </c>
      <c r="C859">
        <v>19578000</v>
      </c>
      <c r="D859" s="8" t="str">
        <f>VLOOKUP(A859,Лист2!A:E,5,0)</f>
        <v>малые</v>
      </c>
      <c r="E859" s="10">
        <f>VLOOKUP(A859,Лист2!A:E,4,0)</f>
        <v>2.5</v>
      </c>
      <c r="F859" s="11">
        <f t="shared" si="39"/>
        <v>-23000</v>
      </c>
      <c r="G859" s="11">
        <f t="shared" si="40"/>
        <v>7822000</v>
      </c>
      <c r="H859" s="11">
        <f t="shared" si="41"/>
        <v>-9200</v>
      </c>
    </row>
    <row r="860" spans="1:8">
      <c r="A860" s="6" t="s">
        <v>18</v>
      </c>
      <c r="B860">
        <v>2398000</v>
      </c>
      <c r="C860">
        <v>2820000</v>
      </c>
      <c r="D860" s="8" t="str">
        <f>VLOOKUP(A860,Лист2!A:E,5,0)</f>
        <v>малые</v>
      </c>
      <c r="E860" s="10">
        <f>VLOOKUP(A860,Лист2!A:E,4,0)</f>
        <v>2.5</v>
      </c>
      <c r="F860" s="11">
        <f t="shared" ref="F860:F922" si="42">B860-C860</f>
        <v>-422000</v>
      </c>
      <c r="G860" s="11">
        <f t="shared" ref="G860:G922" si="43">B860/E860</f>
        <v>959200</v>
      </c>
      <c r="H860" s="11">
        <f t="shared" ref="H860:H922" si="44">F860/E860</f>
        <v>-168800</v>
      </c>
    </row>
    <row r="861" spans="1:8">
      <c r="A861" s="6" t="s">
        <v>18</v>
      </c>
      <c r="B861">
        <v>393000</v>
      </c>
      <c r="C861">
        <v>466000</v>
      </c>
      <c r="D861" s="8" t="str">
        <f>VLOOKUP(A861,Лист2!A:E,5,0)</f>
        <v>малые</v>
      </c>
      <c r="E861" s="10">
        <f>VLOOKUP(A861,Лист2!A:E,4,0)</f>
        <v>2.5</v>
      </c>
      <c r="F861" s="11">
        <f t="shared" si="42"/>
        <v>-73000</v>
      </c>
      <c r="G861" s="11">
        <f t="shared" si="43"/>
        <v>157200</v>
      </c>
      <c r="H861" s="11">
        <f t="shared" si="44"/>
        <v>-29200</v>
      </c>
    </row>
    <row r="862" spans="1:8">
      <c r="A862" s="6" t="s">
        <v>18</v>
      </c>
      <c r="B862">
        <v>359000</v>
      </c>
      <c r="C862">
        <v>594000</v>
      </c>
      <c r="D862" s="8" t="str">
        <f>VLOOKUP(A862,Лист2!A:E,5,0)</f>
        <v>малые</v>
      </c>
      <c r="E862" s="10">
        <f>VLOOKUP(A862,Лист2!A:E,4,0)</f>
        <v>2.5</v>
      </c>
      <c r="F862" s="11">
        <f t="shared" si="42"/>
        <v>-235000</v>
      </c>
      <c r="G862" s="11">
        <f t="shared" si="43"/>
        <v>143600</v>
      </c>
      <c r="H862" s="11">
        <f t="shared" si="44"/>
        <v>-94000</v>
      </c>
    </row>
    <row r="863" spans="1:8">
      <c r="A863" s="6" t="s">
        <v>18</v>
      </c>
      <c r="B863">
        <v>1313000</v>
      </c>
      <c r="C863">
        <v>1313000</v>
      </c>
      <c r="D863" s="8" t="str">
        <f>VLOOKUP(A863,Лист2!A:E,5,0)</f>
        <v>малые</v>
      </c>
      <c r="E863" s="10">
        <f>VLOOKUP(A863,Лист2!A:E,4,0)</f>
        <v>2.5</v>
      </c>
      <c r="F863" s="11">
        <f t="shared" si="42"/>
        <v>0</v>
      </c>
      <c r="G863" s="11">
        <f t="shared" si="43"/>
        <v>525200</v>
      </c>
      <c r="H863" s="11">
        <f t="shared" si="44"/>
        <v>0</v>
      </c>
    </row>
    <row r="864" spans="1:8">
      <c r="A864" s="6" t="s">
        <v>18</v>
      </c>
      <c r="B864">
        <v>947000</v>
      </c>
      <c r="C864">
        <v>1105000</v>
      </c>
      <c r="D864" s="8" t="str">
        <f>VLOOKUP(A864,Лист2!A:E,5,0)</f>
        <v>малые</v>
      </c>
      <c r="E864" s="10">
        <f>VLOOKUP(A864,Лист2!A:E,4,0)</f>
        <v>2.5</v>
      </c>
      <c r="F864" s="11">
        <f t="shared" si="42"/>
        <v>-158000</v>
      </c>
      <c r="G864" s="11">
        <f t="shared" si="43"/>
        <v>378800</v>
      </c>
      <c r="H864" s="11">
        <f t="shared" si="44"/>
        <v>-63200</v>
      </c>
    </row>
    <row r="865" spans="1:8">
      <c r="A865" s="6" t="s">
        <v>22</v>
      </c>
      <c r="B865">
        <v>8036000</v>
      </c>
      <c r="C865">
        <v>8036000</v>
      </c>
      <c r="D865" s="8" t="str">
        <f>VLOOKUP(A865,Лист2!A:E,5,0)</f>
        <v>малые</v>
      </c>
      <c r="E865" s="10">
        <f>VLOOKUP(A865,Лист2!A:E,4,0)</f>
        <v>13</v>
      </c>
      <c r="F865" s="11">
        <f t="shared" si="42"/>
        <v>0</v>
      </c>
      <c r="G865" s="11">
        <f t="shared" si="43"/>
        <v>618153.84615384613</v>
      </c>
      <c r="H865" s="11">
        <f t="shared" si="44"/>
        <v>0</v>
      </c>
    </row>
    <row r="866" spans="1:8">
      <c r="A866" s="6" t="s">
        <v>18</v>
      </c>
      <c r="B866">
        <v>2640000</v>
      </c>
      <c r="C866">
        <v>2425000</v>
      </c>
      <c r="D866" s="8" t="str">
        <f>VLOOKUP(A866,Лист2!A:E,5,0)</f>
        <v>малые</v>
      </c>
      <c r="E866" s="10">
        <f>VLOOKUP(A866,Лист2!A:E,4,0)</f>
        <v>2.5</v>
      </c>
      <c r="F866" s="11">
        <f t="shared" si="42"/>
        <v>215000</v>
      </c>
      <c r="G866" s="11">
        <f t="shared" si="43"/>
        <v>1056000</v>
      </c>
      <c r="H866" s="11">
        <f t="shared" si="44"/>
        <v>86000</v>
      </c>
    </row>
    <row r="867" spans="1:8">
      <c r="A867" s="6" t="s">
        <v>77</v>
      </c>
      <c r="B867">
        <v>4913000</v>
      </c>
      <c r="C867">
        <v>3785000</v>
      </c>
      <c r="D867" s="8" t="str">
        <f>VLOOKUP(A867,Лист2!A:E,5,0)</f>
        <v>малые</v>
      </c>
      <c r="E867" s="10">
        <f>VLOOKUP(A867,Лист2!A:E,4,0)</f>
        <v>8</v>
      </c>
      <c r="F867" s="11">
        <f t="shared" si="42"/>
        <v>1128000</v>
      </c>
      <c r="G867" s="11">
        <f t="shared" si="43"/>
        <v>614125</v>
      </c>
      <c r="H867" s="11">
        <f t="shared" si="44"/>
        <v>141000</v>
      </c>
    </row>
    <row r="868" spans="1:8">
      <c r="A868" s="6" t="s">
        <v>18</v>
      </c>
      <c r="B868">
        <v>624000</v>
      </c>
      <c r="C868">
        <v>8672000</v>
      </c>
      <c r="D868" s="8" t="str">
        <f>VLOOKUP(A868,Лист2!A:E,5,0)</f>
        <v>малые</v>
      </c>
      <c r="E868" s="10">
        <f>VLOOKUP(A868,Лист2!A:E,4,0)</f>
        <v>2.5</v>
      </c>
      <c r="F868" s="11">
        <f t="shared" si="42"/>
        <v>-8048000</v>
      </c>
      <c r="G868" s="11">
        <f t="shared" si="43"/>
        <v>249600</v>
      </c>
      <c r="H868" s="11">
        <f t="shared" si="44"/>
        <v>-3219200</v>
      </c>
    </row>
    <row r="869" spans="1:8">
      <c r="A869" s="6" t="s">
        <v>18</v>
      </c>
      <c r="B869">
        <v>1534000</v>
      </c>
      <c r="C869">
        <v>2039000</v>
      </c>
      <c r="D869" s="8" t="str">
        <f>VLOOKUP(A869,Лист2!A:E,5,0)</f>
        <v>малые</v>
      </c>
      <c r="E869" s="10">
        <f>VLOOKUP(A869,Лист2!A:E,4,0)</f>
        <v>2.5</v>
      </c>
      <c r="F869" s="11">
        <f t="shared" si="42"/>
        <v>-505000</v>
      </c>
      <c r="G869" s="11">
        <f t="shared" si="43"/>
        <v>613600</v>
      </c>
      <c r="H869" s="11">
        <f t="shared" si="44"/>
        <v>-202000</v>
      </c>
    </row>
    <row r="870" spans="1:8">
      <c r="A870" s="6" t="s">
        <v>18</v>
      </c>
      <c r="B870">
        <v>169000</v>
      </c>
      <c r="C870">
        <v>158000</v>
      </c>
      <c r="D870" s="8" t="str">
        <f>VLOOKUP(A870,Лист2!A:E,5,0)</f>
        <v>малые</v>
      </c>
      <c r="E870" s="10">
        <f>VLOOKUP(A870,Лист2!A:E,4,0)</f>
        <v>2.5</v>
      </c>
      <c r="F870" s="11">
        <f t="shared" si="42"/>
        <v>11000</v>
      </c>
      <c r="G870" s="11">
        <f t="shared" si="43"/>
        <v>67600</v>
      </c>
      <c r="H870" s="11">
        <f t="shared" si="44"/>
        <v>4400</v>
      </c>
    </row>
    <row r="871" spans="1:8">
      <c r="A871" s="6" t="s">
        <v>18</v>
      </c>
      <c r="B871">
        <v>871000</v>
      </c>
      <c r="C871">
        <v>1027000</v>
      </c>
      <c r="D871" s="8" t="str">
        <f>VLOOKUP(A871,Лист2!A:E,5,0)</f>
        <v>малые</v>
      </c>
      <c r="E871" s="10">
        <f>VLOOKUP(A871,Лист2!A:E,4,0)</f>
        <v>2.5</v>
      </c>
      <c r="F871" s="11">
        <f t="shared" si="42"/>
        <v>-156000</v>
      </c>
      <c r="G871" s="11">
        <f t="shared" si="43"/>
        <v>348400</v>
      </c>
      <c r="H871" s="11">
        <f t="shared" si="44"/>
        <v>-62400</v>
      </c>
    </row>
    <row r="872" spans="1:8">
      <c r="A872" s="6" t="s">
        <v>18</v>
      </c>
      <c r="B872">
        <v>670000</v>
      </c>
      <c r="C872">
        <v>564000</v>
      </c>
      <c r="D872" s="8" t="str">
        <f>VLOOKUP(A872,Лист2!A:E,5,0)</f>
        <v>малые</v>
      </c>
      <c r="E872" s="10">
        <f>VLOOKUP(A872,Лист2!A:E,4,0)</f>
        <v>2.5</v>
      </c>
      <c r="F872" s="11">
        <f t="shared" si="42"/>
        <v>106000</v>
      </c>
      <c r="G872" s="11">
        <f t="shared" si="43"/>
        <v>268000</v>
      </c>
      <c r="H872" s="11">
        <f t="shared" si="44"/>
        <v>42400</v>
      </c>
    </row>
    <row r="873" spans="1:8">
      <c r="A873" s="6" t="s">
        <v>18</v>
      </c>
      <c r="B873">
        <v>904000</v>
      </c>
      <c r="C873">
        <v>1265000</v>
      </c>
      <c r="D873" s="8" t="str">
        <f>VLOOKUP(A873,Лист2!A:E,5,0)</f>
        <v>малые</v>
      </c>
      <c r="E873" s="10">
        <f>VLOOKUP(A873,Лист2!A:E,4,0)</f>
        <v>2.5</v>
      </c>
      <c r="F873" s="11">
        <f t="shared" si="42"/>
        <v>-361000</v>
      </c>
      <c r="G873" s="11">
        <f t="shared" si="43"/>
        <v>361600</v>
      </c>
      <c r="H873" s="11">
        <f t="shared" si="44"/>
        <v>-144400</v>
      </c>
    </row>
    <row r="874" spans="1:8">
      <c r="A874" s="6" t="s">
        <v>77</v>
      </c>
      <c r="B874">
        <v>12400000</v>
      </c>
      <c r="C874">
        <v>11183000</v>
      </c>
      <c r="D874" s="8" t="str">
        <f>VLOOKUP(A874,Лист2!A:E,5,0)</f>
        <v>малые</v>
      </c>
      <c r="E874" s="10">
        <f>VLOOKUP(A874,Лист2!A:E,4,0)</f>
        <v>8</v>
      </c>
      <c r="F874" s="11">
        <f t="shared" si="42"/>
        <v>1217000</v>
      </c>
      <c r="G874" s="11">
        <f t="shared" si="43"/>
        <v>1550000</v>
      </c>
      <c r="H874" s="11">
        <f t="shared" si="44"/>
        <v>152125</v>
      </c>
    </row>
    <row r="875" spans="1:8">
      <c r="A875" s="6" t="s">
        <v>77</v>
      </c>
      <c r="B875">
        <v>900000</v>
      </c>
      <c r="C875">
        <v>1257000</v>
      </c>
      <c r="D875" s="8" t="str">
        <f>VLOOKUP(A875,Лист2!A:E,5,0)</f>
        <v>малые</v>
      </c>
      <c r="E875" s="10">
        <f>VLOOKUP(A875,Лист2!A:E,4,0)</f>
        <v>8</v>
      </c>
      <c r="F875" s="11">
        <f t="shared" si="42"/>
        <v>-357000</v>
      </c>
      <c r="G875" s="11">
        <f t="shared" si="43"/>
        <v>112500</v>
      </c>
      <c r="H875" s="11">
        <f t="shared" si="44"/>
        <v>-44625</v>
      </c>
    </row>
    <row r="876" spans="1:8">
      <c r="A876" s="6" t="s">
        <v>18</v>
      </c>
      <c r="B876">
        <v>345000</v>
      </c>
      <c r="C876">
        <v>345000</v>
      </c>
      <c r="D876" s="8" t="str">
        <f>VLOOKUP(A876,Лист2!A:E,5,0)</f>
        <v>малые</v>
      </c>
      <c r="E876" s="10">
        <f>VLOOKUP(A876,Лист2!A:E,4,0)</f>
        <v>2.5</v>
      </c>
      <c r="F876" s="11">
        <f t="shared" si="42"/>
        <v>0</v>
      </c>
      <c r="G876" s="11">
        <f t="shared" si="43"/>
        <v>138000</v>
      </c>
      <c r="H876" s="11">
        <f t="shared" si="44"/>
        <v>0</v>
      </c>
    </row>
    <row r="877" spans="1:8">
      <c r="A877" s="6" t="s">
        <v>77</v>
      </c>
      <c r="B877">
        <v>37020000</v>
      </c>
      <c r="C877">
        <v>37016000</v>
      </c>
      <c r="D877" s="8" t="str">
        <f>VLOOKUP(A877,Лист2!A:E,5,0)</f>
        <v>малые</v>
      </c>
      <c r="E877" s="10">
        <f>VLOOKUP(A877,Лист2!A:E,4,0)</f>
        <v>8</v>
      </c>
      <c r="F877" s="11">
        <f t="shared" si="42"/>
        <v>4000</v>
      </c>
      <c r="G877" s="11">
        <f t="shared" si="43"/>
        <v>4627500</v>
      </c>
      <c r="H877" s="11">
        <f t="shared" si="44"/>
        <v>500</v>
      </c>
    </row>
    <row r="878" spans="1:8">
      <c r="A878" s="6" t="s">
        <v>18</v>
      </c>
      <c r="B878">
        <v>478000</v>
      </c>
      <c r="C878">
        <v>541000</v>
      </c>
      <c r="D878" s="8" t="str">
        <f>VLOOKUP(A878,Лист2!A:E,5,0)</f>
        <v>малые</v>
      </c>
      <c r="E878" s="10">
        <f>VLOOKUP(A878,Лист2!A:E,4,0)</f>
        <v>2.5</v>
      </c>
      <c r="F878" s="11">
        <f t="shared" si="42"/>
        <v>-63000</v>
      </c>
      <c r="G878" s="11">
        <f t="shared" si="43"/>
        <v>191200</v>
      </c>
      <c r="H878" s="11">
        <f t="shared" si="44"/>
        <v>-25200</v>
      </c>
    </row>
    <row r="879" spans="1:8">
      <c r="A879" s="6" t="s">
        <v>18</v>
      </c>
      <c r="B879">
        <v>3452000</v>
      </c>
      <c r="C879">
        <v>3449000</v>
      </c>
      <c r="D879" s="8" t="str">
        <f>VLOOKUP(A879,Лист2!A:E,5,0)</f>
        <v>малые</v>
      </c>
      <c r="E879" s="10">
        <f>VLOOKUP(A879,Лист2!A:E,4,0)</f>
        <v>2.5</v>
      </c>
      <c r="F879" s="11">
        <f t="shared" si="42"/>
        <v>3000</v>
      </c>
      <c r="G879" s="11">
        <f t="shared" si="43"/>
        <v>1380800</v>
      </c>
      <c r="H879" s="11">
        <f t="shared" si="44"/>
        <v>1200</v>
      </c>
    </row>
    <row r="880" spans="1:8">
      <c r="A880" s="6" t="s">
        <v>22</v>
      </c>
      <c r="B880">
        <v>9470000</v>
      </c>
      <c r="C880">
        <v>9304000</v>
      </c>
      <c r="D880" s="8" t="str">
        <f>VLOOKUP(A880,Лист2!A:E,5,0)</f>
        <v>малые</v>
      </c>
      <c r="E880" s="10">
        <f>VLOOKUP(A880,Лист2!A:E,4,0)</f>
        <v>13</v>
      </c>
      <c r="F880" s="11">
        <f t="shared" si="42"/>
        <v>166000</v>
      </c>
      <c r="G880" s="11">
        <f t="shared" si="43"/>
        <v>728461.5384615385</v>
      </c>
      <c r="H880" s="11">
        <f t="shared" si="44"/>
        <v>12769.23076923077</v>
      </c>
    </row>
    <row r="881" spans="1:8">
      <c r="A881" s="6" t="s">
        <v>18</v>
      </c>
      <c r="B881">
        <v>90000</v>
      </c>
      <c r="C881">
        <v>90000</v>
      </c>
      <c r="D881" s="8" t="str">
        <f>VLOOKUP(A881,Лист2!A:E,5,0)</f>
        <v>малые</v>
      </c>
      <c r="E881" s="10">
        <f>VLOOKUP(A881,Лист2!A:E,4,0)</f>
        <v>2.5</v>
      </c>
      <c r="F881" s="11">
        <f t="shared" si="42"/>
        <v>0</v>
      </c>
      <c r="G881" s="11">
        <f t="shared" si="43"/>
        <v>36000</v>
      </c>
      <c r="H881" s="11">
        <f t="shared" si="44"/>
        <v>0</v>
      </c>
    </row>
    <row r="882" spans="1:8">
      <c r="A882" s="6" t="s">
        <v>18</v>
      </c>
      <c r="B882">
        <v>115108000</v>
      </c>
      <c r="C882">
        <v>89695000</v>
      </c>
      <c r="D882" s="8" t="str">
        <f>VLOOKUP(A882,Лист2!A:E,5,0)</f>
        <v>малые</v>
      </c>
      <c r="E882" s="10">
        <f>VLOOKUP(A882,Лист2!A:E,4,0)</f>
        <v>2.5</v>
      </c>
      <c r="F882" s="11">
        <f t="shared" si="42"/>
        <v>25413000</v>
      </c>
      <c r="G882" s="11">
        <f t="shared" si="43"/>
        <v>46043200</v>
      </c>
      <c r="H882" s="11">
        <f t="shared" si="44"/>
        <v>10165200</v>
      </c>
    </row>
    <row r="883" spans="1:8">
      <c r="A883" s="6" t="s">
        <v>18</v>
      </c>
      <c r="B883">
        <v>4494000</v>
      </c>
      <c r="C883">
        <v>2542000</v>
      </c>
      <c r="D883" s="8" t="str">
        <f>VLOOKUP(A883,Лист2!A:E,5,0)</f>
        <v>малые</v>
      </c>
      <c r="E883" s="10">
        <f>VLOOKUP(A883,Лист2!A:E,4,0)</f>
        <v>2.5</v>
      </c>
      <c r="F883" s="11">
        <f t="shared" si="42"/>
        <v>1952000</v>
      </c>
      <c r="G883" s="11">
        <f t="shared" si="43"/>
        <v>1797600</v>
      </c>
      <c r="H883" s="11">
        <f t="shared" si="44"/>
        <v>780800</v>
      </c>
    </row>
    <row r="884" spans="1:8">
      <c r="A884" s="6" t="s">
        <v>18</v>
      </c>
      <c r="B884">
        <v>4798000</v>
      </c>
      <c r="C884">
        <v>4766000</v>
      </c>
      <c r="D884" s="8" t="str">
        <f>VLOOKUP(A884,Лист2!A:E,5,0)</f>
        <v>малые</v>
      </c>
      <c r="E884" s="10">
        <f>VLOOKUP(A884,Лист2!A:E,4,0)</f>
        <v>2.5</v>
      </c>
      <c r="F884" s="11">
        <f t="shared" si="42"/>
        <v>32000</v>
      </c>
      <c r="G884" s="11">
        <f t="shared" si="43"/>
        <v>1919200</v>
      </c>
      <c r="H884" s="11">
        <f t="shared" si="44"/>
        <v>12800</v>
      </c>
    </row>
    <row r="885" spans="1:8">
      <c r="A885" s="6" t="s">
        <v>18</v>
      </c>
      <c r="B885">
        <v>1286585000</v>
      </c>
      <c r="C885">
        <v>1336140000</v>
      </c>
      <c r="D885" s="8" t="str">
        <f>VLOOKUP(A885,Лист2!A:E,5,0)</f>
        <v>малые</v>
      </c>
      <c r="E885" s="10">
        <f>VLOOKUP(A885,Лист2!A:E,4,0)</f>
        <v>2.5</v>
      </c>
      <c r="F885" s="11">
        <f t="shared" si="42"/>
        <v>-49555000</v>
      </c>
      <c r="G885" s="11">
        <f t="shared" si="43"/>
        <v>514634000</v>
      </c>
      <c r="H885" s="11">
        <f t="shared" si="44"/>
        <v>-19822000</v>
      </c>
    </row>
    <row r="886" spans="1:8">
      <c r="A886" s="6" t="s">
        <v>18</v>
      </c>
      <c r="B886">
        <v>5300000</v>
      </c>
      <c r="C886">
        <v>5977000</v>
      </c>
      <c r="D886" s="8" t="str">
        <f>VLOOKUP(A886,Лист2!A:E,5,0)</f>
        <v>малые</v>
      </c>
      <c r="E886" s="10">
        <f>VLOOKUP(A886,Лист2!A:E,4,0)</f>
        <v>2.5</v>
      </c>
      <c r="F886" s="11">
        <f t="shared" si="42"/>
        <v>-677000</v>
      </c>
      <c r="G886" s="11">
        <f t="shared" si="43"/>
        <v>2120000</v>
      </c>
      <c r="H886" s="11">
        <f t="shared" si="44"/>
        <v>-270800</v>
      </c>
    </row>
    <row r="887" spans="1:8">
      <c r="A887" s="6" t="s">
        <v>18</v>
      </c>
      <c r="B887">
        <v>1686000</v>
      </c>
      <c r="C887">
        <v>1252000</v>
      </c>
      <c r="D887" s="8" t="str">
        <f>VLOOKUP(A887,Лист2!A:E,5,0)</f>
        <v>малые</v>
      </c>
      <c r="E887" s="10">
        <f>VLOOKUP(A887,Лист2!A:E,4,0)</f>
        <v>2.5</v>
      </c>
      <c r="F887" s="11">
        <f t="shared" si="42"/>
        <v>434000</v>
      </c>
      <c r="G887" s="11">
        <f t="shared" si="43"/>
        <v>674400</v>
      </c>
      <c r="H887" s="11">
        <f t="shared" si="44"/>
        <v>173600</v>
      </c>
    </row>
    <row r="888" spans="1:8">
      <c r="A888" s="6" t="s">
        <v>18</v>
      </c>
      <c r="B888">
        <v>271000</v>
      </c>
      <c r="C888">
        <v>733000</v>
      </c>
      <c r="D888" s="8" t="str">
        <f>VLOOKUP(A888,Лист2!A:E,5,0)</f>
        <v>малые</v>
      </c>
      <c r="E888" s="10">
        <f>VLOOKUP(A888,Лист2!A:E,4,0)</f>
        <v>2.5</v>
      </c>
      <c r="F888" s="11">
        <f t="shared" si="42"/>
        <v>-462000</v>
      </c>
      <c r="G888" s="11">
        <f t="shared" si="43"/>
        <v>108400</v>
      </c>
      <c r="H888" s="11">
        <f t="shared" si="44"/>
        <v>-184800</v>
      </c>
    </row>
    <row r="889" spans="1:8">
      <c r="A889" s="6" t="s">
        <v>18</v>
      </c>
      <c r="B889">
        <v>10006000</v>
      </c>
      <c r="C889">
        <v>10159000</v>
      </c>
      <c r="D889" s="8" t="str">
        <f>VLOOKUP(A889,Лист2!A:E,5,0)</f>
        <v>малые</v>
      </c>
      <c r="E889" s="10">
        <f>VLOOKUP(A889,Лист2!A:E,4,0)</f>
        <v>2.5</v>
      </c>
      <c r="F889" s="11">
        <f t="shared" si="42"/>
        <v>-153000</v>
      </c>
      <c r="G889" s="11">
        <f t="shared" si="43"/>
        <v>4002400</v>
      </c>
      <c r="H889" s="11">
        <f t="shared" si="44"/>
        <v>-61200</v>
      </c>
    </row>
    <row r="890" spans="1:8">
      <c r="A890" s="6" t="s">
        <v>77</v>
      </c>
      <c r="B890">
        <v>19750000</v>
      </c>
      <c r="C890">
        <v>91155000</v>
      </c>
      <c r="D890" s="8" t="str">
        <f>VLOOKUP(A890,Лист2!A:E,5,0)</f>
        <v>малые</v>
      </c>
      <c r="E890" s="10">
        <f>VLOOKUP(A890,Лист2!A:E,4,0)</f>
        <v>8</v>
      </c>
      <c r="F890" s="11">
        <f t="shared" si="42"/>
        <v>-71405000</v>
      </c>
      <c r="G890" s="11">
        <f t="shared" si="43"/>
        <v>2468750</v>
      </c>
      <c r="H890" s="11">
        <f t="shared" si="44"/>
        <v>-8925625</v>
      </c>
    </row>
    <row r="891" spans="1:8">
      <c r="A891" s="6" t="s">
        <v>18</v>
      </c>
      <c r="B891">
        <v>1015000</v>
      </c>
      <c r="C891">
        <v>845000</v>
      </c>
      <c r="D891" s="8" t="str">
        <f>VLOOKUP(A891,Лист2!A:E,5,0)</f>
        <v>малые</v>
      </c>
      <c r="E891" s="10">
        <f>VLOOKUP(A891,Лист2!A:E,4,0)</f>
        <v>2.5</v>
      </c>
      <c r="F891" s="11">
        <f t="shared" si="42"/>
        <v>170000</v>
      </c>
      <c r="G891" s="11">
        <f t="shared" si="43"/>
        <v>406000</v>
      </c>
      <c r="H891" s="11">
        <f t="shared" si="44"/>
        <v>68000</v>
      </c>
    </row>
    <row r="892" spans="1:8">
      <c r="A892" s="6" t="s">
        <v>18</v>
      </c>
      <c r="B892">
        <v>48581000</v>
      </c>
      <c r="C892">
        <v>48725000</v>
      </c>
      <c r="D892" s="8" t="str">
        <f>VLOOKUP(A892,Лист2!A:E,5,0)</f>
        <v>малые</v>
      </c>
      <c r="E892" s="10">
        <f>VLOOKUP(A892,Лист2!A:E,4,0)</f>
        <v>2.5</v>
      </c>
      <c r="F892" s="11">
        <f t="shared" si="42"/>
        <v>-144000</v>
      </c>
      <c r="G892" s="11">
        <f t="shared" si="43"/>
        <v>19432400</v>
      </c>
      <c r="H892" s="11">
        <f t="shared" si="44"/>
        <v>-57600</v>
      </c>
    </row>
    <row r="893" spans="1:8">
      <c r="A893" s="6" t="s">
        <v>18</v>
      </c>
      <c r="B893">
        <v>2003000</v>
      </c>
      <c r="C893">
        <v>1860000</v>
      </c>
      <c r="D893" s="8" t="str">
        <f>VLOOKUP(A893,Лист2!A:E,5,0)</f>
        <v>малые</v>
      </c>
      <c r="E893" s="10">
        <f>VLOOKUP(A893,Лист2!A:E,4,0)</f>
        <v>2.5</v>
      </c>
      <c r="F893" s="11">
        <f t="shared" si="42"/>
        <v>143000</v>
      </c>
      <c r="G893" s="11">
        <f t="shared" si="43"/>
        <v>801200</v>
      </c>
      <c r="H893" s="11">
        <f t="shared" si="44"/>
        <v>57200</v>
      </c>
    </row>
    <row r="894" spans="1:8">
      <c r="A894" s="6" t="s">
        <v>18</v>
      </c>
      <c r="B894">
        <v>603000</v>
      </c>
      <c r="C894">
        <v>640000</v>
      </c>
      <c r="D894" s="8" t="str">
        <f>VLOOKUP(A894,Лист2!A:E,5,0)</f>
        <v>малые</v>
      </c>
      <c r="E894" s="10">
        <f>VLOOKUP(A894,Лист2!A:E,4,0)</f>
        <v>2.5</v>
      </c>
      <c r="F894" s="11">
        <f t="shared" si="42"/>
        <v>-37000</v>
      </c>
      <c r="G894" s="11">
        <f t="shared" si="43"/>
        <v>241200</v>
      </c>
      <c r="H894" s="11">
        <f t="shared" si="44"/>
        <v>-14800</v>
      </c>
    </row>
    <row r="895" spans="1:8">
      <c r="A895" s="6" t="s">
        <v>18</v>
      </c>
      <c r="B895">
        <v>2908000</v>
      </c>
      <c r="C895">
        <v>2907000</v>
      </c>
      <c r="D895" s="8" t="str">
        <f>VLOOKUP(A895,Лист2!A:E,5,0)</f>
        <v>малые</v>
      </c>
      <c r="E895" s="10">
        <f>VLOOKUP(A895,Лист2!A:E,4,0)</f>
        <v>2.5</v>
      </c>
      <c r="F895" s="11">
        <f t="shared" si="42"/>
        <v>1000</v>
      </c>
      <c r="G895" s="11">
        <f t="shared" si="43"/>
        <v>1163200</v>
      </c>
      <c r="H895" s="11">
        <f t="shared" si="44"/>
        <v>400</v>
      </c>
    </row>
    <row r="896" spans="1:8">
      <c r="A896" s="6" t="s">
        <v>18</v>
      </c>
      <c r="B896">
        <v>1812000</v>
      </c>
      <c r="C896">
        <v>1601000</v>
      </c>
      <c r="D896" s="8" t="str">
        <f>VLOOKUP(A896,Лист2!A:E,5,0)</f>
        <v>малые</v>
      </c>
      <c r="E896" s="10">
        <f>VLOOKUP(A896,Лист2!A:E,4,0)</f>
        <v>2.5</v>
      </c>
      <c r="F896" s="11">
        <f t="shared" si="42"/>
        <v>211000</v>
      </c>
      <c r="G896" s="11">
        <f t="shared" si="43"/>
        <v>724800</v>
      </c>
      <c r="H896" s="11">
        <f t="shared" si="44"/>
        <v>84400</v>
      </c>
    </row>
    <row r="897" spans="1:8">
      <c r="A897" s="6" t="s">
        <v>18</v>
      </c>
      <c r="B897">
        <v>2528000</v>
      </c>
      <c r="C897">
        <v>4761000</v>
      </c>
      <c r="D897" s="8" t="str">
        <f>VLOOKUP(A897,Лист2!A:E,5,0)</f>
        <v>малые</v>
      </c>
      <c r="E897" s="10">
        <f>VLOOKUP(A897,Лист2!A:E,4,0)</f>
        <v>2.5</v>
      </c>
      <c r="F897" s="11">
        <f t="shared" si="42"/>
        <v>-2233000</v>
      </c>
      <c r="G897" s="11">
        <f t="shared" si="43"/>
        <v>1011200</v>
      </c>
      <c r="H897" s="11">
        <f t="shared" si="44"/>
        <v>-893200</v>
      </c>
    </row>
    <row r="898" spans="1:8">
      <c r="A898" s="6" t="s">
        <v>18</v>
      </c>
      <c r="B898">
        <v>100000</v>
      </c>
      <c r="C898">
        <v>100000</v>
      </c>
      <c r="D898" s="8" t="str">
        <f>VLOOKUP(A898,Лист2!A:E,5,0)</f>
        <v>малые</v>
      </c>
      <c r="E898" s="10">
        <f>VLOOKUP(A898,Лист2!A:E,4,0)</f>
        <v>2.5</v>
      </c>
      <c r="F898" s="11">
        <f t="shared" si="42"/>
        <v>0</v>
      </c>
      <c r="G898" s="11">
        <f t="shared" si="43"/>
        <v>40000</v>
      </c>
      <c r="H898" s="11">
        <f t="shared" si="44"/>
        <v>0</v>
      </c>
    </row>
    <row r="899" spans="1:8">
      <c r="A899" s="6" t="s">
        <v>18</v>
      </c>
      <c r="B899">
        <v>890000</v>
      </c>
      <c r="C899">
        <v>970000</v>
      </c>
      <c r="D899" s="8" t="str">
        <f>VLOOKUP(A899,Лист2!A:E,5,0)</f>
        <v>малые</v>
      </c>
      <c r="E899" s="10">
        <f>VLOOKUP(A899,Лист2!A:E,4,0)</f>
        <v>2.5</v>
      </c>
      <c r="F899" s="11">
        <f t="shared" si="42"/>
        <v>-80000</v>
      </c>
      <c r="G899" s="11">
        <f t="shared" si="43"/>
        <v>356000</v>
      </c>
      <c r="H899" s="11">
        <f t="shared" si="44"/>
        <v>-32000</v>
      </c>
    </row>
    <row r="900" spans="1:8">
      <c r="A900" s="6" t="s">
        <v>22</v>
      </c>
      <c r="B900">
        <v>57865000</v>
      </c>
      <c r="C900">
        <v>46818000</v>
      </c>
      <c r="D900" s="8" t="str">
        <f>VLOOKUP(A900,Лист2!A:E,5,0)</f>
        <v>малые</v>
      </c>
      <c r="E900" s="10">
        <f>VLOOKUP(A900,Лист2!A:E,4,0)</f>
        <v>13</v>
      </c>
      <c r="F900" s="11">
        <f t="shared" si="42"/>
        <v>11047000</v>
      </c>
      <c r="G900" s="11">
        <f t="shared" si="43"/>
        <v>4451153.846153846</v>
      </c>
      <c r="H900" s="11">
        <f t="shared" si="44"/>
        <v>849769.23076923075</v>
      </c>
    </row>
    <row r="901" spans="1:8">
      <c r="A901" s="6" t="s">
        <v>18</v>
      </c>
      <c r="B901">
        <v>3000</v>
      </c>
      <c r="C901">
        <v>49000</v>
      </c>
      <c r="D901" s="8" t="str">
        <f>VLOOKUP(A901,Лист2!A:E,5,0)</f>
        <v>малые</v>
      </c>
      <c r="E901" s="10">
        <f>VLOOKUP(A901,Лист2!A:E,4,0)</f>
        <v>2.5</v>
      </c>
      <c r="F901" s="11">
        <f t="shared" si="42"/>
        <v>-46000</v>
      </c>
      <c r="G901" s="11">
        <f t="shared" si="43"/>
        <v>1200</v>
      </c>
      <c r="H901" s="11">
        <f t="shared" si="44"/>
        <v>-18400</v>
      </c>
    </row>
    <row r="902" spans="1:8">
      <c r="A902" s="6" t="s">
        <v>18</v>
      </c>
      <c r="B902">
        <v>3288000</v>
      </c>
      <c r="C902">
        <v>3639000</v>
      </c>
      <c r="D902" s="8" t="str">
        <f>VLOOKUP(A902,Лист2!A:E,5,0)</f>
        <v>малые</v>
      </c>
      <c r="E902" s="10">
        <f>VLOOKUP(A902,Лист2!A:E,4,0)</f>
        <v>2.5</v>
      </c>
      <c r="F902" s="11">
        <f t="shared" si="42"/>
        <v>-351000</v>
      </c>
      <c r="G902" s="11">
        <f t="shared" si="43"/>
        <v>1315200</v>
      </c>
      <c r="H902" s="11">
        <f t="shared" si="44"/>
        <v>-140400</v>
      </c>
    </row>
    <row r="903" spans="1:8">
      <c r="A903" s="6" t="s">
        <v>18</v>
      </c>
      <c r="B903">
        <v>302000</v>
      </c>
      <c r="C903">
        <v>302000</v>
      </c>
      <c r="D903" s="8" t="str">
        <f>VLOOKUP(A903,Лист2!A:E,5,0)</f>
        <v>малые</v>
      </c>
      <c r="E903" s="10">
        <f>VLOOKUP(A903,Лист2!A:E,4,0)</f>
        <v>2.5</v>
      </c>
      <c r="F903" s="11">
        <f t="shared" si="42"/>
        <v>0</v>
      </c>
      <c r="G903" s="11">
        <f t="shared" si="43"/>
        <v>120800</v>
      </c>
      <c r="H903" s="11">
        <f t="shared" si="44"/>
        <v>0</v>
      </c>
    </row>
    <row r="904" spans="1:8">
      <c r="A904" s="6" t="s">
        <v>18</v>
      </c>
      <c r="B904">
        <v>166000</v>
      </c>
      <c r="C904">
        <v>177000</v>
      </c>
      <c r="D904" s="8" t="str">
        <f>VLOOKUP(A904,Лист2!A:E,5,0)</f>
        <v>малые</v>
      </c>
      <c r="E904" s="10">
        <f>VLOOKUP(A904,Лист2!A:E,4,0)</f>
        <v>2.5</v>
      </c>
      <c r="F904" s="11">
        <f t="shared" si="42"/>
        <v>-11000</v>
      </c>
      <c r="G904" s="11">
        <f t="shared" si="43"/>
        <v>66400</v>
      </c>
      <c r="H904" s="11">
        <f t="shared" si="44"/>
        <v>-4400</v>
      </c>
    </row>
    <row r="905" spans="1:8">
      <c r="A905" s="6" t="s">
        <v>18</v>
      </c>
      <c r="B905">
        <v>2056000</v>
      </c>
      <c r="C905">
        <v>2054000</v>
      </c>
      <c r="D905" s="8" t="str">
        <f>VLOOKUP(A905,Лист2!A:E,5,0)</f>
        <v>малые</v>
      </c>
      <c r="E905" s="10">
        <f>VLOOKUP(A905,Лист2!A:E,4,0)</f>
        <v>2.5</v>
      </c>
      <c r="F905" s="11">
        <f t="shared" si="42"/>
        <v>2000</v>
      </c>
      <c r="G905" s="11">
        <f t="shared" si="43"/>
        <v>822400</v>
      </c>
      <c r="H905" s="11">
        <f t="shared" si="44"/>
        <v>800</v>
      </c>
    </row>
    <row r="906" spans="1:8">
      <c r="A906" s="6" t="s">
        <v>77</v>
      </c>
      <c r="B906">
        <v>10406000</v>
      </c>
      <c r="C906">
        <v>10152000</v>
      </c>
      <c r="D906" s="8" t="str">
        <f>VLOOKUP(A906,Лист2!A:E,5,0)</f>
        <v>малые</v>
      </c>
      <c r="E906" s="10">
        <f>VLOOKUP(A906,Лист2!A:E,4,0)</f>
        <v>8</v>
      </c>
      <c r="F906" s="11">
        <f t="shared" si="42"/>
        <v>254000</v>
      </c>
      <c r="G906" s="11">
        <f t="shared" si="43"/>
        <v>1300750</v>
      </c>
      <c r="H906" s="11">
        <f t="shared" si="44"/>
        <v>31750</v>
      </c>
    </row>
    <row r="907" spans="1:8">
      <c r="A907" s="6" t="s">
        <v>18</v>
      </c>
      <c r="B907">
        <v>568000</v>
      </c>
      <c r="C907">
        <v>552000</v>
      </c>
      <c r="D907" s="8" t="str">
        <f>VLOOKUP(A907,Лист2!A:E,5,0)</f>
        <v>малые</v>
      </c>
      <c r="E907" s="10">
        <f>VLOOKUP(A907,Лист2!A:E,4,0)</f>
        <v>2.5</v>
      </c>
      <c r="F907" s="11">
        <f t="shared" si="42"/>
        <v>16000</v>
      </c>
      <c r="G907" s="11">
        <f t="shared" si="43"/>
        <v>227200</v>
      </c>
      <c r="H907" s="11">
        <f t="shared" si="44"/>
        <v>6400</v>
      </c>
    </row>
    <row r="908" spans="1:8">
      <c r="A908" s="6" t="s">
        <v>302</v>
      </c>
      <c r="B908">
        <v>417697000</v>
      </c>
      <c r="C908">
        <v>420553000</v>
      </c>
      <c r="D908" s="8" t="str">
        <f>VLOOKUP(A908,Лист2!A:E,5,0)</f>
        <v>средние</v>
      </c>
      <c r="E908" s="10">
        <f>VLOOKUP(A908,Лист2!A:E,4,0)</f>
        <v>125.5</v>
      </c>
      <c r="F908" s="11">
        <f t="shared" si="42"/>
        <v>-2856000</v>
      </c>
      <c r="G908" s="11">
        <f t="shared" si="43"/>
        <v>3328262.9482071712</v>
      </c>
      <c r="H908" s="11">
        <f t="shared" si="44"/>
        <v>-22756.972111553783</v>
      </c>
    </row>
    <row r="909" spans="1:8">
      <c r="A909" s="6" t="s">
        <v>18</v>
      </c>
      <c r="B909">
        <v>4054000</v>
      </c>
      <c r="C909">
        <v>2939000</v>
      </c>
      <c r="D909" s="8" t="str">
        <f>VLOOKUP(A909,Лист2!A:E,5,0)</f>
        <v>малые</v>
      </c>
      <c r="E909" s="10">
        <f>VLOOKUP(A909,Лист2!A:E,4,0)</f>
        <v>2.5</v>
      </c>
      <c r="F909" s="11">
        <f t="shared" si="42"/>
        <v>1115000</v>
      </c>
      <c r="G909" s="11">
        <f t="shared" si="43"/>
        <v>1621600</v>
      </c>
      <c r="H909" s="11">
        <f t="shared" si="44"/>
        <v>446000</v>
      </c>
    </row>
    <row r="910" spans="1:8">
      <c r="A910" s="6" t="s">
        <v>18</v>
      </c>
      <c r="B910">
        <v>178000</v>
      </c>
      <c r="C910">
        <v>178000</v>
      </c>
      <c r="D910" s="8" t="str">
        <f>VLOOKUP(A910,Лист2!A:E,5,0)</f>
        <v>малые</v>
      </c>
      <c r="E910" s="10">
        <f>VLOOKUP(A910,Лист2!A:E,4,0)</f>
        <v>2.5</v>
      </c>
      <c r="F910" s="11">
        <f t="shared" si="42"/>
        <v>0</v>
      </c>
      <c r="G910" s="11">
        <f t="shared" si="43"/>
        <v>71200</v>
      </c>
      <c r="H910" s="11">
        <f t="shared" si="44"/>
        <v>0</v>
      </c>
    </row>
    <row r="911" spans="1:8">
      <c r="A911" s="6" t="s">
        <v>18</v>
      </c>
      <c r="B911">
        <v>813000</v>
      </c>
      <c r="C911">
        <v>854000</v>
      </c>
      <c r="D911" s="8" t="str">
        <f>VLOOKUP(A911,Лист2!A:E,5,0)</f>
        <v>малые</v>
      </c>
      <c r="E911" s="10">
        <f>VLOOKUP(A911,Лист2!A:E,4,0)</f>
        <v>2.5</v>
      </c>
      <c r="F911" s="11">
        <f t="shared" si="42"/>
        <v>-41000</v>
      </c>
      <c r="G911" s="11">
        <f t="shared" si="43"/>
        <v>325200</v>
      </c>
      <c r="H911" s="11">
        <f t="shared" si="44"/>
        <v>-16400</v>
      </c>
    </row>
    <row r="912" spans="1:8">
      <c r="A912" s="6" t="s">
        <v>18</v>
      </c>
      <c r="B912">
        <v>8932000</v>
      </c>
      <c r="C912">
        <v>9229000</v>
      </c>
      <c r="D912" s="8" t="str">
        <f>VLOOKUP(A912,Лист2!A:E,5,0)</f>
        <v>малые</v>
      </c>
      <c r="E912" s="10">
        <f>VLOOKUP(A912,Лист2!A:E,4,0)</f>
        <v>2.5</v>
      </c>
      <c r="F912" s="11">
        <f t="shared" si="42"/>
        <v>-297000</v>
      </c>
      <c r="G912" s="11">
        <f t="shared" si="43"/>
        <v>3572800</v>
      </c>
      <c r="H912" s="11">
        <f t="shared" si="44"/>
        <v>-118800</v>
      </c>
    </row>
    <row r="913" spans="1:8">
      <c r="A913" s="6" t="s">
        <v>18</v>
      </c>
      <c r="B913">
        <v>200000</v>
      </c>
      <c r="C913">
        <v>200000</v>
      </c>
      <c r="D913" s="8" t="str">
        <f>VLOOKUP(A913,Лист2!A:E,5,0)</f>
        <v>малые</v>
      </c>
      <c r="E913" s="10">
        <f>VLOOKUP(A913,Лист2!A:E,4,0)</f>
        <v>2.5</v>
      </c>
      <c r="F913" s="11">
        <f t="shared" si="42"/>
        <v>0</v>
      </c>
      <c r="G913" s="11">
        <f t="shared" si="43"/>
        <v>80000</v>
      </c>
      <c r="H913" s="11">
        <f t="shared" si="44"/>
        <v>0</v>
      </c>
    </row>
    <row r="914" spans="1:8">
      <c r="A914" s="6" t="s">
        <v>18</v>
      </c>
      <c r="B914">
        <v>3756000</v>
      </c>
      <c r="C914">
        <v>2104000</v>
      </c>
      <c r="D914" s="8" t="str">
        <f>VLOOKUP(A914,Лист2!A:E,5,0)</f>
        <v>малые</v>
      </c>
      <c r="E914" s="10">
        <f>VLOOKUP(A914,Лист2!A:E,4,0)</f>
        <v>2.5</v>
      </c>
      <c r="F914" s="11">
        <f t="shared" si="42"/>
        <v>1652000</v>
      </c>
      <c r="G914" s="11">
        <f t="shared" si="43"/>
        <v>1502400</v>
      </c>
      <c r="H914" s="11">
        <f t="shared" si="44"/>
        <v>660800</v>
      </c>
    </row>
    <row r="915" spans="1:8">
      <c r="A915" s="6" t="s">
        <v>18</v>
      </c>
      <c r="B915">
        <v>3072000</v>
      </c>
      <c r="C915">
        <v>3083000</v>
      </c>
      <c r="D915" s="8" t="str">
        <f>VLOOKUP(A915,Лист2!A:E,5,0)</f>
        <v>малые</v>
      </c>
      <c r="E915" s="10">
        <f>VLOOKUP(A915,Лист2!A:E,4,0)</f>
        <v>2.5</v>
      </c>
      <c r="F915" s="11">
        <f t="shared" si="42"/>
        <v>-11000</v>
      </c>
      <c r="G915" s="11">
        <f t="shared" si="43"/>
        <v>1228800</v>
      </c>
      <c r="H915" s="11">
        <f t="shared" si="44"/>
        <v>-4400</v>
      </c>
    </row>
    <row r="916" spans="1:8">
      <c r="A916" s="6" t="s">
        <v>18</v>
      </c>
      <c r="B916">
        <v>163000</v>
      </c>
      <c r="C916">
        <v>45000</v>
      </c>
      <c r="D916" s="8" t="str">
        <f>VLOOKUP(A916,Лист2!A:E,5,0)</f>
        <v>малые</v>
      </c>
      <c r="E916" s="10">
        <f>VLOOKUP(A916,Лист2!A:E,4,0)</f>
        <v>2.5</v>
      </c>
      <c r="F916" s="11">
        <f t="shared" si="42"/>
        <v>118000</v>
      </c>
      <c r="G916" s="11">
        <f t="shared" si="43"/>
        <v>65200</v>
      </c>
      <c r="H916" s="11">
        <f t="shared" si="44"/>
        <v>47200</v>
      </c>
    </row>
    <row r="917" spans="1:8">
      <c r="A917" s="6" t="s">
        <v>22</v>
      </c>
      <c r="B917">
        <v>6115000</v>
      </c>
      <c r="C917">
        <v>6443000</v>
      </c>
      <c r="D917" s="8" t="str">
        <f>VLOOKUP(A917,Лист2!A:E,5,0)</f>
        <v>малые</v>
      </c>
      <c r="E917" s="10">
        <f>VLOOKUP(A917,Лист2!A:E,4,0)</f>
        <v>13</v>
      </c>
      <c r="F917" s="11">
        <f t="shared" si="42"/>
        <v>-328000</v>
      </c>
      <c r="G917" s="11">
        <f t="shared" si="43"/>
        <v>470384.61538461538</v>
      </c>
      <c r="H917" s="11">
        <f t="shared" si="44"/>
        <v>-25230.76923076923</v>
      </c>
    </row>
    <row r="918" spans="1:8">
      <c r="A918" s="6" t="s">
        <v>18</v>
      </c>
      <c r="B918">
        <v>173000</v>
      </c>
      <c r="C918">
        <v>194000</v>
      </c>
      <c r="D918" s="8" t="str">
        <f>VLOOKUP(A918,Лист2!A:E,5,0)</f>
        <v>малые</v>
      </c>
      <c r="E918" s="10">
        <f>VLOOKUP(A918,Лист2!A:E,4,0)</f>
        <v>2.5</v>
      </c>
      <c r="F918" s="11">
        <f t="shared" si="42"/>
        <v>-21000</v>
      </c>
      <c r="G918" s="11">
        <f t="shared" si="43"/>
        <v>69200</v>
      </c>
      <c r="H918" s="11">
        <f t="shared" si="44"/>
        <v>-8400</v>
      </c>
    </row>
    <row r="919" spans="1:8">
      <c r="A919" s="6" t="s">
        <v>18</v>
      </c>
      <c r="B919">
        <v>992000</v>
      </c>
      <c r="C919">
        <v>974000</v>
      </c>
      <c r="D919" s="8" t="str">
        <f>VLOOKUP(A919,Лист2!A:E,5,0)</f>
        <v>малые</v>
      </c>
      <c r="E919" s="10">
        <f>VLOOKUP(A919,Лист2!A:E,4,0)</f>
        <v>2.5</v>
      </c>
      <c r="F919" s="11">
        <f t="shared" si="42"/>
        <v>18000</v>
      </c>
      <c r="G919" s="11">
        <f t="shared" si="43"/>
        <v>396800</v>
      </c>
      <c r="H919" s="11">
        <f t="shared" si="44"/>
        <v>7200</v>
      </c>
    </row>
    <row r="920" spans="1:8">
      <c r="A920" s="6" t="s">
        <v>18</v>
      </c>
      <c r="B920">
        <v>20000</v>
      </c>
      <c r="C920">
        <v>20000</v>
      </c>
      <c r="D920" s="8" t="str">
        <f>VLOOKUP(A920,Лист2!A:E,5,0)</f>
        <v>малые</v>
      </c>
      <c r="E920" s="10">
        <f>VLOOKUP(A920,Лист2!A:E,4,0)</f>
        <v>2.5</v>
      </c>
      <c r="F920" s="11">
        <f t="shared" si="42"/>
        <v>0</v>
      </c>
      <c r="G920" s="11">
        <f t="shared" si="43"/>
        <v>8000</v>
      </c>
      <c r="H920" s="11">
        <f t="shared" si="44"/>
        <v>0</v>
      </c>
    </row>
    <row r="921" spans="1:8">
      <c r="A921" s="6" t="s">
        <v>18</v>
      </c>
      <c r="B921">
        <v>499000</v>
      </c>
      <c r="C921">
        <v>743000</v>
      </c>
      <c r="D921" s="8" t="str">
        <f>VLOOKUP(A921,Лист2!A:E,5,0)</f>
        <v>малые</v>
      </c>
      <c r="E921" s="10">
        <f>VLOOKUP(A921,Лист2!A:E,4,0)</f>
        <v>2.5</v>
      </c>
      <c r="F921" s="11">
        <f t="shared" si="42"/>
        <v>-244000</v>
      </c>
      <c r="G921" s="11">
        <f t="shared" si="43"/>
        <v>199600</v>
      </c>
      <c r="H921" s="11">
        <f t="shared" si="44"/>
        <v>-97600</v>
      </c>
    </row>
    <row r="922" spans="1:8">
      <c r="A922" s="6" t="s">
        <v>18</v>
      </c>
      <c r="B922">
        <v>280000</v>
      </c>
      <c r="C922">
        <v>324000</v>
      </c>
      <c r="D922" s="8" t="str">
        <f>VLOOKUP(A922,Лист2!A:E,5,0)</f>
        <v>малые</v>
      </c>
      <c r="E922" s="10">
        <f>VLOOKUP(A922,Лист2!A:E,4,0)</f>
        <v>2.5</v>
      </c>
      <c r="F922" s="11">
        <f t="shared" si="42"/>
        <v>-44000</v>
      </c>
      <c r="G922" s="11">
        <f t="shared" si="43"/>
        <v>112000</v>
      </c>
      <c r="H922" s="11">
        <f t="shared" si="44"/>
        <v>-17600</v>
      </c>
    </row>
    <row r="923" spans="1:8">
      <c r="A923" s="6" t="s">
        <v>18</v>
      </c>
      <c r="B923">
        <v>5119000</v>
      </c>
      <c r="C923">
        <v>4400000</v>
      </c>
      <c r="D923" s="8" t="str">
        <f>VLOOKUP(A923,Лист2!A:E,5,0)</f>
        <v>малые</v>
      </c>
      <c r="E923" s="10">
        <f>VLOOKUP(A923,Лист2!A:E,4,0)</f>
        <v>2.5</v>
      </c>
      <c r="F923" s="11">
        <f t="shared" ref="F923:F982" si="45">B923-C923</f>
        <v>719000</v>
      </c>
      <c r="G923" s="11">
        <f t="shared" ref="G923:G982" si="46">B923/E923</f>
        <v>2047600</v>
      </c>
      <c r="H923" s="11">
        <f t="shared" ref="H923:H982" si="47">F923/E923</f>
        <v>287600</v>
      </c>
    </row>
    <row r="924" spans="1:8">
      <c r="A924" s="6" t="s">
        <v>18</v>
      </c>
      <c r="B924">
        <v>538000</v>
      </c>
      <c r="C924">
        <v>646000</v>
      </c>
      <c r="D924" s="8" t="str">
        <f>VLOOKUP(A924,Лист2!A:E,5,0)</f>
        <v>малые</v>
      </c>
      <c r="E924" s="10">
        <f>VLOOKUP(A924,Лист2!A:E,4,0)</f>
        <v>2.5</v>
      </c>
      <c r="F924" s="11">
        <f t="shared" si="45"/>
        <v>-108000</v>
      </c>
      <c r="G924" s="11">
        <f t="shared" si="46"/>
        <v>215200</v>
      </c>
      <c r="H924" s="11">
        <f t="shared" si="47"/>
        <v>-43200</v>
      </c>
    </row>
    <row r="925" spans="1:8">
      <c r="A925" s="6" t="s">
        <v>18</v>
      </c>
      <c r="B925">
        <v>2363000</v>
      </c>
      <c r="C925">
        <v>2448000</v>
      </c>
      <c r="D925" s="8" t="str">
        <f>VLOOKUP(A925,Лист2!A:E,5,0)</f>
        <v>малые</v>
      </c>
      <c r="E925" s="10">
        <f>VLOOKUP(A925,Лист2!A:E,4,0)</f>
        <v>2.5</v>
      </c>
      <c r="F925" s="11">
        <f t="shared" si="45"/>
        <v>-85000</v>
      </c>
      <c r="G925" s="11">
        <f t="shared" si="46"/>
        <v>945200</v>
      </c>
      <c r="H925" s="11">
        <f t="shared" si="47"/>
        <v>-34000</v>
      </c>
    </row>
    <row r="926" spans="1:8">
      <c r="A926" s="6" t="s">
        <v>18</v>
      </c>
      <c r="B926">
        <v>17983000</v>
      </c>
      <c r="C926">
        <v>18054000</v>
      </c>
      <c r="D926" s="8" t="str">
        <f>VLOOKUP(A926,Лист2!A:E,5,0)</f>
        <v>малые</v>
      </c>
      <c r="E926" s="10">
        <f>VLOOKUP(A926,Лист2!A:E,4,0)</f>
        <v>2.5</v>
      </c>
      <c r="F926" s="11">
        <f t="shared" si="45"/>
        <v>-71000</v>
      </c>
      <c r="G926" s="11">
        <f t="shared" si="46"/>
        <v>7193200</v>
      </c>
      <c r="H926" s="11">
        <f t="shared" si="47"/>
        <v>-28400</v>
      </c>
    </row>
    <row r="927" spans="1:8">
      <c r="A927" s="6" t="s">
        <v>18</v>
      </c>
      <c r="B927">
        <v>738000</v>
      </c>
      <c r="C927">
        <v>448000</v>
      </c>
      <c r="D927" s="8" t="str">
        <f>VLOOKUP(A927,Лист2!A:E,5,0)</f>
        <v>малые</v>
      </c>
      <c r="E927" s="10">
        <f>VLOOKUP(A927,Лист2!A:E,4,0)</f>
        <v>2.5</v>
      </c>
      <c r="F927" s="11">
        <f t="shared" si="45"/>
        <v>290000</v>
      </c>
      <c r="G927" s="11">
        <f t="shared" si="46"/>
        <v>295200</v>
      </c>
      <c r="H927" s="11">
        <f t="shared" si="47"/>
        <v>116000</v>
      </c>
    </row>
    <row r="928" spans="1:8">
      <c r="A928" s="6" t="s">
        <v>18</v>
      </c>
      <c r="B928">
        <v>12000</v>
      </c>
      <c r="C928">
        <v>12000</v>
      </c>
      <c r="D928" s="8" t="str">
        <f>VLOOKUP(A928,Лист2!A:E,5,0)</f>
        <v>малые</v>
      </c>
      <c r="E928" s="10">
        <f>VLOOKUP(A928,Лист2!A:E,4,0)</f>
        <v>2.5</v>
      </c>
      <c r="F928" s="11">
        <f t="shared" si="45"/>
        <v>0</v>
      </c>
      <c r="G928" s="11">
        <f t="shared" si="46"/>
        <v>4800</v>
      </c>
      <c r="H928" s="11">
        <f t="shared" si="47"/>
        <v>0</v>
      </c>
    </row>
    <row r="929" spans="1:8">
      <c r="A929" s="6" t="s">
        <v>18</v>
      </c>
      <c r="B929">
        <v>25277000</v>
      </c>
      <c r="C929">
        <v>25244000</v>
      </c>
      <c r="D929" s="8" t="str">
        <f>VLOOKUP(A929,Лист2!A:E,5,0)</f>
        <v>малые</v>
      </c>
      <c r="E929" s="10">
        <f>VLOOKUP(A929,Лист2!A:E,4,0)</f>
        <v>2.5</v>
      </c>
      <c r="F929" s="11">
        <f t="shared" si="45"/>
        <v>33000</v>
      </c>
      <c r="G929" s="11">
        <f t="shared" si="46"/>
        <v>10110800</v>
      </c>
      <c r="H929" s="11">
        <f t="shared" si="47"/>
        <v>13200</v>
      </c>
    </row>
    <row r="930" spans="1:8">
      <c r="A930" s="6" t="s">
        <v>18</v>
      </c>
      <c r="B930">
        <v>1030000</v>
      </c>
      <c r="C930">
        <v>924000</v>
      </c>
      <c r="D930" s="8" t="str">
        <f>VLOOKUP(A930,Лист2!A:E,5,0)</f>
        <v>малые</v>
      </c>
      <c r="E930" s="10">
        <f>VLOOKUP(A930,Лист2!A:E,4,0)</f>
        <v>2.5</v>
      </c>
      <c r="F930" s="11">
        <f t="shared" si="45"/>
        <v>106000</v>
      </c>
      <c r="G930" s="11">
        <f t="shared" si="46"/>
        <v>412000</v>
      </c>
      <c r="H930" s="11">
        <f t="shared" si="47"/>
        <v>42400</v>
      </c>
    </row>
    <row r="931" spans="1:8">
      <c r="A931" s="6" t="s">
        <v>18</v>
      </c>
      <c r="B931">
        <v>538000</v>
      </c>
      <c r="C931">
        <v>534000</v>
      </c>
      <c r="D931" s="8" t="str">
        <f>VLOOKUP(A931,Лист2!A:E,5,0)</f>
        <v>малые</v>
      </c>
      <c r="E931" s="10">
        <f>VLOOKUP(A931,Лист2!A:E,4,0)</f>
        <v>2.5</v>
      </c>
      <c r="F931" s="11">
        <f t="shared" si="45"/>
        <v>4000</v>
      </c>
      <c r="G931" s="11">
        <f t="shared" si="46"/>
        <v>215200</v>
      </c>
      <c r="H931" s="11">
        <f t="shared" si="47"/>
        <v>1600</v>
      </c>
    </row>
    <row r="932" spans="1:8">
      <c r="A932" s="6" t="s">
        <v>18</v>
      </c>
      <c r="B932">
        <v>518000</v>
      </c>
      <c r="C932">
        <v>518000</v>
      </c>
      <c r="D932" s="8" t="str">
        <f>VLOOKUP(A932,Лист2!A:E,5,0)</f>
        <v>малые</v>
      </c>
      <c r="E932" s="10">
        <f>VLOOKUP(A932,Лист2!A:E,4,0)</f>
        <v>2.5</v>
      </c>
      <c r="F932" s="11">
        <f t="shared" si="45"/>
        <v>0</v>
      </c>
      <c r="G932" s="11">
        <f t="shared" si="46"/>
        <v>207200</v>
      </c>
      <c r="H932" s="11">
        <f t="shared" si="47"/>
        <v>0</v>
      </c>
    </row>
    <row r="933" spans="1:8">
      <c r="A933" s="6" t="s">
        <v>18</v>
      </c>
      <c r="B933">
        <v>2286000</v>
      </c>
      <c r="C933">
        <v>2326000</v>
      </c>
      <c r="D933" s="8" t="str">
        <f>VLOOKUP(A933,Лист2!A:E,5,0)</f>
        <v>малые</v>
      </c>
      <c r="E933" s="10">
        <f>VLOOKUP(A933,Лист2!A:E,4,0)</f>
        <v>2.5</v>
      </c>
      <c r="F933" s="11">
        <f t="shared" si="45"/>
        <v>-40000</v>
      </c>
      <c r="G933" s="11">
        <f t="shared" si="46"/>
        <v>914400</v>
      </c>
      <c r="H933" s="11">
        <f t="shared" si="47"/>
        <v>-16000</v>
      </c>
    </row>
    <row r="934" spans="1:8">
      <c r="A934" s="6" t="s">
        <v>18</v>
      </c>
      <c r="B934">
        <v>2189000</v>
      </c>
      <c r="C934">
        <v>1601000</v>
      </c>
      <c r="D934" s="8" t="str">
        <f>VLOOKUP(A934,Лист2!A:E,5,0)</f>
        <v>малые</v>
      </c>
      <c r="E934" s="10">
        <f>VLOOKUP(A934,Лист2!A:E,4,0)</f>
        <v>2.5</v>
      </c>
      <c r="F934" s="11">
        <f t="shared" si="45"/>
        <v>588000</v>
      </c>
      <c r="G934" s="11">
        <f t="shared" si="46"/>
        <v>875600</v>
      </c>
      <c r="H934" s="11">
        <f t="shared" si="47"/>
        <v>235200</v>
      </c>
    </row>
    <row r="935" spans="1:8">
      <c r="A935" s="6" t="s">
        <v>18</v>
      </c>
      <c r="B935">
        <v>4998000</v>
      </c>
      <c r="C935">
        <v>4990000</v>
      </c>
      <c r="D935" s="8" t="str">
        <f>VLOOKUP(A935,Лист2!A:E,5,0)</f>
        <v>малые</v>
      </c>
      <c r="E935" s="10">
        <f>VLOOKUP(A935,Лист2!A:E,4,0)</f>
        <v>2.5</v>
      </c>
      <c r="F935" s="11">
        <f t="shared" si="45"/>
        <v>8000</v>
      </c>
      <c r="G935" s="11">
        <f t="shared" si="46"/>
        <v>1999200</v>
      </c>
      <c r="H935" s="11">
        <f t="shared" si="47"/>
        <v>3200</v>
      </c>
    </row>
    <row r="936" spans="1:8">
      <c r="A936" s="6" t="s">
        <v>18</v>
      </c>
      <c r="B936">
        <v>482000</v>
      </c>
      <c r="C936">
        <v>477000</v>
      </c>
      <c r="D936" s="8" t="str">
        <f>VLOOKUP(A936,Лист2!A:E,5,0)</f>
        <v>малые</v>
      </c>
      <c r="E936" s="10">
        <f>VLOOKUP(A936,Лист2!A:E,4,0)</f>
        <v>2.5</v>
      </c>
      <c r="F936" s="11">
        <f t="shared" si="45"/>
        <v>5000</v>
      </c>
      <c r="G936" s="11">
        <f t="shared" si="46"/>
        <v>192800</v>
      </c>
      <c r="H936" s="11">
        <f t="shared" si="47"/>
        <v>2000</v>
      </c>
    </row>
    <row r="937" spans="1:8">
      <c r="A937" s="6" t="s">
        <v>18</v>
      </c>
      <c r="B937">
        <v>895000</v>
      </c>
      <c r="C937">
        <v>1171000</v>
      </c>
      <c r="D937" s="8" t="str">
        <f>VLOOKUP(A937,Лист2!A:E,5,0)</f>
        <v>малые</v>
      </c>
      <c r="E937" s="10">
        <f>VLOOKUP(A937,Лист2!A:E,4,0)</f>
        <v>2.5</v>
      </c>
      <c r="F937" s="11">
        <f t="shared" si="45"/>
        <v>-276000</v>
      </c>
      <c r="G937" s="11">
        <f t="shared" si="46"/>
        <v>358000</v>
      </c>
      <c r="H937" s="11">
        <f t="shared" si="47"/>
        <v>-110400</v>
      </c>
    </row>
    <row r="938" spans="1:8">
      <c r="A938" s="6" t="s">
        <v>18</v>
      </c>
      <c r="B938">
        <v>5427000</v>
      </c>
      <c r="C938">
        <v>7271000</v>
      </c>
      <c r="D938" s="8" t="str">
        <f>VLOOKUP(A938,Лист2!A:E,5,0)</f>
        <v>малые</v>
      </c>
      <c r="E938" s="10">
        <f>VLOOKUP(A938,Лист2!A:E,4,0)</f>
        <v>2.5</v>
      </c>
      <c r="F938" s="11">
        <f t="shared" si="45"/>
        <v>-1844000</v>
      </c>
      <c r="G938" s="11">
        <f t="shared" si="46"/>
        <v>2170800</v>
      </c>
      <c r="H938" s="11">
        <f t="shared" si="47"/>
        <v>-737600</v>
      </c>
    </row>
    <row r="939" spans="1:8">
      <c r="A939" s="6" t="s">
        <v>18</v>
      </c>
      <c r="B939">
        <v>9438000</v>
      </c>
      <c r="C939">
        <v>7838000</v>
      </c>
      <c r="D939" s="8" t="str">
        <f>VLOOKUP(A939,Лист2!A:E,5,0)</f>
        <v>малые</v>
      </c>
      <c r="E939" s="10">
        <f>VLOOKUP(A939,Лист2!A:E,4,0)</f>
        <v>2.5</v>
      </c>
      <c r="F939" s="11">
        <f t="shared" si="45"/>
        <v>1600000</v>
      </c>
      <c r="G939" s="11">
        <f t="shared" si="46"/>
        <v>3775200</v>
      </c>
      <c r="H939" s="11">
        <f t="shared" si="47"/>
        <v>640000</v>
      </c>
    </row>
    <row r="940" spans="1:8">
      <c r="A940" s="6" t="s">
        <v>18</v>
      </c>
      <c r="B940">
        <v>315000</v>
      </c>
      <c r="C940">
        <v>314000</v>
      </c>
      <c r="D940" s="8" t="str">
        <f>VLOOKUP(A940,Лист2!A:E,5,0)</f>
        <v>малые</v>
      </c>
      <c r="E940" s="10">
        <f>VLOOKUP(A940,Лист2!A:E,4,0)</f>
        <v>2.5</v>
      </c>
      <c r="F940" s="11">
        <f t="shared" si="45"/>
        <v>1000</v>
      </c>
      <c r="G940" s="11">
        <f t="shared" si="46"/>
        <v>126000</v>
      </c>
      <c r="H940" s="11">
        <f t="shared" si="47"/>
        <v>400</v>
      </c>
    </row>
    <row r="941" spans="1:8">
      <c r="A941" s="6" t="s">
        <v>18</v>
      </c>
      <c r="B941">
        <v>186000</v>
      </c>
      <c r="C941">
        <v>154000</v>
      </c>
      <c r="D941" s="8" t="str">
        <f>VLOOKUP(A941,Лист2!A:E,5,0)</f>
        <v>малые</v>
      </c>
      <c r="E941" s="10">
        <f>VLOOKUP(A941,Лист2!A:E,4,0)</f>
        <v>2.5</v>
      </c>
      <c r="F941" s="11">
        <f t="shared" si="45"/>
        <v>32000</v>
      </c>
      <c r="G941" s="11">
        <f t="shared" si="46"/>
        <v>74400</v>
      </c>
      <c r="H941" s="11">
        <f t="shared" si="47"/>
        <v>12800</v>
      </c>
    </row>
    <row r="942" spans="1:8">
      <c r="A942" s="6" t="s">
        <v>18</v>
      </c>
      <c r="B942">
        <v>103466000</v>
      </c>
      <c r="C942">
        <v>103426000</v>
      </c>
      <c r="D942" s="8" t="str">
        <f>VLOOKUP(A942,Лист2!A:E,5,0)</f>
        <v>малые</v>
      </c>
      <c r="E942" s="10">
        <f>VLOOKUP(A942,Лист2!A:E,4,0)</f>
        <v>2.5</v>
      </c>
      <c r="F942" s="11">
        <f t="shared" si="45"/>
        <v>40000</v>
      </c>
      <c r="G942" s="11">
        <f t="shared" si="46"/>
        <v>41386400</v>
      </c>
      <c r="H942" s="11">
        <f t="shared" si="47"/>
        <v>16000</v>
      </c>
    </row>
    <row r="943" spans="1:8">
      <c r="A943" s="6" t="s">
        <v>18</v>
      </c>
      <c r="B943">
        <v>6854000</v>
      </c>
      <c r="C943">
        <v>6809000</v>
      </c>
      <c r="D943" s="8" t="str">
        <f>VLOOKUP(A943,Лист2!A:E,5,0)</f>
        <v>малые</v>
      </c>
      <c r="E943" s="10">
        <f>VLOOKUP(A943,Лист2!A:E,4,0)</f>
        <v>2.5</v>
      </c>
      <c r="F943" s="11">
        <f t="shared" si="45"/>
        <v>45000</v>
      </c>
      <c r="G943" s="11">
        <f t="shared" si="46"/>
        <v>2741600</v>
      </c>
      <c r="H943" s="11">
        <f t="shared" si="47"/>
        <v>18000</v>
      </c>
    </row>
    <row r="944" spans="1:8">
      <c r="A944" s="6" t="s">
        <v>18</v>
      </c>
      <c r="B944">
        <v>1875000</v>
      </c>
      <c r="C944">
        <v>1891000</v>
      </c>
      <c r="D944" s="8" t="str">
        <f>VLOOKUP(A944,Лист2!A:E,5,0)</f>
        <v>малые</v>
      </c>
      <c r="E944" s="10">
        <f>VLOOKUP(A944,Лист2!A:E,4,0)</f>
        <v>2.5</v>
      </c>
      <c r="F944" s="11">
        <f t="shared" si="45"/>
        <v>-16000</v>
      </c>
      <c r="G944" s="11">
        <f t="shared" si="46"/>
        <v>750000</v>
      </c>
      <c r="H944" s="11">
        <f t="shared" si="47"/>
        <v>-6400</v>
      </c>
    </row>
    <row r="945" spans="1:8">
      <c r="A945" s="6" t="s">
        <v>18</v>
      </c>
      <c r="B945">
        <v>4191000</v>
      </c>
      <c r="C945">
        <v>4121000</v>
      </c>
      <c r="D945" s="8" t="str">
        <f>VLOOKUP(A945,Лист2!A:E,5,0)</f>
        <v>малые</v>
      </c>
      <c r="E945" s="10">
        <f>VLOOKUP(A945,Лист2!A:E,4,0)</f>
        <v>2.5</v>
      </c>
      <c r="F945" s="11">
        <f t="shared" si="45"/>
        <v>70000</v>
      </c>
      <c r="G945" s="11">
        <f t="shared" si="46"/>
        <v>1676400</v>
      </c>
      <c r="H945" s="11">
        <f t="shared" si="47"/>
        <v>28000</v>
      </c>
    </row>
    <row r="946" spans="1:8">
      <c r="A946" s="6" t="s">
        <v>18</v>
      </c>
      <c r="B946">
        <v>383000</v>
      </c>
      <c r="C946">
        <v>384000</v>
      </c>
      <c r="D946" s="8" t="str">
        <f>VLOOKUP(A946,Лист2!A:E,5,0)</f>
        <v>малые</v>
      </c>
      <c r="E946" s="10">
        <f>VLOOKUP(A946,Лист2!A:E,4,0)</f>
        <v>2.5</v>
      </c>
      <c r="F946" s="11">
        <f t="shared" si="45"/>
        <v>-1000</v>
      </c>
      <c r="G946" s="11">
        <f t="shared" si="46"/>
        <v>153200</v>
      </c>
      <c r="H946" s="11">
        <f t="shared" si="47"/>
        <v>-400</v>
      </c>
    </row>
    <row r="947" spans="1:8">
      <c r="A947" s="6" t="s">
        <v>18</v>
      </c>
      <c r="B947">
        <v>678000</v>
      </c>
      <c r="C947">
        <v>728000</v>
      </c>
      <c r="D947" s="8" t="str">
        <f>VLOOKUP(A947,Лист2!A:E,5,0)</f>
        <v>малые</v>
      </c>
      <c r="E947" s="10">
        <f>VLOOKUP(A947,Лист2!A:E,4,0)</f>
        <v>2.5</v>
      </c>
      <c r="F947" s="11">
        <f t="shared" si="45"/>
        <v>-50000</v>
      </c>
      <c r="G947" s="11">
        <f t="shared" si="46"/>
        <v>271200</v>
      </c>
      <c r="H947" s="11">
        <f t="shared" si="47"/>
        <v>-20000</v>
      </c>
    </row>
    <row r="948" spans="1:8">
      <c r="A948" s="6" t="s">
        <v>18</v>
      </c>
      <c r="B948">
        <v>91000</v>
      </c>
      <c r="C948">
        <v>91000</v>
      </c>
      <c r="D948" s="8" t="str">
        <f>VLOOKUP(A948,Лист2!A:E,5,0)</f>
        <v>малые</v>
      </c>
      <c r="E948" s="10">
        <f>VLOOKUP(A948,Лист2!A:E,4,0)</f>
        <v>2.5</v>
      </c>
      <c r="F948" s="11">
        <f t="shared" si="45"/>
        <v>0</v>
      </c>
      <c r="G948" s="11">
        <f t="shared" si="46"/>
        <v>36400</v>
      </c>
      <c r="H948" s="11">
        <f t="shared" si="47"/>
        <v>0</v>
      </c>
    </row>
    <row r="949" spans="1:8">
      <c r="A949" s="6" t="s">
        <v>18</v>
      </c>
      <c r="B949">
        <v>341000</v>
      </c>
      <c r="C949">
        <v>342000</v>
      </c>
      <c r="D949" s="8" t="str">
        <f>VLOOKUP(A949,Лист2!A:E,5,0)</f>
        <v>малые</v>
      </c>
      <c r="E949" s="10">
        <f>VLOOKUP(A949,Лист2!A:E,4,0)</f>
        <v>2.5</v>
      </c>
      <c r="F949" s="11">
        <f t="shared" si="45"/>
        <v>-1000</v>
      </c>
      <c r="G949" s="11">
        <f t="shared" si="46"/>
        <v>136400</v>
      </c>
      <c r="H949" s="11">
        <f t="shared" si="47"/>
        <v>-400</v>
      </c>
    </row>
    <row r="950" spans="1:8">
      <c r="A950" s="6" t="s">
        <v>18</v>
      </c>
      <c r="B950">
        <v>100000</v>
      </c>
      <c r="C950">
        <v>100000</v>
      </c>
      <c r="D950" s="8" t="str">
        <f>VLOOKUP(A950,Лист2!A:E,5,0)</f>
        <v>малые</v>
      </c>
      <c r="E950" s="10">
        <f>VLOOKUP(A950,Лист2!A:E,4,0)</f>
        <v>2.5</v>
      </c>
      <c r="F950" s="11">
        <f t="shared" si="45"/>
        <v>0</v>
      </c>
      <c r="G950" s="11">
        <f t="shared" si="46"/>
        <v>40000</v>
      </c>
      <c r="H950" s="11">
        <f t="shared" si="47"/>
        <v>0</v>
      </c>
    </row>
    <row r="951" spans="1:8">
      <c r="A951" s="6" t="s">
        <v>18</v>
      </c>
      <c r="B951">
        <v>234000</v>
      </c>
      <c r="C951">
        <v>155000</v>
      </c>
      <c r="D951" s="8" t="str">
        <f>VLOOKUP(A951,Лист2!A:E,5,0)</f>
        <v>малые</v>
      </c>
      <c r="E951" s="10">
        <f>VLOOKUP(A951,Лист2!A:E,4,0)</f>
        <v>2.5</v>
      </c>
      <c r="F951" s="11">
        <f t="shared" si="45"/>
        <v>79000</v>
      </c>
      <c r="G951" s="11">
        <f t="shared" si="46"/>
        <v>93600</v>
      </c>
      <c r="H951" s="11">
        <f t="shared" si="47"/>
        <v>31600</v>
      </c>
    </row>
    <row r="952" spans="1:8">
      <c r="A952" s="6" t="s">
        <v>18</v>
      </c>
      <c r="B952">
        <v>209000</v>
      </c>
      <c r="C952">
        <v>206000</v>
      </c>
      <c r="D952" s="8" t="str">
        <f>VLOOKUP(A952,Лист2!A:E,5,0)</f>
        <v>малые</v>
      </c>
      <c r="E952" s="10">
        <f>VLOOKUP(A952,Лист2!A:E,4,0)</f>
        <v>2.5</v>
      </c>
      <c r="F952" s="11">
        <f t="shared" si="45"/>
        <v>3000</v>
      </c>
      <c r="G952" s="11">
        <f t="shared" si="46"/>
        <v>83600</v>
      </c>
      <c r="H952" s="11">
        <f t="shared" si="47"/>
        <v>1200</v>
      </c>
    </row>
    <row r="953" spans="1:8">
      <c r="A953" s="6" t="s">
        <v>18</v>
      </c>
      <c r="B953">
        <v>2824000</v>
      </c>
      <c r="C953">
        <v>2847000</v>
      </c>
      <c r="D953" s="8" t="str">
        <f>VLOOKUP(A953,Лист2!A:E,5,0)</f>
        <v>малые</v>
      </c>
      <c r="E953" s="10">
        <f>VLOOKUP(A953,Лист2!A:E,4,0)</f>
        <v>2.5</v>
      </c>
      <c r="F953" s="11">
        <f t="shared" si="45"/>
        <v>-23000</v>
      </c>
      <c r="G953" s="11">
        <f t="shared" si="46"/>
        <v>1129600</v>
      </c>
      <c r="H953" s="11">
        <f t="shared" si="47"/>
        <v>-9200</v>
      </c>
    </row>
    <row r="954" spans="1:8">
      <c r="A954" s="6" t="s">
        <v>18</v>
      </c>
      <c r="B954">
        <v>189009000</v>
      </c>
      <c r="C954">
        <v>599000</v>
      </c>
      <c r="D954" s="8" t="str">
        <f>VLOOKUP(A954,Лист2!A:E,5,0)</f>
        <v>малые</v>
      </c>
      <c r="E954" s="10">
        <f>VLOOKUP(A954,Лист2!A:E,4,0)</f>
        <v>2.5</v>
      </c>
      <c r="F954" s="11">
        <f t="shared" si="45"/>
        <v>188410000</v>
      </c>
      <c r="G954" s="11">
        <f t="shared" si="46"/>
        <v>75603600</v>
      </c>
      <c r="H954" s="11">
        <f t="shared" si="47"/>
        <v>75364000</v>
      </c>
    </row>
    <row r="955" spans="1:8">
      <c r="A955" s="6" t="s">
        <v>18</v>
      </c>
      <c r="B955">
        <v>201000</v>
      </c>
      <c r="C955">
        <v>203000</v>
      </c>
      <c r="D955" s="8" t="str">
        <f>VLOOKUP(A955,Лист2!A:E,5,0)</f>
        <v>малые</v>
      </c>
      <c r="E955" s="10">
        <f>VLOOKUP(A955,Лист2!A:E,4,0)</f>
        <v>2.5</v>
      </c>
      <c r="F955" s="11">
        <f t="shared" si="45"/>
        <v>-2000</v>
      </c>
      <c r="G955" s="11">
        <f t="shared" si="46"/>
        <v>80400</v>
      </c>
      <c r="H955" s="11">
        <f t="shared" si="47"/>
        <v>-800</v>
      </c>
    </row>
    <row r="956" spans="1:8">
      <c r="A956" s="6" t="s">
        <v>18</v>
      </c>
      <c r="B956">
        <v>1062000</v>
      </c>
      <c r="C956">
        <v>1098000</v>
      </c>
      <c r="D956" s="8" t="str">
        <f>VLOOKUP(A956,Лист2!A:E,5,0)</f>
        <v>малые</v>
      </c>
      <c r="E956" s="10">
        <f>VLOOKUP(A956,Лист2!A:E,4,0)</f>
        <v>2.5</v>
      </c>
      <c r="F956" s="11">
        <f t="shared" si="45"/>
        <v>-36000</v>
      </c>
      <c r="G956" s="11">
        <f t="shared" si="46"/>
        <v>424800</v>
      </c>
      <c r="H956" s="11">
        <f t="shared" si="47"/>
        <v>-14400</v>
      </c>
    </row>
    <row r="957" spans="1:8">
      <c r="A957" s="6" t="s">
        <v>18</v>
      </c>
      <c r="B957">
        <v>327000</v>
      </c>
      <c r="C957">
        <v>375000</v>
      </c>
      <c r="D957" s="8" t="str">
        <f>VLOOKUP(A957,Лист2!A:E,5,0)</f>
        <v>малые</v>
      </c>
      <c r="E957" s="10">
        <f>VLOOKUP(A957,Лист2!A:E,4,0)</f>
        <v>2.5</v>
      </c>
      <c r="F957" s="11">
        <f t="shared" si="45"/>
        <v>-48000</v>
      </c>
      <c r="G957" s="11">
        <f t="shared" si="46"/>
        <v>130800</v>
      </c>
      <c r="H957" s="11">
        <f t="shared" si="47"/>
        <v>-19200</v>
      </c>
    </row>
    <row r="958" spans="1:8">
      <c r="A958" s="6" t="s">
        <v>18</v>
      </c>
      <c r="B958">
        <v>2013000</v>
      </c>
      <c r="C958">
        <v>2125000</v>
      </c>
      <c r="D958" s="8" t="str">
        <f>VLOOKUP(A958,Лист2!A:E,5,0)</f>
        <v>малые</v>
      </c>
      <c r="E958" s="10">
        <f>VLOOKUP(A958,Лист2!A:E,4,0)</f>
        <v>2.5</v>
      </c>
      <c r="F958" s="11">
        <f t="shared" si="45"/>
        <v>-112000</v>
      </c>
      <c r="G958" s="11">
        <f t="shared" si="46"/>
        <v>805200</v>
      </c>
      <c r="H958" s="11">
        <f t="shared" si="47"/>
        <v>-44800</v>
      </c>
    </row>
    <row r="959" spans="1:8">
      <c r="A959" s="6" t="s">
        <v>18</v>
      </c>
      <c r="B959">
        <v>8550000</v>
      </c>
      <c r="C959">
        <v>8114000</v>
      </c>
      <c r="D959" s="8" t="str">
        <f>VLOOKUP(A959,Лист2!A:E,5,0)</f>
        <v>малые</v>
      </c>
      <c r="E959" s="10">
        <f>VLOOKUP(A959,Лист2!A:E,4,0)</f>
        <v>2.5</v>
      </c>
      <c r="F959" s="11">
        <f t="shared" si="45"/>
        <v>436000</v>
      </c>
      <c r="G959" s="11">
        <f t="shared" si="46"/>
        <v>3420000</v>
      </c>
      <c r="H959" s="11">
        <f t="shared" si="47"/>
        <v>174400</v>
      </c>
    </row>
    <row r="960" spans="1:8">
      <c r="A960" s="6" t="s">
        <v>18</v>
      </c>
      <c r="B960">
        <v>21000000</v>
      </c>
      <c r="C960">
        <v>9026000</v>
      </c>
      <c r="D960" s="8" t="str">
        <f>VLOOKUP(A960,Лист2!A:E,5,0)</f>
        <v>малые</v>
      </c>
      <c r="E960" s="10">
        <f>VLOOKUP(A960,Лист2!A:E,4,0)</f>
        <v>2.5</v>
      </c>
      <c r="F960" s="11">
        <f t="shared" si="45"/>
        <v>11974000</v>
      </c>
      <c r="G960" s="11">
        <f t="shared" si="46"/>
        <v>8400000</v>
      </c>
      <c r="H960" s="11">
        <f t="shared" si="47"/>
        <v>4789600</v>
      </c>
    </row>
    <row r="961" spans="1:8">
      <c r="A961" s="6" t="s">
        <v>22</v>
      </c>
      <c r="B961">
        <v>22696000</v>
      </c>
      <c r="C961">
        <v>32828000</v>
      </c>
      <c r="D961" s="8" t="str">
        <f>VLOOKUP(A961,Лист2!A:E,5,0)</f>
        <v>малые</v>
      </c>
      <c r="E961" s="10">
        <f>VLOOKUP(A961,Лист2!A:E,4,0)</f>
        <v>13</v>
      </c>
      <c r="F961" s="11">
        <f t="shared" si="45"/>
        <v>-10132000</v>
      </c>
      <c r="G961" s="11">
        <f t="shared" si="46"/>
        <v>1745846.1538461538</v>
      </c>
      <c r="H961" s="11">
        <f t="shared" si="47"/>
        <v>-779384.61538461538</v>
      </c>
    </row>
    <row r="962" spans="1:8">
      <c r="A962" s="6" t="s">
        <v>18</v>
      </c>
      <c r="B962">
        <v>2072000</v>
      </c>
      <c r="C962">
        <v>2050000</v>
      </c>
      <c r="D962" s="8" t="str">
        <f>VLOOKUP(A962,Лист2!A:E,5,0)</f>
        <v>малые</v>
      </c>
      <c r="E962" s="10">
        <f>VLOOKUP(A962,Лист2!A:E,4,0)</f>
        <v>2.5</v>
      </c>
      <c r="F962" s="11">
        <f t="shared" si="45"/>
        <v>22000</v>
      </c>
      <c r="G962" s="11">
        <f t="shared" si="46"/>
        <v>828800</v>
      </c>
      <c r="H962" s="11">
        <f t="shared" si="47"/>
        <v>8800</v>
      </c>
    </row>
    <row r="963" spans="1:8">
      <c r="A963" s="6" t="s">
        <v>18</v>
      </c>
      <c r="B963">
        <v>115000</v>
      </c>
      <c r="C963">
        <v>73000</v>
      </c>
      <c r="D963" s="8" t="str">
        <f>VLOOKUP(A963,Лист2!A:E,5,0)</f>
        <v>малые</v>
      </c>
      <c r="E963" s="10">
        <f>VLOOKUP(A963,Лист2!A:E,4,0)</f>
        <v>2.5</v>
      </c>
      <c r="F963" s="11">
        <f t="shared" si="45"/>
        <v>42000</v>
      </c>
      <c r="G963" s="11">
        <f t="shared" si="46"/>
        <v>46000</v>
      </c>
      <c r="H963" s="11">
        <f t="shared" si="47"/>
        <v>16800</v>
      </c>
    </row>
    <row r="964" spans="1:8">
      <c r="A964" s="6" t="s">
        <v>18</v>
      </c>
      <c r="B964">
        <v>2697000</v>
      </c>
      <c r="C964">
        <v>2697000</v>
      </c>
      <c r="D964" s="8" t="str">
        <f>VLOOKUP(A964,Лист2!A:E,5,0)</f>
        <v>малые</v>
      </c>
      <c r="E964" s="10">
        <f>VLOOKUP(A964,Лист2!A:E,4,0)</f>
        <v>2.5</v>
      </c>
      <c r="F964" s="11">
        <f t="shared" si="45"/>
        <v>0</v>
      </c>
      <c r="G964" s="11">
        <f t="shared" si="46"/>
        <v>1078800</v>
      </c>
      <c r="H964" s="11">
        <f t="shared" si="47"/>
        <v>0</v>
      </c>
    </row>
    <row r="965" spans="1:8">
      <c r="A965" s="6" t="s">
        <v>18</v>
      </c>
      <c r="B965">
        <v>2091000</v>
      </c>
      <c r="C965">
        <v>2091000</v>
      </c>
      <c r="D965" s="8" t="str">
        <f>VLOOKUP(A965,Лист2!A:E,5,0)</f>
        <v>малые</v>
      </c>
      <c r="E965" s="10">
        <f>VLOOKUP(A965,Лист2!A:E,4,0)</f>
        <v>2.5</v>
      </c>
      <c r="F965" s="11">
        <f t="shared" si="45"/>
        <v>0</v>
      </c>
      <c r="G965" s="11">
        <f t="shared" si="46"/>
        <v>836400</v>
      </c>
      <c r="H965" s="11">
        <f t="shared" si="47"/>
        <v>0</v>
      </c>
    </row>
    <row r="966" spans="1:8">
      <c r="A966" s="6" t="s">
        <v>18</v>
      </c>
      <c r="B966">
        <v>6347000</v>
      </c>
      <c r="C966">
        <v>6708000</v>
      </c>
      <c r="D966" s="8" t="str">
        <f>VLOOKUP(A966,Лист2!A:E,5,0)</f>
        <v>малые</v>
      </c>
      <c r="E966" s="10">
        <f>VLOOKUP(A966,Лист2!A:E,4,0)</f>
        <v>2.5</v>
      </c>
      <c r="F966" s="11">
        <f t="shared" si="45"/>
        <v>-361000</v>
      </c>
      <c r="G966" s="11">
        <f t="shared" si="46"/>
        <v>2538800</v>
      </c>
      <c r="H966" s="11">
        <f t="shared" si="47"/>
        <v>-144400</v>
      </c>
    </row>
    <row r="967" spans="1:8">
      <c r="A967" s="6" t="s">
        <v>18</v>
      </c>
      <c r="B967">
        <v>230000</v>
      </c>
      <c r="C967">
        <v>232000</v>
      </c>
      <c r="D967" s="8" t="str">
        <f>VLOOKUP(A967,Лист2!A:E,5,0)</f>
        <v>малые</v>
      </c>
      <c r="E967" s="10">
        <f>VLOOKUP(A967,Лист2!A:E,4,0)</f>
        <v>2.5</v>
      </c>
      <c r="F967" s="11">
        <f t="shared" si="45"/>
        <v>-2000</v>
      </c>
      <c r="G967" s="11">
        <f t="shared" si="46"/>
        <v>92000</v>
      </c>
      <c r="H967" s="11">
        <f t="shared" si="47"/>
        <v>-800</v>
      </c>
    </row>
    <row r="968" spans="1:8">
      <c r="A968" s="6" t="s">
        <v>22</v>
      </c>
      <c r="B968">
        <v>22575000</v>
      </c>
      <c r="C968">
        <v>18246000</v>
      </c>
      <c r="D968" s="8" t="str">
        <f>VLOOKUP(A968,Лист2!A:E,5,0)</f>
        <v>малые</v>
      </c>
      <c r="E968" s="10">
        <f>VLOOKUP(A968,Лист2!A:E,4,0)</f>
        <v>13</v>
      </c>
      <c r="F968" s="11">
        <f t="shared" si="45"/>
        <v>4329000</v>
      </c>
      <c r="G968" s="11">
        <f t="shared" si="46"/>
        <v>1736538.4615384615</v>
      </c>
      <c r="H968" s="11">
        <f t="shared" si="47"/>
        <v>333000</v>
      </c>
    </row>
    <row r="969" spans="1:8">
      <c r="A969" s="6" t="s">
        <v>22</v>
      </c>
      <c r="B969">
        <v>648499000</v>
      </c>
      <c r="C969">
        <v>652563000</v>
      </c>
      <c r="D969" s="8" t="str">
        <f>VLOOKUP(A969,Лист2!A:E,5,0)</f>
        <v>малые</v>
      </c>
      <c r="E969" s="10">
        <f>VLOOKUP(A969,Лист2!A:E,4,0)</f>
        <v>13</v>
      </c>
      <c r="F969" s="11">
        <f t="shared" si="45"/>
        <v>-4064000</v>
      </c>
      <c r="G969" s="11">
        <f t="shared" si="46"/>
        <v>49884538.461538464</v>
      </c>
      <c r="H969" s="11">
        <f t="shared" si="47"/>
        <v>-312615.38461538462</v>
      </c>
    </row>
    <row r="970" spans="1:8">
      <c r="A970" s="6" t="s">
        <v>18</v>
      </c>
      <c r="B970">
        <v>2943000</v>
      </c>
      <c r="C970">
        <v>3043000</v>
      </c>
      <c r="D970" s="8" t="str">
        <f>VLOOKUP(A970,Лист2!A:E,5,0)</f>
        <v>малые</v>
      </c>
      <c r="E970" s="10">
        <f>VLOOKUP(A970,Лист2!A:E,4,0)</f>
        <v>2.5</v>
      </c>
      <c r="F970" s="11">
        <f t="shared" si="45"/>
        <v>-100000</v>
      </c>
      <c r="G970" s="11">
        <f t="shared" si="46"/>
        <v>1177200</v>
      </c>
      <c r="H970" s="11">
        <f t="shared" si="47"/>
        <v>-40000</v>
      </c>
    </row>
    <row r="971" spans="1:8">
      <c r="A971" s="6" t="s">
        <v>18</v>
      </c>
      <c r="B971">
        <v>10420000</v>
      </c>
      <c r="C971">
        <v>10594000</v>
      </c>
      <c r="D971" s="8" t="str">
        <f>VLOOKUP(A971,Лист2!A:E,5,0)</f>
        <v>малые</v>
      </c>
      <c r="E971" s="10">
        <f>VLOOKUP(A971,Лист2!A:E,4,0)</f>
        <v>2.5</v>
      </c>
      <c r="F971" s="11">
        <f t="shared" si="45"/>
        <v>-174000</v>
      </c>
      <c r="G971" s="11">
        <f t="shared" si="46"/>
        <v>4168000</v>
      </c>
      <c r="H971" s="11">
        <f t="shared" si="47"/>
        <v>-69600</v>
      </c>
    </row>
    <row r="972" spans="1:8">
      <c r="A972" s="6" t="s">
        <v>18</v>
      </c>
      <c r="B972">
        <v>284000</v>
      </c>
      <c r="C972">
        <v>264000</v>
      </c>
      <c r="D972" s="8" t="str">
        <f>VLOOKUP(A972,Лист2!A:E,5,0)</f>
        <v>малые</v>
      </c>
      <c r="E972" s="10">
        <f>VLOOKUP(A972,Лист2!A:E,4,0)</f>
        <v>2.5</v>
      </c>
      <c r="F972" s="11">
        <f t="shared" si="45"/>
        <v>20000</v>
      </c>
      <c r="G972" s="11">
        <f t="shared" si="46"/>
        <v>113600</v>
      </c>
      <c r="H972" s="11">
        <f t="shared" si="47"/>
        <v>8000</v>
      </c>
    </row>
    <row r="973" spans="1:8">
      <c r="A973" s="6" t="s">
        <v>18</v>
      </c>
      <c r="B973">
        <v>10000</v>
      </c>
      <c r="C973">
        <v>10000</v>
      </c>
      <c r="D973" s="8" t="str">
        <f>VLOOKUP(A973,Лист2!A:E,5,0)</f>
        <v>малые</v>
      </c>
      <c r="E973" s="10">
        <f>VLOOKUP(A973,Лист2!A:E,4,0)</f>
        <v>2.5</v>
      </c>
      <c r="F973" s="11">
        <f t="shared" si="45"/>
        <v>0</v>
      </c>
      <c r="G973" s="11">
        <f t="shared" si="46"/>
        <v>4000</v>
      </c>
      <c r="H973" s="11">
        <f t="shared" si="47"/>
        <v>0</v>
      </c>
    </row>
    <row r="974" spans="1:8">
      <c r="A974" s="6" t="s">
        <v>18</v>
      </c>
      <c r="B974">
        <v>11292000</v>
      </c>
      <c r="C974">
        <v>11280000</v>
      </c>
      <c r="D974" s="8" t="str">
        <f>VLOOKUP(A974,Лист2!A:E,5,0)</f>
        <v>малые</v>
      </c>
      <c r="E974" s="10">
        <f>VLOOKUP(A974,Лист2!A:E,4,0)</f>
        <v>2.5</v>
      </c>
      <c r="F974" s="11">
        <f t="shared" si="45"/>
        <v>12000</v>
      </c>
      <c r="G974" s="11">
        <f t="shared" si="46"/>
        <v>4516800</v>
      </c>
      <c r="H974" s="11">
        <f t="shared" si="47"/>
        <v>4800</v>
      </c>
    </row>
    <row r="975" spans="1:8">
      <c r="A975" s="6" t="s">
        <v>18</v>
      </c>
      <c r="B975">
        <v>7389000</v>
      </c>
      <c r="C975">
        <v>7309000</v>
      </c>
      <c r="D975" s="8" t="str">
        <f>VLOOKUP(A975,Лист2!A:E,5,0)</f>
        <v>малые</v>
      </c>
      <c r="E975" s="10">
        <f>VLOOKUP(A975,Лист2!A:E,4,0)</f>
        <v>2.5</v>
      </c>
      <c r="F975" s="11">
        <f t="shared" si="45"/>
        <v>80000</v>
      </c>
      <c r="G975" s="11">
        <f t="shared" si="46"/>
        <v>2955600</v>
      </c>
      <c r="H975" s="11">
        <f t="shared" si="47"/>
        <v>32000</v>
      </c>
    </row>
    <row r="976" spans="1:8">
      <c r="A976" s="6" t="s">
        <v>18</v>
      </c>
      <c r="B976">
        <v>1378000</v>
      </c>
      <c r="C976">
        <v>1651000</v>
      </c>
      <c r="D976" s="8" t="str">
        <f>VLOOKUP(A976,Лист2!A:E,5,0)</f>
        <v>малые</v>
      </c>
      <c r="E976" s="10">
        <f>VLOOKUP(A976,Лист2!A:E,4,0)</f>
        <v>2.5</v>
      </c>
      <c r="F976" s="11">
        <f t="shared" si="45"/>
        <v>-273000</v>
      </c>
      <c r="G976" s="11">
        <f t="shared" si="46"/>
        <v>551200</v>
      </c>
      <c r="H976" s="11">
        <f t="shared" si="47"/>
        <v>-109200</v>
      </c>
    </row>
    <row r="977" spans="1:8">
      <c r="A977" s="6" t="s">
        <v>18</v>
      </c>
      <c r="B977">
        <v>6234000</v>
      </c>
      <c r="C977">
        <v>6132000</v>
      </c>
      <c r="D977" s="8" t="str">
        <f>VLOOKUP(A977,Лист2!A:E,5,0)</f>
        <v>малые</v>
      </c>
      <c r="E977" s="10">
        <f>VLOOKUP(A977,Лист2!A:E,4,0)</f>
        <v>2.5</v>
      </c>
      <c r="F977" s="11">
        <f t="shared" si="45"/>
        <v>102000</v>
      </c>
      <c r="G977" s="11">
        <f t="shared" si="46"/>
        <v>2493600</v>
      </c>
      <c r="H977" s="11">
        <f t="shared" si="47"/>
        <v>40800</v>
      </c>
    </row>
    <row r="978" spans="1:8">
      <c r="A978" s="6" t="s">
        <v>18</v>
      </c>
      <c r="B978">
        <v>195450000</v>
      </c>
      <c r="C978">
        <v>178368000</v>
      </c>
      <c r="D978" s="8" t="str">
        <f>VLOOKUP(A978,Лист2!A:E,5,0)</f>
        <v>малые</v>
      </c>
      <c r="E978" s="10">
        <f>VLOOKUP(A978,Лист2!A:E,4,0)</f>
        <v>2.5</v>
      </c>
      <c r="F978" s="11">
        <f t="shared" si="45"/>
        <v>17082000</v>
      </c>
      <c r="G978" s="11">
        <f t="shared" si="46"/>
        <v>78180000</v>
      </c>
      <c r="H978" s="11">
        <f t="shared" si="47"/>
        <v>6832800</v>
      </c>
    </row>
    <row r="979" spans="1:8">
      <c r="A979" s="6" t="s">
        <v>18</v>
      </c>
      <c r="B979">
        <v>1325000</v>
      </c>
      <c r="C979">
        <v>783000</v>
      </c>
      <c r="D979" s="8" t="str">
        <f>VLOOKUP(A979,Лист2!A:E,5,0)</f>
        <v>малые</v>
      </c>
      <c r="E979" s="10">
        <f>VLOOKUP(A979,Лист2!A:E,4,0)</f>
        <v>2.5</v>
      </c>
      <c r="F979" s="11">
        <f t="shared" si="45"/>
        <v>542000</v>
      </c>
      <c r="G979" s="11">
        <f t="shared" si="46"/>
        <v>530000</v>
      </c>
      <c r="H979" s="11">
        <f t="shared" si="47"/>
        <v>216800</v>
      </c>
    </row>
    <row r="980" spans="1:8">
      <c r="A980" s="6" t="s">
        <v>18</v>
      </c>
      <c r="B980">
        <v>2695000</v>
      </c>
      <c r="C980">
        <v>2213000</v>
      </c>
      <c r="D980" s="8" t="str">
        <f>VLOOKUP(A980,Лист2!A:E,5,0)</f>
        <v>малые</v>
      </c>
      <c r="E980" s="10">
        <f>VLOOKUP(A980,Лист2!A:E,4,0)</f>
        <v>2.5</v>
      </c>
      <c r="F980" s="11">
        <f t="shared" si="45"/>
        <v>482000</v>
      </c>
      <c r="G980" s="11">
        <f t="shared" si="46"/>
        <v>1078000</v>
      </c>
      <c r="H980" s="11">
        <f t="shared" si="47"/>
        <v>192800</v>
      </c>
    </row>
    <row r="981" spans="1:8">
      <c r="A981" s="6" t="s">
        <v>18</v>
      </c>
      <c r="B981">
        <v>2583000</v>
      </c>
      <c r="C981">
        <v>2530000</v>
      </c>
      <c r="D981" s="8" t="str">
        <f>VLOOKUP(A981,Лист2!A:E,5,0)</f>
        <v>малые</v>
      </c>
      <c r="E981" s="10">
        <f>VLOOKUP(A981,Лист2!A:E,4,0)</f>
        <v>2.5</v>
      </c>
      <c r="F981" s="11">
        <f t="shared" si="45"/>
        <v>53000</v>
      </c>
      <c r="G981" s="11">
        <f t="shared" si="46"/>
        <v>1033200</v>
      </c>
      <c r="H981" s="11">
        <f t="shared" si="47"/>
        <v>21200</v>
      </c>
    </row>
    <row r="982" spans="1:8">
      <c r="A982" s="6" t="s">
        <v>18</v>
      </c>
      <c r="B982">
        <v>20851000</v>
      </c>
      <c r="C982">
        <v>20824000</v>
      </c>
      <c r="D982" s="8" t="str">
        <f>VLOOKUP(A982,Лист2!A:E,5,0)</f>
        <v>малые</v>
      </c>
      <c r="E982" s="10">
        <f>VLOOKUP(A982,Лист2!A:E,4,0)</f>
        <v>2.5</v>
      </c>
      <c r="F982" s="11">
        <f t="shared" si="45"/>
        <v>27000</v>
      </c>
      <c r="G982" s="11">
        <f t="shared" si="46"/>
        <v>8340400</v>
      </c>
      <c r="H982" s="11">
        <f t="shared" si="47"/>
        <v>10800</v>
      </c>
    </row>
    <row r="983" spans="1:8">
      <c r="A983" s="6" t="s">
        <v>18</v>
      </c>
      <c r="B983">
        <v>226000</v>
      </c>
      <c r="C983">
        <v>222000</v>
      </c>
      <c r="D983" s="8" t="str">
        <f>VLOOKUP(A983,Лист2!A:E,5,0)</f>
        <v>малые</v>
      </c>
      <c r="E983" s="10">
        <f>VLOOKUP(A983,Лист2!A:E,4,0)</f>
        <v>2.5</v>
      </c>
      <c r="F983" s="11">
        <f t="shared" ref="F983:F1043" si="48">B983-C983</f>
        <v>4000</v>
      </c>
      <c r="G983" s="11">
        <f t="shared" ref="G983:G1043" si="49">B983/E983</f>
        <v>90400</v>
      </c>
      <c r="H983" s="11">
        <f t="shared" ref="H983:H1043" si="50">F983/E983</f>
        <v>1600</v>
      </c>
    </row>
    <row r="984" spans="1:8">
      <c r="A984" s="6" t="s">
        <v>18</v>
      </c>
      <c r="B984">
        <v>239143000</v>
      </c>
      <c r="C984">
        <v>260688000</v>
      </c>
      <c r="D984" s="8" t="str">
        <f>VLOOKUP(A984,Лист2!A:E,5,0)</f>
        <v>малые</v>
      </c>
      <c r="E984" s="10">
        <f>VLOOKUP(A984,Лист2!A:E,4,0)</f>
        <v>2.5</v>
      </c>
      <c r="F984" s="11">
        <f t="shared" si="48"/>
        <v>-21545000</v>
      </c>
      <c r="G984" s="11">
        <f t="shared" si="49"/>
        <v>95657200</v>
      </c>
      <c r="H984" s="11">
        <f t="shared" si="50"/>
        <v>-8618000</v>
      </c>
    </row>
    <row r="985" spans="1:8">
      <c r="A985" s="6" t="s">
        <v>18</v>
      </c>
      <c r="B985">
        <v>1664000</v>
      </c>
      <c r="C985">
        <v>1661000</v>
      </c>
      <c r="D985" s="8" t="str">
        <f>VLOOKUP(A985,Лист2!A:E,5,0)</f>
        <v>малые</v>
      </c>
      <c r="E985" s="10">
        <f>VLOOKUP(A985,Лист2!A:E,4,0)</f>
        <v>2.5</v>
      </c>
      <c r="F985" s="11">
        <f t="shared" si="48"/>
        <v>3000</v>
      </c>
      <c r="G985" s="11">
        <f t="shared" si="49"/>
        <v>665600</v>
      </c>
      <c r="H985" s="11">
        <f t="shared" si="50"/>
        <v>1200</v>
      </c>
    </row>
    <row r="986" spans="1:8">
      <c r="A986" s="6" t="s">
        <v>18</v>
      </c>
      <c r="B986">
        <v>3480000</v>
      </c>
      <c r="C986">
        <v>4041000</v>
      </c>
      <c r="D986" s="8" t="str">
        <f>VLOOKUP(A986,Лист2!A:E,5,0)</f>
        <v>малые</v>
      </c>
      <c r="E986" s="10">
        <f>VLOOKUP(A986,Лист2!A:E,4,0)</f>
        <v>2.5</v>
      </c>
      <c r="F986" s="11">
        <f t="shared" si="48"/>
        <v>-561000</v>
      </c>
      <c r="G986" s="11">
        <f t="shared" si="49"/>
        <v>1392000</v>
      </c>
      <c r="H986" s="11">
        <f t="shared" si="50"/>
        <v>-224400</v>
      </c>
    </row>
    <row r="987" spans="1:8">
      <c r="A987" s="6" t="s">
        <v>18</v>
      </c>
      <c r="B987">
        <v>23500000</v>
      </c>
      <c r="C987">
        <v>23315000</v>
      </c>
      <c r="D987" s="8" t="str">
        <f>VLOOKUP(A987,Лист2!A:E,5,0)</f>
        <v>малые</v>
      </c>
      <c r="E987" s="10">
        <f>VLOOKUP(A987,Лист2!A:E,4,0)</f>
        <v>2.5</v>
      </c>
      <c r="F987" s="11">
        <f t="shared" si="48"/>
        <v>185000</v>
      </c>
      <c r="G987" s="11">
        <f t="shared" si="49"/>
        <v>9400000</v>
      </c>
      <c r="H987" s="11">
        <f t="shared" si="50"/>
        <v>74000</v>
      </c>
    </row>
    <row r="988" spans="1:8">
      <c r="A988" s="6" t="s">
        <v>18</v>
      </c>
      <c r="B988">
        <v>107000</v>
      </c>
      <c r="C988">
        <v>116000</v>
      </c>
      <c r="D988" s="8" t="str">
        <f>VLOOKUP(A988,Лист2!A:E,5,0)</f>
        <v>малые</v>
      </c>
      <c r="E988" s="10">
        <f>VLOOKUP(A988,Лист2!A:E,4,0)</f>
        <v>2.5</v>
      </c>
      <c r="F988" s="11">
        <f t="shared" si="48"/>
        <v>-9000</v>
      </c>
      <c r="G988" s="11">
        <f t="shared" si="49"/>
        <v>42800</v>
      </c>
      <c r="H988" s="11">
        <f t="shared" si="50"/>
        <v>-3600</v>
      </c>
    </row>
    <row r="989" spans="1:8">
      <c r="A989" s="6" t="s">
        <v>77</v>
      </c>
      <c r="B989">
        <v>17848000</v>
      </c>
      <c r="C989">
        <v>14538000</v>
      </c>
      <c r="D989" s="8" t="str">
        <f>VLOOKUP(A989,Лист2!A:E,5,0)</f>
        <v>малые</v>
      </c>
      <c r="E989" s="10">
        <f>VLOOKUP(A989,Лист2!A:E,4,0)</f>
        <v>8</v>
      </c>
      <c r="F989" s="11">
        <f t="shared" si="48"/>
        <v>3310000</v>
      </c>
      <c r="G989" s="11">
        <f t="shared" si="49"/>
        <v>2231000</v>
      </c>
      <c r="H989" s="11">
        <f t="shared" si="50"/>
        <v>413750</v>
      </c>
    </row>
    <row r="990" spans="1:8">
      <c r="A990" s="6" t="s">
        <v>18</v>
      </c>
      <c r="B990">
        <v>290000</v>
      </c>
      <c r="C990">
        <v>269000</v>
      </c>
      <c r="D990" s="8" t="str">
        <f>VLOOKUP(A990,Лист2!A:E,5,0)</f>
        <v>малые</v>
      </c>
      <c r="E990" s="10">
        <f>VLOOKUP(A990,Лист2!A:E,4,0)</f>
        <v>2.5</v>
      </c>
      <c r="F990" s="11">
        <f t="shared" si="48"/>
        <v>21000</v>
      </c>
      <c r="G990" s="11">
        <f t="shared" si="49"/>
        <v>116000</v>
      </c>
      <c r="H990" s="11">
        <f t="shared" si="50"/>
        <v>8400</v>
      </c>
    </row>
    <row r="991" spans="1:8">
      <c r="A991" s="6" t="s">
        <v>18</v>
      </c>
      <c r="B991">
        <v>168000</v>
      </c>
      <c r="C991">
        <v>166000</v>
      </c>
      <c r="D991" s="8" t="str">
        <f>VLOOKUP(A991,Лист2!A:E,5,0)</f>
        <v>малые</v>
      </c>
      <c r="E991" s="10">
        <f>VLOOKUP(A991,Лист2!A:E,4,0)</f>
        <v>2.5</v>
      </c>
      <c r="F991" s="11">
        <f t="shared" si="48"/>
        <v>2000</v>
      </c>
      <c r="G991" s="11">
        <f t="shared" si="49"/>
        <v>67200</v>
      </c>
      <c r="H991" s="11">
        <f t="shared" si="50"/>
        <v>800</v>
      </c>
    </row>
    <row r="992" spans="1:8">
      <c r="A992" s="6" t="s">
        <v>18</v>
      </c>
      <c r="B992">
        <v>480000</v>
      </c>
      <c r="C992">
        <v>1114000</v>
      </c>
      <c r="D992" s="8" t="str">
        <f>VLOOKUP(A992,Лист2!A:E,5,0)</f>
        <v>малые</v>
      </c>
      <c r="E992" s="10">
        <f>VLOOKUP(A992,Лист2!A:E,4,0)</f>
        <v>2.5</v>
      </c>
      <c r="F992" s="11">
        <f t="shared" si="48"/>
        <v>-634000</v>
      </c>
      <c r="G992" s="11">
        <f t="shared" si="49"/>
        <v>192000</v>
      </c>
      <c r="H992" s="11">
        <f t="shared" si="50"/>
        <v>-253600</v>
      </c>
    </row>
    <row r="993" spans="1:8">
      <c r="A993" s="6" t="s">
        <v>18</v>
      </c>
      <c r="B993">
        <v>8580000</v>
      </c>
      <c r="C993">
        <v>8622000</v>
      </c>
      <c r="D993" s="8" t="str">
        <f>VLOOKUP(A993,Лист2!A:E,5,0)</f>
        <v>малые</v>
      </c>
      <c r="E993" s="10">
        <f>VLOOKUP(A993,Лист2!A:E,4,0)</f>
        <v>2.5</v>
      </c>
      <c r="F993" s="11">
        <f t="shared" si="48"/>
        <v>-42000</v>
      </c>
      <c r="G993" s="11">
        <f t="shared" si="49"/>
        <v>3432000</v>
      </c>
      <c r="H993" s="11">
        <f t="shared" si="50"/>
        <v>-16800</v>
      </c>
    </row>
    <row r="994" spans="1:8">
      <c r="A994" s="6" t="s">
        <v>22</v>
      </c>
      <c r="B994">
        <v>836770000</v>
      </c>
      <c r="C994">
        <v>701581000</v>
      </c>
      <c r="D994" s="8" t="str">
        <f>VLOOKUP(A994,Лист2!A:E,5,0)</f>
        <v>малые</v>
      </c>
      <c r="E994" s="10">
        <f>VLOOKUP(A994,Лист2!A:E,4,0)</f>
        <v>13</v>
      </c>
      <c r="F994" s="11">
        <f t="shared" si="48"/>
        <v>135189000</v>
      </c>
      <c r="G994" s="11">
        <f t="shared" si="49"/>
        <v>64366923.07692308</v>
      </c>
      <c r="H994" s="11">
        <f t="shared" si="50"/>
        <v>10399153.846153846</v>
      </c>
    </row>
    <row r="995" spans="1:8">
      <c r="A995" s="6" t="s">
        <v>18</v>
      </c>
      <c r="B995">
        <v>75000</v>
      </c>
      <c r="C995">
        <v>75000</v>
      </c>
      <c r="D995" s="8" t="str">
        <f>VLOOKUP(A995,Лист2!A:E,5,0)</f>
        <v>малые</v>
      </c>
      <c r="E995" s="10">
        <f>VLOOKUP(A995,Лист2!A:E,4,0)</f>
        <v>2.5</v>
      </c>
      <c r="F995" s="11">
        <f t="shared" si="48"/>
        <v>0</v>
      </c>
      <c r="G995" s="11">
        <f t="shared" si="49"/>
        <v>30000</v>
      </c>
      <c r="H995" s="11">
        <f t="shared" si="50"/>
        <v>0</v>
      </c>
    </row>
    <row r="996" spans="1:8">
      <c r="A996" s="6" t="s">
        <v>77</v>
      </c>
      <c r="B996">
        <v>2973000</v>
      </c>
      <c r="C996">
        <v>2681000</v>
      </c>
      <c r="D996" s="8" t="str">
        <f>VLOOKUP(A996,Лист2!A:E,5,0)</f>
        <v>малые</v>
      </c>
      <c r="E996" s="10">
        <f>VLOOKUP(A996,Лист2!A:E,4,0)</f>
        <v>8</v>
      </c>
      <c r="F996" s="11">
        <f t="shared" si="48"/>
        <v>292000</v>
      </c>
      <c r="G996" s="11">
        <f t="shared" si="49"/>
        <v>371625</v>
      </c>
      <c r="H996" s="11">
        <f t="shared" si="50"/>
        <v>36500</v>
      </c>
    </row>
    <row r="997" spans="1:8">
      <c r="A997" s="6" t="s">
        <v>18</v>
      </c>
      <c r="B997">
        <v>3579000</v>
      </c>
      <c r="C997">
        <v>4850000</v>
      </c>
      <c r="D997" s="8" t="str">
        <f>VLOOKUP(A997,Лист2!A:E,5,0)</f>
        <v>малые</v>
      </c>
      <c r="E997" s="10">
        <f>VLOOKUP(A997,Лист2!A:E,4,0)</f>
        <v>2.5</v>
      </c>
      <c r="F997" s="11">
        <f t="shared" si="48"/>
        <v>-1271000</v>
      </c>
      <c r="G997" s="11">
        <f t="shared" si="49"/>
        <v>1431600</v>
      </c>
      <c r="H997" s="11">
        <f t="shared" si="50"/>
        <v>-508400</v>
      </c>
    </row>
    <row r="998" spans="1:8">
      <c r="A998" s="6" t="s">
        <v>18</v>
      </c>
      <c r="B998">
        <v>745000</v>
      </c>
      <c r="C998">
        <v>11000</v>
      </c>
      <c r="D998" s="8" t="str">
        <f>VLOOKUP(A998,Лист2!A:E,5,0)</f>
        <v>малые</v>
      </c>
      <c r="E998" s="10">
        <f>VLOOKUP(A998,Лист2!A:E,4,0)</f>
        <v>2.5</v>
      </c>
      <c r="F998" s="11">
        <f t="shared" si="48"/>
        <v>734000</v>
      </c>
      <c r="G998" s="11">
        <f t="shared" si="49"/>
        <v>298000</v>
      </c>
      <c r="H998" s="11">
        <f t="shared" si="50"/>
        <v>293600</v>
      </c>
    </row>
    <row r="999" spans="1:8">
      <c r="A999" s="6" t="s">
        <v>18</v>
      </c>
      <c r="B999">
        <v>9044000</v>
      </c>
      <c r="C999">
        <v>8954000</v>
      </c>
      <c r="D999" s="8" t="str">
        <f>VLOOKUP(A999,Лист2!A:E,5,0)</f>
        <v>малые</v>
      </c>
      <c r="E999" s="10">
        <f>VLOOKUP(A999,Лист2!A:E,4,0)</f>
        <v>2.5</v>
      </c>
      <c r="F999" s="11">
        <f t="shared" si="48"/>
        <v>90000</v>
      </c>
      <c r="G999" s="11">
        <f t="shared" si="49"/>
        <v>3617600</v>
      </c>
      <c r="H999" s="11">
        <f t="shared" si="50"/>
        <v>36000</v>
      </c>
    </row>
    <row r="1000" spans="1:8">
      <c r="A1000" s="6" t="s">
        <v>18</v>
      </c>
      <c r="B1000">
        <v>5000</v>
      </c>
      <c r="C1000">
        <v>5000</v>
      </c>
      <c r="D1000" s="8" t="str">
        <f>VLOOKUP(A1000,Лист2!A:E,5,0)</f>
        <v>малые</v>
      </c>
      <c r="E1000" s="10">
        <f>VLOOKUP(A1000,Лист2!A:E,4,0)</f>
        <v>2.5</v>
      </c>
      <c r="F1000" s="11">
        <f t="shared" si="48"/>
        <v>0</v>
      </c>
      <c r="G1000" s="11">
        <f t="shared" si="49"/>
        <v>2000</v>
      </c>
      <c r="H1000" s="11">
        <f t="shared" si="50"/>
        <v>0</v>
      </c>
    </row>
    <row r="1001" spans="1:8">
      <c r="A1001" s="6" t="s">
        <v>18</v>
      </c>
      <c r="B1001">
        <v>290000</v>
      </c>
      <c r="C1001">
        <v>260000</v>
      </c>
      <c r="D1001" s="8" t="str">
        <f>VLOOKUP(A1001,Лист2!A:E,5,0)</f>
        <v>малые</v>
      </c>
      <c r="E1001" s="10">
        <f>VLOOKUP(A1001,Лист2!A:E,4,0)</f>
        <v>2.5</v>
      </c>
      <c r="F1001" s="11">
        <f t="shared" si="48"/>
        <v>30000</v>
      </c>
      <c r="G1001" s="11">
        <f t="shared" si="49"/>
        <v>116000</v>
      </c>
      <c r="H1001" s="11">
        <f t="shared" si="50"/>
        <v>12000</v>
      </c>
    </row>
    <row r="1002" spans="1:8">
      <c r="A1002" s="6" t="s">
        <v>18</v>
      </c>
      <c r="B1002">
        <v>1414000</v>
      </c>
      <c r="C1002">
        <v>1378000</v>
      </c>
      <c r="D1002" s="8" t="str">
        <f>VLOOKUP(A1002,Лист2!A:E,5,0)</f>
        <v>малые</v>
      </c>
      <c r="E1002" s="10">
        <f>VLOOKUP(A1002,Лист2!A:E,4,0)</f>
        <v>2.5</v>
      </c>
      <c r="F1002" s="11">
        <f t="shared" si="48"/>
        <v>36000</v>
      </c>
      <c r="G1002" s="11">
        <f t="shared" si="49"/>
        <v>565600</v>
      </c>
      <c r="H1002" s="11">
        <f t="shared" si="50"/>
        <v>14400</v>
      </c>
    </row>
    <row r="1003" spans="1:8">
      <c r="A1003" s="6" t="s">
        <v>18</v>
      </c>
      <c r="B1003">
        <v>46000</v>
      </c>
      <c r="C1003">
        <v>46000</v>
      </c>
      <c r="D1003" s="8" t="str">
        <f>VLOOKUP(A1003,Лист2!A:E,5,0)</f>
        <v>малые</v>
      </c>
      <c r="E1003" s="10">
        <f>VLOOKUP(A1003,Лист2!A:E,4,0)</f>
        <v>2.5</v>
      </c>
      <c r="F1003" s="11">
        <f t="shared" si="48"/>
        <v>0</v>
      </c>
      <c r="G1003" s="11">
        <f t="shared" si="49"/>
        <v>18400</v>
      </c>
      <c r="H1003" s="11">
        <f t="shared" si="50"/>
        <v>0</v>
      </c>
    </row>
    <row r="1004" spans="1:8">
      <c r="A1004" s="6" t="s">
        <v>18</v>
      </c>
      <c r="B1004">
        <v>1467000</v>
      </c>
      <c r="C1004">
        <v>1399000</v>
      </c>
      <c r="D1004" s="8" t="str">
        <f>VLOOKUP(A1004,Лист2!A:E,5,0)</f>
        <v>малые</v>
      </c>
      <c r="E1004" s="10">
        <f>VLOOKUP(A1004,Лист2!A:E,4,0)</f>
        <v>2.5</v>
      </c>
      <c r="F1004" s="11">
        <f t="shared" si="48"/>
        <v>68000</v>
      </c>
      <c r="G1004" s="11">
        <f t="shared" si="49"/>
        <v>586800</v>
      </c>
      <c r="H1004" s="11">
        <f t="shared" si="50"/>
        <v>27200</v>
      </c>
    </row>
    <row r="1005" spans="1:8">
      <c r="A1005" s="6" t="s">
        <v>18</v>
      </c>
      <c r="B1005">
        <v>200000</v>
      </c>
      <c r="C1005">
        <v>239000</v>
      </c>
      <c r="D1005" s="8" t="str">
        <f>VLOOKUP(A1005,Лист2!A:E,5,0)</f>
        <v>малые</v>
      </c>
      <c r="E1005" s="10">
        <f>VLOOKUP(A1005,Лист2!A:E,4,0)</f>
        <v>2.5</v>
      </c>
      <c r="F1005" s="11">
        <f t="shared" si="48"/>
        <v>-39000</v>
      </c>
      <c r="G1005" s="11">
        <f t="shared" si="49"/>
        <v>80000</v>
      </c>
      <c r="H1005" s="11">
        <f t="shared" si="50"/>
        <v>-15600</v>
      </c>
    </row>
    <row r="1006" spans="1:8">
      <c r="A1006" s="6" t="s">
        <v>18</v>
      </c>
      <c r="B1006">
        <v>898000</v>
      </c>
      <c r="C1006">
        <v>967000</v>
      </c>
      <c r="D1006" s="8" t="str">
        <f>VLOOKUP(A1006,Лист2!A:E,5,0)</f>
        <v>малые</v>
      </c>
      <c r="E1006" s="10">
        <f>VLOOKUP(A1006,Лист2!A:E,4,0)</f>
        <v>2.5</v>
      </c>
      <c r="F1006" s="11">
        <f t="shared" si="48"/>
        <v>-69000</v>
      </c>
      <c r="G1006" s="11">
        <f t="shared" si="49"/>
        <v>359200</v>
      </c>
      <c r="H1006" s="11">
        <f t="shared" si="50"/>
        <v>-27600</v>
      </c>
    </row>
    <row r="1007" spans="1:8">
      <c r="A1007" s="6" t="s">
        <v>18</v>
      </c>
      <c r="B1007">
        <v>800000</v>
      </c>
      <c r="C1007">
        <v>899000</v>
      </c>
      <c r="D1007" s="8" t="str">
        <f>VLOOKUP(A1007,Лист2!A:E,5,0)</f>
        <v>малые</v>
      </c>
      <c r="E1007" s="10">
        <f>VLOOKUP(A1007,Лист2!A:E,4,0)</f>
        <v>2.5</v>
      </c>
      <c r="F1007" s="11">
        <f t="shared" si="48"/>
        <v>-99000</v>
      </c>
      <c r="G1007" s="11">
        <f t="shared" si="49"/>
        <v>320000</v>
      </c>
      <c r="H1007" s="11">
        <f t="shared" si="50"/>
        <v>-39600</v>
      </c>
    </row>
    <row r="1008" spans="1:8">
      <c r="A1008" s="6" t="s">
        <v>18</v>
      </c>
      <c r="B1008">
        <v>14377000</v>
      </c>
      <c r="C1008">
        <v>13691000</v>
      </c>
      <c r="D1008" s="8" t="str">
        <f>VLOOKUP(A1008,Лист2!A:E,5,0)</f>
        <v>малые</v>
      </c>
      <c r="E1008" s="10">
        <f>VLOOKUP(A1008,Лист2!A:E,4,0)</f>
        <v>2.5</v>
      </c>
      <c r="F1008" s="11">
        <f t="shared" si="48"/>
        <v>686000</v>
      </c>
      <c r="G1008" s="11">
        <f t="shared" si="49"/>
        <v>5750800</v>
      </c>
      <c r="H1008" s="11">
        <f t="shared" si="50"/>
        <v>274400</v>
      </c>
    </row>
    <row r="1009" spans="1:8">
      <c r="A1009" s="6" t="s">
        <v>23</v>
      </c>
      <c r="B1009">
        <v>90832000</v>
      </c>
      <c r="C1009">
        <v>98283000</v>
      </c>
      <c r="D1009" s="8" t="str">
        <f>VLOOKUP(A1009,Лист2!A:E,5,0)</f>
        <v>средние</v>
      </c>
      <c r="E1009" s="10">
        <f>VLOOKUP(A1009,Лист2!A:E,4,0)</f>
        <v>75.5</v>
      </c>
      <c r="F1009" s="11">
        <f t="shared" si="48"/>
        <v>-7451000</v>
      </c>
      <c r="G1009" s="11">
        <f t="shared" si="49"/>
        <v>1203072.8476821191</v>
      </c>
      <c r="H1009" s="11">
        <f t="shared" si="50"/>
        <v>-98688.741721854298</v>
      </c>
    </row>
    <row r="1010" spans="1:8">
      <c r="A1010" s="6" t="s">
        <v>18</v>
      </c>
      <c r="B1010">
        <v>588000</v>
      </c>
      <c r="C1010">
        <v>630000</v>
      </c>
      <c r="D1010" s="8" t="str">
        <f>VLOOKUP(A1010,Лист2!A:E,5,0)</f>
        <v>малые</v>
      </c>
      <c r="E1010" s="10">
        <f>VLOOKUP(A1010,Лист2!A:E,4,0)</f>
        <v>2.5</v>
      </c>
      <c r="F1010" s="11">
        <f t="shared" si="48"/>
        <v>-42000</v>
      </c>
      <c r="G1010" s="11">
        <f t="shared" si="49"/>
        <v>235200</v>
      </c>
      <c r="H1010" s="11">
        <f t="shared" si="50"/>
        <v>-16800</v>
      </c>
    </row>
    <row r="1011" spans="1:8">
      <c r="A1011" s="6" t="s">
        <v>18</v>
      </c>
      <c r="B1011">
        <v>1284000</v>
      </c>
      <c r="C1011">
        <v>1319000</v>
      </c>
      <c r="D1011" s="8" t="str">
        <f>VLOOKUP(A1011,Лист2!A:E,5,0)</f>
        <v>малые</v>
      </c>
      <c r="E1011" s="10">
        <f>VLOOKUP(A1011,Лист2!A:E,4,0)</f>
        <v>2.5</v>
      </c>
      <c r="F1011" s="11">
        <f t="shared" si="48"/>
        <v>-35000</v>
      </c>
      <c r="G1011" s="11">
        <f t="shared" si="49"/>
        <v>513600</v>
      </c>
      <c r="H1011" s="11">
        <f t="shared" si="50"/>
        <v>-14000</v>
      </c>
    </row>
    <row r="1012" spans="1:8">
      <c r="A1012" s="6" t="s">
        <v>18</v>
      </c>
      <c r="B1012">
        <v>831000</v>
      </c>
      <c r="C1012">
        <v>442000</v>
      </c>
      <c r="D1012" s="8" t="str">
        <f>VLOOKUP(A1012,Лист2!A:E,5,0)</f>
        <v>малые</v>
      </c>
      <c r="E1012" s="10">
        <f>VLOOKUP(A1012,Лист2!A:E,4,0)</f>
        <v>2.5</v>
      </c>
      <c r="F1012" s="11">
        <f t="shared" si="48"/>
        <v>389000</v>
      </c>
      <c r="G1012" s="11">
        <f t="shared" si="49"/>
        <v>332400</v>
      </c>
      <c r="H1012" s="11">
        <f t="shared" si="50"/>
        <v>155600</v>
      </c>
    </row>
    <row r="1013" spans="1:8">
      <c r="A1013" s="6" t="s">
        <v>18</v>
      </c>
      <c r="B1013">
        <v>38855000</v>
      </c>
      <c r="C1013">
        <v>32486000</v>
      </c>
      <c r="D1013" s="8" t="str">
        <f>VLOOKUP(A1013,Лист2!A:E,5,0)</f>
        <v>малые</v>
      </c>
      <c r="E1013" s="10">
        <f>VLOOKUP(A1013,Лист2!A:E,4,0)</f>
        <v>2.5</v>
      </c>
      <c r="F1013" s="11">
        <f t="shared" si="48"/>
        <v>6369000</v>
      </c>
      <c r="G1013" s="11">
        <f t="shared" si="49"/>
        <v>15542000</v>
      </c>
      <c r="H1013" s="11">
        <f t="shared" si="50"/>
        <v>2547600</v>
      </c>
    </row>
    <row r="1014" spans="1:8">
      <c r="A1014" s="6" t="s">
        <v>18</v>
      </c>
      <c r="B1014">
        <v>1258000</v>
      </c>
      <c r="C1014">
        <v>917000</v>
      </c>
      <c r="D1014" s="8" t="str">
        <f>VLOOKUP(A1014,Лист2!A:E,5,0)</f>
        <v>малые</v>
      </c>
      <c r="E1014" s="10">
        <f>VLOOKUP(A1014,Лист2!A:E,4,0)</f>
        <v>2.5</v>
      </c>
      <c r="F1014" s="11">
        <f t="shared" si="48"/>
        <v>341000</v>
      </c>
      <c r="G1014" s="11">
        <f t="shared" si="49"/>
        <v>503200</v>
      </c>
      <c r="H1014" s="11">
        <f t="shared" si="50"/>
        <v>136400</v>
      </c>
    </row>
    <row r="1015" spans="1:8">
      <c r="A1015" s="6" t="s">
        <v>77</v>
      </c>
      <c r="B1015">
        <v>10927000</v>
      </c>
      <c r="C1015">
        <v>12422000</v>
      </c>
      <c r="D1015" s="8" t="str">
        <f>VLOOKUP(A1015,Лист2!A:E,5,0)</f>
        <v>малые</v>
      </c>
      <c r="E1015" s="10">
        <f>VLOOKUP(A1015,Лист2!A:E,4,0)</f>
        <v>8</v>
      </c>
      <c r="F1015" s="11">
        <f t="shared" si="48"/>
        <v>-1495000</v>
      </c>
      <c r="G1015" s="11">
        <f t="shared" si="49"/>
        <v>1365875</v>
      </c>
      <c r="H1015" s="11">
        <f t="shared" si="50"/>
        <v>-186875</v>
      </c>
    </row>
    <row r="1016" spans="1:8">
      <c r="A1016" s="6" t="s">
        <v>18</v>
      </c>
      <c r="B1016">
        <v>5657000</v>
      </c>
      <c r="C1016">
        <v>5666000</v>
      </c>
      <c r="D1016" s="8" t="str">
        <f>VLOOKUP(A1016,Лист2!A:E,5,0)</f>
        <v>малые</v>
      </c>
      <c r="E1016" s="10">
        <f>VLOOKUP(A1016,Лист2!A:E,4,0)</f>
        <v>2.5</v>
      </c>
      <c r="F1016" s="11">
        <f t="shared" si="48"/>
        <v>-9000</v>
      </c>
      <c r="G1016" s="11">
        <f t="shared" si="49"/>
        <v>2262800</v>
      </c>
      <c r="H1016" s="11">
        <f t="shared" si="50"/>
        <v>-3600</v>
      </c>
    </row>
    <row r="1017" spans="1:8">
      <c r="A1017" s="6" t="s">
        <v>18</v>
      </c>
      <c r="B1017">
        <v>3862000</v>
      </c>
      <c r="C1017">
        <v>4425000</v>
      </c>
      <c r="D1017" s="8" t="str">
        <f>VLOOKUP(A1017,Лист2!A:E,5,0)</f>
        <v>малые</v>
      </c>
      <c r="E1017" s="10">
        <f>VLOOKUP(A1017,Лист2!A:E,4,0)</f>
        <v>2.5</v>
      </c>
      <c r="F1017" s="11">
        <f t="shared" si="48"/>
        <v>-563000</v>
      </c>
      <c r="G1017" s="11">
        <f t="shared" si="49"/>
        <v>1544800</v>
      </c>
      <c r="H1017" s="11">
        <f t="shared" si="50"/>
        <v>-225200</v>
      </c>
    </row>
    <row r="1018" spans="1:8">
      <c r="A1018" s="6" t="s">
        <v>18</v>
      </c>
      <c r="B1018">
        <v>564000</v>
      </c>
      <c r="C1018">
        <v>803000</v>
      </c>
      <c r="D1018" s="8" t="str">
        <f>VLOOKUP(A1018,Лист2!A:E,5,0)</f>
        <v>малые</v>
      </c>
      <c r="E1018" s="10">
        <f>VLOOKUP(A1018,Лист2!A:E,4,0)</f>
        <v>2.5</v>
      </c>
      <c r="F1018" s="11">
        <f t="shared" si="48"/>
        <v>-239000</v>
      </c>
      <c r="G1018" s="11">
        <f t="shared" si="49"/>
        <v>225600</v>
      </c>
      <c r="H1018" s="11">
        <f t="shared" si="50"/>
        <v>-95600</v>
      </c>
    </row>
    <row r="1019" spans="1:8">
      <c r="A1019" s="6" t="s">
        <v>18</v>
      </c>
      <c r="B1019">
        <v>787000</v>
      </c>
      <c r="C1019">
        <v>787000</v>
      </c>
      <c r="D1019" s="8" t="str">
        <f>VLOOKUP(A1019,Лист2!A:E,5,0)</f>
        <v>малые</v>
      </c>
      <c r="E1019" s="10">
        <f>VLOOKUP(A1019,Лист2!A:E,4,0)</f>
        <v>2.5</v>
      </c>
      <c r="F1019" s="11">
        <f t="shared" si="48"/>
        <v>0</v>
      </c>
      <c r="G1019" s="11">
        <f t="shared" si="49"/>
        <v>314800</v>
      </c>
      <c r="H1019" s="11">
        <f t="shared" si="50"/>
        <v>0</v>
      </c>
    </row>
    <row r="1020" spans="1:8">
      <c r="A1020" s="6" t="s">
        <v>18</v>
      </c>
      <c r="B1020">
        <v>43287000</v>
      </c>
      <c r="C1020">
        <v>45202000</v>
      </c>
      <c r="D1020" s="8" t="str">
        <f>VLOOKUP(A1020,Лист2!A:E,5,0)</f>
        <v>малые</v>
      </c>
      <c r="E1020" s="10">
        <f>VLOOKUP(A1020,Лист2!A:E,4,0)</f>
        <v>2.5</v>
      </c>
      <c r="F1020" s="11">
        <f t="shared" si="48"/>
        <v>-1915000</v>
      </c>
      <c r="G1020" s="11">
        <f t="shared" si="49"/>
        <v>17314800</v>
      </c>
      <c r="H1020" s="11">
        <f t="shared" si="50"/>
        <v>-766000</v>
      </c>
    </row>
    <row r="1021" spans="1:8">
      <c r="A1021" s="6" t="s">
        <v>23</v>
      </c>
      <c r="B1021">
        <v>4216000</v>
      </c>
      <c r="C1021">
        <v>4486000</v>
      </c>
      <c r="D1021" s="8" t="str">
        <f>VLOOKUP(A1021,Лист2!A:E,5,0)</f>
        <v>средние</v>
      </c>
      <c r="E1021" s="10">
        <f>VLOOKUP(A1021,Лист2!A:E,4,0)</f>
        <v>75.5</v>
      </c>
      <c r="F1021" s="11">
        <f t="shared" si="48"/>
        <v>-270000</v>
      </c>
      <c r="G1021" s="11">
        <f t="shared" si="49"/>
        <v>55841.059602649009</v>
      </c>
      <c r="H1021" s="11">
        <f t="shared" si="50"/>
        <v>-3576.1589403973512</v>
      </c>
    </row>
    <row r="1022" spans="1:8">
      <c r="A1022" s="6" t="s">
        <v>18</v>
      </c>
      <c r="B1022">
        <v>2113000</v>
      </c>
      <c r="C1022">
        <v>2113000</v>
      </c>
      <c r="D1022" s="8" t="str">
        <f>VLOOKUP(A1022,Лист2!A:E,5,0)</f>
        <v>малые</v>
      </c>
      <c r="E1022" s="10">
        <f>VLOOKUP(A1022,Лист2!A:E,4,0)</f>
        <v>2.5</v>
      </c>
      <c r="F1022" s="11">
        <f t="shared" si="48"/>
        <v>0</v>
      </c>
      <c r="G1022" s="11">
        <f t="shared" si="49"/>
        <v>845200</v>
      </c>
      <c r="H1022" s="11">
        <f t="shared" si="50"/>
        <v>0</v>
      </c>
    </row>
    <row r="1023" spans="1:8">
      <c r="A1023" s="6" t="s">
        <v>18</v>
      </c>
      <c r="B1023">
        <v>207000</v>
      </c>
      <c r="C1023">
        <v>207000</v>
      </c>
      <c r="D1023" s="8" t="str">
        <f>VLOOKUP(A1023,Лист2!A:E,5,0)</f>
        <v>малые</v>
      </c>
      <c r="E1023" s="10">
        <f>VLOOKUP(A1023,Лист2!A:E,4,0)</f>
        <v>2.5</v>
      </c>
      <c r="F1023" s="11">
        <f t="shared" si="48"/>
        <v>0</v>
      </c>
      <c r="G1023" s="11">
        <f t="shared" si="49"/>
        <v>82800</v>
      </c>
      <c r="H1023" s="11">
        <f t="shared" si="50"/>
        <v>0</v>
      </c>
    </row>
    <row r="1024" spans="1:8">
      <c r="A1024" s="6" t="s">
        <v>18</v>
      </c>
      <c r="B1024">
        <v>3172000</v>
      </c>
      <c r="C1024">
        <v>3491000</v>
      </c>
      <c r="D1024" s="8" t="str">
        <f>VLOOKUP(A1024,Лист2!A:E,5,0)</f>
        <v>малые</v>
      </c>
      <c r="E1024" s="10">
        <f>VLOOKUP(A1024,Лист2!A:E,4,0)</f>
        <v>2.5</v>
      </c>
      <c r="F1024" s="11">
        <f t="shared" si="48"/>
        <v>-319000</v>
      </c>
      <c r="G1024" s="11">
        <f t="shared" si="49"/>
        <v>1268800</v>
      </c>
      <c r="H1024" s="11">
        <f t="shared" si="50"/>
        <v>-127600</v>
      </c>
    </row>
    <row r="1025" spans="1:8">
      <c r="A1025" s="6" t="s">
        <v>18</v>
      </c>
      <c r="B1025">
        <v>9993000</v>
      </c>
      <c r="C1025">
        <v>9645000</v>
      </c>
      <c r="D1025" s="8" t="str">
        <f>VLOOKUP(A1025,Лист2!A:E,5,0)</f>
        <v>малые</v>
      </c>
      <c r="E1025" s="10">
        <f>VLOOKUP(A1025,Лист2!A:E,4,0)</f>
        <v>2.5</v>
      </c>
      <c r="F1025" s="11">
        <f t="shared" si="48"/>
        <v>348000</v>
      </c>
      <c r="G1025" s="11">
        <f t="shared" si="49"/>
        <v>3997200</v>
      </c>
      <c r="H1025" s="11">
        <f t="shared" si="50"/>
        <v>139200</v>
      </c>
    </row>
    <row r="1026" spans="1:8">
      <c r="A1026" s="6" t="s">
        <v>22</v>
      </c>
      <c r="B1026">
        <v>23522000</v>
      </c>
      <c r="C1026">
        <v>23765000</v>
      </c>
      <c r="D1026" s="8" t="str">
        <f>VLOOKUP(A1026,Лист2!A:E,5,0)</f>
        <v>малые</v>
      </c>
      <c r="E1026" s="10">
        <f>VLOOKUP(A1026,Лист2!A:E,4,0)</f>
        <v>13</v>
      </c>
      <c r="F1026" s="11">
        <f t="shared" si="48"/>
        <v>-243000</v>
      </c>
      <c r="G1026" s="11">
        <f t="shared" si="49"/>
        <v>1809384.6153846155</v>
      </c>
      <c r="H1026" s="11">
        <f t="shared" si="50"/>
        <v>-18692.307692307691</v>
      </c>
    </row>
    <row r="1027" spans="1:8">
      <c r="A1027" s="6" t="s">
        <v>18</v>
      </c>
      <c r="B1027">
        <v>1885000</v>
      </c>
      <c r="C1027">
        <v>2006000</v>
      </c>
      <c r="D1027" s="8" t="str">
        <f>VLOOKUP(A1027,Лист2!A:E,5,0)</f>
        <v>малые</v>
      </c>
      <c r="E1027" s="10">
        <f>VLOOKUP(A1027,Лист2!A:E,4,0)</f>
        <v>2.5</v>
      </c>
      <c r="F1027" s="11">
        <f t="shared" si="48"/>
        <v>-121000</v>
      </c>
      <c r="G1027" s="11">
        <f t="shared" si="49"/>
        <v>754000</v>
      </c>
      <c r="H1027" s="11">
        <f t="shared" si="50"/>
        <v>-48400</v>
      </c>
    </row>
    <row r="1028" spans="1:8">
      <c r="A1028" s="6" t="s">
        <v>18</v>
      </c>
      <c r="B1028">
        <v>930000</v>
      </c>
      <c r="C1028">
        <v>1014000</v>
      </c>
      <c r="D1028" s="8" t="str">
        <f>VLOOKUP(A1028,Лист2!A:E,5,0)</f>
        <v>малые</v>
      </c>
      <c r="E1028" s="10">
        <f>VLOOKUP(A1028,Лист2!A:E,4,0)</f>
        <v>2.5</v>
      </c>
      <c r="F1028" s="11">
        <f t="shared" si="48"/>
        <v>-84000</v>
      </c>
      <c r="G1028" s="11">
        <f t="shared" si="49"/>
        <v>372000</v>
      </c>
      <c r="H1028" s="11">
        <f t="shared" si="50"/>
        <v>-33600</v>
      </c>
    </row>
    <row r="1029" spans="1:8">
      <c r="A1029" s="6" t="s">
        <v>18</v>
      </c>
      <c r="B1029">
        <v>344639000</v>
      </c>
      <c r="C1029">
        <v>304329000</v>
      </c>
      <c r="D1029" s="8" t="str">
        <f>VLOOKUP(A1029,Лист2!A:E,5,0)</f>
        <v>малые</v>
      </c>
      <c r="E1029" s="10">
        <f>VLOOKUP(A1029,Лист2!A:E,4,0)</f>
        <v>2.5</v>
      </c>
      <c r="F1029" s="11">
        <f t="shared" si="48"/>
        <v>40310000</v>
      </c>
      <c r="G1029" s="11">
        <f t="shared" si="49"/>
        <v>137855600</v>
      </c>
      <c r="H1029" s="11">
        <f t="shared" si="50"/>
        <v>16124000</v>
      </c>
    </row>
    <row r="1030" spans="1:8">
      <c r="A1030" s="6" t="s">
        <v>18</v>
      </c>
      <c r="B1030">
        <v>1015000</v>
      </c>
      <c r="C1030">
        <v>1023000</v>
      </c>
      <c r="D1030" s="8" t="str">
        <f>VLOOKUP(A1030,Лист2!A:E,5,0)</f>
        <v>малые</v>
      </c>
      <c r="E1030" s="10">
        <f>VLOOKUP(A1030,Лист2!A:E,4,0)</f>
        <v>2.5</v>
      </c>
      <c r="F1030" s="11">
        <f t="shared" si="48"/>
        <v>-8000</v>
      </c>
      <c r="G1030" s="11">
        <f t="shared" si="49"/>
        <v>406000</v>
      </c>
      <c r="H1030" s="11">
        <f t="shared" si="50"/>
        <v>-3200</v>
      </c>
    </row>
    <row r="1031" spans="1:8">
      <c r="A1031" s="6" t="s">
        <v>18</v>
      </c>
      <c r="B1031">
        <v>219000</v>
      </c>
      <c r="C1031">
        <v>173000</v>
      </c>
      <c r="D1031" s="8" t="str">
        <f>VLOOKUP(A1031,Лист2!A:E,5,0)</f>
        <v>малые</v>
      </c>
      <c r="E1031" s="10">
        <f>VLOOKUP(A1031,Лист2!A:E,4,0)</f>
        <v>2.5</v>
      </c>
      <c r="F1031" s="11">
        <f t="shared" si="48"/>
        <v>46000</v>
      </c>
      <c r="G1031" s="11">
        <f t="shared" si="49"/>
        <v>87600</v>
      </c>
      <c r="H1031" s="11">
        <f t="shared" si="50"/>
        <v>18400</v>
      </c>
    </row>
    <row r="1032" spans="1:8">
      <c r="A1032" s="6" t="s">
        <v>18</v>
      </c>
      <c r="B1032">
        <v>15898000</v>
      </c>
      <c r="C1032">
        <v>15236000</v>
      </c>
      <c r="D1032" s="8" t="str">
        <f>VLOOKUP(A1032,Лист2!A:E,5,0)</f>
        <v>малые</v>
      </c>
      <c r="E1032" s="10">
        <f>VLOOKUP(A1032,Лист2!A:E,4,0)</f>
        <v>2.5</v>
      </c>
      <c r="F1032" s="11">
        <f t="shared" si="48"/>
        <v>662000</v>
      </c>
      <c r="G1032" s="11">
        <f t="shared" si="49"/>
        <v>6359200</v>
      </c>
      <c r="H1032" s="11">
        <f t="shared" si="50"/>
        <v>264800</v>
      </c>
    </row>
    <row r="1033" spans="1:8">
      <c r="A1033" s="6" t="s">
        <v>18</v>
      </c>
      <c r="B1033">
        <v>1980000</v>
      </c>
      <c r="C1033">
        <v>2093000</v>
      </c>
      <c r="D1033" s="8" t="str">
        <f>VLOOKUP(A1033,Лист2!A:E,5,0)</f>
        <v>малые</v>
      </c>
      <c r="E1033" s="10">
        <f>VLOOKUP(A1033,Лист2!A:E,4,0)</f>
        <v>2.5</v>
      </c>
      <c r="F1033" s="11">
        <f t="shared" si="48"/>
        <v>-113000</v>
      </c>
      <c r="G1033" s="11">
        <f t="shared" si="49"/>
        <v>792000</v>
      </c>
      <c r="H1033" s="11">
        <f t="shared" si="50"/>
        <v>-45200</v>
      </c>
    </row>
    <row r="1034" spans="1:8">
      <c r="A1034" s="6" t="s">
        <v>18</v>
      </c>
      <c r="B1034">
        <v>4664000</v>
      </c>
      <c r="C1034">
        <v>4487000</v>
      </c>
      <c r="D1034" s="8" t="str">
        <f>VLOOKUP(A1034,Лист2!A:E,5,0)</f>
        <v>малые</v>
      </c>
      <c r="E1034" s="10">
        <f>VLOOKUP(A1034,Лист2!A:E,4,0)</f>
        <v>2.5</v>
      </c>
      <c r="F1034" s="11">
        <f t="shared" si="48"/>
        <v>177000</v>
      </c>
      <c r="G1034" s="11">
        <f t="shared" si="49"/>
        <v>1865600</v>
      </c>
      <c r="H1034" s="11">
        <f t="shared" si="50"/>
        <v>70800</v>
      </c>
    </row>
    <row r="1035" spans="1:8">
      <c r="A1035" s="6" t="s">
        <v>18</v>
      </c>
      <c r="B1035">
        <v>43000</v>
      </c>
      <c r="C1035">
        <v>43000</v>
      </c>
      <c r="D1035" s="8" t="str">
        <f>VLOOKUP(A1035,Лист2!A:E,5,0)</f>
        <v>малые</v>
      </c>
      <c r="E1035" s="10">
        <f>VLOOKUP(A1035,Лист2!A:E,4,0)</f>
        <v>2.5</v>
      </c>
      <c r="F1035" s="11">
        <f t="shared" si="48"/>
        <v>0</v>
      </c>
      <c r="G1035" s="11">
        <f t="shared" si="49"/>
        <v>17200</v>
      </c>
      <c r="H1035" s="11">
        <f t="shared" si="50"/>
        <v>0</v>
      </c>
    </row>
    <row r="1036" spans="1:8">
      <c r="A1036" s="6" t="s">
        <v>18</v>
      </c>
      <c r="B1036">
        <v>36401000</v>
      </c>
      <c r="C1036">
        <v>1053000</v>
      </c>
      <c r="D1036" s="8" t="str">
        <f>VLOOKUP(A1036,Лист2!A:E,5,0)</f>
        <v>малые</v>
      </c>
      <c r="E1036" s="10">
        <f>VLOOKUP(A1036,Лист2!A:E,4,0)</f>
        <v>2.5</v>
      </c>
      <c r="F1036" s="11">
        <f t="shared" si="48"/>
        <v>35348000</v>
      </c>
      <c r="G1036" s="11">
        <f t="shared" si="49"/>
        <v>14560400</v>
      </c>
      <c r="H1036" s="11">
        <f t="shared" si="50"/>
        <v>14139200</v>
      </c>
    </row>
    <row r="1037" spans="1:8">
      <c r="A1037" s="6" t="s">
        <v>22</v>
      </c>
      <c r="B1037">
        <v>10652000</v>
      </c>
      <c r="C1037">
        <v>13090000</v>
      </c>
      <c r="D1037" s="8" t="str">
        <f>VLOOKUP(A1037,Лист2!A:E,5,0)</f>
        <v>малые</v>
      </c>
      <c r="E1037" s="10">
        <f>VLOOKUP(A1037,Лист2!A:E,4,0)</f>
        <v>13</v>
      </c>
      <c r="F1037" s="11">
        <f t="shared" si="48"/>
        <v>-2438000</v>
      </c>
      <c r="G1037" s="11">
        <f t="shared" si="49"/>
        <v>819384.61538461538</v>
      </c>
      <c r="H1037" s="11">
        <f t="shared" si="50"/>
        <v>-187538.46153846153</v>
      </c>
    </row>
    <row r="1038" spans="1:8">
      <c r="A1038" s="6" t="s">
        <v>18</v>
      </c>
      <c r="B1038">
        <v>504000</v>
      </c>
      <c r="C1038">
        <v>564000</v>
      </c>
      <c r="D1038" s="8" t="str">
        <f>VLOOKUP(A1038,Лист2!A:E,5,0)</f>
        <v>малые</v>
      </c>
      <c r="E1038" s="10">
        <f>VLOOKUP(A1038,Лист2!A:E,4,0)</f>
        <v>2.5</v>
      </c>
      <c r="F1038" s="11">
        <f t="shared" si="48"/>
        <v>-60000</v>
      </c>
      <c r="G1038" s="11">
        <f t="shared" si="49"/>
        <v>201600</v>
      </c>
      <c r="H1038" s="11">
        <f t="shared" si="50"/>
        <v>-24000</v>
      </c>
    </row>
    <row r="1039" spans="1:8">
      <c r="A1039" s="6" t="s">
        <v>18</v>
      </c>
      <c r="B1039">
        <v>4182000</v>
      </c>
      <c r="C1039">
        <v>2748000</v>
      </c>
      <c r="D1039" s="8" t="str">
        <f>VLOOKUP(A1039,Лист2!A:E,5,0)</f>
        <v>малые</v>
      </c>
      <c r="E1039" s="10">
        <f>VLOOKUP(A1039,Лист2!A:E,4,0)</f>
        <v>2.5</v>
      </c>
      <c r="F1039" s="11">
        <f t="shared" si="48"/>
        <v>1434000</v>
      </c>
      <c r="G1039" s="11">
        <f t="shared" si="49"/>
        <v>1672800</v>
      </c>
      <c r="H1039" s="11">
        <f t="shared" si="50"/>
        <v>573600</v>
      </c>
    </row>
    <row r="1040" spans="1:8">
      <c r="A1040" s="6" t="s">
        <v>18</v>
      </c>
      <c r="B1040">
        <v>579000</v>
      </c>
      <c r="C1040">
        <v>564000</v>
      </c>
      <c r="D1040" s="8" t="str">
        <f>VLOOKUP(A1040,Лист2!A:E,5,0)</f>
        <v>малые</v>
      </c>
      <c r="E1040" s="10">
        <f>VLOOKUP(A1040,Лист2!A:E,4,0)</f>
        <v>2.5</v>
      </c>
      <c r="F1040" s="11">
        <f t="shared" si="48"/>
        <v>15000</v>
      </c>
      <c r="G1040" s="11">
        <f t="shared" si="49"/>
        <v>231600</v>
      </c>
      <c r="H1040" s="11">
        <f t="shared" si="50"/>
        <v>6000</v>
      </c>
    </row>
    <row r="1041" spans="1:8">
      <c r="A1041" s="6" t="s">
        <v>18</v>
      </c>
      <c r="B1041">
        <v>5171000</v>
      </c>
      <c r="C1041">
        <v>5300000</v>
      </c>
      <c r="D1041" s="8" t="str">
        <f>VLOOKUP(A1041,Лист2!A:E,5,0)</f>
        <v>малые</v>
      </c>
      <c r="E1041" s="10">
        <f>VLOOKUP(A1041,Лист2!A:E,4,0)</f>
        <v>2.5</v>
      </c>
      <c r="F1041" s="11">
        <f t="shared" si="48"/>
        <v>-129000</v>
      </c>
      <c r="G1041" s="11">
        <f t="shared" si="49"/>
        <v>2068400</v>
      </c>
      <c r="H1041" s="11">
        <f t="shared" si="50"/>
        <v>-51600</v>
      </c>
    </row>
    <row r="1042" spans="1:8">
      <c r="A1042" s="6" t="s">
        <v>18</v>
      </c>
      <c r="B1042">
        <v>50000</v>
      </c>
      <c r="C1042">
        <v>87000</v>
      </c>
      <c r="D1042" s="8" t="str">
        <f>VLOOKUP(A1042,Лист2!A:E,5,0)</f>
        <v>малые</v>
      </c>
      <c r="E1042" s="10">
        <f>VLOOKUP(A1042,Лист2!A:E,4,0)</f>
        <v>2.5</v>
      </c>
      <c r="F1042" s="11">
        <f t="shared" si="48"/>
        <v>-37000</v>
      </c>
      <c r="G1042" s="11">
        <f t="shared" si="49"/>
        <v>20000</v>
      </c>
      <c r="H1042" s="11">
        <f t="shared" si="50"/>
        <v>-14800</v>
      </c>
    </row>
    <row r="1043" spans="1:8">
      <c r="A1043" s="6" t="s">
        <v>18</v>
      </c>
      <c r="B1043">
        <v>102000</v>
      </c>
      <c r="C1043">
        <v>102000</v>
      </c>
      <c r="D1043" s="8" t="str">
        <f>VLOOKUP(A1043,Лист2!A:E,5,0)</f>
        <v>малые</v>
      </c>
      <c r="E1043" s="10">
        <f>VLOOKUP(A1043,Лист2!A:E,4,0)</f>
        <v>2.5</v>
      </c>
      <c r="F1043" s="11">
        <f t="shared" si="48"/>
        <v>0</v>
      </c>
      <c r="G1043" s="11">
        <f t="shared" si="49"/>
        <v>40800</v>
      </c>
      <c r="H1043" s="11">
        <f t="shared" si="50"/>
        <v>0</v>
      </c>
    </row>
    <row r="1044" spans="1:8">
      <c r="A1044" s="6" t="s">
        <v>18</v>
      </c>
      <c r="B1044">
        <v>4920000</v>
      </c>
      <c r="C1044">
        <v>17519000</v>
      </c>
      <c r="D1044" s="8" t="str">
        <f>VLOOKUP(A1044,Лист2!A:E,5,0)</f>
        <v>малые</v>
      </c>
      <c r="E1044" s="10">
        <f>VLOOKUP(A1044,Лист2!A:E,4,0)</f>
        <v>2.5</v>
      </c>
      <c r="F1044" s="11">
        <f t="shared" ref="F1044:F1105" si="51">B1044-C1044</f>
        <v>-12599000</v>
      </c>
      <c r="G1044" s="11">
        <f t="shared" ref="G1044:G1105" si="52">B1044/E1044</f>
        <v>1968000</v>
      </c>
      <c r="H1044" s="11">
        <f t="shared" ref="H1044:H1105" si="53">F1044/E1044</f>
        <v>-5039600</v>
      </c>
    </row>
    <row r="1045" spans="1:8">
      <c r="A1045" s="6" t="s">
        <v>18</v>
      </c>
      <c r="B1045">
        <v>2809000</v>
      </c>
      <c r="C1045">
        <v>2755000</v>
      </c>
      <c r="D1045" s="8" t="str">
        <f>VLOOKUP(A1045,Лист2!A:E,5,0)</f>
        <v>малые</v>
      </c>
      <c r="E1045" s="10">
        <f>VLOOKUP(A1045,Лист2!A:E,4,0)</f>
        <v>2.5</v>
      </c>
      <c r="F1045" s="11">
        <f t="shared" si="51"/>
        <v>54000</v>
      </c>
      <c r="G1045" s="11">
        <f t="shared" si="52"/>
        <v>1123600</v>
      </c>
      <c r="H1045" s="11">
        <f t="shared" si="53"/>
        <v>21600</v>
      </c>
    </row>
    <row r="1046" spans="1:8">
      <c r="A1046" s="6" t="s">
        <v>18</v>
      </c>
      <c r="B1046">
        <v>3805000</v>
      </c>
      <c r="C1046">
        <v>3099000</v>
      </c>
      <c r="D1046" s="8" t="str">
        <f>VLOOKUP(A1046,Лист2!A:E,5,0)</f>
        <v>малые</v>
      </c>
      <c r="E1046" s="10">
        <f>VLOOKUP(A1046,Лист2!A:E,4,0)</f>
        <v>2.5</v>
      </c>
      <c r="F1046" s="11">
        <f t="shared" si="51"/>
        <v>706000</v>
      </c>
      <c r="G1046" s="11">
        <f t="shared" si="52"/>
        <v>1522000</v>
      </c>
      <c r="H1046" s="11">
        <f t="shared" si="53"/>
        <v>282400</v>
      </c>
    </row>
    <row r="1047" spans="1:8">
      <c r="A1047" s="6" t="s">
        <v>18</v>
      </c>
      <c r="B1047">
        <v>3957000</v>
      </c>
      <c r="C1047">
        <v>4383000</v>
      </c>
      <c r="D1047" s="8" t="str">
        <f>VLOOKUP(A1047,Лист2!A:E,5,0)</f>
        <v>малые</v>
      </c>
      <c r="E1047" s="10">
        <f>VLOOKUP(A1047,Лист2!A:E,4,0)</f>
        <v>2.5</v>
      </c>
      <c r="F1047" s="11">
        <f t="shared" si="51"/>
        <v>-426000</v>
      </c>
      <c r="G1047" s="11">
        <f t="shared" si="52"/>
        <v>1582800</v>
      </c>
      <c r="H1047" s="11">
        <f t="shared" si="53"/>
        <v>-170400</v>
      </c>
    </row>
    <row r="1048" spans="1:8">
      <c r="A1048" s="6" t="s">
        <v>18</v>
      </c>
      <c r="B1048">
        <v>2890000</v>
      </c>
      <c r="C1048">
        <v>3837000</v>
      </c>
      <c r="D1048" s="8" t="str">
        <f>VLOOKUP(A1048,Лист2!A:E,5,0)</f>
        <v>малые</v>
      </c>
      <c r="E1048" s="10">
        <f>VLOOKUP(A1048,Лист2!A:E,4,0)</f>
        <v>2.5</v>
      </c>
      <c r="F1048" s="11">
        <f t="shared" si="51"/>
        <v>-947000</v>
      </c>
      <c r="G1048" s="11">
        <f t="shared" si="52"/>
        <v>1156000</v>
      </c>
      <c r="H1048" s="11">
        <f t="shared" si="53"/>
        <v>-378800</v>
      </c>
    </row>
    <row r="1049" spans="1:8">
      <c r="A1049" s="6" t="s">
        <v>18</v>
      </c>
      <c r="B1049">
        <v>2585000</v>
      </c>
      <c r="C1049">
        <v>1805000</v>
      </c>
      <c r="D1049" s="8" t="str">
        <f>VLOOKUP(A1049,Лист2!A:E,5,0)</f>
        <v>малые</v>
      </c>
      <c r="E1049" s="10">
        <f>VLOOKUP(A1049,Лист2!A:E,4,0)</f>
        <v>2.5</v>
      </c>
      <c r="F1049" s="11">
        <f t="shared" si="51"/>
        <v>780000</v>
      </c>
      <c r="G1049" s="11">
        <f t="shared" si="52"/>
        <v>1034000</v>
      </c>
      <c r="H1049" s="11">
        <f t="shared" si="53"/>
        <v>312000</v>
      </c>
    </row>
    <row r="1050" spans="1:8">
      <c r="A1050" s="6" t="s">
        <v>18</v>
      </c>
      <c r="B1050">
        <v>95000</v>
      </c>
      <c r="C1050">
        <v>163000</v>
      </c>
      <c r="D1050" s="8" t="str">
        <f>VLOOKUP(A1050,Лист2!A:E,5,0)</f>
        <v>малые</v>
      </c>
      <c r="E1050" s="10">
        <f>VLOOKUP(A1050,Лист2!A:E,4,0)</f>
        <v>2.5</v>
      </c>
      <c r="F1050" s="11">
        <f t="shared" si="51"/>
        <v>-68000</v>
      </c>
      <c r="G1050" s="11">
        <f t="shared" si="52"/>
        <v>38000</v>
      </c>
      <c r="H1050" s="11">
        <f t="shared" si="53"/>
        <v>-27200</v>
      </c>
    </row>
    <row r="1051" spans="1:8">
      <c r="A1051" s="6" t="s">
        <v>18</v>
      </c>
      <c r="B1051">
        <v>2001000</v>
      </c>
      <c r="C1051">
        <v>2148000</v>
      </c>
      <c r="D1051" s="8" t="str">
        <f>VLOOKUP(A1051,Лист2!A:E,5,0)</f>
        <v>малые</v>
      </c>
      <c r="E1051" s="10">
        <f>VLOOKUP(A1051,Лист2!A:E,4,0)</f>
        <v>2.5</v>
      </c>
      <c r="F1051" s="11">
        <f t="shared" si="51"/>
        <v>-147000</v>
      </c>
      <c r="G1051" s="11">
        <f t="shared" si="52"/>
        <v>800400</v>
      </c>
      <c r="H1051" s="11">
        <f t="shared" si="53"/>
        <v>-58800</v>
      </c>
    </row>
    <row r="1052" spans="1:8">
      <c r="A1052" s="6" t="s">
        <v>18</v>
      </c>
      <c r="B1052">
        <v>967000</v>
      </c>
      <c r="C1052">
        <v>1336000</v>
      </c>
      <c r="D1052" s="8" t="str">
        <f>VLOOKUP(A1052,Лист2!A:E,5,0)</f>
        <v>малые</v>
      </c>
      <c r="E1052" s="10">
        <f>VLOOKUP(A1052,Лист2!A:E,4,0)</f>
        <v>2.5</v>
      </c>
      <c r="F1052" s="11">
        <f t="shared" si="51"/>
        <v>-369000</v>
      </c>
      <c r="G1052" s="11">
        <f t="shared" si="52"/>
        <v>386800</v>
      </c>
      <c r="H1052" s="11">
        <f t="shared" si="53"/>
        <v>-147600</v>
      </c>
    </row>
    <row r="1053" spans="1:8">
      <c r="A1053" s="6" t="s">
        <v>18</v>
      </c>
      <c r="B1053">
        <v>600000</v>
      </c>
      <c r="C1053">
        <v>628000</v>
      </c>
      <c r="D1053" s="8" t="str">
        <f>VLOOKUP(A1053,Лист2!A:E,5,0)</f>
        <v>малые</v>
      </c>
      <c r="E1053" s="10">
        <f>VLOOKUP(A1053,Лист2!A:E,4,0)</f>
        <v>2.5</v>
      </c>
      <c r="F1053" s="11">
        <f t="shared" si="51"/>
        <v>-28000</v>
      </c>
      <c r="G1053" s="11">
        <f t="shared" si="52"/>
        <v>240000</v>
      </c>
      <c r="H1053" s="11">
        <f t="shared" si="53"/>
        <v>-11200</v>
      </c>
    </row>
    <row r="1054" spans="1:8">
      <c r="A1054" s="6" t="s">
        <v>18</v>
      </c>
      <c r="B1054">
        <v>6312000</v>
      </c>
      <c r="C1054">
        <v>6809000</v>
      </c>
      <c r="D1054" s="8" t="str">
        <f>VLOOKUP(A1054,Лист2!A:E,5,0)</f>
        <v>малые</v>
      </c>
      <c r="E1054" s="10">
        <f>VLOOKUP(A1054,Лист2!A:E,4,0)</f>
        <v>2.5</v>
      </c>
      <c r="F1054" s="11">
        <f t="shared" si="51"/>
        <v>-497000</v>
      </c>
      <c r="G1054" s="11">
        <f t="shared" si="52"/>
        <v>2524800</v>
      </c>
      <c r="H1054" s="11">
        <f t="shared" si="53"/>
        <v>-198800</v>
      </c>
    </row>
    <row r="1055" spans="1:8">
      <c r="A1055" s="6" t="s">
        <v>18</v>
      </c>
      <c r="B1055">
        <v>43000</v>
      </c>
      <c r="C1055">
        <v>214000</v>
      </c>
      <c r="D1055" s="8" t="str">
        <f>VLOOKUP(A1055,Лист2!A:E,5,0)</f>
        <v>малые</v>
      </c>
      <c r="E1055" s="10">
        <f>VLOOKUP(A1055,Лист2!A:E,4,0)</f>
        <v>2.5</v>
      </c>
      <c r="F1055" s="11">
        <f t="shared" si="51"/>
        <v>-171000</v>
      </c>
      <c r="G1055" s="11">
        <f t="shared" si="52"/>
        <v>17200</v>
      </c>
      <c r="H1055" s="11">
        <f t="shared" si="53"/>
        <v>-68400</v>
      </c>
    </row>
    <row r="1056" spans="1:8">
      <c r="A1056" s="6" t="s">
        <v>18</v>
      </c>
      <c r="B1056">
        <v>431000</v>
      </c>
      <c r="C1056">
        <v>609000</v>
      </c>
      <c r="D1056" s="8" t="str">
        <f>VLOOKUP(A1056,Лист2!A:E,5,0)</f>
        <v>малые</v>
      </c>
      <c r="E1056" s="10">
        <f>VLOOKUP(A1056,Лист2!A:E,4,0)</f>
        <v>2.5</v>
      </c>
      <c r="F1056" s="11">
        <f t="shared" si="51"/>
        <v>-178000</v>
      </c>
      <c r="G1056" s="11">
        <f t="shared" si="52"/>
        <v>172400</v>
      </c>
      <c r="H1056" s="11">
        <f t="shared" si="53"/>
        <v>-71200</v>
      </c>
    </row>
    <row r="1057" spans="1:8">
      <c r="A1057" s="6" t="s">
        <v>18</v>
      </c>
      <c r="B1057">
        <v>1500000</v>
      </c>
      <c r="C1057">
        <v>1758000</v>
      </c>
      <c r="D1057" s="8" t="str">
        <f>VLOOKUP(A1057,Лист2!A:E,5,0)</f>
        <v>малые</v>
      </c>
      <c r="E1057" s="10">
        <f>VLOOKUP(A1057,Лист2!A:E,4,0)</f>
        <v>2.5</v>
      </c>
      <c r="F1057" s="11">
        <f t="shared" si="51"/>
        <v>-258000</v>
      </c>
      <c r="G1057" s="11">
        <f t="shared" si="52"/>
        <v>600000</v>
      </c>
      <c r="H1057" s="11">
        <f t="shared" si="53"/>
        <v>-103200</v>
      </c>
    </row>
    <row r="1058" spans="1:8">
      <c r="A1058" s="6" t="s">
        <v>18</v>
      </c>
      <c r="B1058">
        <v>2118000</v>
      </c>
      <c r="C1058">
        <v>2118000</v>
      </c>
      <c r="D1058" s="8" t="str">
        <f>VLOOKUP(A1058,Лист2!A:E,5,0)</f>
        <v>малые</v>
      </c>
      <c r="E1058" s="10">
        <f>VLOOKUP(A1058,Лист2!A:E,4,0)</f>
        <v>2.5</v>
      </c>
      <c r="F1058" s="11">
        <f t="shared" si="51"/>
        <v>0</v>
      </c>
      <c r="G1058" s="11">
        <f t="shared" si="52"/>
        <v>847200</v>
      </c>
      <c r="H1058" s="11">
        <f t="shared" si="53"/>
        <v>0</v>
      </c>
    </row>
    <row r="1059" spans="1:8">
      <c r="A1059" s="6" t="s">
        <v>18</v>
      </c>
      <c r="B1059">
        <v>3098000</v>
      </c>
      <c r="C1059">
        <v>3332000</v>
      </c>
      <c r="D1059" s="8" t="str">
        <f>VLOOKUP(A1059,Лист2!A:E,5,0)</f>
        <v>малые</v>
      </c>
      <c r="E1059" s="10">
        <f>VLOOKUP(A1059,Лист2!A:E,4,0)</f>
        <v>2.5</v>
      </c>
      <c r="F1059" s="11">
        <f t="shared" si="51"/>
        <v>-234000</v>
      </c>
      <c r="G1059" s="11">
        <f t="shared" si="52"/>
        <v>1239200</v>
      </c>
      <c r="H1059" s="11">
        <f t="shared" si="53"/>
        <v>-93600</v>
      </c>
    </row>
    <row r="1060" spans="1:8">
      <c r="A1060" s="6" t="s">
        <v>18</v>
      </c>
      <c r="B1060">
        <v>120000</v>
      </c>
      <c r="C1060">
        <v>19000</v>
      </c>
      <c r="D1060" s="8" t="str">
        <f>VLOOKUP(A1060,Лист2!A:E,5,0)</f>
        <v>малые</v>
      </c>
      <c r="E1060" s="10">
        <f>VLOOKUP(A1060,Лист2!A:E,4,0)</f>
        <v>2.5</v>
      </c>
      <c r="F1060" s="11">
        <f t="shared" si="51"/>
        <v>101000</v>
      </c>
      <c r="G1060" s="11">
        <f t="shared" si="52"/>
        <v>48000</v>
      </c>
      <c r="H1060" s="11">
        <f t="shared" si="53"/>
        <v>40400</v>
      </c>
    </row>
    <row r="1061" spans="1:8">
      <c r="A1061" s="6" t="s">
        <v>18</v>
      </c>
      <c r="B1061">
        <v>6929000</v>
      </c>
      <c r="C1061">
        <v>6833000</v>
      </c>
      <c r="D1061" s="8" t="str">
        <f>VLOOKUP(A1061,Лист2!A:E,5,0)</f>
        <v>малые</v>
      </c>
      <c r="E1061" s="10">
        <f>VLOOKUP(A1061,Лист2!A:E,4,0)</f>
        <v>2.5</v>
      </c>
      <c r="F1061" s="11">
        <f t="shared" si="51"/>
        <v>96000</v>
      </c>
      <c r="G1061" s="11">
        <f t="shared" si="52"/>
        <v>2771600</v>
      </c>
      <c r="H1061" s="11">
        <f t="shared" si="53"/>
        <v>38400</v>
      </c>
    </row>
    <row r="1062" spans="1:8">
      <c r="A1062" s="6" t="s">
        <v>18</v>
      </c>
      <c r="B1062">
        <v>2954000</v>
      </c>
      <c r="C1062">
        <v>340000</v>
      </c>
      <c r="D1062" s="8" t="str">
        <f>VLOOKUP(A1062,Лист2!A:E,5,0)</f>
        <v>малые</v>
      </c>
      <c r="E1062" s="10">
        <f>VLOOKUP(A1062,Лист2!A:E,4,0)</f>
        <v>2.5</v>
      </c>
      <c r="F1062" s="11">
        <f t="shared" si="51"/>
        <v>2614000</v>
      </c>
      <c r="G1062" s="11">
        <f t="shared" si="52"/>
        <v>1181600</v>
      </c>
      <c r="H1062" s="11">
        <f t="shared" si="53"/>
        <v>1045600</v>
      </c>
    </row>
    <row r="1063" spans="1:8">
      <c r="A1063" s="6" t="s">
        <v>18</v>
      </c>
      <c r="B1063">
        <v>18521000</v>
      </c>
      <c r="C1063">
        <v>73705000</v>
      </c>
      <c r="D1063" s="8" t="str">
        <f>VLOOKUP(A1063,Лист2!A:E,5,0)</f>
        <v>малые</v>
      </c>
      <c r="E1063" s="10">
        <f>VLOOKUP(A1063,Лист2!A:E,4,0)</f>
        <v>2.5</v>
      </c>
      <c r="F1063" s="11">
        <f t="shared" si="51"/>
        <v>-55184000</v>
      </c>
      <c r="G1063" s="11">
        <f t="shared" si="52"/>
        <v>7408400</v>
      </c>
      <c r="H1063" s="11">
        <f t="shared" si="53"/>
        <v>-22073600</v>
      </c>
    </row>
    <row r="1064" spans="1:8">
      <c r="A1064" s="6" t="s">
        <v>18</v>
      </c>
      <c r="B1064">
        <v>57000</v>
      </c>
      <c r="C1064">
        <v>52000</v>
      </c>
      <c r="D1064" s="8" t="str">
        <f>VLOOKUP(A1064,Лист2!A:E,5,0)</f>
        <v>малые</v>
      </c>
      <c r="E1064" s="10">
        <f>VLOOKUP(A1064,Лист2!A:E,4,0)</f>
        <v>2.5</v>
      </c>
      <c r="F1064" s="11">
        <f t="shared" si="51"/>
        <v>5000</v>
      </c>
      <c r="G1064" s="11">
        <f t="shared" si="52"/>
        <v>22800</v>
      </c>
      <c r="H1064" s="11">
        <f t="shared" si="53"/>
        <v>2000</v>
      </c>
    </row>
    <row r="1065" spans="1:8">
      <c r="A1065" s="6" t="s">
        <v>18</v>
      </c>
      <c r="B1065">
        <v>2013000</v>
      </c>
      <c r="C1065">
        <v>2194000</v>
      </c>
      <c r="D1065" s="8" t="str">
        <f>VLOOKUP(A1065,Лист2!A:E,5,0)</f>
        <v>малые</v>
      </c>
      <c r="E1065" s="10">
        <f>VLOOKUP(A1065,Лист2!A:E,4,0)</f>
        <v>2.5</v>
      </c>
      <c r="F1065" s="11">
        <f t="shared" si="51"/>
        <v>-181000</v>
      </c>
      <c r="G1065" s="11">
        <f t="shared" si="52"/>
        <v>805200</v>
      </c>
      <c r="H1065" s="11">
        <f t="shared" si="53"/>
        <v>-72400</v>
      </c>
    </row>
    <row r="1066" spans="1:8">
      <c r="A1066" s="6" t="s">
        <v>18</v>
      </c>
      <c r="B1066">
        <v>2743000</v>
      </c>
      <c r="C1066">
        <v>2685000</v>
      </c>
      <c r="D1066" s="8" t="str">
        <f>VLOOKUP(A1066,Лист2!A:E,5,0)</f>
        <v>малые</v>
      </c>
      <c r="E1066" s="10">
        <f>VLOOKUP(A1066,Лист2!A:E,4,0)</f>
        <v>2.5</v>
      </c>
      <c r="F1066" s="11">
        <f t="shared" si="51"/>
        <v>58000</v>
      </c>
      <c r="G1066" s="11">
        <f t="shared" si="52"/>
        <v>1097200</v>
      </c>
      <c r="H1066" s="11">
        <f t="shared" si="53"/>
        <v>23200</v>
      </c>
    </row>
    <row r="1067" spans="1:8">
      <c r="A1067" s="6" t="s">
        <v>18</v>
      </c>
      <c r="B1067">
        <v>4159000</v>
      </c>
      <c r="C1067">
        <v>3919000</v>
      </c>
      <c r="D1067" s="8" t="str">
        <f>VLOOKUP(A1067,Лист2!A:E,5,0)</f>
        <v>малые</v>
      </c>
      <c r="E1067" s="10">
        <f>VLOOKUP(A1067,Лист2!A:E,4,0)</f>
        <v>2.5</v>
      </c>
      <c r="F1067" s="11">
        <f t="shared" si="51"/>
        <v>240000</v>
      </c>
      <c r="G1067" s="11">
        <f t="shared" si="52"/>
        <v>1663600</v>
      </c>
      <c r="H1067" s="11">
        <f t="shared" si="53"/>
        <v>96000</v>
      </c>
    </row>
    <row r="1068" spans="1:8">
      <c r="A1068" s="6" t="s">
        <v>18</v>
      </c>
      <c r="B1068">
        <v>94000</v>
      </c>
      <c r="C1068">
        <v>100000</v>
      </c>
      <c r="D1068" s="8" t="str">
        <f>VLOOKUP(A1068,Лист2!A:E,5,0)</f>
        <v>малые</v>
      </c>
      <c r="E1068" s="10">
        <f>VLOOKUP(A1068,Лист2!A:E,4,0)</f>
        <v>2.5</v>
      </c>
      <c r="F1068" s="11">
        <f t="shared" si="51"/>
        <v>-6000</v>
      </c>
      <c r="G1068" s="11">
        <f t="shared" si="52"/>
        <v>37600</v>
      </c>
      <c r="H1068" s="11">
        <f t="shared" si="53"/>
        <v>-2400</v>
      </c>
    </row>
    <row r="1069" spans="1:8">
      <c r="A1069" s="6" t="s">
        <v>18</v>
      </c>
      <c r="B1069">
        <v>774000</v>
      </c>
      <c r="C1069">
        <v>557000</v>
      </c>
      <c r="D1069" s="8" t="str">
        <f>VLOOKUP(A1069,Лист2!A:E,5,0)</f>
        <v>малые</v>
      </c>
      <c r="E1069" s="10">
        <f>VLOOKUP(A1069,Лист2!A:E,4,0)</f>
        <v>2.5</v>
      </c>
      <c r="F1069" s="11">
        <f t="shared" si="51"/>
        <v>217000</v>
      </c>
      <c r="G1069" s="11">
        <f t="shared" si="52"/>
        <v>309600</v>
      </c>
      <c r="H1069" s="11">
        <f t="shared" si="53"/>
        <v>86800</v>
      </c>
    </row>
    <row r="1070" spans="1:8">
      <c r="A1070" s="6" t="s">
        <v>18</v>
      </c>
      <c r="B1070">
        <v>506000</v>
      </c>
      <c r="C1070">
        <v>467000</v>
      </c>
      <c r="D1070" s="8" t="str">
        <f>VLOOKUP(A1070,Лист2!A:E,5,0)</f>
        <v>малые</v>
      </c>
      <c r="E1070" s="10">
        <f>VLOOKUP(A1070,Лист2!A:E,4,0)</f>
        <v>2.5</v>
      </c>
      <c r="F1070" s="11">
        <f t="shared" si="51"/>
        <v>39000</v>
      </c>
      <c r="G1070" s="11">
        <f t="shared" si="52"/>
        <v>202400</v>
      </c>
      <c r="H1070" s="11">
        <f t="shared" si="53"/>
        <v>15600</v>
      </c>
    </row>
    <row r="1071" spans="1:8">
      <c r="A1071" s="6" t="s">
        <v>22</v>
      </c>
      <c r="B1071">
        <v>8329000</v>
      </c>
      <c r="C1071">
        <v>6900000</v>
      </c>
      <c r="D1071" s="8" t="str">
        <f>VLOOKUP(A1071,Лист2!A:E,5,0)</f>
        <v>малые</v>
      </c>
      <c r="E1071" s="10">
        <f>VLOOKUP(A1071,Лист2!A:E,4,0)</f>
        <v>13</v>
      </c>
      <c r="F1071" s="11">
        <f t="shared" si="51"/>
        <v>1429000</v>
      </c>
      <c r="G1071" s="11">
        <f t="shared" si="52"/>
        <v>640692.30769230775</v>
      </c>
      <c r="H1071" s="11">
        <f t="shared" si="53"/>
        <v>109923.07692307692</v>
      </c>
    </row>
    <row r="1072" spans="1:8">
      <c r="A1072" s="6" t="s">
        <v>18</v>
      </c>
      <c r="B1072">
        <v>127000</v>
      </c>
      <c r="C1072">
        <v>127000</v>
      </c>
      <c r="D1072" s="8" t="str">
        <f>VLOOKUP(A1072,Лист2!A:E,5,0)</f>
        <v>малые</v>
      </c>
      <c r="E1072" s="10">
        <f>VLOOKUP(A1072,Лист2!A:E,4,0)</f>
        <v>2.5</v>
      </c>
      <c r="F1072" s="11">
        <f t="shared" si="51"/>
        <v>0</v>
      </c>
      <c r="G1072" s="11">
        <f t="shared" si="52"/>
        <v>50800</v>
      </c>
      <c r="H1072" s="11">
        <f t="shared" si="53"/>
        <v>0</v>
      </c>
    </row>
    <row r="1073" spans="1:8">
      <c r="A1073" s="6" t="s">
        <v>18</v>
      </c>
      <c r="B1073">
        <v>3233000</v>
      </c>
      <c r="C1073">
        <v>3024000</v>
      </c>
      <c r="D1073" s="8" t="str">
        <f>VLOOKUP(A1073,Лист2!A:E,5,0)</f>
        <v>малые</v>
      </c>
      <c r="E1073" s="10">
        <f>VLOOKUP(A1073,Лист2!A:E,4,0)</f>
        <v>2.5</v>
      </c>
      <c r="F1073" s="11">
        <f t="shared" si="51"/>
        <v>209000</v>
      </c>
      <c r="G1073" s="11">
        <f t="shared" si="52"/>
        <v>1293200</v>
      </c>
      <c r="H1073" s="11">
        <f t="shared" si="53"/>
        <v>83600</v>
      </c>
    </row>
    <row r="1074" spans="1:8">
      <c r="A1074" s="6" t="s">
        <v>18</v>
      </c>
      <c r="B1074">
        <v>8000</v>
      </c>
      <c r="C1074">
        <v>12000</v>
      </c>
      <c r="D1074" s="8" t="str">
        <f>VLOOKUP(A1074,Лист2!A:E,5,0)</f>
        <v>малые</v>
      </c>
      <c r="E1074" s="10">
        <f>VLOOKUP(A1074,Лист2!A:E,4,0)</f>
        <v>2.5</v>
      </c>
      <c r="F1074" s="11">
        <f t="shared" si="51"/>
        <v>-4000</v>
      </c>
      <c r="G1074" s="11">
        <f t="shared" si="52"/>
        <v>3200</v>
      </c>
      <c r="H1074" s="11">
        <f t="shared" si="53"/>
        <v>-1600</v>
      </c>
    </row>
    <row r="1075" spans="1:8">
      <c r="A1075" s="6" t="s">
        <v>18</v>
      </c>
      <c r="B1075">
        <v>3275000</v>
      </c>
      <c r="C1075">
        <v>3122000</v>
      </c>
      <c r="D1075" s="8" t="str">
        <f>VLOOKUP(A1075,Лист2!A:E,5,0)</f>
        <v>малые</v>
      </c>
      <c r="E1075" s="10">
        <f>VLOOKUP(A1075,Лист2!A:E,4,0)</f>
        <v>2.5</v>
      </c>
      <c r="F1075" s="11">
        <f t="shared" si="51"/>
        <v>153000</v>
      </c>
      <c r="G1075" s="11">
        <f t="shared" si="52"/>
        <v>1310000</v>
      </c>
      <c r="H1075" s="11">
        <f t="shared" si="53"/>
        <v>61200</v>
      </c>
    </row>
    <row r="1076" spans="1:8">
      <c r="A1076" s="6" t="s">
        <v>18</v>
      </c>
      <c r="B1076">
        <v>563000</v>
      </c>
      <c r="C1076">
        <v>575000</v>
      </c>
      <c r="D1076" s="8" t="str">
        <f>VLOOKUP(A1076,Лист2!A:E,5,0)</f>
        <v>малые</v>
      </c>
      <c r="E1076" s="10">
        <f>VLOOKUP(A1076,Лист2!A:E,4,0)</f>
        <v>2.5</v>
      </c>
      <c r="F1076" s="11">
        <f t="shared" si="51"/>
        <v>-12000</v>
      </c>
      <c r="G1076" s="11">
        <f t="shared" si="52"/>
        <v>225200</v>
      </c>
      <c r="H1076" s="11">
        <f t="shared" si="53"/>
        <v>-4800</v>
      </c>
    </row>
    <row r="1077" spans="1:8">
      <c r="A1077" s="6" t="s">
        <v>18</v>
      </c>
      <c r="B1077">
        <v>358000</v>
      </c>
      <c r="C1077">
        <v>292000</v>
      </c>
      <c r="D1077" s="8" t="str">
        <f>VLOOKUP(A1077,Лист2!A:E,5,0)</f>
        <v>малые</v>
      </c>
      <c r="E1077" s="10">
        <f>VLOOKUP(A1077,Лист2!A:E,4,0)</f>
        <v>2.5</v>
      </c>
      <c r="F1077" s="11">
        <f t="shared" si="51"/>
        <v>66000</v>
      </c>
      <c r="G1077" s="11">
        <f t="shared" si="52"/>
        <v>143200</v>
      </c>
      <c r="H1077" s="11">
        <f t="shared" si="53"/>
        <v>26400</v>
      </c>
    </row>
    <row r="1078" spans="1:8">
      <c r="A1078" s="6" t="s">
        <v>77</v>
      </c>
      <c r="B1078">
        <v>29425000</v>
      </c>
      <c r="C1078">
        <v>34396000</v>
      </c>
      <c r="D1078" s="8" t="str">
        <f>VLOOKUP(A1078,Лист2!A:E,5,0)</f>
        <v>малые</v>
      </c>
      <c r="E1078" s="10">
        <f>VLOOKUP(A1078,Лист2!A:E,4,0)</f>
        <v>8</v>
      </c>
      <c r="F1078" s="11">
        <f t="shared" si="51"/>
        <v>-4971000</v>
      </c>
      <c r="G1078" s="11">
        <f t="shared" si="52"/>
        <v>3678125</v>
      </c>
      <c r="H1078" s="11">
        <f t="shared" si="53"/>
        <v>-621375</v>
      </c>
    </row>
    <row r="1079" spans="1:8">
      <c r="A1079" s="6" t="s">
        <v>18</v>
      </c>
      <c r="B1079">
        <v>4307000</v>
      </c>
      <c r="C1079">
        <v>4304000</v>
      </c>
      <c r="D1079" s="8" t="str">
        <f>VLOOKUP(A1079,Лист2!A:E,5,0)</f>
        <v>малые</v>
      </c>
      <c r="E1079" s="10">
        <f>VLOOKUP(A1079,Лист2!A:E,4,0)</f>
        <v>2.5</v>
      </c>
      <c r="F1079" s="11">
        <f t="shared" si="51"/>
        <v>3000</v>
      </c>
      <c r="G1079" s="11">
        <f t="shared" si="52"/>
        <v>1722800</v>
      </c>
      <c r="H1079" s="11">
        <f t="shared" si="53"/>
        <v>1200</v>
      </c>
    </row>
    <row r="1080" spans="1:8">
      <c r="A1080" s="6" t="s">
        <v>18</v>
      </c>
      <c r="B1080">
        <v>58000</v>
      </c>
      <c r="C1080">
        <v>56000</v>
      </c>
      <c r="D1080" s="8" t="str">
        <f>VLOOKUP(A1080,Лист2!A:E,5,0)</f>
        <v>малые</v>
      </c>
      <c r="E1080" s="10">
        <f>VLOOKUP(A1080,Лист2!A:E,4,0)</f>
        <v>2.5</v>
      </c>
      <c r="F1080" s="11">
        <f t="shared" si="51"/>
        <v>2000</v>
      </c>
      <c r="G1080" s="11">
        <f t="shared" si="52"/>
        <v>23200</v>
      </c>
      <c r="H1080" s="11">
        <f t="shared" si="53"/>
        <v>800</v>
      </c>
    </row>
    <row r="1081" spans="1:8">
      <c r="A1081" s="6" t="s">
        <v>18</v>
      </c>
      <c r="B1081">
        <v>3120000</v>
      </c>
      <c r="C1081">
        <v>13335000</v>
      </c>
      <c r="D1081" s="8" t="str">
        <f>VLOOKUP(A1081,Лист2!A:E,5,0)</f>
        <v>малые</v>
      </c>
      <c r="E1081" s="10">
        <f>VLOOKUP(A1081,Лист2!A:E,4,0)</f>
        <v>2.5</v>
      </c>
      <c r="F1081" s="11">
        <f t="shared" si="51"/>
        <v>-10215000</v>
      </c>
      <c r="G1081" s="11">
        <f t="shared" si="52"/>
        <v>1248000</v>
      </c>
      <c r="H1081" s="11">
        <f t="shared" si="53"/>
        <v>-4086000</v>
      </c>
    </row>
    <row r="1082" spans="1:8">
      <c r="A1082" s="6" t="s">
        <v>18</v>
      </c>
      <c r="B1082">
        <v>13588000</v>
      </c>
      <c r="C1082">
        <v>12768000</v>
      </c>
      <c r="D1082" s="8" t="str">
        <f>VLOOKUP(A1082,Лист2!A:E,5,0)</f>
        <v>малые</v>
      </c>
      <c r="E1082" s="10">
        <f>VLOOKUP(A1082,Лист2!A:E,4,0)</f>
        <v>2.5</v>
      </c>
      <c r="F1082" s="11">
        <f t="shared" si="51"/>
        <v>820000</v>
      </c>
      <c r="G1082" s="11">
        <f t="shared" si="52"/>
        <v>5435200</v>
      </c>
      <c r="H1082" s="11">
        <f t="shared" si="53"/>
        <v>328000</v>
      </c>
    </row>
    <row r="1083" spans="1:8">
      <c r="A1083" s="6" t="s">
        <v>18</v>
      </c>
      <c r="B1083">
        <v>422000</v>
      </c>
      <c r="C1083">
        <v>455000</v>
      </c>
      <c r="D1083" s="8" t="str">
        <f>VLOOKUP(A1083,Лист2!A:E,5,0)</f>
        <v>малые</v>
      </c>
      <c r="E1083" s="10">
        <f>VLOOKUP(A1083,Лист2!A:E,4,0)</f>
        <v>2.5</v>
      </c>
      <c r="F1083" s="11">
        <f t="shared" si="51"/>
        <v>-33000</v>
      </c>
      <c r="G1083" s="11">
        <f t="shared" si="52"/>
        <v>168800</v>
      </c>
      <c r="H1083" s="11">
        <f t="shared" si="53"/>
        <v>-13200</v>
      </c>
    </row>
    <row r="1084" spans="1:8">
      <c r="A1084" s="6" t="s">
        <v>18</v>
      </c>
      <c r="B1084">
        <v>36875000</v>
      </c>
      <c r="C1084">
        <v>36471000</v>
      </c>
      <c r="D1084" s="8" t="str">
        <f>VLOOKUP(A1084,Лист2!A:E,5,0)</f>
        <v>малые</v>
      </c>
      <c r="E1084" s="10">
        <f>VLOOKUP(A1084,Лист2!A:E,4,0)</f>
        <v>2.5</v>
      </c>
      <c r="F1084" s="11">
        <f t="shared" si="51"/>
        <v>404000</v>
      </c>
      <c r="G1084" s="11">
        <f t="shared" si="52"/>
        <v>14750000</v>
      </c>
      <c r="H1084" s="11">
        <f t="shared" si="53"/>
        <v>161600</v>
      </c>
    </row>
    <row r="1085" spans="1:8">
      <c r="A1085" s="6" t="s">
        <v>18</v>
      </c>
      <c r="B1085">
        <v>973000</v>
      </c>
      <c r="C1085">
        <v>270000</v>
      </c>
      <c r="D1085" s="8" t="str">
        <f>VLOOKUP(A1085,Лист2!A:E,5,0)</f>
        <v>малые</v>
      </c>
      <c r="E1085" s="10">
        <f>VLOOKUP(A1085,Лист2!A:E,4,0)</f>
        <v>2.5</v>
      </c>
      <c r="F1085" s="11">
        <f t="shared" si="51"/>
        <v>703000</v>
      </c>
      <c r="G1085" s="11">
        <f t="shared" si="52"/>
        <v>389200</v>
      </c>
      <c r="H1085" s="11">
        <f t="shared" si="53"/>
        <v>281200</v>
      </c>
    </row>
    <row r="1086" spans="1:8">
      <c r="A1086" s="6" t="s">
        <v>18</v>
      </c>
      <c r="B1086">
        <v>187000</v>
      </c>
      <c r="C1086">
        <v>321000</v>
      </c>
      <c r="D1086" s="8" t="str">
        <f>VLOOKUP(A1086,Лист2!A:E,5,0)</f>
        <v>малые</v>
      </c>
      <c r="E1086" s="10">
        <f>VLOOKUP(A1086,Лист2!A:E,4,0)</f>
        <v>2.5</v>
      </c>
      <c r="F1086" s="11">
        <f t="shared" si="51"/>
        <v>-134000</v>
      </c>
      <c r="G1086" s="11">
        <f t="shared" si="52"/>
        <v>74800</v>
      </c>
      <c r="H1086" s="11">
        <f t="shared" si="53"/>
        <v>-53600</v>
      </c>
    </row>
    <row r="1087" spans="1:8">
      <c r="A1087" s="6" t="s">
        <v>18</v>
      </c>
      <c r="B1087">
        <v>915000</v>
      </c>
      <c r="C1087">
        <v>861000</v>
      </c>
      <c r="D1087" s="8" t="str">
        <f>VLOOKUP(A1087,Лист2!A:E,5,0)</f>
        <v>малые</v>
      </c>
      <c r="E1087" s="10">
        <f>VLOOKUP(A1087,Лист2!A:E,4,0)</f>
        <v>2.5</v>
      </c>
      <c r="F1087" s="11">
        <f t="shared" si="51"/>
        <v>54000</v>
      </c>
      <c r="G1087" s="11">
        <f t="shared" si="52"/>
        <v>366000</v>
      </c>
      <c r="H1087" s="11">
        <f t="shared" si="53"/>
        <v>21600</v>
      </c>
    </row>
    <row r="1088" spans="1:8">
      <c r="A1088" s="6" t="s">
        <v>22</v>
      </c>
      <c r="B1088">
        <v>4999000</v>
      </c>
      <c r="C1088">
        <v>11911000</v>
      </c>
      <c r="D1088" s="8" t="str">
        <f>VLOOKUP(A1088,Лист2!A:E,5,0)</f>
        <v>малые</v>
      </c>
      <c r="E1088" s="10">
        <f>VLOOKUP(A1088,Лист2!A:E,4,0)</f>
        <v>13</v>
      </c>
      <c r="F1088" s="11">
        <f t="shared" si="51"/>
        <v>-6912000</v>
      </c>
      <c r="G1088" s="11">
        <f t="shared" si="52"/>
        <v>384538.46153846156</v>
      </c>
      <c r="H1088" s="11">
        <f t="shared" si="53"/>
        <v>-531692.30769230775</v>
      </c>
    </row>
    <row r="1089" spans="1:8">
      <c r="A1089" s="6" t="s">
        <v>18</v>
      </c>
      <c r="B1089">
        <v>104000</v>
      </c>
      <c r="C1089">
        <v>106000</v>
      </c>
      <c r="D1089" s="8" t="str">
        <f>VLOOKUP(A1089,Лист2!A:E,5,0)</f>
        <v>малые</v>
      </c>
      <c r="E1089" s="10">
        <f>VLOOKUP(A1089,Лист2!A:E,4,0)</f>
        <v>2.5</v>
      </c>
      <c r="F1089" s="11">
        <f t="shared" si="51"/>
        <v>-2000</v>
      </c>
      <c r="G1089" s="11">
        <f t="shared" si="52"/>
        <v>41600</v>
      </c>
      <c r="H1089" s="11">
        <f t="shared" si="53"/>
        <v>-800</v>
      </c>
    </row>
    <row r="1090" spans="1:8">
      <c r="A1090" s="6" t="s">
        <v>18</v>
      </c>
      <c r="B1090">
        <v>5000</v>
      </c>
      <c r="C1090">
        <v>4000</v>
      </c>
      <c r="D1090" s="8" t="str">
        <f>VLOOKUP(A1090,Лист2!A:E,5,0)</f>
        <v>малые</v>
      </c>
      <c r="E1090" s="10">
        <f>VLOOKUP(A1090,Лист2!A:E,4,0)</f>
        <v>2.5</v>
      </c>
      <c r="F1090" s="11">
        <f t="shared" si="51"/>
        <v>1000</v>
      </c>
      <c r="G1090" s="11">
        <f t="shared" si="52"/>
        <v>2000</v>
      </c>
      <c r="H1090" s="11">
        <f t="shared" si="53"/>
        <v>400</v>
      </c>
    </row>
    <row r="1091" spans="1:8">
      <c r="A1091" s="6" t="s">
        <v>77</v>
      </c>
      <c r="B1091">
        <v>6422000</v>
      </c>
      <c r="C1091">
        <v>6838000</v>
      </c>
      <c r="D1091" s="8" t="str">
        <f>VLOOKUP(A1091,Лист2!A:E,5,0)</f>
        <v>малые</v>
      </c>
      <c r="E1091" s="10">
        <f>VLOOKUP(A1091,Лист2!A:E,4,0)</f>
        <v>8</v>
      </c>
      <c r="F1091" s="11">
        <f t="shared" si="51"/>
        <v>-416000</v>
      </c>
      <c r="G1091" s="11">
        <f t="shared" si="52"/>
        <v>802750</v>
      </c>
      <c r="H1091" s="11">
        <f t="shared" si="53"/>
        <v>-52000</v>
      </c>
    </row>
    <row r="1092" spans="1:8">
      <c r="A1092" s="6" t="s">
        <v>18</v>
      </c>
      <c r="B1092">
        <v>730000</v>
      </c>
      <c r="C1092">
        <v>682000</v>
      </c>
      <c r="D1092" s="8" t="str">
        <f>VLOOKUP(A1092,Лист2!A:E,5,0)</f>
        <v>малые</v>
      </c>
      <c r="E1092" s="10">
        <f>VLOOKUP(A1092,Лист2!A:E,4,0)</f>
        <v>2.5</v>
      </c>
      <c r="F1092" s="11">
        <f t="shared" si="51"/>
        <v>48000</v>
      </c>
      <c r="G1092" s="11">
        <f t="shared" si="52"/>
        <v>292000</v>
      </c>
      <c r="H1092" s="11">
        <f t="shared" si="53"/>
        <v>19200</v>
      </c>
    </row>
    <row r="1093" spans="1:8">
      <c r="A1093" s="6" t="s">
        <v>18</v>
      </c>
      <c r="B1093">
        <v>12220000</v>
      </c>
      <c r="C1093">
        <v>35258000</v>
      </c>
      <c r="D1093" s="8" t="str">
        <f>VLOOKUP(A1093,Лист2!A:E,5,0)</f>
        <v>малые</v>
      </c>
      <c r="E1093" s="10">
        <f>VLOOKUP(A1093,Лист2!A:E,4,0)</f>
        <v>2.5</v>
      </c>
      <c r="F1093" s="11">
        <f t="shared" si="51"/>
        <v>-23038000</v>
      </c>
      <c r="G1093" s="11">
        <f t="shared" si="52"/>
        <v>4888000</v>
      </c>
      <c r="H1093" s="11">
        <f t="shared" si="53"/>
        <v>-9215200</v>
      </c>
    </row>
    <row r="1094" spans="1:8">
      <c r="A1094" s="6" t="s">
        <v>18</v>
      </c>
      <c r="B1094">
        <v>14224000</v>
      </c>
      <c r="C1094">
        <v>15202000</v>
      </c>
      <c r="D1094" s="8" t="str">
        <f>VLOOKUP(A1094,Лист2!A:E,5,0)</f>
        <v>малые</v>
      </c>
      <c r="E1094" s="10">
        <f>VLOOKUP(A1094,Лист2!A:E,4,0)</f>
        <v>2.5</v>
      </c>
      <c r="F1094" s="11">
        <f t="shared" si="51"/>
        <v>-978000</v>
      </c>
      <c r="G1094" s="11">
        <f t="shared" si="52"/>
        <v>5689600</v>
      </c>
      <c r="H1094" s="11">
        <f t="shared" si="53"/>
        <v>-391200</v>
      </c>
    </row>
    <row r="1095" spans="1:8">
      <c r="A1095" s="6" t="s">
        <v>18</v>
      </c>
      <c r="B1095">
        <v>6274000</v>
      </c>
      <c r="C1095">
        <v>8735000</v>
      </c>
      <c r="D1095" s="8" t="str">
        <f>VLOOKUP(A1095,Лист2!A:E,5,0)</f>
        <v>малые</v>
      </c>
      <c r="E1095" s="10">
        <f>VLOOKUP(A1095,Лист2!A:E,4,0)</f>
        <v>2.5</v>
      </c>
      <c r="F1095" s="11">
        <f t="shared" si="51"/>
        <v>-2461000</v>
      </c>
      <c r="G1095" s="11">
        <f t="shared" si="52"/>
        <v>2509600</v>
      </c>
      <c r="H1095" s="11">
        <f t="shared" si="53"/>
        <v>-984400</v>
      </c>
    </row>
    <row r="1096" spans="1:8">
      <c r="A1096" s="6" t="s">
        <v>18</v>
      </c>
      <c r="B1096">
        <v>2394000</v>
      </c>
      <c r="C1096">
        <v>2450000</v>
      </c>
      <c r="D1096" s="8" t="str">
        <f>VLOOKUP(A1096,Лист2!A:E,5,0)</f>
        <v>малые</v>
      </c>
      <c r="E1096" s="10">
        <f>VLOOKUP(A1096,Лист2!A:E,4,0)</f>
        <v>2.5</v>
      </c>
      <c r="F1096" s="11">
        <f t="shared" si="51"/>
        <v>-56000</v>
      </c>
      <c r="G1096" s="11">
        <f t="shared" si="52"/>
        <v>957600</v>
      </c>
      <c r="H1096" s="11">
        <f t="shared" si="53"/>
        <v>-22400</v>
      </c>
    </row>
    <row r="1097" spans="1:8">
      <c r="A1097" s="6" t="s">
        <v>77</v>
      </c>
      <c r="B1097">
        <v>115000</v>
      </c>
      <c r="C1097">
        <v>96000</v>
      </c>
      <c r="D1097" s="8" t="str">
        <f>VLOOKUP(A1097,Лист2!A:E,5,0)</f>
        <v>малые</v>
      </c>
      <c r="E1097" s="10">
        <f>VLOOKUP(A1097,Лист2!A:E,4,0)</f>
        <v>8</v>
      </c>
      <c r="F1097" s="11">
        <f t="shared" si="51"/>
        <v>19000</v>
      </c>
      <c r="G1097" s="11">
        <f t="shared" si="52"/>
        <v>14375</v>
      </c>
      <c r="H1097" s="11">
        <f t="shared" si="53"/>
        <v>2375</v>
      </c>
    </row>
    <row r="1098" spans="1:8">
      <c r="A1098" s="6" t="s">
        <v>18</v>
      </c>
      <c r="B1098">
        <v>2415000</v>
      </c>
      <c r="C1098">
        <v>2846000</v>
      </c>
      <c r="D1098" s="8" t="str">
        <f>VLOOKUP(A1098,Лист2!A:E,5,0)</f>
        <v>малые</v>
      </c>
      <c r="E1098" s="10">
        <f>VLOOKUP(A1098,Лист2!A:E,4,0)</f>
        <v>2.5</v>
      </c>
      <c r="F1098" s="11">
        <f t="shared" si="51"/>
        <v>-431000</v>
      </c>
      <c r="G1098" s="11">
        <f t="shared" si="52"/>
        <v>966000</v>
      </c>
      <c r="H1098" s="11">
        <f t="shared" si="53"/>
        <v>-172400</v>
      </c>
    </row>
    <row r="1099" spans="1:8">
      <c r="A1099" s="6" t="s">
        <v>22</v>
      </c>
      <c r="B1099">
        <v>15407000</v>
      </c>
      <c r="C1099">
        <v>14014000</v>
      </c>
      <c r="D1099" s="8" t="str">
        <f>VLOOKUP(A1099,Лист2!A:E,5,0)</f>
        <v>малые</v>
      </c>
      <c r="E1099" s="10">
        <f>VLOOKUP(A1099,Лист2!A:E,4,0)</f>
        <v>13</v>
      </c>
      <c r="F1099" s="11">
        <f t="shared" si="51"/>
        <v>1393000</v>
      </c>
      <c r="G1099" s="11">
        <f t="shared" si="52"/>
        <v>1185153.8461538462</v>
      </c>
      <c r="H1099" s="11">
        <f t="shared" si="53"/>
        <v>107153.84615384616</v>
      </c>
    </row>
    <row r="1100" spans="1:8">
      <c r="A1100" s="6" t="s">
        <v>18</v>
      </c>
      <c r="B1100">
        <v>110000</v>
      </c>
      <c r="C1100">
        <v>110000</v>
      </c>
      <c r="D1100" s="8" t="str">
        <f>VLOOKUP(A1100,Лист2!A:E,5,0)</f>
        <v>малые</v>
      </c>
      <c r="E1100" s="10">
        <f>VLOOKUP(A1100,Лист2!A:E,4,0)</f>
        <v>2.5</v>
      </c>
      <c r="F1100" s="11">
        <f t="shared" si="51"/>
        <v>0</v>
      </c>
      <c r="G1100" s="11">
        <f t="shared" si="52"/>
        <v>44000</v>
      </c>
      <c r="H1100" s="11">
        <f t="shared" si="53"/>
        <v>0</v>
      </c>
    </row>
    <row r="1101" spans="1:8">
      <c r="A1101" s="6" t="s">
        <v>18</v>
      </c>
      <c r="B1101">
        <v>84320000</v>
      </c>
      <c r="C1101">
        <v>69595000</v>
      </c>
      <c r="D1101" s="8" t="str">
        <f>VLOOKUP(A1101,Лист2!A:E,5,0)</f>
        <v>малые</v>
      </c>
      <c r="E1101" s="10">
        <f>VLOOKUP(A1101,Лист2!A:E,4,0)</f>
        <v>2.5</v>
      </c>
      <c r="F1101" s="11">
        <f t="shared" si="51"/>
        <v>14725000</v>
      </c>
      <c r="G1101" s="11">
        <f t="shared" si="52"/>
        <v>33728000</v>
      </c>
      <c r="H1101" s="11">
        <f t="shared" si="53"/>
        <v>5890000</v>
      </c>
    </row>
    <row r="1102" spans="1:8">
      <c r="A1102" s="6" t="s">
        <v>18</v>
      </c>
      <c r="B1102">
        <v>820000</v>
      </c>
      <c r="C1102">
        <v>851000</v>
      </c>
      <c r="D1102" s="8" t="str">
        <f>VLOOKUP(A1102,Лист2!A:E,5,0)</f>
        <v>малые</v>
      </c>
      <c r="E1102" s="10">
        <f>VLOOKUP(A1102,Лист2!A:E,4,0)</f>
        <v>2.5</v>
      </c>
      <c r="F1102" s="11">
        <f t="shared" si="51"/>
        <v>-31000</v>
      </c>
      <c r="G1102" s="11">
        <f t="shared" si="52"/>
        <v>328000</v>
      </c>
      <c r="H1102" s="11">
        <f t="shared" si="53"/>
        <v>-12400</v>
      </c>
    </row>
    <row r="1103" spans="1:8">
      <c r="A1103" s="6" t="s">
        <v>18</v>
      </c>
      <c r="B1103">
        <v>441000</v>
      </c>
      <c r="C1103">
        <v>834000</v>
      </c>
      <c r="D1103" s="8" t="str">
        <f>VLOOKUP(A1103,Лист2!A:E,5,0)</f>
        <v>малые</v>
      </c>
      <c r="E1103" s="10">
        <f>VLOOKUP(A1103,Лист2!A:E,4,0)</f>
        <v>2.5</v>
      </c>
      <c r="F1103" s="11">
        <f t="shared" si="51"/>
        <v>-393000</v>
      </c>
      <c r="G1103" s="11">
        <f t="shared" si="52"/>
        <v>176400</v>
      </c>
      <c r="H1103" s="11">
        <f t="shared" si="53"/>
        <v>-157200</v>
      </c>
    </row>
    <row r="1104" spans="1:8">
      <c r="A1104" s="6" t="s">
        <v>22</v>
      </c>
      <c r="B1104">
        <v>26979000</v>
      </c>
      <c r="C1104">
        <v>26484000</v>
      </c>
      <c r="D1104" s="8" t="str">
        <f>VLOOKUP(A1104,Лист2!A:E,5,0)</f>
        <v>малые</v>
      </c>
      <c r="E1104" s="10">
        <f>VLOOKUP(A1104,Лист2!A:E,4,0)</f>
        <v>13</v>
      </c>
      <c r="F1104" s="11">
        <f t="shared" si="51"/>
        <v>495000</v>
      </c>
      <c r="G1104" s="11">
        <f t="shared" si="52"/>
        <v>2075307.6923076923</v>
      </c>
      <c r="H1104" s="11">
        <f t="shared" si="53"/>
        <v>38076.923076923078</v>
      </c>
    </row>
    <row r="1105" spans="1:8">
      <c r="A1105" s="6" t="s">
        <v>18</v>
      </c>
      <c r="B1105">
        <v>3445000</v>
      </c>
      <c r="C1105">
        <v>3628000</v>
      </c>
      <c r="D1105" s="8" t="str">
        <f>VLOOKUP(A1105,Лист2!A:E,5,0)</f>
        <v>малые</v>
      </c>
      <c r="E1105" s="10">
        <f>VLOOKUP(A1105,Лист2!A:E,4,0)</f>
        <v>2.5</v>
      </c>
      <c r="F1105" s="11">
        <f t="shared" si="51"/>
        <v>-183000</v>
      </c>
      <c r="G1105" s="11">
        <f t="shared" si="52"/>
        <v>1378000</v>
      </c>
      <c r="H1105" s="11">
        <f t="shared" si="53"/>
        <v>-73200</v>
      </c>
    </row>
    <row r="1106" spans="1:8">
      <c r="A1106" s="6" t="s">
        <v>18</v>
      </c>
      <c r="B1106">
        <v>859000</v>
      </c>
      <c r="C1106">
        <v>962000</v>
      </c>
      <c r="D1106" s="8" t="str">
        <f>VLOOKUP(A1106,Лист2!A:E,5,0)</f>
        <v>малые</v>
      </c>
      <c r="E1106" s="10">
        <f>VLOOKUP(A1106,Лист2!A:E,4,0)</f>
        <v>2.5</v>
      </c>
      <c r="F1106" s="11">
        <f t="shared" ref="F1106:F1166" si="54">B1106-C1106</f>
        <v>-103000</v>
      </c>
      <c r="G1106" s="11">
        <f t="shared" ref="G1106:G1166" si="55">B1106/E1106</f>
        <v>343600</v>
      </c>
      <c r="H1106" s="11">
        <f t="shared" ref="H1106:H1166" si="56">F1106/E1106</f>
        <v>-41200</v>
      </c>
    </row>
    <row r="1107" spans="1:8">
      <c r="A1107" s="6" t="s">
        <v>18</v>
      </c>
      <c r="B1107">
        <v>138000</v>
      </c>
      <c r="C1107">
        <v>177000</v>
      </c>
      <c r="D1107" s="8" t="str">
        <f>VLOOKUP(A1107,Лист2!A:E,5,0)</f>
        <v>малые</v>
      </c>
      <c r="E1107" s="10">
        <f>VLOOKUP(A1107,Лист2!A:E,4,0)</f>
        <v>2.5</v>
      </c>
      <c r="F1107" s="11">
        <f t="shared" si="54"/>
        <v>-39000</v>
      </c>
      <c r="G1107" s="11">
        <f t="shared" si="55"/>
        <v>55200</v>
      </c>
      <c r="H1107" s="11">
        <f t="shared" si="56"/>
        <v>-15600</v>
      </c>
    </row>
    <row r="1108" spans="1:8">
      <c r="A1108" s="6" t="s">
        <v>18</v>
      </c>
      <c r="B1108">
        <v>219000</v>
      </c>
      <c r="C1108">
        <v>407000</v>
      </c>
      <c r="D1108" s="8" t="str">
        <f>VLOOKUP(A1108,Лист2!A:E,5,0)</f>
        <v>малые</v>
      </c>
      <c r="E1108" s="10">
        <f>VLOOKUP(A1108,Лист2!A:E,4,0)</f>
        <v>2.5</v>
      </c>
      <c r="F1108" s="11">
        <f t="shared" si="54"/>
        <v>-188000</v>
      </c>
      <c r="G1108" s="11">
        <f t="shared" si="55"/>
        <v>87600</v>
      </c>
      <c r="H1108" s="11">
        <f t="shared" si="56"/>
        <v>-75200</v>
      </c>
    </row>
    <row r="1109" spans="1:8">
      <c r="A1109" s="6" t="s">
        <v>18</v>
      </c>
      <c r="B1109">
        <v>17000</v>
      </c>
      <c r="C1109">
        <v>8000</v>
      </c>
      <c r="D1109" s="8" t="str">
        <f>VLOOKUP(A1109,Лист2!A:E,5,0)</f>
        <v>малые</v>
      </c>
      <c r="E1109" s="10">
        <f>VLOOKUP(A1109,Лист2!A:E,4,0)</f>
        <v>2.5</v>
      </c>
      <c r="F1109" s="11">
        <f t="shared" si="54"/>
        <v>9000</v>
      </c>
      <c r="G1109" s="11">
        <f t="shared" si="55"/>
        <v>6800</v>
      </c>
      <c r="H1109" s="11">
        <f t="shared" si="56"/>
        <v>3600</v>
      </c>
    </row>
    <row r="1110" spans="1:8">
      <c r="A1110" s="6" t="s">
        <v>18</v>
      </c>
      <c r="B1110">
        <v>1980000</v>
      </c>
      <c r="C1110">
        <v>1925000</v>
      </c>
      <c r="D1110" s="8" t="str">
        <f>VLOOKUP(A1110,Лист2!A:E,5,0)</f>
        <v>малые</v>
      </c>
      <c r="E1110" s="10">
        <f>VLOOKUP(A1110,Лист2!A:E,4,0)</f>
        <v>2.5</v>
      </c>
      <c r="F1110" s="11">
        <f t="shared" si="54"/>
        <v>55000</v>
      </c>
      <c r="G1110" s="11">
        <f t="shared" si="55"/>
        <v>792000</v>
      </c>
      <c r="H1110" s="11">
        <f t="shared" si="56"/>
        <v>22000</v>
      </c>
    </row>
    <row r="1111" spans="1:8">
      <c r="A1111" s="6" t="s">
        <v>18</v>
      </c>
      <c r="B1111">
        <v>2123000</v>
      </c>
      <c r="C1111">
        <v>2020000</v>
      </c>
      <c r="D1111" s="8" t="str">
        <f>VLOOKUP(A1111,Лист2!A:E,5,0)</f>
        <v>малые</v>
      </c>
      <c r="E1111" s="10">
        <f>VLOOKUP(A1111,Лист2!A:E,4,0)</f>
        <v>2.5</v>
      </c>
      <c r="F1111" s="11">
        <f t="shared" si="54"/>
        <v>103000</v>
      </c>
      <c r="G1111" s="11">
        <f t="shared" si="55"/>
        <v>849200</v>
      </c>
      <c r="H1111" s="11">
        <f t="shared" si="56"/>
        <v>41200</v>
      </c>
    </row>
    <row r="1112" spans="1:8">
      <c r="A1112" s="6" t="s">
        <v>18</v>
      </c>
      <c r="B1112">
        <v>494000</v>
      </c>
      <c r="C1112">
        <v>492000</v>
      </c>
      <c r="D1112" s="8" t="str">
        <f>VLOOKUP(A1112,Лист2!A:E,5,0)</f>
        <v>малые</v>
      </c>
      <c r="E1112" s="10">
        <f>VLOOKUP(A1112,Лист2!A:E,4,0)</f>
        <v>2.5</v>
      </c>
      <c r="F1112" s="11">
        <f t="shared" si="54"/>
        <v>2000</v>
      </c>
      <c r="G1112" s="11">
        <f t="shared" si="55"/>
        <v>197600</v>
      </c>
      <c r="H1112" s="11">
        <f t="shared" si="56"/>
        <v>800</v>
      </c>
    </row>
    <row r="1113" spans="1:8">
      <c r="A1113" s="6" t="s">
        <v>18</v>
      </c>
      <c r="B1113">
        <v>443000</v>
      </c>
      <c r="C1113">
        <v>379000</v>
      </c>
      <c r="D1113" s="8" t="str">
        <f>VLOOKUP(A1113,Лист2!A:E,5,0)</f>
        <v>малые</v>
      </c>
      <c r="E1113" s="10">
        <f>VLOOKUP(A1113,Лист2!A:E,4,0)</f>
        <v>2.5</v>
      </c>
      <c r="F1113" s="11">
        <f t="shared" si="54"/>
        <v>64000</v>
      </c>
      <c r="G1113" s="11">
        <f t="shared" si="55"/>
        <v>177200</v>
      </c>
      <c r="H1113" s="11">
        <f t="shared" si="56"/>
        <v>25600</v>
      </c>
    </row>
    <row r="1114" spans="1:8">
      <c r="A1114" s="6" t="s">
        <v>18</v>
      </c>
      <c r="B1114">
        <v>686000</v>
      </c>
      <c r="C1114">
        <v>663000</v>
      </c>
      <c r="D1114" s="8" t="str">
        <f>VLOOKUP(A1114,Лист2!A:E,5,0)</f>
        <v>малые</v>
      </c>
      <c r="E1114" s="10">
        <f>VLOOKUP(A1114,Лист2!A:E,4,0)</f>
        <v>2.5</v>
      </c>
      <c r="F1114" s="11">
        <f t="shared" si="54"/>
        <v>23000</v>
      </c>
      <c r="G1114" s="11">
        <f t="shared" si="55"/>
        <v>274400</v>
      </c>
      <c r="H1114" s="11">
        <f t="shared" si="56"/>
        <v>9200</v>
      </c>
    </row>
    <row r="1115" spans="1:8">
      <c r="A1115" s="6" t="s">
        <v>18</v>
      </c>
      <c r="B1115">
        <v>425000</v>
      </c>
      <c r="C1115">
        <v>424000</v>
      </c>
      <c r="D1115" s="8" t="str">
        <f>VLOOKUP(A1115,Лист2!A:E,5,0)</f>
        <v>малые</v>
      </c>
      <c r="E1115" s="10">
        <f>VLOOKUP(A1115,Лист2!A:E,4,0)</f>
        <v>2.5</v>
      </c>
      <c r="F1115" s="11">
        <f t="shared" si="54"/>
        <v>1000</v>
      </c>
      <c r="G1115" s="11">
        <f t="shared" si="55"/>
        <v>170000</v>
      </c>
      <c r="H1115" s="11">
        <f t="shared" si="56"/>
        <v>400</v>
      </c>
    </row>
    <row r="1116" spans="1:8">
      <c r="A1116" s="6" t="s">
        <v>18</v>
      </c>
      <c r="B1116">
        <v>7000</v>
      </c>
      <c r="C1116">
        <v>7000</v>
      </c>
      <c r="D1116" s="8" t="str">
        <f>VLOOKUP(A1116,Лист2!A:E,5,0)</f>
        <v>малые</v>
      </c>
      <c r="E1116" s="10">
        <f>VLOOKUP(A1116,Лист2!A:E,4,0)</f>
        <v>2.5</v>
      </c>
      <c r="F1116" s="11">
        <f t="shared" si="54"/>
        <v>0</v>
      </c>
      <c r="G1116" s="11">
        <f t="shared" si="55"/>
        <v>2800</v>
      </c>
      <c r="H1116" s="11">
        <f t="shared" si="56"/>
        <v>0</v>
      </c>
    </row>
    <row r="1117" spans="1:8">
      <c r="A1117" s="6" t="s">
        <v>18</v>
      </c>
      <c r="B1117">
        <v>1603000</v>
      </c>
      <c r="C1117">
        <v>1218000</v>
      </c>
      <c r="D1117" s="8" t="str">
        <f>VLOOKUP(A1117,Лист2!A:E,5,0)</f>
        <v>малые</v>
      </c>
      <c r="E1117" s="10">
        <f>VLOOKUP(A1117,Лист2!A:E,4,0)</f>
        <v>2.5</v>
      </c>
      <c r="F1117" s="11">
        <f t="shared" si="54"/>
        <v>385000</v>
      </c>
      <c r="G1117" s="11">
        <f t="shared" si="55"/>
        <v>641200</v>
      </c>
      <c r="H1117" s="11">
        <f t="shared" si="56"/>
        <v>154000</v>
      </c>
    </row>
    <row r="1118" spans="1:8">
      <c r="A1118" s="6" t="s">
        <v>18</v>
      </c>
      <c r="B1118">
        <v>13615000</v>
      </c>
      <c r="C1118">
        <v>10249000</v>
      </c>
      <c r="D1118" s="8" t="str">
        <f>VLOOKUP(A1118,Лист2!A:E,5,0)</f>
        <v>малые</v>
      </c>
      <c r="E1118" s="10">
        <f>VLOOKUP(A1118,Лист2!A:E,4,0)</f>
        <v>2.5</v>
      </c>
      <c r="F1118" s="11">
        <f t="shared" si="54"/>
        <v>3366000</v>
      </c>
      <c r="G1118" s="11">
        <f t="shared" si="55"/>
        <v>5446000</v>
      </c>
      <c r="H1118" s="11">
        <f t="shared" si="56"/>
        <v>1346400</v>
      </c>
    </row>
    <row r="1119" spans="1:8">
      <c r="A1119" s="6" t="s">
        <v>18</v>
      </c>
      <c r="B1119">
        <v>1036000</v>
      </c>
      <c r="C1119">
        <v>1036000</v>
      </c>
      <c r="D1119" s="8" t="str">
        <f>VLOOKUP(A1119,Лист2!A:E,5,0)</f>
        <v>малые</v>
      </c>
      <c r="E1119" s="10">
        <f>VLOOKUP(A1119,Лист2!A:E,4,0)</f>
        <v>2.5</v>
      </c>
      <c r="F1119" s="11">
        <f t="shared" si="54"/>
        <v>0</v>
      </c>
      <c r="G1119" s="11">
        <f t="shared" si="55"/>
        <v>414400</v>
      </c>
      <c r="H1119" s="11">
        <f t="shared" si="56"/>
        <v>0</v>
      </c>
    </row>
    <row r="1120" spans="1:8">
      <c r="A1120" s="6" t="s">
        <v>18</v>
      </c>
      <c r="B1120">
        <v>242000</v>
      </c>
      <c r="C1120">
        <v>265000</v>
      </c>
      <c r="D1120" s="8" t="str">
        <f>VLOOKUP(A1120,Лист2!A:E,5,0)</f>
        <v>малые</v>
      </c>
      <c r="E1120" s="10">
        <f>VLOOKUP(A1120,Лист2!A:E,4,0)</f>
        <v>2.5</v>
      </c>
      <c r="F1120" s="11">
        <f t="shared" si="54"/>
        <v>-23000</v>
      </c>
      <c r="G1120" s="11">
        <f t="shared" si="55"/>
        <v>96800</v>
      </c>
      <c r="H1120" s="11">
        <f t="shared" si="56"/>
        <v>-9200</v>
      </c>
    </row>
    <row r="1121" spans="1:8">
      <c r="A1121" s="6" t="s">
        <v>18</v>
      </c>
      <c r="B1121">
        <v>4105000</v>
      </c>
      <c r="C1121">
        <v>4123000</v>
      </c>
      <c r="D1121" s="8" t="str">
        <f>VLOOKUP(A1121,Лист2!A:E,5,0)</f>
        <v>малые</v>
      </c>
      <c r="E1121" s="10">
        <f>VLOOKUP(A1121,Лист2!A:E,4,0)</f>
        <v>2.5</v>
      </c>
      <c r="F1121" s="11">
        <f t="shared" si="54"/>
        <v>-18000</v>
      </c>
      <c r="G1121" s="11">
        <f t="shared" si="55"/>
        <v>1642000</v>
      </c>
      <c r="H1121" s="11">
        <f t="shared" si="56"/>
        <v>-7200</v>
      </c>
    </row>
    <row r="1122" spans="1:8">
      <c r="A1122" s="6" t="s">
        <v>18</v>
      </c>
      <c r="B1122">
        <v>60000</v>
      </c>
      <c r="C1122">
        <v>60000</v>
      </c>
      <c r="D1122" s="8" t="str">
        <f>VLOOKUP(A1122,Лист2!A:E,5,0)</f>
        <v>малые</v>
      </c>
      <c r="E1122" s="10">
        <f>VLOOKUP(A1122,Лист2!A:E,4,0)</f>
        <v>2.5</v>
      </c>
      <c r="F1122" s="11">
        <f t="shared" si="54"/>
        <v>0</v>
      </c>
      <c r="G1122" s="11">
        <f t="shared" si="55"/>
        <v>24000</v>
      </c>
      <c r="H1122" s="11">
        <f t="shared" si="56"/>
        <v>0</v>
      </c>
    </row>
    <row r="1123" spans="1:8">
      <c r="A1123" s="6" t="s">
        <v>18</v>
      </c>
      <c r="B1123">
        <v>3374000</v>
      </c>
      <c r="C1123">
        <v>2686000</v>
      </c>
      <c r="D1123" s="8" t="str">
        <f>VLOOKUP(A1123,Лист2!A:E,5,0)</f>
        <v>малые</v>
      </c>
      <c r="E1123" s="10">
        <f>VLOOKUP(A1123,Лист2!A:E,4,0)</f>
        <v>2.5</v>
      </c>
      <c r="F1123" s="11">
        <f t="shared" si="54"/>
        <v>688000</v>
      </c>
      <c r="G1123" s="11">
        <f t="shared" si="55"/>
        <v>1349600</v>
      </c>
      <c r="H1123" s="11">
        <f t="shared" si="56"/>
        <v>275200</v>
      </c>
    </row>
    <row r="1124" spans="1:8">
      <c r="A1124" s="6" t="s">
        <v>18</v>
      </c>
      <c r="B1124">
        <v>2995000</v>
      </c>
      <c r="C1124">
        <v>2844000</v>
      </c>
      <c r="D1124" s="8" t="str">
        <f>VLOOKUP(A1124,Лист2!A:E,5,0)</f>
        <v>малые</v>
      </c>
      <c r="E1124" s="10">
        <f>VLOOKUP(A1124,Лист2!A:E,4,0)</f>
        <v>2.5</v>
      </c>
      <c r="F1124" s="11">
        <f t="shared" si="54"/>
        <v>151000</v>
      </c>
      <c r="G1124" s="11">
        <f t="shared" si="55"/>
        <v>1198000</v>
      </c>
      <c r="H1124" s="11">
        <f t="shared" si="56"/>
        <v>60400</v>
      </c>
    </row>
    <row r="1125" spans="1:8">
      <c r="A1125" s="6" t="s">
        <v>18</v>
      </c>
      <c r="B1125">
        <v>177000</v>
      </c>
      <c r="C1125">
        <v>148000</v>
      </c>
      <c r="D1125" s="8" t="str">
        <f>VLOOKUP(A1125,Лист2!A:E,5,0)</f>
        <v>малые</v>
      </c>
      <c r="E1125" s="10">
        <f>VLOOKUP(A1125,Лист2!A:E,4,0)</f>
        <v>2.5</v>
      </c>
      <c r="F1125" s="11">
        <f t="shared" si="54"/>
        <v>29000</v>
      </c>
      <c r="G1125" s="11">
        <f t="shared" si="55"/>
        <v>70800</v>
      </c>
      <c r="H1125" s="11">
        <f t="shared" si="56"/>
        <v>11600</v>
      </c>
    </row>
    <row r="1126" spans="1:8">
      <c r="A1126" s="6" t="s">
        <v>22</v>
      </c>
      <c r="B1126">
        <v>10276000</v>
      </c>
      <c r="C1126">
        <v>13324000</v>
      </c>
      <c r="D1126" s="8" t="str">
        <f>VLOOKUP(A1126,Лист2!A:E,5,0)</f>
        <v>малые</v>
      </c>
      <c r="E1126" s="10">
        <f>VLOOKUP(A1126,Лист2!A:E,4,0)</f>
        <v>13</v>
      </c>
      <c r="F1126" s="11">
        <f t="shared" si="54"/>
        <v>-3048000</v>
      </c>
      <c r="G1126" s="11">
        <f t="shared" si="55"/>
        <v>790461.5384615385</v>
      </c>
      <c r="H1126" s="11">
        <f t="shared" si="56"/>
        <v>-234461.53846153847</v>
      </c>
    </row>
    <row r="1127" spans="1:8">
      <c r="A1127" s="6" t="s">
        <v>18</v>
      </c>
      <c r="B1127">
        <v>963000</v>
      </c>
      <c r="C1127">
        <v>851000</v>
      </c>
      <c r="D1127" s="8" t="str">
        <f>VLOOKUP(A1127,Лист2!A:E,5,0)</f>
        <v>малые</v>
      </c>
      <c r="E1127" s="10">
        <f>VLOOKUP(A1127,Лист2!A:E,4,0)</f>
        <v>2.5</v>
      </c>
      <c r="F1127" s="11">
        <f t="shared" si="54"/>
        <v>112000</v>
      </c>
      <c r="G1127" s="11">
        <f t="shared" si="55"/>
        <v>385200</v>
      </c>
      <c r="H1127" s="11">
        <f t="shared" si="56"/>
        <v>44800</v>
      </c>
    </row>
    <row r="1128" spans="1:8">
      <c r="A1128" s="6" t="s">
        <v>18</v>
      </c>
      <c r="B1128">
        <v>675000</v>
      </c>
      <c r="C1128">
        <v>677000</v>
      </c>
      <c r="D1128" s="8" t="str">
        <f>VLOOKUP(A1128,Лист2!A:E,5,0)</f>
        <v>малые</v>
      </c>
      <c r="E1128" s="10">
        <f>VLOOKUP(A1128,Лист2!A:E,4,0)</f>
        <v>2.5</v>
      </c>
      <c r="F1128" s="11">
        <f t="shared" si="54"/>
        <v>-2000</v>
      </c>
      <c r="G1128" s="11">
        <f t="shared" si="55"/>
        <v>270000</v>
      </c>
      <c r="H1128" s="11">
        <f t="shared" si="56"/>
        <v>-800</v>
      </c>
    </row>
    <row r="1129" spans="1:8">
      <c r="A1129" s="6" t="s">
        <v>18</v>
      </c>
      <c r="B1129">
        <v>481000</v>
      </c>
      <c r="C1129">
        <v>482000</v>
      </c>
      <c r="D1129" s="8" t="str">
        <f>VLOOKUP(A1129,Лист2!A:E,5,0)</f>
        <v>малые</v>
      </c>
      <c r="E1129" s="10">
        <f>VLOOKUP(A1129,Лист2!A:E,4,0)</f>
        <v>2.5</v>
      </c>
      <c r="F1129" s="11">
        <f t="shared" si="54"/>
        <v>-1000</v>
      </c>
      <c r="G1129" s="11">
        <f t="shared" si="55"/>
        <v>192400</v>
      </c>
      <c r="H1129" s="11">
        <f t="shared" si="56"/>
        <v>-400</v>
      </c>
    </row>
    <row r="1130" spans="1:8">
      <c r="A1130" s="6" t="s">
        <v>18</v>
      </c>
      <c r="B1130">
        <v>425000</v>
      </c>
      <c r="C1130">
        <v>333000</v>
      </c>
      <c r="D1130" s="8" t="str">
        <f>VLOOKUP(A1130,Лист2!A:E,5,0)</f>
        <v>малые</v>
      </c>
      <c r="E1130" s="10">
        <f>VLOOKUP(A1130,Лист2!A:E,4,0)</f>
        <v>2.5</v>
      </c>
      <c r="F1130" s="11">
        <f t="shared" si="54"/>
        <v>92000</v>
      </c>
      <c r="G1130" s="11">
        <f t="shared" si="55"/>
        <v>170000</v>
      </c>
      <c r="H1130" s="11">
        <f t="shared" si="56"/>
        <v>36800</v>
      </c>
    </row>
    <row r="1131" spans="1:8">
      <c r="A1131" s="6" t="s">
        <v>18</v>
      </c>
      <c r="B1131">
        <v>7515000</v>
      </c>
      <c r="C1131">
        <v>5784000</v>
      </c>
      <c r="D1131" s="8" t="str">
        <f>VLOOKUP(A1131,Лист2!A:E,5,0)</f>
        <v>малые</v>
      </c>
      <c r="E1131" s="10">
        <f>VLOOKUP(A1131,Лист2!A:E,4,0)</f>
        <v>2.5</v>
      </c>
      <c r="F1131" s="11">
        <f t="shared" si="54"/>
        <v>1731000</v>
      </c>
      <c r="G1131" s="11">
        <f t="shared" si="55"/>
        <v>3006000</v>
      </c>
      <c r="H1131" s="11">
        <f t="shared" si="56"/>
        <v>692400</v>
      </c>
    </row>
    <row r="1132" spans="1:8">
      <c r="A1132" s="6" t="s">
        <v>18</v>
      </c>
      <c r="B1132">
        <v>343000</v>
      </c>
      <c r="C1132">
        <v>337000</v>
      </c>
      <c r="D1132" s="8" t="str">
        <f>VLOOKUP(A1132,Лист2!A:E,5,0)</f>
        <v>малые</v>
      </c>
      <c r="E1132" s="10">
        <f>VLOOKUP(A1132,Лист2!A:E,4,0)</f>
        <v>2.5</v>
      </c>
      <c r="F1132" s="11">
        <f t="shared" si="54"/>
        <v>6000</v>
      </c>
      <c r="G1132" s="11">
        <f t="shared" si="55"/>
        <v>137200</v>
      </c>
      <c r="H1132" s="11">
        <f t="shared" si="56"/>
        <v>2400</v>
      </c>
    </row>
    <row r="1133" spans="1:8">
      <c r="A1133" s="6" t="s">
        <v>18</v>
      </c>
      <c r="B1133">
        <v>5904000</v>
      </c>
      <c r="C1133">
        <v>6098000</v>
      </c>
      <c r="D1133" s="8" t="str">
        <f>VLOOKUP(A1133,Лист2!A:E,5,0)</f>
        <v>малые</v>
      </c>
      <c r="E1133" s="10">
        <f>VLOOKUP(A1133,Лист2!A:E,4,0)</f>
        <v>2.5</v>
      </c>
      <c r="F1133" s="11">
        <f t="shared" si="54"/>
        <v>-194000</v>
      </c>
      <c r="G1133" s="11">
        <f t="shared" si="55"/>
        <v>2361600</v>
      </c>
      <c r="H1133" s="11">
        <f t="shared" si="56"/>
        <v>-77600</v>
      </c>
    </row>
    <row r="1134" spans="1:8">
      <c r="A1134" s="6" t="s">
        <v>18</v>
      </c>
      <c r="B1134">
        <v>15137000</v>
      </c>
      <c r="C1134">
        <v>15135000</v>
      </c>
      <c r="D1134" s="8" t="str">
        <f>VLOOKUP(A1134,Лист2!A:E,5,0)</f>
        <v>малые</v>
      </c>
      <c r="E1134" s="10">
        <f>VLOOKUP(A1134,Лист2!A:E,4,0)</f>
        <v>2.5</v>
      </c>
      <c r="F1134" s="11">
        <f t="shared" si="54"/>
        <v>2000</v>
      </c>
      <c r="G1134" s="11">
        <f t="shared" si="55"/>
        <v>6054800</v>
      </c>
      <c r="H1134" s="11">
        <f t="shared" si="56"/>
        <v>800</v>
      </c>
    </row>
    <row r="1135" spans="1:8">
      <c r="A1135" s="6" t="s">
        <v>18</v>
      </c>
      <c r="B1135">
        <v>2527000</v>
      </c>
      <c r="C1135">
        <v>2395000</v>
      </c>
      <c r="D1135" s="8" t="str">
        <f>VLOOKUP(A1135,Лист2!A:E,5,0)</f>
        <v>малые</v>
      </c>
      <c r="E1135" s="10">
        <f>VLOOKUP(A1135,Лист2!A:E,4,0)</f>
        <v>2.5</v>
      </c>
      <c r="F1135" s="11">
        <f t="shared" si="54"/>
        <v>132000</v>
      </c>
      <c r="G1135" s="11">
        <f t="shared" si="55"/>
        <v>1010800</v>
      </c>
      <c r="H1135" s="11">
        <f t="shared" si="56"/>
        <v>52800</v>
      </c>
    </row>
    <row r="1136" spans="1:8">
      <c r="A1136" s="6" t="s">
        <v>18</v>
      </c>
      <c r="B1136">
        <v>793000</v>
      </c>
      <c r="C1136">
        <v>1014000</v>
      </c>
      <c r="D1136" s="8" t="str">
        <f>VLOOKUP(A1136,Лист2!A:E,5,0)</f>
        <v>малые</v>
      </c>
      <c r="E1136" s="10">
        <f>VLOOKUP(A1136,Лист2!A:E,4,0)</f>
        <v>2.5</v>
      </c>
      <c r="F1136" s="11">
        <f t="shared" si="54"/>
        <v>-221000</v>
      </c>
      <c r="G1136" s="11">
        <f t="shared" si="55"/>
        <v>317200</v>
      </c>
      <c r="H1136" s="11">
        <f t="shared" si="56"/>
        <v>-88400</v>
      </c>
    </row>
    <row r="1137" spans="1:8">
      <c r="A1137" s="6" t="s">
        <v>18</v>
      </c>
      <c r="B1137">
        <v>392000</v>
      </c>
      <c r="C1137">
        <v>415000</v>
      </c>
      <c r="D1137" s="8" t="str">
        <f>VLOOKUP(A1137,Лист2!A:E,5,0)</f>
        <v>малые</v>
      </c>
      <c r="E1137" s="10">
        <f>VLOOKUP(A1137,Лист2!A:E,4,0)</f>
        <v>2.5</v>
      </c>
      <c r="F1137" s="11">
        <f t="shared" si="54"/>
        <v>-23000</v>
      </c>
      <c r="G1137" s="11">
        <f t="shared" si="55"/>
        <v>156800</v>
      </c>
      <c r="H1137" s="11">
        <f t="shared" si="56"/>
        <v>-9200</v>
      </c>
    </row>
    <row r="1138" spans="1:8">
      <c r="A1138" s="6" t="s">
        <v>18</v>
      </c>
      <c r="B1138">
        <v>658000</v>
      </c>
      <c r="C1138">
        <v>654000</v>
      </c>
      <c r="D1138" s="8" t="str">
        <f>VLOOKUP(A1138,Лист2!A:E,5,0)</f>
        <v>малые</v>
      </c>
      <c r="E1138" s="10">
        <f>VLOOKUP(A1138,Лист2!A:E,4,0)</f>
        <v>2.5</v>
      </c>
      <c r="F1138" s="11">
        <f t="shared" si="54"/>
        <v>4000</v>
      </c>
      <c r="G1138" s="11">
        <f t="shared" si="55"/>
        <v>263200</v>
      </c>
      <c r="H1138" s="11">
        <f t="shared" si="56"/>
        <v>1600</v>
      </c>
    </row>
    <row r="1139" spans="1:8">
      <c r="A1139" s="6" t="s">
        <v>18</v>
      </c>
      <c r="B1139">
        <v>798000</v>
      </c>
      <c r="C1139">
        <v>798000</v>
      </c>
      <c r="D1139" s="8" t="str">
        <f>VLOOKUP(A1139,Лист2!A:E,5,0)</f>
        <v>малые</v>
      </c>
      <c r="E1139" s="10">
        <f>VLOOKUP(A1139,Лист2!A:E,4,0)</f>
        <v>2.5</v>
      </c>
      <c r="F1139" s="11">
        <f t="shared" si="54"/>
        <v>0</v>
      </c>
      <c r="G1139" s="11">
        <f t="shared" si="55"/>
        <v>319200</v>
      </c>
      <c r="H1139" s="11">
        <f t="shared" si="56"/>
        <v>0</v>
      </c>
    </row>
    <row r="1140" spans="1:8">
      <c r="A1140" s="6" t="s">
        <v>18</v>
      </c>
      <c r="B1140">
        <v>1402000</v>
      </c>
      <c r="C1140">
        <v>1432000</v>
      </c>
      <c r="D1140" s="8" t="str">
        <f>VLOOKUP(A1140,Лист2!A:E,5,0)</f>
        <v>малые</v>
      </c>
      <c r="E1140" s="10">
        <f>VLOOKUP(A1140,Лист2!A:E,4,0)</f>
        <v>2.5</v>
      </c>
      <c r="F1140" s="11">
        <f t="shared" si="54"/>
        <v>-30000</v>
      </c>
      <c r="G1140" s="11">
        <f t="shared" si="55"/>
        <v>560800</v>
      </c>
      <c r="H1140" s="11">
        <f t="shared" si="56"/>
        <v>-12000</v>
      </c>
    </row>
    <row r="1141" spans="1:8">
      <c r="A1141" s="6" t="s">
        <v>18</v>
      </c>
      <c r="B1141">
        <v>3160000</v>
      </c>
      <c r="C1141">
        <v>2484000</v>
      </c>
      <c r="D1141" s="8" t="str">
        <f>VLOOKUP(A1141,Лист2!A:E,5,0)</f>
        <v>малые</v>
      </c>
      <c r="E1141" s="10">
        <f>VLOOKUP(A1141,Лист2!A:E,4,0)</f>
        <v>2.5</v>
      </c>
      <c r="F1141" s="11">
        <f t="shared" si="54"/>
        <v>676000</v>
      </c>
      <c r="G1141" s="11">
        <f t="shared" si="55"/>
        <v>1264000</v>
      </c>
      <c r="H1141" s="11">
        <f t="shared" si="56"/>
        <v>270400</v>
      </c>
    </row>
    <row r="1142" spans="1:8">
      <c r="A1142" s="6" t="s">
        <v>22</v>
      </c>
      <c r="B1142">
        <v>9550000</v>
      </c>
      <c r="C1142">
        <v>10436000</v>
      </c>
      <c r="D1142" s="8" t="str">
        <f>VLOOKUP(A1142,Лист2!A:E,5,0)</f>
        <v>малые</v>
      </c>
      <c r="E1142" s="10">
        <f>VLOOKUP(A1142,Лист2!A:E,4,0)</f>
        <v>13</v>
      </c>
      <c r="F1142" s="11">
        <f t="shared" si="54"/>
        <v>-886000</v>
      </c>
      <c r="G1142" s="11">
        <f t="shared" si="55"/>
        <v>734615.38461538462</v>
      </c>
      <c r="H1142" s="11">
        <f t="shared" si="56"/>
        <v>-68153.846153846156</v>
      </c>
    </row>
    <row r="1143" spans="1:8">
      <c r="A1143" s="6" t="s">
        <v>18</v>
      </c>
      <c r="B1143">
        <v>28000</v>
      </c>
      <c r="C1143">
        <v>26000</v>
      </c>
      <c r="D1143" s="8" t="str">
        <f>VLOOKUP(A1143,Лист2!A:E,5,0)</f>
        <v>малые</v>
      </c>
      <c r="E1143" s="10">
        <f>VLOOKUP(A1143,Лист2!A:E,4,0)</f>
        <v>2.5</v>
      </c>
      <c r="F1143" s="11">
        <f t="shared" si="54"/>
        <v>2000</v>
      </c>
      <c r="G1143" s="11">
        <f t="shared" si="55"/>
        <v>11200</v>
      </c>
      <c r="H1143" s="11">
        <f t="shared" si="56"/>
        <v>800</v>
      </c>
    </row>
    <row r="1144" spans="1:8">
      <c r="A1144" s="6" t="s">
        <v>18</v>
      </c>
      <c r="B1144">
        <v>3137000</v>
      </c>
      <c r="C1144">
        <v>3088000</v>
      </c>
      <c r="D1144" s="8" t="str">
        <f>VLOOKUP(A1144,Лист2!A:E,5,0)</f>
        <v>малые</v>
      </c>
      <c r="E1144" s="10">
        <f>VLOOKUP(A1144,Лист2!A:E,4,0)</f>
        <v>2.5</v>
      </c>
      <c r="F1144" s="11">
        <f t="shared" si="54"/>
        <v>49000</v>
      </c>
      <c r="G1144" s="11">
        <f t="shared" si="55"/>
        <v>1254800</v>
      </c>
      <c r="H1144" s="11">
        <f t="shared" si="56"/>
        <v>19600</v>
      </c>
    </row>
    <row r="1145" spans="1:8">
      <c r="A1145" s="6" t="s">
        <v>18</v>
      </c>
      <c r="B1145">
        <v>100000</v>
      </c>
      <c r="C1145">
        <v>175000</v>
      </c>
      <c r="D1145" s="8" t="str">
        <f>VLOOKUP(A1145,Лист2!A:E,5,0)</f>
        <v>малые</v>
      </c>
      <c r="E1145" s="10">
        <f>VLOOKUP(A1145,Лист2!A:E,4,0)</f>
        <v>2.5</v>
      </c>
      <c r="F1145" s="11">
        <f t="shared" si="54"/>
        <v>-75000</v>
      </c>
      <c r="G1145" s="11">
        <f t="shared" si="55"/>
        <v>40000</v>
      </c>
      <c r="H1145" s="11">
        <f t="shared" si="56"/>
        <v>-30000</v>
      </c>
    </row>
    <row r="1146" spans="1:8">
      <c r="A1146" s="6" t="s">
        <v>18</v>
      </c>
      <c r="B1146">
        <v>5184000</v>
      </c>
      <c r="C1146">
        <v>839000</v>
      </c>
      <c r="D1146" s="8" t="str">
        <f>VLOOKUP(A1146,Лист2!A:E,5,0)</f>
        <v>малые</v>
      </c>
      <c r="E1146" s="10">
        <f>VLOOKUP(A1146,Лист2!A:E,4,0)</f>
        <v>2.5</v>
      </c>
      <c r="F1146" s="11">
        <f t="shared" si="54"/>
        <v>4345000</v>
      </c>
      <c r="G1146" s="11">
        <f t="shared" si="55"/>
        <v>2073600</v>
      </c>
      <c r="H1146" s="11">
        <f t="shared" si="56"/>
        <v>1738000</v>
      </c>
    </row>
    <row r="1147" spans="1:8">
      <c r="A1147" s="6" t="s">
        <v>18</v>
      </c>
      <c r="B1147">
        <v>2551000</v>
      </c>
      <c r="C1147">
        <v>2623000</v>
      </c>
      <c r="D1147" s="8" t="str">
        <f>VLOOKUP(A1147,Лист2!A:E,5,0)</f>
        <v>малые</v>
      </c>
      <c r="E1147" s="10">
        <f>VLOOKUP(A1147,Лист2!A:E,4,0)</f>
        <v>2.5</v>
      </c>
      <c r="F1147" s="11">
        <f t="shared" si="54"/>
        <v>-72000</v>
      </c>
      <c r="G1147" s="11">
        <f t="shared" si="55"/>
        <v>1020400</v>
      </c>
      <c r="H1147" s="11">
        <f t="shared" si="56"/>
        <v>-28800</v>
      </c>
    </row>
    <row r="1148" spans="1:8">
      <c r="A1148" s="6" t="s">
        <v>18</v>
      </c>
      <c r="B1148">
        <v>3321000</v>
      </c>
      <c r="C1148">
        <v>3218000</v>
      </c>
      <c r="D1148" s="8" t="str">
        <f>VLOOKUP(A1148,Лист2!A:E,5,0)</f>
        <v>малые</v>
      </c>
      <c r="E1148" s="10">
        <f>VLOOKUP(A1148,Лист2!A:E,4,0)</f>
        <v>2.5</v>
      </c>
      <c r="F1148" s="11">
        <f t="shared" si="54"/>
        <v>103000</v>
      </c>
      <c r="G1148" s="11">
        <f t="shared" si="55"/>
        <v>1328400</v>
      </c>
      <c r="H1148" s="11">
        <f t="shared" si="56"/>
        <v>41200</v>
      </c>
    </row>
    <row r="1149" spans="1:8">
      <c r="A1149" s="6" t="s">
        <v>18</v>
      </c>
      <c r="B1149">
        <v>5202000</v>
      </c>
      <c r="C1149">
        <v>5161000</v>
      </c>
      <c r="D1149" s="8" t="str">
        <f>VLOOKUP(A1149,Лист2!A:E,5,0)</f>
        <v>малые</v>
      </c>
      <c r="E1149" s="10">
        <f>VLOOKUP(A1149,Лист2!A:E,4,0)</f>
        <v>2.5</v>
      </c>
      <c r="F1149" s="11">
        <f t="shared" si="54"/>
        <v>41000</v>
      </c>
      <c r="G1149" s="11">
        <f t="shared" si="55"/>
        <v>2080800</v>
      </c>
      <c r="H1149" s="11">
        <f t="shared" si="56"/>
        <v>16400</v>
      </c>
    </row>
    <row r="1150" spans="1:8">
      <c r="A1150" s="6" t="s">
        <v>18</v>
      </c>
      <c r="B1150">
        <v>7438000</v>
      </c>
      <c r="C1150">
        <v>7196000</v>
      </c>
      <c r="D1150" s="8" t="str">
        <f>VLOOKUP(A1150,Лист2!A:E,5,0)</f>
        <v>малые</v>
      </c>
      <c r="E1150" s="10">
        <f>VLOOKUP(A1150,Лист2!A:E,4,0)</f>
        <v>2.5</v>
      </c>
      <c r="F1150" s="11">
        <f t="shared" si="54"/>
        <v>242000</v>
      </c>
      <c r="G1150" s="11">
        <f t="shared" si="55"/>
        <v>2975200</v>
      </c>
      <c r="H1150" s="11">
        <f t="shared" si="56"/>
        <v>96800</v>
      </c>
    </row>
    <row r="1151" spans="1:8">
      <c r="A1151" s="6" t="s">
        <v>18</v>
      </c>
      <c r="B1151">
        <v>1305000</v>
      </c>
      <c r="C1151">
        <v>1182000</v>
      </c>
      <c r="D1151" s="8" t="str">
        <f>VLOOKUP(A1151,Лист2!A:E,5,0)</f>
        <v>малые</v>
      </c>
      <c r="E1151" s="10">
        <f>VLOOKUP(A1151,Лист2!A:E,4,0)</f>
        <v>2.5</v>
      </c>
      <c r="F1151" s="11">
        <f t="shared" si="54"/>
        <v>123000</v>
      </c>
      <c r="G1151" s="11">
        <f t="shared" si="55"/>
        <v>522000</v>
      </c>
      <c r="H1151" s="11">
        <f t="shared" si="56"/>
        <v>49200</v>
      </c>
    </row>
    <row r="1152" spans="1:8">
      <c r="A1152" s="6" t="s">
        <v>18</v>
      </c>
      <c r="B1152">
        <v>11000</v>
      </c>
      <c r="C1152">
        <v>12000</v>
      </c>
      <c r="D1152" s="8" t="str">
        <f>VLOOKUP(A1152,Лист2!A:E,5,0)</f>
        <v>малые</v>
      </c>
      <c r="E1152" s="10">
        <f>VLOOKUP(A1152,Лист2!A:E,4,0)</f>
        <v>2.5</v>
      </c>
      <c r="F1152" s="11">
        <f t="shared" si="54"/>
        <v>-1000</v>
      </c>
      <c r="G1152" s="11">
        <f t="shared" si="55"/>
        <v>4400</v>
      </c>
      <c r="H1152" s="11">
        <f t="shared" si="56"/>
        <v>-400</v>
      </c>
    </row>
    <row r="1153" spans="1:8">
      <c r="A1153" s="6" t="s">
        <v>18</v>
      </c>
      <c r="B1153">
        <v>6664000</v>
      </c>
      <c r="C1153">
        <v>6425000</v>
      </c>
      <c r="D1153" s="8" t="str">
        <f>VLOOKUP(A1153,Лист2!A:E,5,0)</f>
        <v>малые</v>
      </c>
      <c r="E1153" s="10">
        <f>VLOOKUP(A1153,Лист2!A:E,4,0)</f>
        <v>2.5</v>
      </c>
      <c r="F1153" s="11">
        <f t="shared" si="54"/>
        <v>239000</v>
      </c>
      <c r="G1153" s="11">
        <f t="shared" si="55"/>
        <v>2665600</v>
      </c>
      <c r="H1153" s="11">
        <f t="shared" si="56"/>
        <v>95600</v>
      </c>
    </row>
    <row r="1154" spans="1:8">
      <c r="A1154" s="6" t="s">
        <v>18</v>
      </c>
      <c r="B1154">
        <v>4064000</v>
      </c>
      <c r="C1154">
        <v>3568000</v>
      </c>
      <c r="D1154" s="8" t="str">
        <f>VLOOKUP(A1154,Лист2!A:E,5,0)</f>
        <v>малые</v>
      </c>
      <c r="E1154" s="10">
        <f>VLOOKUP(A1154,Лист2!A:E,4,0)</f>
        <v>2.5</v>
      </c>
      <c r="F1154" s="11">
        <f t="shared" si="54"/>
        <v>496000</v>
      </c>
      <c r="G1154" s="11">
        <f t="shared" si="55"/>
        <v>1625600</v>
      </c>
      <c r="H1154" s="11">
        <f t="shared" si="56"/>
        <v>198400</v>
      </c>
    </row>
    <row r="1155" spans="1:8">
      <c r="A1155" s="6" t="s">
        <v>18</v>
      </c>
      <c r="B1155">
        <v>1218000</v>
      </c>
      <c r="C1155">
        <v>1270000</v>
      </c>
      <c r="D1155" s="8" t="str">
        <f>VLOOKUP(A1155,Лист2!A:E,5,0)</f>
        <v>малые</v>
      </c>
      <c r="E1155" s="10">
        <f>VLOOKUP(A1155,Лист2!A:E,4,0)</f>
        <v>2.5</v>
      </c>
      <c r="F1155" s="11">
        <f t="shared" si="54"/>
        <v>-52000</v>
      </c>
      <c r="G1155" s="11">
        <f t="shared" si="55"/>
        <v>487200</v>
      </c>
      <c r="H1155" s="11">
        <f t="shared" si="56"/>
        <v>-20800</v>
      </c>
    </row>
    <row r="1156" spans="1:8">
      <c r="A1156" s="6" t="s">
        <v>18</v>
      </c>
      <c r="B1156">
        <v>422000</v>
      </c>
      <c r="C1156">
        <v>414000</v>
      </c>
      <c r="D1156" s="8" t="str">
        <f>VLOOKUP(A1156,Лист2!A:E,5,0)</f>
        <v>малые</v>
      </c>
      <c r="E1156" s="10">
        <f>VLOOKUP(A1156,Лист2!A:E,4,0)</f>
        <v>2.5</v>
      </c>
      <c r="F1156" s="11">
        <f t="shared" si="54"/>
        <v>8000</v>
      </c>
      <c r="G1156" s="11">
        <f t="shared" si="55"/>
        <v>168800</v>
      </c>
      <c r="H1156" s="11">
        <f t="shared" si="56"/>
        <v>3200</v>
      </c>
    </row>
    <row r="1157" spans="1:8">
      <c r="A1157" s="6" t="s">
        <v>18</v>
      </c>
      <c r="B1157">
        <v>1420000</v>
      </c>
      <c r="C1157">
        <v>1622000</v>
      </c>
      <c r="D1157" s="8" t="str">
        <f>VLOOKUP(A1157,Лист2!A:E,5,0)</f>
        <v>малые</v>
      </c>
      <c r="E1157" s="10">
        <f>VLOOKUP(A1157,Лист2!A:E,4,0)</f>
        <v>2.5</v>
      </c>
      <c r="F1157" s="11">
        <f t="shared" si="54"/>
        <v>-202000</v>
      </c>
      <c r="G1157" s="11">
        <f t="shared" si="55"/>
        <v>568000</v>
      </c>
      <c r="H1157" s="11">
        <f t="shared" si="56"/>
        <v>-80800</v>
      </c>
    </row>
    <row r="1158" spans="1:8">
      <c r="A1158" s="6" t="s">
        <v>22</v>
      </c>
      <c r="B1158">
        <v>30299000</v>
      </c>
      <c r="C1158">
        <v>32148000</v>
      </c>
      <c r="D1158" s="8" t="str">
        <f>VLOOKUP(A1158,Лист2!A:E,5,0)</f>
        <v>малые</v>
      </c>
      <c r="E1158" s="10">
        <f>VLOOKUP(A1158,Лист2!A:E,4,0)</f>
        <v>13</v>
      </c>
      <c r="F1158" s="11">
        <f t="shared" si="54"/>
        <v>-1849000</v>
      </c>
      <c r="G1158" s="11">
        <f t="shared" si="55"/>
        <v>2330692.3076923075</v>
      </c>
      <c r="H1158" s="11">
        <f t="shared" si="56"/>
        <v>-142230.76923076922</v>
      </c>
    </row>
    <row r="1159" spans="1:8">
      <c r="A1159" s="6" t="s">
        <v>18</v>
      </c>
      <c r="B1159">
        <v>527000</v>
      </c>
      <c r="C1159">
        <v>527000</v>
      </c>
      <c r="D1159" s="8" t="str">
        <f>VLOOKUP(A1159,Лист2!A:E,5,0)</f>
        <v>малые</v>
      </c>
      <c r="E1159" s="10">
        <f>VLOOKUP(A1159,Лист2!A:E,4,0)</f>
        <v>2.5</v>
      </c>
      <c r="F1159" s="11">
        <f t="shared" si="54"/>
        <v>0</v>
      </c>
      <c r="G1159" s="11">
        <f t="shared" si="55"/>
        <v>210800</v>
      </c>
      <c r="H1159" s="11">
        <f t="shared" si="56"/>
        <v>0</v>
      </c>
    </row>
    <row r="1160" spans="1:8">
      <c r="A1160" s="6" t="s">
        <v>18</v>
      </c>
      <c r="B1160">
        <v>345000</v>
      </c>
      <c r="C1160">
        <v>331000</v>
      </c>
      <c r="D1160" s="8" t="str">
        <f>VLOOKUP(A1160,Лист2!A:E,5,0)</f>
        <v>малые</v>
      </c>
      <c r="E1160" s="10">
        <f>VLOOKUP(A1160,Лист2!A:E,4,0)</f>
        <v>2.5</v>
      </c>
      <c r="F1160" s="11">
        <f t="shared" si="54"/>
        <v>14000</v>
      </c>
      <c r="G1160" s="11">
        <f t="shared" si="55"/>
        <v>138000</v>
      </c>
      <c r="H1160" s="11">
        <f t="shared" si="56"/>
        <v>5600</v>
      </c>
    </row>
    <row r="1161" spans="1:8">
      <c r="A1161" s="6" t="s">
        <v>18</v>
      </c>
      <c r="B1161">
        <v>750000</v>
      </c>
      <c r="C1161">
        <v>649000</v>
      </c>
      <c r="D1161" s="8" t="str">
        <f>VLOOKUP(A1161,Лист2!A:E,5,0)</f>
        <v>малые</v>
      </c>
      <c r="E1161" s="10">
        <f>VLOOKUP(A1161,Лист2!A:E,4,0)</f>
        <v>2.5</v>
      </c>
      <c r="F1161" s="11">
        <f t="shared" si="54"/>
        <v>101000</v>
      </c>
      <c r="G1161" s="11">
        <f t="shared" si="55"/>
        <v>300000</v>
      </c>
      <c r="H1161" s="11">
        <f t="shared" si="56"/>
        <v>40400</v>
      </c>
    </row>
    <row r="1162" spans="1:8">
      <c r="A1162" s="6" t="s">
        <v>18</v>
      </c>
      <c r="B1162">
        <v>838000</v>
      </c>
      <c r="C1162">
        <v>893000</v>
      </c>
      <c r="D1162" s="8" t="str">
        <f>VLOOKUP(A1162,Лист2!A:E,5,0)</f>
        <v>малые</v>
      </c>
      <c r="E1162" s="10">
        <f>VLOOKUP(A1162,Лист2!A:E,4,0)</f>
        <v>2.5</v>
      </c>
      <c r="F1162" s="11">
        <f t="shared" si="54"/>
        <v>-55000</v>
      </c>
      <c r="G1162" s="11">
        <f t="shared" si="55"/>
        <v>335200</v>
      </c>
      <c r="H1162" s="11">
        <f t="shared" si="56"/>
        <v>-22000</v>
      </c>
    </row>
    <row r="1163" spans="1:8">
      <c r="A1163" s="6" t="s">
        <v>18</v>
      </c>
      <c r="B1163">
        <v>2200000</v>
      </c>
      <c r="C1163">
        <v>2038000</v>
      </c>
      <c r="D1163" s="8" t="str">
        <f>VLOOKUP(A1163,Лист2!A:E,5,0)</f>
        <v>малые</v>
      </c>
      <c r="E1163" s="10">
        <f>VLOOKUP(A1163,Лист2!A:E,4,0)</f>
        <v>2.5</v>
      </c>
      <c r="F1163" s="11">
        <f t="shared" si="54"/>
        <v>162000</v>
      </c>
      <c r="G1163" s="11">
        <f t="shared" si="55"/>
        <v>880000</v>
      </c>
      <c r="H1163" s="11">
        <f t="shared" si="56"/>
        <v>64800</v>
      </c>
    </row>
    <row r="1164" spans="1:8">
      <c r="A1164" s="6" t="s">
        <v>18</v>
      </c>
      <c r="B1164">
        <v>1078000</v>
      </c>
      <c r="C1164">
        <v>1053000</v>
      </c>
      <c r="D1164" s="8" t="str">
        <f>VLOOKUP(A1164,Лист2!A:E,5,0)</f>
        <v>малые</v>
      </c>
      <c r="E1164" s="10">
        <f>VLOOKUP(A1164,Лист2!A:E,4,0)</f>
        <v>2.5</v>
      </c>
      <c r="F1164" s="11">
        <f t="shared" si="54"/>
        <v>25000</v>
      </c>
      <c r="G1164" s="11">
        <f t="shared" si="55"/>
        <v>431200</v>
      </c>
      <c r="H1164" s="11">
        <f t="shared" si="56"/>
        <v>10000</v>
      </c>
    </row>
    <row r="1165" spans="1:8">
      <c r="A1165" s="6" t="s">
        <v>18</v>
      </c>
      <c r="B1165">
        <v>1480000</v>
      </c>
      <c r="C1165">
        <v>1915000</v>
      </c>
      <c r="D1165" s="8" t="str">
        <f>VLOOKUP(A1165,Лист2!A:E,5,0)</f>
        <v>малые</v>
      </c>
      <c r="E1165" s="10">
        <f>VLOOKUP(A1165,Лист2!A:E,4,0)</f>
        <v>2.5</v>
      </c>
      <c r="F1165" s="11">
        <f t="shared" si="54"/>
        <v>-435000</v>
      </c>
      <c r="G1165" s="11">
        <f t="shared" si="55"/>
        <v>592000</v>
      </c>
      <c r="H1165" s="11">
        <f t="shared" si="56"/>
        <v>-174000</v>
      </c>
    </row>
    <row r="1166" spans="1:8">
      <c r="A1166" s="6" t="s">
        <v>18</v>
      </c>
      <c r="B1166">
        <v>1972000</v>
      </c>
      <c r="C1166">
        <v>1715000</v>
      </c>
      <c r="D1166" s="8" t="str">
        <f>VLOOKUP(A1166,Лист2!A:E,5,0)</f>
        <v>малые</v>
      </c>
      <c r="E1166" s="10">
        <f>VLOOKUP(A1166,Лист2!A:E,4,0)</f>
        <v>2.5</v>
      </c>
      <c r="F1166" s="11">
        <f t="shared" si="54"/>
        <v>257000</v>
      </c>
      <c r="G1166" s="11">
        <f t="shared" si="55"/>
        <v>788800</v>
      </c>
      <c r="H1166" s="11">
        <f t="shared" si="56"/>
        <v>102800</v>
      </c>
    </row>
    <row r="1167" spans="1:8">
      <c r="A1167" s="6" t="s">
        <v>18</v>
      </c>
      <c r="B1167">
        <v>1267000</v>
      </c>
      <c r="C1167">
        <v>1265000</v>
      </c>
      <c r="D1167" s="8" t="str">
        <f>VLOOKUP(A1167,Лист2!A:E,5,0)</f>
        <v>малые</v>
      </c>
      <c r="E1167" s="10">
        <f>VLOOKUP(A1167,Лист2!A:E,4,0)</f>
        <v>2.5</v>
      </c>
      <c r="F1167" s="11">
        <f t="shared" ref="F1167:F1227" si="57">B1167-C1167</f>
        <v>2000</v>
      </c>
      <c r="G1167" s="11">
        <f t="shared" ref="G1167:G1227" si="58">B1167/E1167</f>
        <v>506800</v>
      </c>
      <c r="H1167" s="11">
        <f t="shared" ref="H1167:H1227" si="59">F1167/E1167</f>
        <v>800</v>
      </c>
    </row>
    <row r="1168" spans="1:8">
      <c r="A1168" s="6" t="s">
        <v>18</v>
      </c>
      <c r="B1168">
        <v>2850000</v>
      </c>
      <c r="C1168">
        <v>2509000</v>
      </c>
      <c r="D1168" s="8" t="str">
        <f>VLOOKUP(A1168,Лист2!A:E,5,0)</f>
        <v>малые</v>
      </c>
      <c r="E1168" s="10">
        <f>VLOOKUP(A1168,Лист2!A:E,4,0)</f>
        <v>2.5</v>
      </c>
      <c r="F1168" s="11">
        <f t="shared" si="57"/>
        <v>341000</v>
      </c>
      <c r="G1168" s="11">
        <f t="shared" si="58"/>
        <v>1140000</v>
      </c>
      <c r="H1168" s="11">
        <f t="shared" si="59"/>
        <v>136400</v>
      </c>
    </row>
    <row r="1169" spans="1:8">
      <c r="A1169" s="6" t="s">
        <v>18</v>
      </c>
      <c r="B1169">
        <v>1690000</v>
      </c>
      <c r="C1169">
        <v>2252000</v>
      </c>
      <c r="D1169" s="8" t="str">
        <f>VLOOKUP(A1169,Лист2!A:E,5,0)</f>
        <v>малые</v>
      </c>
      <c r="E1169" s="10">
        <f>VLOOKUP(A1169,Лист2!A:E,4,0)</f>
        <v>2.5</v>
      </c>
      <c r="F1169" s="11">
        <f t="shared" si="57"/>
        <v>-562000</v>
      </c>
      <c r="G1169" s="11">
        <f t="shared" si="58"/>
        <v>676000</v>
      </c>
      <c r="H1169" s="11">
        <f t="shared" si="59"/>
        <v>-224800</v>
      </c>
    </row>
    <row r="1170" spans="1:8">
      <c r="A1170" s="6" t="s">
        <v>18</v>
      </c>
      <c r="B1170">
        <v>650000</v>
      </c>
      <c r="C1170">
        <v>617000</v>
      </c>
      <c r="D1170" s="8" t="str">
        <f>VLOOKUP(A1170,Лист2!A:E,5,0)</f>
        <v>малые</v>
      </c>
      <c r="E1170" s="10">
        <f>VLOOKUP(A1170,Лист2!A:E,4,0)</f>
        <v>2.5</v>
      </c>
      <c r="F1170" s="11">
        <f t="shared" si="57"/>
        <v>33000</v>
      </c>
      <c r="G1170" s="11">
        <f t="shared" si="58"/>
        <v>260000</v>
      </c>
      <c r="H1170" s="11">
        <f t="shared" si="59"/>
        <v>13200</v>
      </c>
    </row>
    <row r="1171" spans="1:8">
      <c r="A1171" s="6" t="s">
        <v>18</v>
      </c>
      <c r="B1171">
        <v>1872000</v>
      </c>
      <c r="C1171">
        <v>1824000</v>
      </c>
      <c r="D1171" s="8" t="str">
        <f>VLOOKUP(A1171,Лист2!A:E,5,0)</f>
        <v>малые</v>
      </c>
      <c r="E1171" s="10">
        <f>VLOOKUP(A1171,Лист2!A:E,4,0)</f>
        <v>2.5</v>
      </c>
      <c r="F1171" s="11">
        <f t="shared" si="57"/>
        <v>48000</v>
      </c>
      <c r="G1171" s="11">
        <f t="shared" si="58"/>
        <v>748800</v>
      </c>
      <c r="H1171" s="11">
        <f t="shared" si="59"/>
        <v>19200</v>
      </c>
    </row>
    <row r="1172" spans="1:8">
      <c r="A1172" s="6" t="s">
        <v>18</v>
      </c>
      <c r="B1172">
        <v>688000</v>
      </c>
      <c r="C1172">
        <v>835000</v>
      </c>
      <c r="D1172" s="8" t="str">
        <f>VLOOKUP(A1172,Лист2!A:E,5,0)</f>
        <v>малые</v>
      </c>
      <c r="E1172" s="10">
        <f>VLOOKUP(A1172,Лист2!A:E,4,0)</f>
        <v>2.5</v>
      </c>
      <c r="F1172" s="11">
        <f t="shared" si="57"/>
        <v>-147000</v>
      </c>
      <c r="G1172" s="11">
        <f t="shared" si="58"/>
        <v>275200</v>
      </c>
      <c r="H1172" s="11">
        <f t="shared" si="59"/>
        <v>-58800</v>
      </c>
    </row>
    <row r="1173" spans="1:8">
      <c r="A1173" s="6" t="s">
        <v>18</v>
      </c>
      <c r="B1173">
        <v>1373000</v>
      </c>
      <c r="C1173">
        <v>1100000</v>
      </c>
      <c r="D1173" s="8" t="str">
        <f>VLOOKUP(A1173,Лист2!A:E,5,0)</f>
        <v>малые</v>
      </c>
      <c r="E1173" s="10">
        <f>VLOOKUP(A1173,Лист2!A:E,4,0)</f>
        <v>2.5</v>
      </c>
      <c r="F1173" s="11">
        <f t="shared" si="57"/>
        <v>273000</v>
      </c>
      <c r="G1173" s="11">
        <f t="shared" si="58"/>
        <v>549200</v>
      </c>
      <c r="H1173" s="11">
        <f t="shared" si="59"/>
        <v>109200</v>
      </c>
    </row>
    <row r="1174" spans="1:8">
      <c r="A1174" s="6" t="s">
        <v>18</v>
      </c>
      <c r="B1174">
        <v>506000</v>
      </c>
      <c r="C1174">
        <v>457000</v>
      </c>
      <c r="D1174" s="8" t="str">
        <f>VLOOKUP(A1174,Лист2!A:E,5,0)</f>
        <v>малые</v>
      </c>
      <c r="E1174" s="10">
        <f>VLOOKUP(A1174,Лист2!A:E,4,0)</f>
        <v>2.5</v>
      </c>
      <c r="F1174" s="11">
        <f t="shared" si="57"/>
        <v>49000</v>
      </c>
      <c r="G1174" s="11">
        <f t="shared" si="58"/>
        <v>202400</v>
      </c>
      <c r="H1174" s="11">
        <f t="shared" si="59"/>
        <v>19600</v>
      </c>
    </row>
    <row r="1175" spans="1:8">
      <c r="A1175" s="6" t="s">
        <v>18</v>
      </c>
      <c r="B1175">
        <v>362195000</v>
      </c>
      <c r="C1175">
        <v>351349000</v>
      </c>
      <c r="D1175" s="8" t="str">
        <f>VLOOKUP(A1175,Лист2!A:E,5,0)</f>
        <v>малые</v>
      </c>
      <c r="E1175" s="10">
        <f>VLOOKUP(A1175,Лист2!A:E,4,0)</f>
        <v>2.5</v>
      </c>
      <c r="F1175" s="11">
        <f t="shared" si="57"/>
        <v>10846000</v>
      </c>
      <c r="G1175" s="11">
        <f t="shared" si="58"/>
        <v>144878000</v>
      </c>
      <c r="H1175" s="11">
        <f t="shared" si="59"/>
        <v>4338400</v>
      </c>
    </row>
    <row r="1176" spans="1:8">
      <c r="A1176" s="6" t="s">
        <v>18</v>
      </c>
      <c r="B1176">
        <v>20000</v>
      </c>
      <c r="C1176">
        <v>25000</v>
      </c>
      <c r="D1176" s="8" t="str">
        <f>VLOOKUP(A1176,Лист2!A:E,5,0)</f>
        <v>малые</v>
      </c>
      <c r="E1176" s="10">
        <f>VLOOKUP(A1176,Лист2!A:E,4,0)</f>
        <v>2.5</v>
      </c>
      <c r="F1176" s="11">
        <f t="shared" si="57"/>
        <v>-5000</v>
      </c>
      <c r="G1176" s="11">
        <f t="shared" si="58"/>
        <v>8000</v>
      </c>
      <c r="H1176" s="11">
        <f t="shared" si="59"/>
        <v>-2000</v>
      </c>
    </row>
    <row r="1177" spans="1:8">
      <c r="A1177" s="6" t="s">
        <v>18</v>
      </c>
      <c r="B1177">
        <v>90000</v>
      </c>
      <c r="C1177">
        <v>90000</v>
      </c>
      <c r="D1177" s="8" t="str">
        <f>VLOOKUP(A1177,Лист2!A:E,5,0)</f>
        <v>малые</v>
      </c>
      <c r="E1177" s="10">
        <f>VLOOKUP(A1177,Лист2!A:E,4,0)</f>
        <v>2.5</v>
      </c>
      <c r="F1177" s="11">
        <f t="shared" si="57"/>
        <v>0</v>
      </c>
      <c r="G1177" s="11">
        <f t="shared" si="58"/>
        <v>36000</v>
      </c>
      <c r="H1177" s="11">
        <f t="shared" si="59"/>
        <v>0</v>
      </c>
    </row>
    <row r="1178" spans="1:8">
      <c r="A1178" s="6" t="s">
        <v>18</v>
      </c>
      <c r="B1178">
        <v>602000</v>
      </c>
      <c r="C1178">
        <v>427000</v>
      </c>
      <c r="D1178" s="8" t="str">
        <f>VLOOKUP(A1178,Лист2!A:E,5,0)</f>
        <v>малые</v>
      </c>
      <c r="E1178" s="10">
        <f>VLOOKUP(A1178,Лист2!A:E,4,0)</f>
        <v>2.5</v>
      </c>
      <c r="F1178" s="11">
        <f t="shared" si="57"/>
        <v>175000</v>
      </c>
      <c r="G1178" s="11">
        <f t="shared" si="58"/>
        <v>240800</v>
      </c>
      <c r="H1178" s="11">
        <f t="shared" si="59"/>
        <v>70000</v>
      </c>
    </row>
    <row r="1179" spans="1:8">
      <c r="A1179" s="6" t="s">
        <v>18</v>
      </c>
      <c r="B1179">
        <v>730000</v>
      </c>
      <c r="C1179">
        <v>621000</v>
      </c>
      <c r="D1179" s="8" t="str">
        <f>VLOOKUP(A1179,Лист2!A:E,5,0)</f>
        <v>малые</v>
      </c>
      <c r="E1179" s="10">
        <f>VLOOKUP(A1179,Лист2!A:E,4,0)</f>
        <v>2.5</v>
      </c>
      <c r="F1179" s="11">
        <f t="shared" si="57"/>
        <v>109000</v>
      </c>
      <c r="G1179" s="11">
        <f t="shared" si="58"/>
        <v>292000</v>
      </c>
      <c r="H1179" s="11">
        <f t="shared" si="59"/>
        <v>43600</v>
      </c>
    </row>
    <row r="1180" spans="1:8">
      <c r="A1180" s="6" t="s">
        <v>18</v>
      </c>
      <c r="B1180">
        <v>377000</v>
      </c>
      <c r="C1180">
        <v>118000</v>
      </c>
      <c r="D1180" s="8" t="str">
        <f>VLOOKUP(A1180,Лист2!A:E,5,0)</f>
        <v>малые</v>
      </c>
      <c r="E1180" s="10">
        <f>VLOOKUP(A1180,Лист2!A:E,4,0)</f>
        <v>2.5</v>
      </c>
      <c r="F1180" s="11">
        <f t="shared" si="57"/>
        <v>259000</v>
      </c>
      <c r="G1180" s="11">
        <f t="shared" si="58"/>
        <v>150800</v>
      </c>
      <c r="H1180" s="11">
        <f t="shared" si="59"/>
        <v>103600</v>
      </c>
    </row>
    <row r="1181" spans="1:8">
      <c r="A1181" s="6" t="s">
        <v>18</v>
      </c>
      <c r="B1181">
        <v>4094000</v>
      </c>
      <c r="C1181">
        <v>4360000</v>
      </c>
      <c r="D1181" s="8" t="str">
        <f>VLOOKUP(A1181,Лист2!A:E,5,0)</f>
        <v>малые</v>
      </c>
      <c r="E1181" s="10">
        <f>VLOOKUP(A1181,Лист2!A:E,4,0)</f>
        <v>2.5</v>
      </c>
      <c r="F1181" s="11">
        <f t="shared" si="57"/>
        <v>-266000</v>
      </c>
      <c r="G1181" s="11">
        <f t="shared" si="58"/>
        <v>1637600</v>
      </c>
      <c r="H1181" s="11">
        <f t="shared" si="59"/>
        <v>-106400</v>
      </c>
    </row>
    <row r="1182" spans="1:8">
      <c r="A1182" s="6" t="s">
        <v>18</v>
      </c>
      <c r="B1182">
        <v>5540000</v>
      </c>
      <c r="C1182">
        <v>5345000</v>
      </c>
      <c r="D1182" s="8" t="str">
        <f>VLOOKUP(A1182,Лист2!A:E,5,0)</f>
        <v>малые</v>
      </c>
      <c r="E1182" s="10">
        <f>VLOOKUP(A1182,Лист2!A:E,4,0)</f>
        <v>2.5</v>
      </c>
      <c r="F1182" s="11">
        <f t="shared" si="57"/>
        <v>195000</v>
      </c>
      <c r="G1182" s="11">
        <f t="shared" si="58"/>
        <v>2216000</v>
      </c>
      <c r="H1182" s="11">
        <f t="shared" si="59"/>
        <v>78000</v>
      </c>
    </row>
    <row r="1183" spans="1:8">
      <c r="A1183" s="6" t="s">
        <v>18</v>
      </c>
      <c r="B1183">
        <v>1897000</v>
      </c>
      <c r="C1183">
        <v>1701000</v>
      </c>
      <c r="D1183" s="8" t="str">
        <f>VLOOKUP(A1183,Лист2!A:E,5,0)</f>
        <v>малые</v>
      </c>
      <c r="E1183" s="10">
        <f>VLOOKUP(A1183,Лист2!A:E,4,0)</f>
        <v>2.5</v>
      </c>
      <c r="F1183" s="11">
        <f t="shared" si="57"/>
        <v>196000</v>
      </c>
      <c r="G1183" s="11">
        <f t="shared" si="58"/>
        <v>758800</v>
      </c>
      <c r="H1183" s="11">
        <f t="shared" si="59"/>
        <v>78400</v>
      </c>
    </row>
    <row r="1184" spans="1:8">
      <c r="A1184" s="6" t="s">
        <v>18</v>
      </c>
      <c r="B1184">
        <v>6926000</v>
      </c>
      <c r="C1184">
        <v>7250000</v>
      </c>
      <c r="D1184" s="8" t="str">
        <f>VLOOKUP(A1184,Лист2!A:E,5,0)</f>
        <v>малые</v>
      </c>
      <c r="E1184" s="10">
        <f>VLOOKUP(A1184,Лист2!A:E,4,0)</f>
        <v>2.5</v>
      </c>
      <c r="F1184" s="11">
        <f t="shared" si="57"/>
        <v>-324000</v>
      </c>
      <c r="G1184" s="11">
        <f t="shared" si="58"/>
        <v>2770400</v>
      </c>
      <c r="H1184" s="11">
        <f t="shared" si="59"/>
        <v>-129600</v>
      </c>
    </row>
    <row r="1185" spans="1:8">
      <c r="A1185" s="6" t="s">
        <v>18</v>
      </c>
      <c r="B1185">
        <v>9924000</v>
      </c>
      <c r="C1185">
        <v>9974000</v>
      </c>
      <c r="D1185" s="8" t="str">
        <f>VLOOKUP(A1185,Лист2!A:E,5,0)</f>
        <v>малые</v>
      </c>
      <c r="E1185" s="10">
        <f>VLOOKUP(A1185,Лист2!A:E,4,0)</f>
        <v>2.5</v>
      </c>
      <c r="F1185" s="11">
        <f t="shared" si="57"/>
        <v>-50000</v>
      </c>
      <c r="G1185" s="11">
        <f t="shared" si="58"/>
        <v>3969600</v>
      </c>
      <c r="H1185" s="11">
        <f t="shared" si="59"/>
        <v>-20000</v>
      </c>
    </row>
    <row r="1186" spans="1:8">
      <c r="A1186" s="6" t="s">
        <v>18</v>
      </c>
      <c r="B1186">
        <v>1466000</v>
      </c>
      <c r="C1186">
        <v>1483000</v>
      </c>
      <c r="D1186" s="8" t="str">
        <f>VLOOKUP(A1186,Лист2!A:E,5,0)</f>
        <v>малые</v>
      </c>
      <c r="E1186" s="10">
        <f>VLOOKUP(A1186,Лист2!A:E,4,0)</f>
        <v>2.5</v>
      </c>
      <c r="F1186" s="11">
        <f t="shared" si="57"/>
        <v>-17000</v>
      </c>
      <c r="G1186" s="11">
        <f t="shared" si="58"/>
        <v>586400</v>
      </c>
      <c r="H1186" s="11">
        <f t="shared" si="59"/>
        <v>-6800</v>
      </c>
    </row>
    <row r="1187" spans="1:8">
      <c r="A1187" s="6" t="s">
        <v>18</v>
      </c>
      <c r="B1187">
        <v>22895000</v>
      </c>
      <c r="C1187">
        <v>22895000</v>
      </c>
      <c r="D1187" s="8" t="str">
        <f>VLOOKUP(A1187,Лист2!A:E,5,0)</f>
        <v>малые</v>
      </c>
      <c r="E1187" s="10">
        <f>VLOOKUP(A1187,Лист2!A:E,4,0)</f>
        <v>2.5</v>
      </c>
      <c r="F1187" s="11">
        <f t="shared" si="57"/>
        <v>0</v>
      </c>
      <c r="G1187" s="11">
        <f t="shared" si="58"/>
        <v>9158000</v>
      </c>
      <c r="H1187" s="11">
        <f t="shared" si="59"/>
        <v>0</v>
      </c>
    </row>
    <row r="1188" spans="1:8">
      <c r="A1188" s="6" t="s">
        <v>18</v>
      </c>
      <c r="B1188">
        <v>52000</v>
      </c>
      <c r="C1188">
        <v>249000</v>
      </c>
      <c r="D1188" s="8" t="str">
        <f>VLOOKUP(A1188,Лист2!A:E,5,0)</f>
        <v>малые</v>
      </c>
      <c r="E1188" s="10">
        <f>VLOOKUP(A1188,Лист2!A:E,4,0)</f>
        <v>2.5</v>
      </c>
      <c r="F1188" s="11">
        <f t="shared" si="57"/>
        <v>-197000</v>
      </c>
      <c r="G1188" s="11">
        <f t="shared" si="58"/>
        <v>20800</v>
      </c>
      <c r="H1188" s="11">
        <f t="shared" si="59"/>
        <v>-78800</v>
      </c>
    </row>
    <row r="1189" spans="1:8">
      <c r="A1189" s="6" t="s">
        <v>18</v>
      </c>
      <c r="B1189">
        <v>461000</v>
      </c>
      <c r="C1189">
        <v>345000</v>
      </c>
      <c r="D1189" s="8" t="str">
        <f>VLOOKUP(A1189,Лист2!A:E,5,0)</f>
        <v>малые</v>
      </c>
      <c r="E1189" s="10">
        <f>VLOOKUP(A1189,Лист2!A:E,4,0)</f>
        <v>2.5</v>
      </c>
      <c r="F1189" s="11">
        <f t="shared" si="57"/>
        <v>116000</v>
      </c>
      <c r="G1189" s="11">
        <f t="shared" si="58"/>
        <v>184400</v>
      </c>
      <c r="H1189" s="11">
        <f t="shared" si="59"/>
        <v>46400</v>
      </c>
    </row>
    <row r="1190" spans="1:8">
      <c r="A1190" s="6" t="s">
        <v>18</v>
      </c>
      <c r="B1190">
        <v>7484000</v>
      </c>
      <c r="C1190">
        <v>7410000</v>
      </c>
      <c r="D1190" s="8" t="str">
        <f>VLOOKUP(A1190,Лист2!A:E,5,0)</f>
        <v>малые</v>
      </c>
      <c r="E1190" s="10">
        <f>VLOOKUP(A1190,Лист2!A:E,4,0)</f>
        <v>2.5</v>
      </c>
      <c r="F1190" s="11">
        <f t="shared" si="57"/>
        <v>74000</v>
      </c>
      <c r="G1190" s="11">
        <f t="shared" si="58"/>
        <v>2993600</v>
      </c>
      <c r="H1190" s="11">
        <f t="shared" si="59"/>
        <v>29600</v>
      </c>
    </row>
    <row r="1191" spans="1:8">
      <c r="A1191" s="6" t="s">
        <v>18</v>
      </c>
      <c r="B1191">
        <v>1623000</v>
      </c>
      <c r="C1191">
        <v>1667000</v>
      </c>
      <c r="D1191" s="8" t="str">
        <f>VLOOKUP(A1191,Лист2!A:E,5,0)</f>
        <v>малые</v>
      </c>
      <c r="E1191" s="10">
        <f>VLOOKUP(A1191,Лист2!A:E,4,0)</f>
        <v>2.5</v>
      </c>
      <c r="F1191" s="11">
        <f t="shared" si="57"/>
        <v>-44000</v>
      </c>
      <c r="G1191" s="11">
        <f t="shared" si="58"/>
        <v>649200</v>
      </c>
      <c r="H1191" s="11">
        <f t="shared" si="59"/>
        <v>-17600</v>
      </c>
    </row>
    <row r="1192" spans="1:8">
      <c r="A1192" s="6" t="s">
        <v>18</v>
      </c>
      <c r="B1192">
        <v>1735000</v>
      </c>
      <c r="C1192">
        <v>1735000</v>
      </c>
      <c r="D1192" s="8" t="str">
        <f>VLOOKUP(A1192,Лист2!A:E,5,0)</f>
        <v>малые</v>
      </c>
      <c r="E1192" s="10">
        <f>VLOOKUP(A1192,Лист2!A:E,4,0)</f>
        <v>2.5</v>
      </c>
      <c r="F1192" s="11">
        <f t="shared" si="57"/>
        <v>0</v>
      </c>
      <c r="G1192" s="11">
        <f t="shared" si="58"/>
        <v>694000</v>
      </c>
      <c r="H1192" s="11">
        <f t="shared" si="59"/>
        <v>0</v>
      </c>
    </row>
    <row r="1193" spans="1:8">
      <c r="A1193" s="6" t="s">
        <v>18</v>
      </c>
      <c r="B1193">
        <v>1377000</v>
      </c>
      <c r="C1193">
        <v>282000</v>
      </c>
      <c r="D1193" s="8" t="str">
        <f>VLOOKUP(A1193,Лист2!A:E,5,0)</f>
        <v>малые</v>
      </c>
      <c r="E1193" s="10">
        <f>VLOOKUP(A1193,Лист2!A:E,4,0)</f>
        <v>2.5</v>
      </c>
      <c r="F1193" s="11">
        <f t="shared" si="57"/>
        <v>1095000</v>
      </c>
      <c r="G1193" s="11">
        <f t="shared" si="58"/>
        <v>550800</v>
      </c>
      <c r="H1193" s="11">
        <f t="shared" si="59"/>
        <v>438000</v>
      </c>
    </row>
    <row r="1194" spans="1:8">
      <c r="A1194" s="6" t="s">
        <v>18</v>
      </c>
      <c r="B1194">
        <v>2555000</v>
      </c>
      <c r="C1194">
        <v>3492000</v>
      </c>
      <c r="D1194" s="8" t="str">
        <f>VLOOKUP(A1194,Лист2!A:E,5,0)</f>
        <v>малые</v>
      </c>
      <c r="E1194" s="10">
        <f>VLOOKUP(A1194,Лист2!A:E,4,0)</f>
        <v>2.5</v>
      </c>
      <c r="F1194" s="11">
        <f t="shared" si="57"/>
        <v>-937000</v>
      </c>
      <c r="G1194" s="11">
        <f t="shared" si="58"/>
        <v>1022000</v>
      </c>
      <c r="H1194" s="11">
        <f t="shared" si="59"/>
        <v>-374800</v>
      </c>
    </row>
    <row r="1195" spans="1:8">
      <c r="A1195" s="6" t="s">
        <v>18</v>
      </c>
      <c r="B1195">
        <v>20230000</v>
      </c>
      <c r="C1195">
        <v>20074000</v>
      </c>
      <c r="D1195" s="8" t="str">
        <f>VLOOKUP(A1195,Лист2!A:E,5,0)</f>
        <v>малые</v>
      </c>
      <c r="E1195" s="10">
        <f>VLOOKUP(A1195,Лист2!A:E,4,0)</f>
        <v>2.5</v>
      </c>
      <c r="F1195" s="11">
        <f t="shared" si="57"/>
        <v>156000</v>
      </c>
      <c r="G1195" s="11">
        <f t="shared" si="58"/>
        <v>8092000</v>
      </c>
      <c r="H1195" s="11">
        <f t="shared" si="59"/>
        <v>62400</v>
      </c>
    </row>
    <row r="1196" spans="1:8">
      <c r="A1196" s="6" t="s">
        <v>18</v>
      </c>
      <c r="B1196">
        <v>131000</v>
      </c>
      <c r="C1196">
        <v>89000</v>
      </c>
      <c r="D1196" s="8" t="str">
        <f>VLOOKUP(A1196,Лист2!A:E,5,0)</f>
        <v>малые</v>
      </c>
      <c r="E1196" s="10">
        <f>VLOOKUP(A1196,Лист2!A:E,4,0)</f>
        <v>2.5</v>
      </c>
      <c r="F1196" s="11">
        <f t="shared" si="57"/>
        <v>42000</v>
      </c>
      <c r="G1196" s="11">
        <f t="shared" si="58"/>
        <v>52400</v>
      </c>
      <c r="H1196" s="11">
        <f t="shared" si="59"/>
        <v>16800</v>
      </c>
    </row>
    <row r="1197" spans="1:8">
      <c r="A1197" s="6" t="s">
        <v>18</v>
      </c>
      <c r="B1197">
        <v>215000</v>
      </c>
      <c r="C1197">
        <v>205000</v>
      </c>
      <c r="D1197" s="8" t="str">
        <f>VLOOKUP(A1197,Лист2!A:E,5,0)</f>
        <v>малые</v>
      </c>
      <c r="E1197" s="10">
        <f>VLOOKUP(A1197,Лист2!A:E,4,0)</f>
        <v>2.5</v>
      </c>
      <c r="F1197" s="11">
        <f t="shared" si="57"/>
        <v>10000</v>
      </c>
      <c r="G1197" s="11">
        <f t="shared" si="58"/>
        <v>86000</v>
      </c>
      <c r="H1197" s="11">
        <f t="shared" si="59"/>
        <v>4000</v>
      </c>
    </row>
    <row r="1198" spans="1:8">
      <c r="A1198" s="6" t="s">
        <v>77</v>
      </c>
      <c r="B1198">
        <v>340903000</v>
      </c>
      <c r="C1198">
        <v>311511000</v>
      </c>
      <c r="D1198" s="8" t="str">
        <f>VLOOKUP(A1198,Лист2!A:E,5,0)</f>
        <v>малые</v>
      </c>
      <c r="E1198" s="10">
        <f>VLOOKUP(A1198,Лист2!A:E,4,0)</f>
        <v>8</v>
      </c>
      <c r="F1198" s="11">
        <f t="shared" si="57"/>
        <v>29392000</v>
      </c>
      <c r="G1198" s="11">
        <f t="shared" si="58"/>
        <v>42612875</v>
      </c>
      <c r="H1198" s="11">
        <f t="shared" si="59"/>
        <v>3674000</v>
      </c>
    </row>
    <row r="1199" spans="1:8">
      <c r="A1199" s="6" t="s">
        <v>18</v>
      </c>
      <c r="B1199">
        <v>2666000</v>
      </c>
      <c r="C1199">
        <v>2345000</v>
      </c>
      <c r="D1199" s="8" t="str">
        <f>VLOOKUP(A1199,Лист2!A:E,5,0)</f>
        <v>малые</v>
      </c>
      <c r="E1199" s="10">
        <f>VLOOKUP(A1199,Лист2!A:E,4,0)</f>
        <v>2.5</v>
      </c>
      <c r="F1199" s="11">
        <f t="shared" si="57"/>
        <v>321000</v>
      </c>
      <c r="G1199" s="11">
        <f t="shared" si="58"/>
        <v>1066400</v>
      </c>
      <c r="H1199" s="11">
        <f t="shared" si="59"/>
        <v>128400</v>
      </c>
    </row>
    <row r="1200" spans="1:8">
      <c r="A1200" s="6" t="s">
        <v>18</v>
      </c>
      <c r="B1200">
        <v>600000</v>
      </c>
      <c r="C1200">
        <v>1494000</v>
      </c>
      <c r="D1200" s="8" t="str">
        <f>VLOOKUP(A1200,Лист2!A:E,5,0)</f>
        <v>малые</v>
      </c>
      <c r="E1200" s="10">
        <f>VLOOKUP(A1200,Лист2!A:E,4,0)</f>
        <v>2.5</v>
      </c>
      <c r="F1200" s="11">
        <f t="shared" si="57"/>
        <v>-894000</v>
      </c>
      <c r="G1200" s="11">
        <f t="shared" si="58"/>
        <v>240000</v>
      </c>
      <c r="H1200" s="11">
        <f t="shared" si="59"/>
        <v>-357600</v>
      </c>
    </row>
    <row r="1201" spans="1:8">
      <c r="A1201" s="6" t="s">
        <v>18</v>
      </c>
      <c r="B1201">
        <v>694000</v>
      </c>
      <c r="C1201">
        <v>775000</v>
      </c>
      <c r="D1201" s="8" t="str">
        <f>VLOOKUP(A1201,Лист2!A:E,5,0)</f>
        <v>малые</v>
      </c>
      <c r="E1201" s="10">
        <f>VLOOKUP(A1201,Лист2!A:E,4,0)</f>
        <v>2.5</v>
      </c>
      <c r="F1201" s="11">
        <f t="shared" si="57"/>
        <v>-81000</v>
      </c>
      <c r="G1201" s="11">
        <f t="shared" si="58"/>
        <v>277600</v>
      </c>
      <c r="H1201" s="11">
        <f t="shared" si="59"/>
        <v>-32400</v>
      </c>
    </row>
    <row r="1202" spans="1:8">
      <c r="A1202" s="6" t="s">
        <v>23</v>
      </c>
      <c r="B1202">
        <v>31375000</v>
      </c>
      <c r="C1202">
        <v>7635000</v>
      </c>
      <c r="D1202" s="8" t="str">
        <f>VLOOKUP(A1202,Лист2!A:E,5,0)</f>
        <v>средние</v>
      </c>
      <c r="E1202" s="10">
        <f>VLOOKUP(A1202,Лист2!A:E,4,0)</f>
        <v>75.5</v>
      </c>
      <c r="F1202" s="11">
        <f t="shared" si="57"/>
        <v>23740000</v>
      </c>
      <c r="G1202" s="11">
        <f t="shared" si="58"/>
        <v>415562.91390728479</v>
      </c>
      <c r="H1202" s="11">
        <f t="shared" si="59"/>
        <v>314437.08609271521</v>
      </c>
    </row>
    <row r="1203" spans="1:8">
      <c r="A1203" s="6" t="s">
        <v>18</v>
      </c>
      <c r="B1203">
        <v>2993000</v>
      </c>
      <c r="C1203">
        <v>1903000</v>
      </c>
      <c r="D1203" s="8" t="str">
        <f>VLOOKUP(A1203,Лист2!A:E,5,0)</f>
        <v>малые</v>
      </c>
      <c r="E1203" s="10">
        <f>VLOOKUP(A1203,Лист2!A:E,4,0)</f>
        <v>2.5</v>
      </c>
      <c r="F1203" s="11">
        <f t="shared" si="57"/>
        <v>1090000</v>
      </c>
      <c r="G1203" s="11">
        <f t="shared" si="58"/>
        <v>1197200</v>
      </c>
      <c r="H1203" s="11">
        <f t="shared" si="59"/>
        <v>436000</v>
      </c>
    </row>
    <row r="1204" spans="1:8">
      <c r="A1204" s="6" t="s">
        <v>18</v>
      </c>
      <c r="B1204">
        <v>34000</v>
      </c>
      <c r="C1204">
        <v>25000</v>
      </c>
      <c r="D1204" s="8" t="str">
        <f>VLOOKUP(A1204,Лист2!A:E,5,0)</f>
        <v>малые</v>
      </c>
      <c r="E1204" s="10">
        <f>VLOOKUP(A1204,Лист2!A:E,4,0)</f>
        <v>2.5</v>
      </c>
      <c r="F1204" s="11">
        <f t="shared" si="57"/>
        <v>9000</v>
      </c>
      <c r="G1204" s="11">
        <f t="shared" si="58"/>
        <v>13600</v>
      </c>
      <c r="H1204" s="11">
        <f t="shared" si="59"/>
        <v>3600</v>
      </c>
    </row>
    <row r="1205" spans="1:8">
      <c r="A1205" s="6" t="s">
        <v>18</v>
      </c>
      <c r="B1205">
        <v>1740000</v>
      </c>
      <c r="C1205">
        <v>3819000</v>
      </c>
      <c r="D1205" s="8" t="str">
        <f>VLOOKUP(A1205,Лист2!A:E,5,0)</f>
        <v>малые</v>
      </c>
      <c r="E1205" s="10">
        <f>VLOOKUP(A1205,Лист2!A:E,4,0)</f>
        <v>2.5</v>
      </c>
      <c r="F1205" s="11">
        <f t="shared" si="57"/>
        <v>-2079000</v>
      </c>
      <c r="G1205" s="11">
        <f t="shared" si="58"/>
        <v>696000</v>
      </c>
      <c r="H1205" s="11">
        <f t="shared" si="59"/>
        <v>-831600</v>
      </c>
    </row>
    <row r="1206" spans="1:8">
      <c r="A1206" s="6" t="s">
        <v>18</v>
      </c>
      <c r="B1206">
        <v>10000</v>
      </c>
      <c r="C1206">
        <v>10000</v>
      </c>
      <c r="D1206" s="8" t="str">
        <f>VLOOKUP(A1206,Лист2!A:E,5,0)</f>
        <v>малые</v>
      </c>
      <c r="E1206" s="10">
        <f>VLOOKUP(A1206,Лист2!A:E,4,0)</f>
        <v>2.5</v>
      </c>
      <c r="F1206" s="11">
        <f t="shared" si="57"/>
        <v>0</v>
      </c>
      <c r="G1206" s="11">
        <f t="shared" si="58"/>
        <v>4000</v>
      </c>
      <c r="H1206" s="11">
        <f t="shared" si="59"/>
        <v>0</v>
      </c>
    </row>
    <row r="1207" spans="1:8">
      <c r="A1207" s="6" t="s">
        <v>18</v>
      </c>
      <c r="B1207">
        <v>155000</v>
      </c>
      <c r="C1207">
        <v>197000</v>
      </c>
      <c r="D1207" s="8" t="str">
        <f>VLOOKUP(A1207,Лист2!A:E,5,0)</f>
        <v>малые</v>
      </c>
      <c r="E1207" s="10">
        <f>VLOOKUP(A1207,Лист2!A:E,4,0)</f>
        <v>2.5</v>
      </c>
      <c r="F1207" s="11">
        <f t="shared" si="57"/>
        <v>-42000</v>
      </c>
      <c r="G1207" s="11">
        <f t="shared" si="58"/>
        <v>62000</v>
      </c>
      <c r="H1207" s="11">
        <f t="shared" si="59"/>
        <v>-16800</v>
      </c>
    </row>
    <row r="1208" spans="1:8">
      <c r="A1208" s="6" t="s">
        <v>18</v>
      </c>
      <c r="B1208">
        <v>926000</v>
      </c>
      <c r="C1208">
        <v>894000</v>
      </c>
      <c r="D1208" s="8" t="str">
        <f>VLOOKUP(A1208,Лист2!A:E,5,0)</f>
        <v>малые</v>
      </c>
      <c r="E1208" s="10">
        <f>VLOOKUP(A1208,Лист2!A:E,4,0)</f>
        <v>2.5</v>
      </c>
      <c r="F1208" s="11">
        <f t="shared" si="57"/>
        <v>32000</v>
      </c>
      <c r="G1208" s="11">
        <f t="shared" si="58"/>
        <v>370400</v>
      </c>
      <c r="H1208" s="11">
        <f t="shared" si="59"/>
        <v>12800</v>
      </c>
    </row>
    <row r="1209" spans="1:8">
      <c r="A1209" s="6" t="s">
        <v>18</v>
      </c>
      <c r="B1209">
        <v>418000</v>
      </c>
      <c r="C1209">
        <v>392000</v>
      </c>
      <c r="D1209" s="8" t="str">
        <f>VLOOKUP(A1209,Лист2!A:E,5,0)</f>
        <v>малые</v>
      </c>
      <c r="E1209" s="10">
        <f>VLOOKUP(A1209,Лист2!A:E,4,0)</f>
        <v>2.5</v>
      </c>
      <c r="F1209" s="11">
        <f t="shared" si="57"/>
        <v>26000</v>
      </c>
      <c r="G1209" s="11">
        <f t="shared" si="58"/>
        <v>167200</v>
      </c>
      <c r="H1209" s="11">
        <f t="shared" si="59"/>
        <v>10400</v>
      </c>
    </row>
    <row r="1210" spans="1:8">
      <c r="A1210" s="6" t="s">
        <v>18</v>
      </c>
      <c r="B1210">
        <v>584000</v>
      </c>
      <c r="C1210">
        <v>578000</v>
      </c>
      <c r="D1210" s="8" t="str">
        <f>VLOOKUP(A1210,Лист2!A:E,5,0)</f>
        <v>малые</v>
      </c>
      <c r="E1210" s="10">
        <f>VLOOKUP(A1210,Лист2!A:E,4,0)</f>
        <v>2.5</v>
      </c>
      <c r="F1210" s="11">
        <f t="shared" si="57"/>
        <v>6000</v>
      </c>
      <c r="G1210" s="11">
        <f t="shared" si="58"/>
        <v>233600</v>
      </c>
      <c r="H1210" s="11">
        <f t="shared" si="59"/>
        <v>2400</v>
      </c>
    </row>
    <row r="1211" spans="1:8">
      <c r="A1211" s="6" t="s">
        <v>18</v>
      </c>
      <c r="B1211">
        <v>41000</v>
      </c>
      <c r="C1211">
        <v>73000</v>
      </c>
      <c r="D1211" s="8" t="str">
        <f>VLOOKUP(A1211,Лист2!A:E,5,0)</f>
        <v>малые</v>
      </c>
      <c r="E1211" s="10">
        <f>VLOOKUP(A1211,Лист2!A:E,4,0)</f>
        <v>2.5</v>
      </c>
      <c r="F1211" s="11">
        <f t="shared" si="57"/>
        <v>-32000</v>
      </c>
      <c r="G1211" s="11">
        <f t="shared" si="58"/>
        <v>16400</v>
      </c>
      <c r="H1211" s="11">
        <f t="shared" si="59"/>
        <v>-12800</v>
      </c>
    </row>
    <row r="1212" spans="1:8">
      <c r="A1212" s="6" t="s">
        <v>18</v>
      </c>
      <c r="B1212">
        <v>785000</v>
      </c>
      <c r="C1212">
        <v>778000</v>
      </c>
      <c r="D1212" s="8" t="str">
        <f>VLOOKUP(A1212,Лист2!A:E,5,0)</f>
        <v>малые</v>
      </c>
      <c r="E1212" s="10">
        <f>VLOOKUP(A1212,Лист2!A:E,4,0)</f>
        <v>2.5</v>
      </c>
      <c r="F1212" s="11">
        <f t="shared" si="57"/>
        <v>7000</v>
      </c>
      <c r="G1212" s="11">
        <f t="shared" si="58"/>
        <v>314000</v>
      </c>
      <c r="H1212" s="11">
        <f t="shared" si="59"/>
        <v>2800</v>
      </c>
    </row>
    <row r="1213" spans="1:8">
      <c r="A1213" s="6" t="s">
        <v>18</v>
      </c>
      <c r="B1213">
        <v>6440000</v>
      </c>
      <c r="C1213">
        <v>3747000</v>
      </c>
      <c r="D1213" s="8" t="str">
        <f>VLOOKUP(A1213,Лист2!A:E,5,0)</f>
        <v>малые</v>
      </c>
      <c r="E1213" s="10">
        <f>VLOOKUP(A1213,Лист2!A:E,4,0)</f>
        <v>2.5</v>
      </c>
      <c r="F1213" s="11">
        <f t="shared" si="57"/>
        <v>2693000</v>
      </c>
      <c r="G1213" s="11">
        <f t="shared" si="58"/>
        <v>2576000</v>
      </c>
      <c r="H1213" s="11">
        <f t="shared" si="59"/>
        <v>1077200</v>
      </c>
    </row>
    <row r="1214" spans="1:8">
      <c r="A1214" s="6" t="s">
        <v>18</v>
      </c>
      <c r="B1214">
        <v>2497000</v>
      </c>
      <c r="C1214">
        <v>1698000</v>
      </c>
      <c r="D1214" s="8" t="str">
        <f>VLOOKUP(A1214,Лист2!A:E,5,0)</f>
        <v>малые</v>
      </c>
      <c r="E1214" s="10">
        <f>VLOOKUP(A1214,Лист2!A:E,4,0)</f>
        <v>2.5</v>
      </c>
      <c r="F1214" s="11">
        <f t="shared" si="57"/>
        <v>799000</v>
      </c>
      <c r="G1214" s="11">
        <f t="shared" si="58"/>
        <v>998800</v>
      </c>
      <c r="H1214" s="11">
        <f t="shared" si="59"/>
        <v>319600</v>
      </c>
    </row>
    <row r="1215" spans="1:8">
      <c r="A1215" s="6" t="s">
        <v>18</v>
      </c>
      <c r="B1215">
        <v>1022000</v>
      </c>
      <c r="C1215">
        <v>929000</v>
      </c>
      <c r="D1215" s="8" t="str">
        <f>VLOOKUP(A1215,Лист2!A:E,5,0)</f>
        <v>малые</v>
      </c>
      <c r="E1215" s="10">
        <f>VLOOKUP(A1215,Лист2!A:E,4,0)</f>
        <v>2.5</v>
      </c>
      <c r="F1215" s="11">
        <f t="shared" si="57"/>
        <v>93000</v>
      </c>
      <c r="G1215" s="11">
        <f t="shared" si="58"/>
        <v>408800</v>
      </c>
      <c r="H1215" s="11">
        <f t="shared" si="59"/>
        <v>37200</v>
      </c>
    </row>
    <row r="1216" spans="1:8">
      <c r="A1216" s="6" t="s">
        <v>18</v>
      </c>
      <c r="B1216">
        <v>1936000</v>
      </c>
      <c r="C1216">
        <v>1919000</v>
      </c>
      <c r="D1216" s="8" t="str">
        <f>VLOOKUP(A1216,Лист2!A:E,5,0)</f>
        <v>малые</v>
      </c>
      <c r="E1216" s="10">
        <f>VLOOKUP(A1216,Лист2!A:E,4,0)</f>
        <v>2.5</v>
      </c>
      <c r="F1216" s="11">
        <f t="shared" si="57"/>
        <v>17000</v>
      </c>
      <c r="G1216" s="11">
        <f t="shared" si="58"/>
        <v>774400</v>
      </c>
      <c r="H1216" s="11">
        <f t="shared" si="59"/>
        <v>6800</v>
      </c>
    </row>
    <row r="1217" spans="1:8">
      <c r="A1217" s="6" t="s">
        <v>18</v>
      </c>
      <c r="B1217">
        <v>463287</v>
      </c>
      <c r="C1217">
        <v>299175</v>
      </c>
      <c r="D1217" s="8" t="str">
        <f>VLOOKUP(A1217,Лист2!A:E,5,0)</f>
        <v>малые</v>
      </c>
      <c r="E1217" s="10">
        <f>VLOOKUP(A1217,Лист2!A:E,4,0)</f>
        <v>2.5</v>
      </c>
      <c r="F1217" s="11">
        <f t="shared" si="57"/>
        <v>164112</v>
      </c>
      <c r="G1217" s="11">
        <f t="shared" si="58"/>
        <v>185314.8</v>
      </c>
      <c r="H1217" s="11">
        <f t="shared" si="59"/>
        <v>65644.800000000003</v>
      </c>
    </row>
    <row r="1218" spans="1:8">
      <c r="A1218" s="6" t="s">
        <v>18</v>
      </c>
      <c r="B1218">
        <v>1177000</v>
      </c>
      <c r="C1218">
        <v>1191000</v>
      </c>
      <c r="D1218" s="8" t="str">
        <f>VLOOKUP(A1218,Лист2!A:E,5,0)</f>
        <v>малые</v>
      </c>
      <c r="E1218" s="10">
        <f>VLOOKUP(A1218,Лист2!A:E,4,0)</f>
        <v>2.5</v>
      </c>
      <c r="F1218" s="11">
        <f t="shared" si="57"/>
        <v>-14000</v>
      </c>
      <c r="G1218" s="11">
        <f t="shared" si="58"/>
        <v>470800</v>
      </c>
      <c r="H1218" s="11">
        <f t="shared" si="59"/>
        <v>-5600</v>
      </c>
    </row>
    <row r="1219" spans="1:8">
      <c r="A1219" s="6" t="s">
        <v>18</v>
      </c>
      <c r="B1219">
        <v>1638000</v>
      </c>
      <c r="C1219">
        <v>1638000</v>
      </c>
      <c r="D1219" s="8" t="str">
        <f>VLOOKUP(A1219,Лист2!A:E,5,0)</f>
        <v>малые</v>
      </c>
      <c r="E1219" s="10">
        <f>VLOOKUP(A1219,Лист2!A:E,4,0)</f>
        <v>2.5</v>
      </c>
      <c r="F1219" s="11">
        <f t="shared" si="57"/>
        <v>0</v>
      </c>
      <c r="G1219" s="11">
        <f t="shared" si="58"/>
        <v>655200</v>
      </c>
      <c r="H1219" s="11">
        <f t="shared" si="59"/>
        <v>0</v>
      </c>
    </row>
    <row r="1220" spans="1:8">
      <c r="A1220" s="6" t="s">
        <v>18</v>
      </c>
      <c r="B1220">
        <v>138000</v>
      </c>
      <c r="C1220">
        <v>89000</v>
      </c>
      <c r="D1220" s="8" t="str">
        <f>VLOOKUP(A1220,Лист2!A:E,5,0)</f>
        <v>малые</v>
      </c>
      <c r="E1220" s="10">
        <f>VLOOKUP(A1220,Лист2!A:E,4,0)</f>
        <v>2.5</v>
      </c>
      <c r="F1220" s="11">
        <f t="shared" si="57"/>
        <v>49000</v>
      </c>
      <c r="G1220" s="11">
        <f t="shared" si="58"/>
        <v>55200</v>
      </c>
      <c r="H1220" s="11">
        <f t="shared" si="59"/>
        <v>19600</v>
      </c>
    </row>
    <row r="1221" spans="1:8">
      <c r="A1221" s="6" t="s">
        <v>18</v>
      </c>
      <c r="B1221">
        <v>2327000</v>
      </c>
      <c r="C1221">
        <v>995000</v>
      </c>
      <c r="D1221" s="8" t="str">
        <f>VLOOKUP(A1221,Лист2!A:E,5,0)</f>
        <v>малые</v>
      </c>
      <c r="E1221" s="10">
        <f>VLOOKUP(A1221,Лист2!A:E,4,0)</f>
        <v>2.5</v>
      </c>
      <c r="F1221" s="11">
        <f t="shared" si="57"/>
        <v>1332000</v>
      </c>
      <c r="G1221" s="11">
        <f t="shared" si="58"/>
        <v>930800</v>
      </c>
      <c r="H1221" s="11">
        <f t="shared" si="59"/>
        <v>532800</v>
      </c>
    </row>
    <row r="1222" spans="1:8">
      <c r="A1222" s="6" t="s">
        <v>18</v>
      </c>
      <c r="B1222">
        <v>6351000</v>
      </c>
      <c r="C1222">
        <v>6385000</v>
      </c>
      <c r="D1222" s="8" t="str">
        <f>VLOOKUP(A1222,Лист2!A:E,5,0)</f>
        <v>малые</v>
      </c>
      <c r="E1222" s="10">
        <f>VLOOKUP(A1222,Лист2!A:E,4,0)</f>
        <v>2.5</v>
      </c>
      <c r="F1222" s="11">
        <f t="shared" si="57"/>
        <v>-34000</v>
      </c>
      <c r="G1222" s="11">
        <f t="shared" si="58"/>
        <v>2540400</v>
      </c>
      <c r="H1222" s="11">
        <f t="shared" si="59"/>
        <v>-13600</v>
      </c>
    </row>
    <row r="1223" spans="1:8">
      <c r="A1223" s="6" t="s">
        <v>18</v>
      </c>
      <c r="B1223">
        <v>576000</v>
      </c>
      <c r="C1223">
        <v>687000</v>
      </c>
      <c r="D1223" s="8" t="str">
        <f>VLOOKUP(A1223,Лист2!A:E,5,0)</f>
        <v>малые</v>
      </c>
      <c r="E1223" s="10">
        <f>VLOOKUP(A1223,Лист2!A:E,4,0)</f>
        <v>2.5</v>
      </c>
      <c r="F1223" s="11">
        <f t="shared" si="57"/>
        <v>-111000</v>
      </c>
      <c r="G1223" s="11">
        <f t="shared" si="58"/>
        <v>230400</v>
      </c>
      <c r="H1223" s="11">
        <f t="shared" si="59"/>
        <v>-44400</v>
      </c>
    </row>
    <row r="1224" spans="1:8">
      <c r="A1224" s="6" t="s">
        <v>18</v>
      </c>
      <c r="B1224">
        <v>1962000</v>
      </c>
      <c r="C1224">
        <v>1796000</v>
      </c>
      <c r="D1224" s="8" t="str">
        <f>VLOOKUP(A1224,Лист2!A:E,5,0)</f>
        <v>малые</v>
      </c>
      <c r="E1224" s="10">
        <f>VLOOKUP(A1224,Лист2!A:E,4,0)</f>
        <v>2.5</v>
      </c>
      <c r="F1224" s="11">
        <f t="shared" si="57"/>
        <v>166000</v>
      </c>
      <c r="G1224" s="11">
        <f t="shared" si="58"/>
        <v>784800</v>
      </c>
      <c r="H1224" s="11">
        <f t="shared" si="59"/>
        <v>66400</v>
      </c>
    </row>
    <row r="1225" spans="1:8">
      <c r="A1225" s="6" t="s">
        <v>18</v>
      </c>
      <c r="B1225">
        <v>941000</v>
      </c>
      <c r="C1225">
        <v>1112000</v>
      </c>
      <c r="D1225" s="8" t="str">
        <f>VLOOKUP(A1225,Лист2!A:E,5,0)</f>
        <v>малые</v>
      </c>
      <c r="E1225" s="10">
        <f>VLOOKUP(A1225,Лист2!A:E,4,0)</f>
        <v>2.5</v>
      </c>
      <c r="F1225" s="11">
        <f t="shared" si="57"/>
        <v>-171000</v>
      </c>
      <c r="G1225" s="11">
        <f t="shared" si="58"/>
        <v>376400</v>
      </c>
      <c r="H1225" s="11">
        <f t="shared" si="59"/>
        <v>-68400</v>
      </c>
    </row>
    <row r="1226" spans="1:8">
      <c r="A1226" s="6" t="s">
        <v>18</v>
      </c>
      <c r="B1226">
        <v>870000</v>
      </c>
      <c r="C1226">
        <v>532000</v>
      </c>
      <c r="D1226" s="8" t="str">
        <f>VLOOKUP(A1226,Лист2!A:E,5,0)</f>
        <v>малые</v>
      </c>
      <c r="E1226" s="10">
        <f>VLOOKUP(A1226,Лист2!A:E,4,0)</f>
        <v>2.5</v>
      </c>
      <c r="F1226" s="11">
        <f t="shared" si="57"/>
        <v>338000</v>
      </c>
      <c r="G1226" s="11">
        <f t="shared" si="58"/>
        <v>348000</v>
      </c>
      <c r="H1226" s="11">
        <f t="shared" si="59"/>
        <v>135200</v>
      </c>
    </row>
    <row r="1227" spans="1:8">
      <c r="A1227" s="6" t="s">
        <v>18</v>
      </c>
      <c r="B1227">
        <v>300000</v>
      </c>
      <c r="C1227">
        <v>175000</v>
      </c>
      <c r="D1227" s="8" t="str">
        <f>VLOOKUP(A1227,Лист2!A:E,5,0)</f>
        <v>малые</v>
      </c>
      <c r="E1227" s="10">
        <f>VLOOKUP(A1227,Лист2!A:E,4,0)</f>
        <v>2.5</v>
      </c>
      <c r="F1227" s="11">
        <f t="shared" si="57"/>
        <v>125000</v>
      </c>
      <c r="G1227" s="11">
        <f t="shared" si="58"/>
        <v>120000</v>
      </c>
      <c r="H1227" s="11">
        <f t="shared" si="59"/>
        <v>50000</v>
      </c>
    </row>
    <row r="1228" spans="1:8">
      <c r="A1228" s="6" t="s">
        <v>18</v>
      </c>
      <c r="B1228">
        <v>1190000</v>
      </c>
      <c r="C1228">
        <v>752000</v>
      </c>
      <c r="D1228" s="8" t="str">
        <f>VLOOKUP(A1228,Лист2!A:E,5,0)</f>
        <v>малые</v>
      </c>
      <c r="E1228" s="10">
        <f>VLOOKUP(A1228,Лист2!A:E,4,0)</f>
        <v>2.5</v>
      </c>
      <c r="F1228" s="11">
        <f t="shared" ref="F1228:F1290" si="60">B1228-C1228</f>
        <v>438000</v>
      </c>
      <c r="G1228" s="11">
        <f t="shared" ref="G1228:G1290" si="61">B1228/E1228</f>
        <v>476000</v>
      </c>
      <c r="H1228" s="11">
        <f t="shared" ref="H1228:H1290" si="62">F1228/E1228</f>
        <v>175200</v>
      </c>
    </row>
    <row r="1229" spans="1:8">
      <c r="A1229" s="6" t="s">
        <v>18</v>
      </c>
      <c r="B1229">
        <v>2300000</v>
      </c>
      <c r="C1229">
        <v>2249000</v>
      </c>
      <c r="D1229" s="8" t="str">
        <f>VLOOKUP(A1229,Лист2!A:E,5,0)</f>
        <v>малые</v>
      </c>
      <c r="E1229" s="10">
        <f>VLOOKUP(A1229,Лист2!A:E,4,0)</f>
        <v>2.5</v>
      </c>
      <c r="F1229" s="11">
        <f t="shared" si="60"/>
        <v>51000</v>
      </c>
      <c r="G1229" s="11">
        <f t="shared" si="61"/>
        <v>920000</v>
      </c>
      <c r="H1229" s="11">
        <f t="shared" si="62"/>
        <v>20400</v>
      </c>
    </row>
    <row r="1230" spans="1:8">
      <c r="A1230" s="6" t="s">
        <v>18</v>
      </c>
      <c r="B1230">
        <v>845000</v>
      </c>
      <c r="C1230">
        <v>845000</v>
      </c>
      <c r="D1230" s="8" t="str">
        <f>VLOOKUP(A1230,Лист2!A:E,5,0)</f>
        <v>малые</v>
      </c>
      <c r="E1230" s="10">
        <f>VLOOKUP(A1230,Лист2!A:E,4,0)</f>
        <v>2.5</v>
      </c>
      <c r="F1230" s="11">
        <f t="shared" si="60"/>
        <v>0</v>
      </c>
      <c r="G1230" s="11">
        <f t="shared" si="61"/>
        <v>338000</v>
      </c>
      <c r="H1230" s="11">
        <f t="shared" si="62"/>
        <v>0</v>
      </c>
    </row>
    <row r="1231" spans="1:8">
      <c r="A1231" s="6" t="s">
        <v>18</v>
      </c>
      <c r="B1231">
        <v>3511000</v>
      </c>
      <c r="C1231">
        <v>3511000</v>
      </c>
      <c r="D1231" s="8" t="str">
        <f>VLOOKUP(A1231,Лист2!A:E,5,0)</f>
        <v>малые</v>
      </c>
      <c r="E1231" s="10">
        <f>VLOOKUP(A1231,Лист2!A:E,4,0)</f>
        <v>2.5</v>
      </c>
      <c r="F1231" s="11">
        <f t="shared" si="60"/>
        <v>0</v>
      </c>
      <c r="G1231" s="11">
        <f t="shared" si="61"/>
        <v>1404400</v>
      </c>
      <c r="H1231" s="11">
        <f t="shared" si="62"/>
        <v>0</v>
      </c>
    </row>
    <row r="1232" spans="1:8">
      <c r="A1232" s="6" t="s">
        <v>18</v>
      </c>
      <c r="B1232">
        <v>22450000</v>
      </c>
      <c r="C1232">
        <v>280593000</v>
      </c>
      <c r="D1232" s="8" t="str">
        <f>VLOOKUP(A1232,Лист2!A:E,5,0)</f>
        <v>малые</v>
      </c>
      <c r="E1232" s="10">
        <f>VLOOKUP(A1232,Лист2!A:E,4,0)</f>
        <v>2.5</v>
      </c>
      <c r="F1232" s="11">
        <f t="shared" si="60"/>
        <v>-258143000</v>
      </c>
      <c r="G1232" s="11">
        <f t="shared" si="61"/>
        <v>8980000</v>
      </c>
      <c r="H1232" s="11">
        <f t="shared" si="62"/>
        <v>-103257200</v>
      </c>
    </row>
    <row r="1233" spans="1:8">
      <c r="A1233" s="6" t="s">
        <v>18</v>
      </c>
      <c r="B1233">
        <v>425000</v>
      </c>
      <c r="C1233">
        <v>440000</v>
      </c>
      <c r="D1233" s="8" t="str">
        <f>VLOOKUP(A1233,Лист2!A:E,5,0)</f>
        <v>малые</v>
      </c>
      <c r="E1233" s="10">
        <f>VLOOKUP(A1233,Лист2!A:E,4,0)</f>
        <v>2.5</v>
      </c>
      <c r="F1233" s="11">
        <f t="shared" si="60"/>
        <v>-15000</v>
      </c>
      <c r="G1233" s="11">
        <f t="shared" si="61"/>
        <v>170000</v>
      </c>
      <c r="H1233" s="11">
        <f t="shared" si="62"/>
        <v>-6000</v>
      </c>
    </row>
    <row r="1234" spans="1:8">
      <c r="A1234" s="6" t="s">
        <v>18</v>
      </c>
      <c r="B1234">
        <v>723000</v>
      </c>
      <c r="C1234">
        <v>723000</v>
      </c>
      <c r="D1234" s="8" t="str">
        <f>VLOOKUP(A1234,Лист2!A:E,5,0)</f>
        <v>малые</v>
      </c>
      <c r="E1234" s="10">
        <f>VLOOKUP(A1234,Лист2!A:E,4,0)</f>
        <v>2.5</v>
      </c>
      <c r="F1234" s="11">
        <f t="shared" si="60"/>
        <v>0</v>
      </c>
      <c r="G1234" s="11">
        <f t="shared" si="61"/>
        <v>289200</v>
      </c>
      <c r="H1234" s="11">
        <f t="shared" si="62"/>
        <v>0</v>
      </c>
    </row>
    <row r="1235" spans="1:8">
      <c r="A1235" s="6" t="s">
        <v>18</v>
      </c>
      <c r="B1235">
        <v>5010000</v>
      </c>
      <c r="C1235">
        <v>4917000</v>
      </c>
      <c r="D1235" s="8" t="str">
        <f>VLOOKUP(A1235,Лист2!A:E,5,0)</f>
        <v>малые</v>
      </c>
      <c r="E1235" s="10">
        <f>VLOOKUP(A1235,Лист2!A:E,4,0)</f>
        <v>2.5</v>
      </c>
      <c r="F1235" s="11">
        <f t="shared" si="60"/>
        <v>93000</v>
      </c>
      <c r="G1235" s="11">
        <f t="shared" si="61"/>
        <v>2004000</v>
      </c>
      <c r="H1235" s="11">
        <f t="shared" si="62"/>
        <v>37200</v>
      </c>
    </row>
    <row r="1236" spans="1:8">
      <c r="A1236" s="6" t="s">
        <v>18</v>
      </c>
      <c r="B1236">
        <v>82166000</v>
      </c>
      <c r="C1236">
        <v>82857000</v>
      </c>
      <c r="D1236" s="8" t="str">
        <f>VLOOKUP(A1236,Лист2!A:E,5,0)</f>
        <v>малые</v>
      </c>
      <c r="E1236" s="10">
        <f>VLOOKUP(A1236,Лист2!A:E,4,0)</f>
        <v>2.5</v>
      </c>
      <c r="F1236" s="11">
        <f t="shared" si="60"/>
        <v>-691000</v>
      </c>
      <c r="G1236" s="11">
        <f t="shared" si="61"/>
        <v>32866400</v>
      </c>
      <c r="H1236" s="11">
        <f t="shared" si="62"/>
        <v>-276400</v>
      </c>
    </row>
    <row r="1237" spans="1:8">
      <c r="A1237" s="6" t="s">
        <v>18</v>
      </c>
      <c r="B1237">
        <v>2018000</v>
      </c>
      <c r="C1237">
        <v>1942000</v>
      </c>
      <c r="D1237" s="8" t="str">
        <f>VLOOKUP(A1237,Лист2!A:E,5,0)</f>
        <v>малые</v>
      </c>
      <c r="E1237" s="10">
        <f>VLOOKUP(A1237,Лист2!A:E,4,0)</f>
        <v>2.5</v>
      </c>
      <c r="F1237" s="11">
        <f t="shared" si="60"/>
        <v>76000</v>
      </c>
      <c r="G1237" s="11">
        <f t="shared" si="61"/>
        <v>807200</v>
      </c>
      <c r="H1237" s="11">
        <f t="shared" si="62"/>
        <v>30400</v>
      </c>
    </row>
    <row r="1238" spans="1:8">
      <c r="A1238" s="6" t="s">
        <v>18</v>
      </c>
      <c r="B1238">
        <v>1072000</v>
      </c>
      <c r="C1238">
        <v>1072000</v>
      </c>
      <c r="D1238" s="8" t="str">
        <f>VLOOKUP(A1238,Лист2!A:E,5,0)</f>
        <v>малые</v>
      </c>
      <c r="E1238" s="10">
        <f>VLOOKUP(A1238,Лист2!A:E,4,0)</f>
        <v>2.5</v>
      </c>
      <c r="F1238" s="11">
        <f t="shared" si="60"/>
        <v>0</v>
      </c>
      <c r="G1238" s="11">
        <f t="shared" si="61"/>
        <v>428800</v>
      </c>
      <c r="H1238" s="11">
        <f t="shared" si="62"/>
        <v>0</v>
      </c>
    </row>
    <row r="1239" spans="1:8">
      <c r="A1239" s="6" t="s">
        <v>18</v>
      </c>
      <c r="B1239">
        <v>50000</v>
      </c>
      <c r="C1239">
        <v>43000</v>
      </c>
      <c r="D1239" s="8" t="str">
        <f>VLOOKUP(A1239,Лист2!A:E,5,0)</f>
        <v>малые</v>
      </c>
      <c r="E1239" s="10">
        <f>VLOOKUP(A1239,Лист2!A:E,4,0)</f>
        <v>2.5</v>
      </c>
      <c r="F1239" s="11">
        <f t="shared" si="60"/>
        <v>7000</v>
      </c>
      <c r="G1239" s="11">
        <f t="shared" si="61"/>
        <v>20000</v>
      </c>
      <c r="H1239" s="11">
        <f t="shared" si="62"/>
        <v>2800</v>
      </c>
    </row>
    <row r="1240" spans="1:8">
      <c r="A1240" s="6" t="s">
        <v>18</v>
      </c>
      <c r="B1240">
        <v>11435000</v>
      </c>
      <c r="C1240">
        <v>11255000</v>
      </c>
      <c r="D1240" s="8" t="str">
        <f>VLOOKUP(A1240,Лист2!A:E,5,0)</f>
        <v>малые</v>
      </c>
      <c r="E1240" s="10">
        <f>VLOOKUP(A1240,Лист2!A:E,4,0)</f>
        <v>2.5</v>
      </c>
      <c r="F1240" s="11">
        <f t="shared" si="60"/>
        <v>180000</v>
      </c>
      <c r="G1240" s="11">
        <f t="shared" si="61"/>
        <v>4574000</v>
      </c>
      <c r="H1240" s="11">
        <f t="shared" si="62"/>
        <v>72000</v>
      </c>
    </row>
    <row r="1241" spans="1:8">
      <c r="A1241" s="6" t="s">
        <v>18</v>
      </c>
      <c r="B1241">
        <v>2310000</v>
      </c>
      <c r="C1241">
        <v>2254000</v>
      </c>
      <c r="D1241" s="8" t="str">
        <f>VLOOKUP(A1241,Лист2!A:E,5,0)</f>
        <v>малые</v>
      </c>
      <c r="E1241" s="10">
        <f>VLOOKUP(A1241,Лист2!A:E,4,0)</f>
        <v>2.5</v>
      </c>
      <c r="F1241" s="11">
        <f t="shared" si="60"/>
        <v>56000</v>
      </c>
      <c r="G1241" s="11">
        <f t="shared" si="61"/>
        <v>924000</v>
      </c>
      <c r="H1241" s="11">
        <f t="shared" si="62"/>
        <v>22400</v>
      </c>
    </row>
    <row r="1242" spans="1:8">
      <c r="A1242" s="6" t="s">
        <v>18</v>
      </c>
      <c r="B1242">
        <v>1308000</v>
      </c>
      <c r="C1242">
        <v>1312000</v>
      </c>
      <c r="D1242" s="8" t="str">
        <f>VLOOKUP(A1242,Лист2!A:E,5,0)</f>
        <v>малые</v>
      </c>
      <c r="E1242" s="10">
        <f>VLOOKUP(A1242,Лист2!A:E,4,0)</f>
        <v>2.5</v>
      </c>
      <c r="F1242" s="11">
        <f t="shared" si="60"/>
        <v>-4000</v>
      </c>
      <c r="G1242" s="11">
        <f t="shared" si="61"/>
        <v>523200</v>
      </c>
      <c r="H1242" s="11">
        <f t="shared" si="62"/>
        <v>-1600</v>
      </c>
    </row>
    <row r="1243" spans="1:8">
      <c r="A1243" s="6" t="s">
        <v>18</v>
      </c>
      <c r="B1243">
        <v>2747000</v>
      </c>
      <c r="C1243">
        <v>2703000</v>
      </c>
      <c r="D1243" s="8" t="str">
        <f>VLOOKUP(A1243,Лист2!A:E,5,0)</f>
        <v>малые</v>
      </c>
      <c r="E1243" s="10">
        <f>VLOOKUP(A1243,Лист2!A:E,4,0)</f>
        <v>2.5</v>
      </c>
      <c r="F1243" s="11">
        <f t="shared" si="60"/>
        <v>44000</v>
      </c>
      <c r="G1243" s="11">
        <f t="shared" si="61"/>
        <v>1098800</v>
      </c>
      <c r="H1243" s="11">
        <f t="shared" si="62"/>
        <v>17600</v>
      </c>
    </row>
    <row r="1244" spans="1:8">
      <c r="A1244" s="6" t="s">
        <v>18</v>
      </c>
      <c r="B1244">
        <v>960000</v>
      </c>
      <c r="C1244">
        <v>960000</v>
      </c>
      <c r="D1244" s="8" t="str">
        <f>VLOOKUP(A1244,Лист2!A:E,5,0)</f>
        <v>малые</v>
      </c>
      <c r="E1244" s="10">
        <f>VLOOKUP(A1244,Лист2!A:E,4,0)</f>
        <v>2.5</v>
      </c>
      <c r="F1244" s="11">
        <f t="shared" si="60"/>
        <v>0</v>
      </c>
      <c r="G1244" s="11">
        <f t="shared" si="61"/>
        <v>384000</v>
      </c>
      <c r="H1244" s="11">
        <f t="shared" si="62"/>
        <v>0</v>
      </c>
    </row>
    <row r="1245" spans="1:8">
      <c r="A1245" s="6" t="s">
        <v>18</v>
      </c>
      <c r="B1245">
        <v>1125000</v>
      </c>
      <c r="C1245">
        <v>1270000</v>
      </c>
      <c r="D1245" s="8" t="str">
        <f>VLOOKUP(A1245,Лист2!A:E,5,0)</f>
        <v>малые</v>
      </c>
      <c r="E1245" s="10">
        <f>VLOOKUP(A1245,Лист2!A:E,4,0)</f>
        <v>2.5</v>
      </c>
      <c r="F1245" s="11">
        <f t="shared" si="60"/>
        <v>-145000</v>
      </c>
      <c r="G1245" s="11">
        <f t="shared" si="61"/>
        <v>450000</v>
      </c>
      <c r="H1245" s="11">
        <f t="shared" si="62"/>
        <v>-58000</v>
      </c>
    </row>
    <row r="1246" spans="1:8">
      <c r="A1246" s="6" t="s">
        <v>18</v>
      </c>
      <c r="B1246">
        <v>1615000</v>
      </c>
      <c r="C1246">
        <v>2240000</v>
      </c>
      <c r="D1246" s="8" t="str">
        <f>VLOOKUP(A1246,Лист2!A:E,5,0)</f>
        <v>малые</v>
      </c>
      <c r="E1246" s="10">
        <f>VLOOKUP(A1246,Лист2!A:E,4,0)</f>
        <v>2.5</v>
      </c>
      <c r="F1246" s="11">
        <f t="shared" si="60"/>
        <v>-625000</v>
      </c>
      <c r="G1246" s="11">
        <f t="shared" si="61"/>
        <v>646000</v>
      </c>
      <c r="H1246" s="11">
        <f t="shared" si="62"/>
        <v>-250000</v>
      </c>
    </row>
    <row r="1247" spans="1:8">
      <c r="A1247" s="6" t="s">
        <v>18</v>
      </c>
      <c r="B1247">
        <v>1417000</v>
      </c>
      <c r="C1247">
        <v>1613000</v>
      </c>
      <c r="D1247" s="8" t="str">
        <f>VLOOKUP(A1247,Лист2!A:E,5,0)</f>
        <v>малые</v>
      </c>
      <c r="E1247" s="10">
        <f>VLOOKUP(A1247,Лист2!A:E,4,0)</f>
        <v>2.5</v>
      </c>
      <c r="F1247" s="11">
        <f t="shared" si="60"/>
        <v>-196000</v>
      </c>
      <c r="G1247" s="11">
        <f t="shared" si="61"/>
        <v>566800</v>
      </c>
      <c r="H1247" s="11">
        <f t="shared" si="62"/>
        <v>-78400</v>
      </c>
    </row>
    <row r="1248" spans="1:8">
      <c r="A1248" s="6" t="s">
        <v>18</v>
      </c>
      <c r="B1248">
        <v>10083000</v>
      </c>
      <c r="C1248">
        <v>8877000</v>
      </c>
      <c r="D1248" s="8" t="str">
        <f>VLOOKUP(A1248,Лист2!A:E,5,0)</f>
        <v>малые</v>
      </c>
      <c r="E1248" s="10">
        <f>VLOOKUP(A1248,Лист2!A:E,4,0)</f>
        <v>2.5</v>
      </c>
      <c r="F1248" s="11">
        <f t="shared" si="60"/>
        <v>1206000</v>
      </c>
      <c r="G1248" s="11">
        <f t="shared" si="61"/>
        <v>4033200</v>
      </c>
      <c r="H1248" s="11">
        <f t="shared" si="62"/>
        <v>482400</v>
      </c>
    </row>
    <row r="1249" spans="1:8">
      <c r="A1249" s="6" t="s">
        <v>18</v>
      </c>
      <c r="B1249">
        <v>114000</v>
      </c>
      <c r="C1249">
        <v>115000</v>
      </c>
      <c r="D1249" s="8" t="str">
        <f>VLOOKUP(A1249,Лист2!A:E,5,0)</f>
        <v>малые</v>
      </c>
      <c r="E1249" s="10">
        <f>VLOOKUP(A1249,Лист2!A:E,4,0)</f>
        <v>2.5</v>
      </c>
      <c r="F1249" s="11">
        <f t="shared" si="60"/>
        <v>-1000</v>
      </c>
      <c r="G1249" s="11">
        <f t="shared" si="61"/>
        <v>45600</v>
      </c>
      <c r="H1249" s="11">
        <f t="shared" si="62"/>
        <v>-400</v>
      </c>
    </row>
    <row r="1250" spans="1:8">
      <c r="A1250" s="6" t="s">
        <v>18</v>
      </c>
      <c r="B1250">
        <v>3106000</v>
      </c>
      <c r="C1250">
        <v>2920000</v>
      </c>
      <c r="D1250" s="8" t="str">
        <f>VLOOKUP(A1250,Лист2!A:E,5,0)</f>
        <v>малые</v>
      </c>
      <c r="E1250" s="10">
        <f>VLOOKUP(A1250,Лист2!A:E,4,0)</f>
        <v>2.5</v>
      </c>
      <c r="F1250" s="11">
        <f t="shared" si="60"/>
        <v>186000</v>
      </c>
      <c r="G1250" s="11">
        <f t="shared" si="61"/>
        <v>1242400</v>
      </c>
      <c r="H1250" s="11">
        <f t="shared" si="62"/>
        <v>74400</v>
      </c>
    </row>
    <row r="1251" spans="1:8">
      <c r="A1251" s="6" t="s">
        <v>18</v>
      </c>
      <c r="B1251">
        <v>4798000</v>
      </c>
      <c r="C1251">
        <v>4516000</v>
      </c>
      <c r="D1251" s="8" t="str">
        <f>VLOOKUP(A1251,Лист2!A:E,5,0)</f>
        <v>малые</v>
      </c>
      <c r="E1251" s="10">
        <f>VLOOKUP(A1251,Лист2!A:E,4,0)</f>
        <v>2.5</v>
      </c>
      <c r="F1251" s="11">
        <f t="shared" si="60"/>
        <v>282000</v>
      </c>
      <c r="G1251" s="11">
        <f t="shared" si="61"/>
        <v>1919200</v>
      </c>
      <c r="H1251" s="11">
        <f t="shared" si="62"/>
        <v>112800</v>
      </c>
    </row>
    <row r="1252" spans="1:8">
      <c r="A1252" s="6" t="s">
        <v>18</v>
      </c>
      <c r="B1252">
        <v>2212000</v>
      </c>
      <c r="C1252">
        <v>2043000</v>
      </c>
      <c r="D1252" s="8" t="str">
        <f>VLOOKUP(A1252,Лист2!A:E,5,0)</f>
        <v>малые</v>
      </c>
      <c r="E1252" s="10">
        <f>VLOOKUP(A1252,Лист2!A:E,4,0)</f>
        <v>2.5</v>
      </c>
      <c r="F1252" s="11">
        <f t="shared" si="60"/>
        <v>169000</v>
      </c>
      <c r="G1252" s="11">
        <f t="shared" si="61"/>
        <v>884800</v>
      </c>
      <c r="H1252" s="11">
        <f t="shared" si="62"/>
        <v>67600</v>
      </c>
    </row>
    <row r="1253" spans="1:8">
      <c r="A1253" s="6" t="s">
        <v>18</v>
      </c>
      <c r="B1253">
        <v>1998000</v>
      </c>
      <c r="C1253">
        <v>2067000</v>
      </c>
      <c r="D1253" s="8" t="str">
        <f>VLOOKUP(A1253,Лист2!A:E,5,0)</f>
        <v>малые</v>
      </c>
      <c r="E1253" s="10">
        <f>VLOOKUP(A1253,Лист2!A:E,4,0)</f>
        <v>2.5</v>
      </c>
      <c r="F1253" s="11">
        <f t="shared" si="60"/>
        <v>-69000</v>
      </c>
      <c r="G1253" s="11">
        <f t="shared" si="61"/>
        <v>799200</v>
      </c>
      <c r="H1253" s="11">
        <f t="shared" si="62"/>
        <v>-27600</v>
      </c>
    </row>
    <row r="1254" spans="1:8">
      <c r="A1254" s="6" t="s">
        <v>18</v>
      </c>
      <c r="B1254">
        <v>356000</v>
      </c>
      <c r="C1254">
        <v>194000</v>
      </c>
      <c r="D1254" s="8" t="str">
        <f>VLOOKUP(A1254,Лист2!A:E,5,0)</f>
        <v>малые</v>
      </c>
      <c r="E1254" s="10">
        <f>VLOOKUP(A1254,Лист2!A:E,4,0)</f>
        <v>2.5</v>
      </c>
      <c r="F1254" s="11">
        <f t="shared" si="60"/>
        <v>162000</v>
      </c>
      <c r="G1254" s="11">
        <f t="shared" si="61"/>
        <v>142400</v>
      </c>
      <c r="H1254" s="11">
        <f t="shared" si="62"/>
        <v>64800</v>
      </c>
    </row>
    <row r="1255" spans="1:8">
      <c r="A1255" s="6" t="s">
        <v>18</v>
      </c>
      <c r="B1255">
        <v>27921000</v>
      </c>
      <c r="C1255">
        <v>38075000</v>
      </c>
      <c r="D1255" s="8" t="str">
        <f>VLOOKUP(A1255,Лист2!A:E,5,0)</f>
        <v>малые</v>
      </c>
      <c r="E1255" s="10">
        <f>VLOOKUP(A1255,Лист2!A:E,4,0)</f>
        <v>2.5</v>
      </c>
      <c r="F1255" s="11">
        <f t="shared" si="60"/>
        <v>-10154000</v>
      </c>
      <c r="G1255" s="11">
        <f t="shared" si="61"/>
        <v>11168400</v>
      </c>
      <c r="H1255" s="11">
        <f t="shared" si="62"/>
        <v>-4061600</v>
      </c>
    </row>
    <row r="1256" spans="1:8">
      <c r="A1256" s="6" t="s">
        <v>18</v>
      </c>
      <c r="B1256">
        <v>1202000</v>
      </c>
      <c r="C1256">
        <v>1121000</v>
      </c>
      <c r="D1256" s="8" t="str">
        <f>VLOOKUP(A1256,Лист2!A:E,5,0)</f>
        <v>малые</v>
      </c>
      <c r="E1256" s="10">
        <f>VLOOKUP(A1256,Лист2!A:E,4,0)</f>
        <v>2.5</v>
      </c>
      <c r="F1256" s="11">
        <f t="shared" si="60"/>
        <v>81000</v>
      </c>
      <c r="G1256" s="11">
        <f t="shared" si="61"/>
        <v>480800</v>
      </c>
      <c r="H1256" s="11">
        <f t="shared" si="62"/>
        <v>32400</v>
      </c>
    </row>
    <row r="1257" spans="1:8">
      <c r="A1257" s="6" t="s">
        <v>18</v>
      </c>
      <c r="B1257">
        <v>2815000</v>
      </c>
      <c r="C1257">
        <v>2964000</v>
      </c>
      <c r="D1257" s="8" t="str">
        <f>VLOOKUP(A1257,Лист2!A:E,5,0)</f>
        <v>малые</v>
      </c>
      <c r="E1257" s="10">
        <f>VLOOKUP(A1257,Лист2!A:E,4,0)</f>
        <v>2.5</v>
      </c>
      <c r="F1257" s="11">
        <f t="shared" si="60"/>
        <v>-149000</v>
      </c>
      <c r="G1257" s="11">
        <f t="shared" si="61"/>
        <v>1126000</v>
      </c>
      <c r="H1257" s="11">
        <f t="shared" si="62"/>
        <v>-59600</v>
      </c>
    </row>
    <row r="1258" spans="1:8">
      <c r="A1258" s="6" t="s">
        <v>18</v>
      </c>
      <c r="B1258">
        <v>12742000</v>
      </c>
      <c r="C1258">
        <v>9784000</v>
      </c>
      <c r="D1258" s="8" t="str">
        <f>VLOOKUP(A1258,Лист2!A:E,5,0)</f>
        <v>малые</v>
      </c>
      <c r="E1258" s="10">
        <f>VLOOKUP(A1258,Лист2!A:E,4,0)</f>
        <v>2.5</v>
      </c>
      <c r="F1258" s="11">
        <f t="shared" si="60"/>
        <v>2958000</v>
      </c>
      <c r="G1258" s="11">
        <f t="shared" si="61"/>
        <v>5096800</v>
      </c>
      <c r="H1258" s="11">
        <f t="shared" si="62"/>
        <v>1183200</v>
      </c>
    </row>
    <row r="1259" spans="1:8">
      <c r="A1259" s="6" t="s">
        <v>18</v>
      </c>
      <c r="B1259">
        <v>94800000</v>
      </c>
      <c r="C1259">
        <v>115501000</v>
      </c>
      <c r="D1259" s="8" t="str">
        <f>VLOOKUP(A1259,Лист2!A:E,5,0)</f>
        <v>малые</v>
      </c>
      <c r="E1259" s="10">
        <f>VLOOKUP(A1259,Лист2!A:E,4,0)</f>
        <v>2.5</v>
      </c>
      <c r="F1259" s="11">
        <f t="shared" si="60"/>
        <v>-20701000</v>
      </c>
      <c r="G1259" s="11">
        <f t="shared" si="61"/>
        <v>37920000</v>
      </c>
      <c r="H1259" s="11">
        <f t="shared" si="62"/>
        <v>-8280400</v>
      </c>
    </row>
    <row r="1260" spans="1:8">
      <c r="A1260" s="6" t="s">
        <v>18</v>
      </c>
      <c r="B1260">
        <v>8302000</v>
      </c>
      <c r="C1260">
        <v>6494000</v>
      </c>
      <c r="D1260" s="8" t="str">
        <f>VLOOKUP(A1260,Лист2!A:E,5,0)</f>
        <v>малые</v>
      </c>
      <c r="E1260" s="10">
        <f>VLOOKUP(A1260,Лист2!A:E,4,0)</f>
        <v>2.5</v>
      </c>
      <c r="F1260" s="11">
        <f t="shared" si="60"/>
        <v>1808000</v>
      </c>
      <c r="G1260" s="11">
        <f t="shared" si="61"/>
        <v>3320800</v>
      </c>
      <c r="H1260" s="11">
        <f t="shared" si="62"/>
        <v>723200</v>
      </c>
    </row>
    <row r="1261" spans="1:8">
      <c r="A1261" s="6" t="s">
        <v>18</v>
      </c>
      <c r="B1261">
        <v>242000</v>
      </c>
      <c r="C1261">
        <v>4000</v>
      </c>
      <c r="D1261" s="8" t="str">
        <f>VLOOKUP(A1261,Лист2!A:E,5,0)</f>
        <v>малые</v>
      </c>
      <c r="E1261" s="10">
        <f>VLOOKUP(A1261,Лист2!A:E,4,0)</f>
        <v>2.5</v>
      </c>
      <c r="F1261" s="11">
        <f t="shared" si="60"/>
        <v>238000</v>
      </c>
      <c r="G1261" s="11">
        <f t="shared" si="61"/>
        <v>96800</v>
      </c>
      <c r="H1261" s="11">
        <f t="shared" si="62"/>
        <v>95200</v>
      </c>
    </row>
    <row r="1262" spans="1:8">
      <c r="A1262" s="6" t="s">
        <v>18</v>
      </c>
      <c r="B1262">
        <v>646000</v>
      </c>
      <c r="C1262">
        <v>649000</v>
      </c>
      <c r="D1262" s="8" t="str">
        <f>VLOOKUP(A1262,Лист2!A:E,5,0)</f>
        <v>малые</v>
      </c>
      <c r="E1262" s="10">
        <f>VLOOKUP(A1262,Лист2!A:E,4,0)</f>
        <v>2.5</v>
      </c>
      <c r="F1262" s="11">
        <f t="shared" si="60"/>
        <v>-3000</v>
      </c>
      <c r="G1262" s="11">
        <f t="shared" si="61"/>
        <v>258400</v>
      </c>
      <c r="H1262" s="11">
        <f t="shared" si="62"/>
        <v>-1200</v>
      </c>
    </row>
    <row r="1263" spans="1:8">
      <c r="A1263" s="6" t="s">
        <v>18</v>
      </c>
      <c r="B1263">
        <v>828000</v>
      </c>
      <c r="C1263">
        <v>3001000</v>
      </c>
      <c r="D1263" s="8" t="str">
        <f>VLOOKUP(A1263,Лист2!A:E,5,0)</f>
        <v>малые</v>
      </c>
      <c r="E1263" s="10">
        <f>VLOOKUP(A1263,Лист2!A:E,4,0)</f>
        <v>2.5</v>
      </c>
      <c r="F1263" s="11">
        <f t="shared" si="60"/>
        <v>-2173000</v>
      </c>
      <c r="G1263" s="11">
        <f t="shared" si="61"/>
        <v>331200</v>
      </c>
      <c r="H1263" s="11">
        <f t="shared" si="62"/>
        <v>-869200</v>
      </c>
    </row>
    <row r="1264" spans="1:8">
      <c r="A1264" s="6" t="s">
        <v>18</v>
      </c>
      <c r="B1264">
        <v>10904000</v>
      </c>
      <c r="C1264">
        <v>11361000</v>
      </c>
      <c r="D1264" s="8" t="str">
        <f>VLOOKUP(A1264,Лист2!A:E,5,0)</f>
        <v>малые</v>
      </c>
      <c r="E1264" s="10">
        <f>VLOOKUP(A1264,Лист2!A:E,4,0)</f>
        <v>2.5</v>
      </c>
      <c r="F1264" s="11">
        <f t="shared" si="60"/>
        <v>-457000</v>
      </c>
      <c r="G1264" s="11">
        <f t="shared" si="61"/>
        <v>4361600</v>
      </c>
      <c r="H1264" s="11">
        <f t="shared" si="62"/>
        <v>-182800</v>
      </c>
    </row>
    <row r="1265" spans="1:8">
      <c r="A1265" s="6" t="s">
        <v>18</v>
      </c>
      <c r="B1265">
        <v>2984000</v>
      </c>
      <c r="C1265">
        <v>2823000</v>
      </c>
      <c r="D1265" s="8" t="str">
        <f>VLOOKUP(A1265,Лист2!A:E,5,0)</f>
        <v>малые</v>
      </c>
      <c r="E1265" s="10">
        <f>VLOOKUP(A1265,Лист2!A:E,4,0)</f>
        <v>2.5</v>
      </c>
      <c r="F1265" s="11">
        <f t="shared" si="60"/>
        <v>161000</v>
      </c>
      <c r="G1265" s="11">
        <f t="shared" si="61"/>
        <v>1193600</v>
      </c>
      <c r="H1265" s="11">
        <f t="shared" si="62"/>
        <v>64400</v>
      </c>
    </row>
    <row r="1266" spans="1:8">
      <c r="A1266" s="6" t="s">
        <v>18</v>
      </c>
      <c r="B1266">
        <v>3435000</v>
      </c>
      <c r="C1266">
        <v>1157000</v>
      </c>
      <c r="D1266" s="8" t="str">
        <f>VLOOKUP(A1266,Лист2!A:E,5,0)</f>
        <v>малые</v>
      </c>
      <c r="E1266" s="10">
        <f>VLOOKUP(A1266,Лист2!A:E,4,0)</f>
        <v>2.5</v>
      </c>
      <c r="F1266" s="11">
        <f t="shared" si="60"/>
        <v>2278000</v>
      </c>
      <c r="G1266" s="11">
        <f t="shared" si="61"/>
        <v>1374000</v>
      </c>
      <c r="H1266" s="11">
        <f t="shared" si="62"/>
        <v>911200</v>
      </c>
    </row>
    <row r="1267" spans="1:8">
      <c r="A1267" s="6" t="s">
        <v>18</v>
      </c>
      <c r="B1267">
        <v>17463000</v>
      </c>
      <c r="C1267">
        <v>14738000</v>
      </c>
      <c r="D1267" s="8" t="str">
        <f>VLOOKUP(A1267,Лист2!A:E,5,0)</f>
        <v>малые</v>
      </c>
      <c r="E1267" s="10">
        <f>VLOOKUP(A1267,Лист2!A:E,4,0)</f>
        <v>2.5</v>
      </c>
      <c r="F1267" s="11">
        <f t="shared" si="60"/>
        <v>2725000</v>
      </c>
      <c r="G1267" s="11">
        <f t="shared" si="61"/>
        <v>6985200</v>
      </c>
      <c r="H1267" s="11">
        <f t="shared" si="62"/>
        <v>1090000</v>
      </c>
    </row>
    <row r="1268" spans="1:8">
      <c r="A1268" s="6" t="s">
        <v>18</v>
      </c>
      <c r="B1268">
        <v>38543000</v>
      </c>
      <c r="C1268">
        <v>45893000</v>
      </c>
      <c r="D1268" s="8" t="str">
        <f>VLOOKUP(A1268,Лист2!A:E,5,0)</f>
        <v>малые</v>
      </c>
      <c r="E1268" s="10">
        <f>VLOOKUP(A1268,Лист2!A:E,4,0)</f>
        <v>2.5</v>
      </c>
      <c r="F1268" s="11">
        <f t="shared" si="60"/>
        <v>-7350000</v>
      </c>
      <c r="G1268" s="11">
        <f t="shared" si="61"/>
        <v>15417200</v>
      </c>
      <c r="H1268" s="11">
        <f t="shared" si="62"/>
        <v>-2940000</v>
      </c>
    </row>
    <row r="1269" spans="1:8">
      <c r="A1269" s="6" t="s">
        <v>18</v>
      </c>
      <c r="B1269">
        <v>3243000</v>
      </c>
      <c r="C1269">
        <v>3145000</v>
      </c>
      <c r="D1269" s="8" t="str">
        <f>VLOOKUP(A1269,Лист2!A:E,5,0)</f>
        <v>малые</v>
      </c>
      <c r="E1269" s="10">
        <f>VLOOKUP(A1269,Лист2!A:E,4,0)</f>
        <v>2.5</v>
      </c>
      <c r="F1269" s="11">
        <f t="shared" si="60"/>
        <v>98000</v>
      </c>
      <c r="G1269" s="11">
        <f t="shared" si="61"/>
        <v>1297200</v>
      </c>
      <c r="H1269" s="11">
        <f t="shared" si="62"/>
        <v>39200</v>
      </c>
    </row>
    <row r="1270" spans="1:8">
      <c r="A1270" s="6" t="s">
        <v>18</v>
      </c>
      <c r="B1270">
        <v>8936000</v>
      </c>
      <c r="C1270">
        <v>9617000</v>
      </c>
      <c r="D1270" s="8" t="str">
        <f>VLOOKUP(A1270,Лист2!A:E,5,0)</f>
        <v>малые</v>
      </c>
      <c r="E1270" s="10">
        <f>VLOOKUP(A1270,Лист2!A:E,4,0)</f>
        <v>2.5</v>
      </c>
      <c r="F1270" s="11">
        <f t="shared" si="60"/>
        <v>-681000</v>
      </c>
      <c r="G1270" s="11">
        <f t="shared" si="61"/>
        <v>3574400</v>
      </c>
      <c r="H1270" s="11">
        <f t="shared" si="62"/>
        <v>-272400</v>
      </c>
    </row>
    <row r="1271" spans="1:8">
      <c r="A1271" s="6" t="s">
        <v>18</v>
      </c>
      <c r="B1271">
        <v>214000</v>
      </c>
      <c r="C1271">
        <v>297000</v>
      </c>
      <c r="D1271" s="8" t="str">
        <f>VLOOKUP(A1271,Лист2!A:E,5,0)</f>
        <v>малые</v>
      </c>
      <c r="E1271" s="10">
        <f>VLOOKUP(A1271,Лист2!A:E,4,0)</f>
        <v>2.5</v>
      </c>
      <c r="F1271" s="11">
        <f t="shared" si="60"/>
        <v>-83000</v>
      </c>
      <c r="G1271" s="11">
        <f t="shared" si="61"/>
        <v>85600</v>
      </c>
      <c r="H1271" s="11">
        <f t="shared" si="62"/>
        <v>-33200</v>
      </c>
    </row>
    <row r="1272" spans="1:8">
      <c r="A1272" s="6" t="s">
        <v>18</v>
      </c>
      <c r="B1272">
        <v>1281000</v>
      </c>
      <c r="C1272">
        <v>1287000</v>
      </c>
      <c r="D1272" s="8" t="str">
        <f>VLOOKUP(A1272,Лист2!A:E,5,0)</f>
        <v>малые</v>
      </c>
      <c r="E1272" s="10">
        <f>VLOOKUP(A1272,Лист2!A:E,4,0)</f>
        <v>2.5</v>
      </c>
      <c r="F1272" s="11">
        <f t="shared" si="60"/>
        <v>-6000</v>
      </c>
      <c r="G1272" s="11">
        <f t="shared" si="61"/>
        <v>512400</v>
      </c>
      <c r="H1272" s="11">
        <f t="shared" si="62"/>
        <v>-2400</v>
      </c>
    </row>
    <row r="1273" spans="1:8">
      <c r="A1273" s="6" t="s">
        <v>18</v>
      </c>
      <c r="B1273">
        <v>24730000</v>
      </c>
      <c r="C1273">
        <v>24779000</v>
      </c>
      <c r="D1273" s="8" t="str">
        <f>VLOOKUP(A1273,Лист2!A:E,5,0)</f>
        <v>малые</v>
      </c>
      <c r="E1273" s="10">
        <f>VLOOKUP(A1273,Лист2!A:E,4,0)</f>
        <v>2.5</v>
      </c>
      <c r="F1273" s="11">
        <f t="shared" si="60"/>
        <v>-49000</v>
      </c>
      <c r="G1273" s="11">
        <f t="shared" si="61"/>
        <v>9892000</v>
      </c>
      <c r="H1273" s="11">
        <f t="shared" si="62"/>
        <v>-19600</v>
      </c>
    </row>
    <row r="1274" spans="1:8">
      <c r="A1274" s="6" t="s">
        <v>18</v>
      </c>
      <c r="B1274">
        <v>3463000</v>
      </c>
      <c r="C1274">
        <v>5580000</v>
      </c>
      <c r="D1274" s="8" t="str">
        <f>VLOOKUP(A1274,Лист2!A:E,5,0)</f>
        <v>малые</v>
      </c>
      <c r="E1274" s="10">
        <f>VLOOKUP(A1274,Лист2!A:E,4,0)</f>
        <v>2.5</v>
      </c>
      <c r="F1274" s="11">
        <f t="shared" si="60"/>
        <v>-2117000</v>
      </c>
      <c r="G1274" s="11">
        <f t="shared" si="61"/>
        <v>1385200</v>
      </c>
      <c r="H1274" s="11">
        <f t="shared" si="62"/>
        <v>-846800</v>
      </c>
    </row>
    <row r="1275" spans="1:8">
      <c r="A1275" s="6" t="s">
        <v>18</v>
      </c>
      <c r="B1275">
        <v>5842000</v>
      </c>
      <c r="C1275">
        <v>5293000</v>
      </c>
      <c r="D1275" s="8" t="str">
        <f>VLOOKUP(A1275,Лист2!A:E,5,0)</f>
        <v>малые</v>
      </c>
      <c r="E1275" s="10">
        <f>VLOOKUP(A1275,Лист2!A:E,4,0)</f>
        <v>2.5</v>
      </c>
      <c r="F1275" s="11">
        <f t="shared" si="60"/>
        <v>549000</v>
      </c>
      <c r="G1275" s="11">
        <f t="shared" si="61"/>
        <v>2336800</v>
      </c>
      <c r="H1275" s="11">
        <f t="shared" si="62"/>
        <v>219600</v>
      </c>
    </row>
    <row r="1276" spans="1:8">
      <c r="A1276" s="6" t="s">
        <v>77</v>
      </c>
      <c r="B1276">
        <v>7904000</v>
      </c>
      <c r="C1276">
        <v>8423000</v>
      </c>
      <c r="D1276" s="8" t="str">
        <f>VLOOKUP(A1276,Лист2!A:E,5,0)</f>
        <v>малые</v>
      </c>
      <c r="E1276" s="10">
        <f>VLOOKUP(A1276,Лист2!A:E,4,0)</f>
        <v>8</v>
      </c>
      <c r="F1276" s="11">
        <f t="shared" si="60"/>
        <v>-519000</v>
      </c>
      <c r="G1276" s="11">
        <f t="shared" si="61"/>
        <v>988000</v>
      </c>
      <c r="H1276" s="11">
        <f t="shared" si="62"/>
        <v>-64875</v>
      </c>
    </row>
    <row r="1277" spans="1:8">
      <c r="A1277" s="6" t="s">
        <v>18</v>
      </c>
      <c r="B1277">
        <v>20000</v>
      </c>
      <c r="C1277">
        <v>42000</v>
      </c>
      <c r="D1277" s="8" t="str">
        <f>VLOOKUP(A1277,Лист2!A:E,5,0)</f>
        <v>малые</v>
      </c>
      <c r="E1277" s="10">
        <f>VLOOKUP(A1277,Лист2!A:E,4,0)</f>
        <v>2.5</v>
      </c>
      <c r="F1277" s="11">
        <f t="shared" si="60"/>
        <v>-22000</v>
      </c>
      <c r="G1277" s="11">
        <f t="shared" si="61"/>
        <v>8000</v>
      </c>
      <c r="H1277" s="11">
        <f t="shared" si="62"/>
        <v>-8800</v>
      </c>
    </row>
    <row r="1278" spans="1:8">
      <c r="A1278" s="6" t="s">
        <v>18</v>
      </c>
      <c r="B1278">
        <v>2857000</v>
      </c>
      <c r="C1278">
        <v>1508000</v>
      </c>
      <c r="D1278" s="8" t="str">
        <f>VLOOKUP(A1278,Лист2!A:E,5,0)</f>
        <v>малые</v>
      </c>
      <c r="E1278" s="10">
        <f>VLOOKUP(A1278,Лист2!A:E,4,0)</f>
        <v>2.5</v>
      </c>
      <c r="F1278" s="11">
        <f t="shared" si="60"/>
        <v>1349000</v>
      </c>
      <c r="G1278" s="11">
        <f t="shared" si="61"/>
        <v>1142800</v>
      </c>
      <c r="H1278" s="11">
        <f t="shared" si="62"/>
        <v>539600</v>
      </c>
    </row>
    <row r="1279" spans="1:8">
      <c r="A1279" s="6" t="s">
        <v>18</v>
      </c>
      <c r="B1279">
        <v>3098000</v>
      </c>
      <c r="C1279">
        <v>2897000</v>
      </c>
      <c r="D1279" s="8" t="str">
        <f>VLOOKUP(A1279,Лист2!A:E,5,0)</f>
        <v>малые</v>
      </c>
      <c r="E1279" s="10">
        <f>VLOOKUP(A1279,Лист2!A:E,4,0)</f>
        <v>2.5</v>
      </c>
      <c r="F1279" s="11">
        <f t="shared" si="60"/>
        <v>201000</v>
      </c>
      <c r="G1279" s="11">
        <f t="shared" si="61"/>
        <v>1239200</v>
      </c>
      <c r="H1279" s="11">
        <f t="shared" si="62"/>
        <v>80400</v>
      </c>
    </row>
    <row r="1280" spans="1:8">
      <c r="A1280" s="6" t="s">
        <v>18</v>
      </c>
      <c r="B1280">
        <v>4015000</v>
      </c>
      <c r="C1280">
        <v>2830000</v>
      </c>
      <c r="D1280" s="8" t="str">
        <f>VLOOKUP(A1280,Лист2!A:E,5,0)</f>
        <v>малые</v>
      </c>
      <c r="E1280" s="10">
        <f>VLOOKUP(A1280,Лист2!A:E,4,0)</f>
        <v>2.5</v>
      </c>
      <c r="F1280" s="11">
        <f t="shared" si="60"/>
        <v>1185000</v>
      </c>
      <c r="G1280" s="11">
        <f t="shared" si="61"/>
        <v>1606000</v>
      </c>
      <c r="H1280" s="11">
        <f t="shared" si="62"/>
        <v>474000</v>
      </c>
    </row>
    <row r="1281" spans="1:8">
      <c r="A1281" s="6" t="s">
        <v>77</v>
      </c>
      <c r="B1281">
        <v>4497000</v>
      </c>
      <c r="C1281">
        <v>4277000</v>
      </c>
      <c r="D1281" s="8" t="str">
        <f>VLOOKUP(A1281,Лист2!A:E,5,0)</f>
        <v>малые</v>
      </c>
      <c r="E1281" s="10">
        <f>VLOOKUP(A1281,Лист2!A:E,4,0)</f>
        <v>8</v>
      </c>
      <c r="F1281" s="11">
        <f t="shared" si="60"/>
        <v>220000</v>
      </c>
      <c r="G1281" s="11">
        <f t="shared" si="61"/>
        <v>562125</v>
      </c>
      <c r="H1281" s="11">
        <f t="shared" si="62"/>
        <v>27500</v>
      </c>
    </row>
    <row r="1282" spans="1:8">
      <c r="A1282" s="6" t="s">
        <v>77</v>
      </c>
      <c r="B1282">
        <v>11768000</v>
      </c>
      <c r="C1282">
        <v>14028000</v>
      </c>
      <c r="D1282" s="8" t="str">
        <f>VLOOKUP(A1282,Лист2!A:E,5,0)</f>
        <v>малые</v>
      </c>
      <c r="E1282" s="10">
        <f>VLOOKUP(A1282,Лист2!A:E,4,0)</f>
        <v>8</v>
      </c>
      <c r="F1282" s="11">
        <f t="shared" si="60"/>
        <v>-2260000</v>
      </c>
      <c r="G1282" s="11">
        <f t="shared" si="61"/>
        <v>1471000</v>
      </c>
      <c r="H1282" s="11">
        <f t="shared" si="62"/>
        <v>-282500</v>
      </c>
    </row>
    <row r="1283" spans="1:8">
      <c r="A1283" s="6" t="s">
        <v>18</v>
      </c>
      <c r="B1283">
        <v>28906000</v>
      </c>
      <c r="C1283">
        <v>25265000</v>
      </c>
      <c r="D1283" s="8" t="str">
        <f>VLOOKUP(A1283,Лист2!A:E,5,0)</f>
        <v>малые</v>
      </c>
      <c r="E1283" s="10">
        <f>VLOOKUP(A1283,Лист2!A:E,4,0)</f>
        <v>2.5</v>
      </c>
      <c r="F1283" s="11">
        <f t="shared" si="60"/>
        <v>3641000</v>
      </c>
      <c r="G1283" s="11">
        <f t="shared" si="61"/>
        <v>11562400</v>
      </c>
      <c r="H1283" s="11">
        <f t="shared" si="62"/>
        <v>1456400</v>
      </c>
    </row>
    <row r="1284" spans="1:8">
      <c r="A1284" s="6" t="s">
        <v>18</v>
      </c>
      <c r="B1284">
        <v>1381000</v>
      </c>
      <c r="C1284">
        <v>1383000</v>
      </c>
      <c r="D1284" s="8" t="str">
        <f>VLOOKUP(A1284,Лист2!A:E,5,0)</f>
        <v>малые</v>
      </c>
      <c r="E1284" s="10">
        <f>VLOOKUP(A1284,Лист2!A:E,4,0)</f>
        <v>2.5</v>
      </c>
      <c r="F1284" s="11">
        <f t="shared" si="60"/>
        <v>-2000</v>
      </c>
      <c r="G1284" s="11">
        <f t="shared" si="61"/>
        <v>552400</v>
      </c>
      <c r="H1284" s="11">
        <f t="shared" si="62"/>
        <v>-800</v>
      </c>
    </row>
    <row r="1285" spans="1:8">
      <c r="A1285" s="6" t="s">
        <v>18</v>
      </c>
      <c r="B1285">
        <v>50000</v>
      </c>
      <c r="C1285">
        <v>80000</v>
      </c>
      <c r="D1285" s="8" t="str">
        <f>VLOOKUP(A1285,Лист2!A:E,5,0)</f>
        <v>малые</v>
      </c>
      <c r="E1285" s="10">
        <f>VLOOKUP(A1285,Лист2!A:E,4,0)</f>
        <v>2.5</v>
      </c>
      <c r="F1285" s="11">
        <f t="shared" si="60"/>
        <v>-30000</v>
      </c>
      <c r="G1285" s="11">
        <f t="shared" si="61"/>
        <v>20000</v>
      </c>
      <c r="H1285" s="11">
        <f t="shared" si="62"/>
        <v>-12000</v>
      </c>
    </row>
    <row r="1286" spans="1:8">
      <c r="A1286" s="6" t="s">
        <v>18</v>
      </c>
      <c r="B1286">
        <v>534000</v>
      </c>
      <c r="C1286">
        <v>504000</v>
      </c>
      <c r="D1286" s="8" t="str">
        <f>VLOOKUP(A1286,Лист2!A:E,5,0)</f>
        <v>малые</v>
      </c>
      <c r="E1286" s="10">
        <f>VLOOKUP(A1286,Лист2!A:E,4,0)</f>
        <v>2.5</v>
      </c>
      <c r="F1286" s="11">
        <f t="shared" si="60"/>
        <v>30000</v>
      </c>
      <c r="G1286" s="11">
        <f t="shared" si="61"/>
        <v>213600</v>
      </c>
      <c r="H1286" s="11">
        <f t="shared" si="62"/>
        <v>12000</v>
      </c>
    </row>
    <row r="1287" spans="1:8">
      <c r="A1287" s="6" t="s">
        <v>18</v>
      </c>
      <c r="B1287">
        <v>2225000</v>
      </c>
      <c r="C1287">
        <v>2099000</v>
      </c>
      <c r="D1287" s="8" t="str">
        <f>VLOOKUP(A1287,Лист2!A:E,5,0)</f>
        <v>малые</v>
      </c>
      <c r="E1287" s="10">
        <f>VLOOKUP(A1287,Лист2!A:E,4,0)</f>
        <v>2.5</v>
      </c>
      <c r="F1287" s="11">
        <f t="shared" si="60"/>
        <v>126000</v>
      </c>
      <c r="G1287" s="11">
        <f t="shared" si="61"/>
        <v>890000</v>
      </c>
      <c r="H1287" s="11">
        <f t="shared" si="62"/>
        <v>50400</v>
      </c>
    </row>
    <row r="1288" spans="1:8">
      <c r="A1288" s="6" t="s">
        <v>18</v>
      </c>
      <c r="B1288">
        <v>1745000</v>
      </c>
      <c r="C1288">
        <v>1664000</v>
      </c>
      <c r="D1288" s="8" t="str">
        <f>VLOOKUP(A1288,Лист2!A:E,5,0)</f>
        <v>малые</v>
      </c>
      <c r="E1288" s="10">
        <f>VLOOKUP(A1288,Лист2!A:E,4,0)</f>
        <v>2.5</v>
      </c>
      <c r="F1288" s="11">
        <f t="shared" si="60"/>
        <v>81000</v>
      </c>
      <c r="G1288" s="11">
        <f t="shared" si="61"/>
        <v>698000</v>
      </c>
      <c r="H1288" s="11">
        <f t="shared" si="62"/>
        <v>32400</v>
      </c>
    </row>
    <row r="1289" spans="1:8">
      <c r="A1289" s="6" t="s">
        <v>18</v>
      </c>
      <c r="B1289">
        <v>989000</v>
      </c>
      <c r="C1289">
        <v>559000</v>
      </c>
      <c r="D1289" s="8" t="str">
        <f>VLOOKUP(A1289,Лист2!A:E,5,0)</f>
        <v>малые</v>
      </c>
      <c r="E1289" s="10">
        <f>VLOOKUP(A1289,Лист2!A:E,4,0)</f>
        <v>2.5</v>
      </c>
      <c r="F1289" s="11">
        <f t="shared" si="60"/>
        <v>430000</v>
      </c>
      <c r="G1289" s="11">
        <f t="shared" si="61"/>
        <v>395600</v>
      </c>
      <c r="H1289" s="11">
        <f t="shared" si="62"/>
        <v>172000</v>
      </c>
    </row>
    <row r="1290" spans="1:8">
      <c r="A1290" s="6" t="s">
        <v>18</v>
      </c>
      <c r="B1290">
        <v>830000</v>
      </c>
      <c r="C1290">
        <v>869000</v>
      </c>
      <c r="D1290" s="8" t="str">
        <f>VLOOKUP(A1290,Лист2!A:E,5,0)</f>
        <v>малые</v>
      </c>
      <c r="E1290" s="10">
        <f>VLOOKUP(A1290,Лист2!A:E,4,0)</f>
        <v>2.5</v>
      </c>
      <c r="F1290" s="11">
        <f t="shared" si="60"/>
        <v>-39000</v>
      </c>
      <c r="G1290" s="11">
        <f t="shared" si="61"/>
        <v>332000</v>
      </c>
      <c r="H1290" s="11">
        <f t="shared" si="62"/>
        <v>-15600</v>
      </c>
    </row>
    <row r="1291" spans="1:8">
      <c r="A1291" s="6" t="s">
        <v>18</v>
      </c>
      <c r="B1291">
        <v>2930000</v>
      </c>
      <c r="C1291">
        <v>2635000</v>
      </c>
      <c r="D1291" s="8" t="str">
        <f>VLOOKUP(A1291,Лист2!A:E,5,0)</f>
        <v>малые</v>
      </c>
      <c r="E1291" s="10">
        <f>VLOOKUP(A1291,Лист2!A:E,4,0)</f>
        <v>2.5</v>
      </c>
      <c r="F1291" s="11">
        <f t="shared" ref="F1291:F1352" si="63">B1291-C1291</f>
        <v>295000</v>
      </c>
      <c r="G1291" s="11">
        <f t="shared" ref="G1291:G1352" si="64">B1291/E1291</f>
        <v>1172000</v>
      </c>
      <c r="H1291" s="11">
        <f t="shared" ref="H1291:H1352" si="65">F1291/E1291</f>
        <v>118000</v>
      </c>
    </row>
    <row r="1292" spans="1:8">
      <c r="A1292" s="6" t="s">
        <v>18</v>
      </c>
      <c r="B1292">
        <v>813000</v>
      </c>
      <c r="C1292">
        <v>809000</v>
      </c>
      <c r="D1292" s="8" t="str">
        <f>VLOOKUP(A1292,Лист2!A:E,5,0)</f>
        <v>малые</v>
      </c>
      <c r="E1292" s="10">
        <f>VLOOKUP(A1292,Лист2!A:E,4,0)</f>
        <v>2.5</v>
      </c>
      <c r="F1292" s="11">
        <f t="shared" si="63"/>
        <v>4000</v>
      </c>
      <c r="G1292" s="11">
        <f t="shared" si="64"/>
        <v>325200</v>
      </c>
      <c r="H1292" s="11">
        <f t="shared" si="65"/>
        <v>1600</v>
      </c>
    </row>
    <row r="1293" spans="1:8">
      <c r="A1293" s="6" t="s">
        <v>18</v>
      </c>
      <c r="B1293">
        <v>1582000</v>
      </c>
      <c r="C1293">
        <v>1535000</v>
      </c>
      <c r="D1293" s="8" t="str">
        <f>VLOOKUP(A1293,Лист2!A:E,5,0)</f>
        <v>малые</v>
      </c>
      <c r="E1293" s="10">
        <f>VLOOKUP(A1293,Лист2!A:E,4,0)</f>
        <v>2.5</v>
      </c>
      <c r="F1293" s="11">
        <f t="shared" si="63"/>
        <v>47000</v>
      </c>
      <c r="G1293" s="11">
        <f t="shared" si="64"/>
        <v>632800</v>
      </c>
      <c r="H1293" s="11">
        <f t="shared" si="65"/>
        <v>18800</v>
      </c>
    </row>
    <row r="1294" spans="1:8">
      <c r="A1294" s="6" t="s">
        <v>18</v>
      </c>
      <c r="B1294">
        <v>196230000</v>
      </c>
      <c r="C1294">
        <v>172977000</v>
      </c>
      <c r="D1294" s="8" t="str">
        <f>VLOOKUP(A1294,Лист2!A:E,5,0)</f>
        <v>малые</v>
      </c>
      <c r="E1294" s="10">
        <f>VLOOKUP(A1294,Лист2!A:E,4,0)</f>
        <v>2.5</v>
      </c>
      <c r="F1294" s="11">
        <f t="shared" si="63"/>
        <v>23253000</v>
      </c>
      <c r="G1294" s="11">
        <f t="shared" si="64"/>
        <v>78492000</v>
      </c>
      <c r="H1294" s="11">
        <f t="shared" si="65"/>
        <v>9301200</v>
      </c>
    </row>
    <row r="1295" spans="1:8">
      <c r="A1295" s="6" t="s">
        <v>18</v>
      </c>
      <c r="B1295">
        <v>1234000</v>
      </c>
      <c r="C1295">
        <v>1270000</v>
      </c>
      <c r="D1295" s="8" t="str">
        <f>VLOOKUP(A1295,Лист2!A:E,5,0)</f>
        <v>малые</v>
      </c>
      <c r="E1295" s="10">
        <f>VLOOKUP(A1295,Лист2!A:E,4,0)</f>
        <v>2.5</v>
      </c>
      <c r="F1295" s="11">
        <f t="shared" si="63"/>
        <v>-36000</v>
      </c>
      <c r="G1295" s="11">
        <f t="shared" si="64"/>
        <v>493600</v>
      </c>
      <c r="H1295" s="11">
        <f t="shared" si="65"/>
        <v>-14400</v>
      </c>
    </row>
    <row r="1296" spans="1:8">
      <c r="A1296" s="6" t="s">
        <v>18</v>
      </c>
      <c r="B1296">
        <v>5030000</v>
      </c>
      <c r="C1296">
        <v>6742000</v>
      </c>
      <c r="D1296" s="8" t="str">
        <f>VLOOKUP(A1296,Лист2!A:E,5,0)</f>
        <v>малые</v>
      </c>
      <c r="E1296" s="10">
        <f>VLOOKUP(A1296,Лист2!A:E,4,0)</f>
        <v>2.5</v>
      </c>
      <c r="F1296" s="11">
        <f t="shared" si="63"/>
        <v>-1712000</v>
      </c>
      <c r="G1296" s="11">
        <f t="shared" si="64"/>
        <v>2012000</v>
      </c>
      <c r="H1296" s="11">
        <f t="shared" si="65"/>
        <v>-684800</v>
      </c>
    </row>
    <row r="1297" spans="1:8">
      <c r="A1297" s="6" t="s">
        <v>18</v>
      </c>
      <c r="B1297">
        <v>197000</v>
      </c>
      <c r="C1297">
        <v>211000</v>
      </c>
      <c r="D1297" s="8" t="str">
        <f>VLOOKUP(A1297,Лист2!A:E,5,0)</f>
        <v>малые</v>
      </c>
      <c r="E1297" s="10">
        <f>VLOOKUP(A1297,Лист2!A:E,4,0)</f>
        <v>2.5</v>
      </c>
      <c r="F1297" s="11">
        <f t="shared" si="63"/>
        <v>-14000</v>
      </c>
      <c r="G1297" s="11">
        <f t="shared" si="64"/>
        <v>78800</v>
      </c>
      <c r="H1297" s="11">
        <f t="shared" si="65"/>
        <v>-5600</v>
      </c>
    </row>
    <row r="1298" spans="1:8">
      <c r="A1298" s="6" t="s">
        <v>18</v>
      </c>
      <c r="B1298">
        <v>575000</v>
      </c>
      <c r="C1298">
        <v>593000</v>
      </c>
      <c r="D1298" s="8" t="str">
        <f>VLOOKUP(A1298,Лист2!A:E,5,0)</f>
        <v>малые</v>
      </c>
      <c r="E1298" s="10">
        <f>VLOOKUP(A1298,Лист2!A:E,4,0)</f>
        <v>2.5</v>
      </c>
      <c r="F1298" s="11">
        <f t="shared" si="63"/>
        <v>-18000</v>
      </c>
      <c r="G1298" s="11">
        <f t="shared" si="64"/>
        <v>230000</v>
      </c>
      <c r="H1298" s="11">
        <f t="shared" si="65"/>
        <v>-7200</v>
      </c>
    </row>
    <row r="1299" spans="1:8">
      <c r="A1299" s="6" t="s">
        <v>18</v>
      </c>
      <c r="B1299">
        <v>5465000</v>
      </c>
      <c r="C1299">
        <v>5341000</v>
      </c>
      <c r="D1299" s="8" t="str">
        <f>VLOOKUP(A1299,Лист2!A:E,5,0)</f>
        <v>малые</v>
      </c>
      <c r="E1299" s="10">
        <f>VLOOKUP(A1299,Лист2!A:E,4,0)</f>
        <v>2.5</v>
      </c>
      <c r="F1299" s="11">
        <f t="shared" si="63"/>
        <v>124000</v>
      </c>
      <c r="G1299" s="11">
        <f t="shared" si="64"/>
        <v>2186000</v>
      </c>
      <c r="H1299" s="11">
        <f t="shared" si="65"/>
        <v>49600</v>
      </c>
    </row>
    <row r="1300" spans="1:8">
      <c r="A1300" s="6" t="s">
        <v>18</v>
      </c>
      <c r="B1300">
        <v>731000</v>
      </c>
      <c r="C1300">
        <v>950000</v>
      </c>
      <c r="D1300" s="8" t="str">
        <f>VLOOKUP(A1300,Лист2!A:E,5,0)</f>
        <v>малые</v>
      </c>
      <c r="E1300" s="10">
        <f>VLOOKUP(A1300,Лист2!A:E,4,0)</f>
        <v>2.5</v>
      </c>
      <c r="F1300" s="11">
        <f t="shared" si="63"/>
        <v>-219000</v>
      </c>
      <c r="G1300" s="11">
        <f t="shared" si="64"/>
        <v>292400</v>
      </c>
      <c r="H1300" s="11">
        <f t="shared" si="65"/>
        <v>-87600</v>
      </c>
    </row>
    <row r="1301" spans="1:8">
      <c r="A1301" s="6" t="s">
        <v>18</v>
      </c>
      <c r="B1301">
        <v>1203000</v>
      </c>
      <c r="C1301">
        <v>1250000</v>
      </c>
      <c r="D1301" s="8" t="str">
        <f>VLOOKUP(A1301,Лист2!A:E,5,0)</f>
        <v>малые</v>
      </c>
      <c r="E1301" s="10">
        <f>VLOOKUP(A1301,Лист2!A:E,4,0)</f>
        <v>2.5</v>
      </c>
      <c r="F1301" s="11">
        <f t="shared" si="63"/>
        <v>-47000</v>
      </c>
      <c r="G1301" s="11">
        <f t="shared" si="64"/>
        <v>481200</v>
      </c>
      <c r="H1301" s="11">
        <f t="shared" si="65"/>
        <v>-18800</v>
      </c>
    </row>
    <row r="1302" spans="1:8">
      <c r="A1302" s="6" t="s">
        <v>18</v>
      </c>
      <c r="B1302">
        <v>817000</v>
      </c>
      <c r="C1302">
        <v>779000</v>
      </c>
      <c r="D1302" s="8" t="str">
        <f>VLOOKUP(A1302,Лист2!A:E,5,0)</f>
        <v>малые</v>
      </c>
      <c r="E1302" s="10">
        <f>VLOOKUP(A1302,Лист2!A:E,4,0)</f>
        <v>2.5</v>
      </c>
      <c r="F1302" s="11">
        <f t="shared" si="63"/>
        <v>38000</v>
      </c>
      <c r="G1302" s="11">
        <f t="shared" si="64"/>
        <v>326800</v>
      </c>
      <c r="H1302" s="11">
        <f t="shared" si="65"/>
        <v>15200</v>
      </c>
    </row>
    <row r="1303" spans="1:8">
      <c r="A1303" s="6" t="s">
        <v>18</v>
      </c>
      <c r="B1303">
        <v>271000</v>
      </c>
      <c r="C1303">
        <v>534000</v>
      </c>
      <c r="D1303" s="8" t="str">
        <f>VLOOKUP(A1303,Лист2!A:E,5,0)</f>
        <v>малые</v>
      </c>
      <c r="E1303" s="10">
        <f>VLOOKUP(A1303,Лист2!A:E,4,0)</f>
        <v>2.5</v>
      </c>
      <c r="F1303" s="11">
        <f t="shared" si="63"/>
        <v>-263000</v>
      </c>
      <c r="G1303" s="11">
        <f t="shared" si="64"/>
        <v>108400</v>
      </c>
      <c r="H1303" s="11">
        <f t="shared" si="65"/>
        <v>-105200</v>
      </c>
    </row>
    <row r="1304" spans="1:8">
      <c r="A1304" s="6" t="s">
        <v>18</v>
      </c>
      <c r="B1304">
        <v>2060000</v>
      </c>
      <c r="C1304">
        <v>1996000</v>
      </c>
      <c r="D1304" s="8" t="str">
        <f>VLOOKUP(A1304,Лист2!A:E,5,0)</f>
        <v>малые</v>
      </c>
      <c r="E1304" s="10">
        <f>VLOOKUP(A1304,Лист2!A:E,4,0)</f>
        <v>2.5</v>
      </c>
      <c r="F1304" s="11">
        <f t="shared" si="63"/>
        <v>64000</v>
      </c>
      <c r="G1304" s="11">
        <f t="shared" si="64"/>
        <v>824000</v>
      </c>
      <c r="H1304" s="11">
        <f t="shared" si="65"/>
        <v>25600</v>
      </c>
    </row>
    <row r="1305" spans="1:8">
      <c r="A1305" s="6" t="s">
        <v>18</v>
      </c>
      <c r="B1305">
        <v>45297000</v>
      </c>
      <c r="C1305">
        <v>44529000</v>
      </c>
      <c r="D1305" s="8" t="str">
        <f>VLOOKUP(A1305,Лист2!A:E,5,0)</f>
        <v>малые</v>
      </c>
      <c r="E1305" s="10">
        <f>VLOOKUP(A1305,Лист2!A:E,4,0)</f>
        <v>2.5</v>
      </c>
      <c r="F1305" s="11">
        <f t="shared" si="63"/>
        <v>768000</v>
      </c>
      <c r="G1305" s="11">
        <f t="shared" si="64"/>
        <v>18118800</v>
      </c>
      <c r="H1305" s="11">
        <f t="shared" si="65"/>
        <v>307200</v>
      </c>
    </row>
    <row r="1306" spans="1:8">
      <c r="A1306" s="6" t="s">
        <v>18</v>
      </c>
      <c r="B1306">
        <v>510000</v>
      </c>
      <c r="C1306">
        <v>522000</v>
      </c>
      <c r="D1306" s="8" t="str">
        <f>VLOOKUP(A1306,Лист2!A:E,5,0)</f>
        <v>малые</v>
      </c>
      <c r="E1306" s="10">
        <f>VLOOKUP(A1306,Лист2!A:E,4,0)</f>
        <v>2.5</v>
      </c>
      <c r="F1306" s="11">
        <f t="shared" si="63"/>
        <v>-12000</v>
      </c>
      <c r="G1306" s="11">
        <f t="shared" si="64"/>
        <v>204000</v>
      </c>
      <c r="H1306" s="11">
        <f t="shared" si="65"/>
        <v>-4800</v>
      </c>
    </row>
    <row r="1307" spans="1:8">
      <c r="A1307" s="6" t="s">
        <v>18</v>
      </c>
      <c r="B1307">
        <v>2150000</v>
      </c>
      <c r="C1307">
        <v>2172000</v>
      </c>
      <c r="D1307" s="8" t="str">
        <f>VLOOKUP(A1307,Лист2!A:E,5,0)</f>
        <v>малые</v>
      </c>
      <c r="E1307" s="10">
        <f>VLOOKUP(A1307,Лист2!A:E,4,0)</f>
        <v>2.5</v>
      </c>
      <c r="F1307" s="11">
        <f t="shared" si="63"/>
        <v>-22000</v>
      </c>
      <c r="G1307" s="11">
        <f t="shared" si="64"/>
        <v>860000</v>
      </c>
      <c r="H1307" s="11">
        <f t="shared" si="65"/>
        <v>-8800</v>
      </c>
    </row>
    <row r="1308" spans="1:8">
      <c r="A1308" s="6" t="s">
        <v>18</v>
      </c>
      <c r="B1308">
        <v>1370000</v>
      </c>
      <c r="C1308">
        <v>1581000</v>
      </c>
      <c r="D1308" s="8" t="str">
        <f>VLOOKUP(A1308,Лист2!A:E,5,0)</f>
        <v>малые</v>
      </c>
      <c r="E1308" s="10">
        <f>VLOOKUP(A1308,Лист2!A:E,4,0)</f>
        <v>2.5</v>
      </c>
      <c r="F1308" s="11">
        <f t="shared" si="63"/>
        <v>-211000</v>
      </c>
      <c r="G1308" s="11">
        <f t="shared" si="64"/>
        <v>548000</v>
      </c>
      <c r="H1308" s="11">
        <f t="shared" si="65"/>
        <v>-84400</v>
      </c>
    </row>
    <row r="1309" spans="1:8">
      <c r="A1309" s="6" t="s">
        <v>18</v>
      </c>
      <c r="B1309">
        <v>2869000</v>
      </c>
      <c r="C1309">
        <v>2797000</v>
      </c>
      <c r="D1309" s="8" t="str">
        <f>VLOOKUP(A1309,Лист2!A:E,5,0)</f>
        <v>малые</v>
      </c>
      <c r="E1309" s="10">
        <f>VLOOKUP(A1309,Лист2!A:E,4,0)</f>
        <v>2.5</v>
      </c>
      <c r="F1309" s="11">
        <f t="shared" si="63"/>
        <v>72000</v>
      </c>
      <c r="G1309" s="11">
        <f t="shared" si="64"/>
        <v>1147600</v>
      </c>
      <c r="H1309" s="11">
        <f t="shared" si="65"/>
        <v>28800</v>
      </c>
    </row>
    <row r="1310" spans="1:8">
      <c r="A1310" s="6" t="s">
        <v>18</v>
      </c>
      <c r="B1310">
        <v>804000</v>
      </c>
      <c r="C1310">
        <v>674000</v>
      </c>
      <c r="D1310" s="8" t="str">
        <f>VLOOKUP(A1310,Лист2!A:E,5,0)</f>
        <v>малые</v>
      </c>
      <c r="E1310" s="10">
        <f>VLOOKUP(A1310,Лист2!A:E,4,0)</f>
        <v>2.5</v>
      </c>
      <c r="F1310" s="11">
        <f t="shared" si="63"/>
        <v>130000</v>
      </c>
      <c r="G1310" s="11">
        <f t="shared" si="64"/>
        <v>321600</v>
      </c>
      <c r="H1310" s="11">
        <f t="shared" si="65"/>
        <v>52000</v>
      </c>
    </row>
    <row r="1311" spans="1:8">
      <c r="A1311" s="6" t="s">
        <v>22</v>
      </c>
      <c r="B1311">
        <v>16616000</v>
      </c>
      <c r="C1311">
        <v>18101000</v>
      </c>
      <c r="D1311" s="8" t="str">
        <f>VLOOKUP(A1311,Лист2!A:E,5,0)</f>
        <v>малые</v>
      </c>
      <c r="E1311" s="10">
        <f>VLOOKUP(A1311,Лист2!A:E,4,0)</f>
        <v>13</v>
      </c>
      <c r="F1311" s="11">
        <f t="shared" si="63"/>
        <v>-1485000</v>
      </c>
      <c r="G1311" s="11">
        <f t="shared" si="64"/>
        <v>1278153.8461538462</v>
      </c>
      <c r="H1311" s="11">
        <f t="shared" si="65"/>
        <v>-114230.76923076923</v>
      </c>
    </row>
    <row r="1312" spans="1:8">
      <c r="A1312" s="6" t="s">
        <v>22</v>
      </c>
      <c r="B1312">
        <v>18308000</v>
      </c>
      <c r="C1312">
        <v>18705000</v>
      </c>
      <c r="D1312" s="8" t="str">
        <f>VLOOKUP(A1312,Лист2!A:E,5,0)</f>
        <v>малые</v>
      </c>
      <c r="E1312" s="10">
        <f>VLOOKUP(A1312,Лист2!A:E,4,0)</f>
        <v>13</v>
      </c>
      <c r="F1312" s="11">
        <f t="shared" si="63"/>
        <v>-397000</v>
      </c>
      <c r="G1312" s="11">
        <f t="shared" si="64"/>
        <v>1408307.6923076923</v>
      </c>
      <c r="H1312" s="11">
        <f t="shared" si="65"/>
        <v>-30538.461538461539</v>
      </c>
    </row>
    <row r="1313" spans="1:8">
      <c r="A1313" s="6" t="s">
        <v>18</v>
      </c>
      <c r="B1313">
        <v>73000</v>
      </c>
      <c r="C1313">
        <v>175000</v>
      </c>
      <c r="D1313" s="8" t="str">
        <f>VLOOKUP(A1313,Лист2!A:E,5,0)</f>
        <v>малые</v>
      </c>
      <c r="E1313" s="10">
        <f>VLOOKUP(A1313,Лист2!A:E,4,0)</f>
        <v>2.5</v>
      </c>
      <c r="F1313" s="11">
        <f t="shared" si="63"/>
        <v>-102000</v>
      </c>
      <c r="G1313" s="11">
        <f t="shared" si="64"/>
        <v>29200</v>
      </c>
      <c r="H1313" s="11">
        <f t="shared" si="65"/>
        <v>-40800</v>
      </c>
    </row>
    <row r="1314" spans="1:8">
      <c r="A1314" s="6" t="s">
        <v>18</v>
      </c>
      <c r="B1314">
        <v>31000</v>
      </c>
      <c r="C1314">
        <v>31000</v>
      </c>
      <c r="D1314" s="8" t="str">
        <f>VLOOKUP(A1314,Лист2!A:E,5,0)</f>
        <v>малые</v>
      </c>
      <c r="E1314" s="10">
        <f>VLOOKUP(A1314,Лист2!A:E,4,0)</f>
        <v>2.5</v>
      </c>
      <c r="F1314" s="11">
        <f t="shared" si="63"/>
        <v>0</v>
      </c>
      <c r="G1314" s="11">
        <f t="shared" si="64"/>
        <v>12400</v>
      </c>
      <c r="H1314" s="11">
        <f t="shared" si="65"/>
        <v>0</v>
      </c>
    </row>
    <row r="1315" spans="1:8">
      <c r="A1315" s="6" t="s">
        <v>18</v>
      </c>
      <c r="B1315">
        <v>13232000</v>
      </c>
      <c r="C1315">
        <v>15410000</v>
      </c>
      <c r="D1315" s="8" t="str">
        <f>VLOOKUP(A1315,Лист2!A:E,5,0)</f>
        <v>малые</v>
      </c>
      <c r="E1315" s="10">
        <f>VLOOKUP(A1315,Лист2!A:E,4,0)</f>
        <v>2.5</v>
      </c>
      <c r="F1315" s="11">
        <f t="shared" si="63"/>
        <v>-2178000</v>
      </c>
      <c r="G1315" s="11">
        <f t="shared" si="64"/>
        <v>5292800</v>
      </c>
      <c r="H1315" s="11">
        <f t="shared" si="65"/>
        <v>-871200</v>
      </c>
    </row>
    <row r="1316" spans="1:8">
      <c r="A1316" s="6" t="s">
        <v>18</v>
      </c>
      <c r="B1316">
        <v>277000</v>
      </c>
      <c r="C1316">
        <v>282000</v>
      </c>
      <c r="D1316" s="8" t="str">
        <f>VLOOKUP(A1316,Лист2!A:E,5,0)</f>
        <v>малые</v>
      </c>
      <c r="E1316" s="10">
        <f>VLOOKUP(A1316,Лист2!A:E,4,0)</f>
        <v>2.5</v>
      </c>
      <c r="F1316" s="11">
        <f t="shared" si="63"/>
        <v>-5000</v>
      </c>
      <c r="G1316" s="11">
        <f t="shared" si="64"/>
        <v>110800</v>
      </c>
      <c r="H1316" s="11">
        <f t="shared" si="65"/>
        <v>-2000</v>
      </c>
    </row>
    <row r="1317" spans="1:8">
      <c r="A1317" s="6" t="s">
        <v>18</v>
      </c>
      <c r="B1317">
        <v>345000</v>
      </c>
      <c r="C1317">
        <v>348000</v>
      </c>
      <c r="D1317" s="8" t="str">
        <f>VLOOKUP(A1317,Лист2!A:E,5,0)</f>
        <v>малые</v>
      </c>
      <c r="E1317" s="10">
        <f>VLOOKUP(A1317,Лист2!A:E,4,0)</f>
        <v>2.5</v>
      </c>
      <c r="F1317" s="11">
        <f t="shared" si="63"/>
        <v>-3000</v>
      </c>
      <c r="G1317" s="11">
        <f t="shared" si="64"/>
        <v>138000</v>
      </c>
      <c r="H1317" s="11">
        <f t="shared" si="65"/>
        <v>-1200</v>
      </c>
    </row>
    <row r="1318" spans="1:8">
      <c r="A1318" s="6" t="s">
        <v>18</v>
      </c>
      <c r="B1318">
        <v>8521000</v>
      </c>
      <c r="C1318">
        <v>8430000</v>
      </c>
      <c r="D1318" s="8" t="str">
        <f>VLOOKUP(A1318,Лист2!A:E,5,0)</f>
        <v>малые</v>
      </c>
      <c r="E1318" s="10">
        <f>VLOOKUP(A1318,Лист2!A:E,4,0)</f>
        <v>2.5</v>
      </c>
      <c r="F1318" s="11">
        <f t="shared" si="63"/>
        <v>91000</v>
      </c>
      <c r="G1318" s="11">
        <f t="shared" si="64"/>
        <v>3408400</v>
      </c>
      <c r="H1318" s="11">
        <f t="shared" si="65"/>
        <v>36400</v>
      </c>
    </row>
    <row r="1319" spans="1:8">
      <c r="A1319" s="6" t="s">
        <v>18</v>
      </c>
      <c r="B1319">
        <v>11018000</v>
      </c>
      <c r="C1319">
        <v>16168000</v>
      </c>
      <c r="D1319" s="8" t="str">
        <f>VLOOKUP(A1319,Лист2!A:E,5,0)</f>
        <v>малые</v>
      </c>
      <c r="E1319" s="10">
        <f>VLOOKUP(A1319,Лист2!A:E,4,0)</f>
        <v>2.5</v>
      </c>
      <c r="F1319" s="11">
        <f t="shared" si="63"/>
        <v>-5150000</v>
      </c>
      <c r="G1319" s="11">
        <f t="shared" si="64"/>
        <v>4407200</v>
      </c>
      <c r="H1319" s="11">
        <f t="shared" si="65"/>
        <v>-2060000</v>
      </c>
    </row>
    <row r="1320" spans="1:8">
      <c r="A1320" s="6" t="s">
        <v>18</v>
      </c>
      <c r="B1320">
        <v>13213000</v>
      </c>
      <c r="C1320">
        <v>14049000</v>
      </c>
      <c r="D1320" s="8" t="str">
        <f>VLOOKUP(A1320,Лист2!A:E,5,0)</f>
        <v>малые</v>
      </c>
      <c r="E1320" s="10">
        <f>VLOOKUP(A1320,Лист2!A:E,4,0)</f>
        <v>2.5</v>
      </c>
      <c r="F1320" s="11">
        <f t="shared" si="63"/>
        <v>-836000</v>
      </c>
      <c r="G1320" s="11">
        <f t="shared" si="64"/>
        <v>5285200</v>
      </c>
      <c r="H1320" s="11">
        <f t="shared" si="65"/>
        <v>-334400</v>
      </c>
    </row>
    <row r="1321" spans="1:8">
      <c r="A1321" s="6" t="s">
        <v>18</v>
      </c>
      <c r="B1321">
        <v>193000</v>
      </c>
      <c r="C1321">
        <v>163000</v>
      </c>
      <c r="D1321" s="8" t="str">
        <f>VLOOKUP(A1321,Лист2!A:E,5,0)</f>
        <v>малые</v>
      </c>
      <c r="E1321" s="10">
        <f>VLOOKUP(A1321,Лист2!A:E,4,0)</f>
        <v>2.5</v>
      </c>
      <c r="F1321" s="11">
        <f t="shared" si="63"/>
        <v>30000</v>
      </c>
      <c r="G1321" s="11">
        <f t="shared" si="64"/>
        <v>77200</v>
      </c>
      <c r="H1321" s="11">
        <f t="shared" si="65"/>
        <v>12000</v>
      </c>
    </row>
    <row r="1322" spans="1:8">
      <c r="A1322" s="6" t="s">
        <v>77</v>
      </c>
      <c r="B1322">
        <v>272246000</v>
      </c>
      <c r="C1322">
        <v>273568000</v>
      </c>
      <c r="D1322" s="8" t="str">
        <f>VLOOKUP(A1322,Лист2!A:E,5,0)</f>
        <v>малые</v>
      </c>
      <c r="E1322" s="10">
        <f>VLOOKUP(A1322,Лист2!A:E,4,0)</f>
        <v>8</v>
      </c>
      <c r="F1322" s="11">
        <f t="shared" si="63"/>
        <v>-1322000</v>
      </c>
      <c r="G1322" s="11">
        <f t="shared" si="64"/>
        <v>34030750</v>
      </c>
      <c r="H1322" s="11">
        <f t="shared" si="65"/>
        <v>-165250</v>
      </c>
    </row>
    <row r="1323" spans="1:8">
      <c r="A1323" s="6" t="s">
        <v>18</v>
      </c>
      <c r="B1323">
        <v>12633000</v>
      </c>
      <c r="C1323">
        <v>7153000</v>
      </c>
      <c r="D1323" s="8" t="str">
        <f>VLOOKUP(A1323,Лист2!A:E,5,0)</f>
        <v>малые</v>
      </c>
      <c r="E1323" s="10">
        <f>VLOOKUP(A1323,Лист2!A:E,4,0)</f>
        <v>2.5</v>
      </c>
      <c r="F1323" s="11">
        <f t="shared" si="63"/>
        <v>5480000</v>
      </c>
      <c r="G1323" s="11">
        <f t="shared" si="64"/>
        <v>5053200</v>
      </c>
      <c r="H1323" s="11">
        <f t="shared" si="65"/>
        <v>2192000</v>
      </c>
    </row>
    <row r="1324" spans="1:8">
      <c r="A1324" s="6" t="s">
        <v>18</v>
      </c>
      <c r="B1324">
        <v>91000</v>
      </c>
      <c r="C1324">
        <v>92000</v>
      </c>
      <c r="D1324" s="8" t="str">
        <f>VLOOKUP(A1324,Лист2!A:E,5,0)</f>
        <v>малые</v>
      </c>
      <c r="E1324" s="10">
        <f>VLOOKUP(A1324,Лист2!A:E,4,0)</f>
        <v>2.5</v>
      </c>
      <c r="F1324" s="11">
        <f t="shared" si="63"/>
        <v>-1000</v>
      </c>
      <c r="G1324" s="11">
        <f t="shared" si="64"/>
        <v>36400</v>
      </c>
      <c r="H1324" s="11">
        <f t="shared" si="65"/>
        <v>-400</v>
      </c>
    </row>
    <row r="1325" spans="1:8">
      <c r="A1325" s="6" t="s">
        <v>18</v>
      </c>
      <c r="B1325">
        <v>1884000</v>
      </c>
      <c r="C1325">
        <v>1907000</v>
      </c>
      <c r="D1325" s="8" t="str">
        <f>VLOOKUP(A1325,Лист2!A:E,5,0)</f>
        <v>малые</v>
      </c>
      <c r="E1325" s="10">
        <f>VLOOKUP(A1325,Лист2!A:E,4,0)</f>
        <v>2.5</v>
      </c>
      <c r="F1325" s="11">
        <f t="shared" si="63"/>
        <v>-23000</v>
      </c>
      <c r="G1325" s="11">
        <f t="shared" si="64"/>
        <v>753600</v>
      </c>
      <c r="H1325" s="11">
        <f t="shared" si="65"/>
        <v>-9200</v>
      </c>
    </row>
    <row r="1326" spans="1:8">
      <c r="A1326" s="6" t="s">
        <v>18</v>
      </c>
      <c r="B1326">
        <v>273000</v>
      </c>
      <c r="C1326">
        <v>233000</v>
      </c>
      <c r="D1326" s="8" t="str">
        <f>VLOOKUP(A1326,Лист2!A:E,5,0)</f>
        <v>малые</v>
      </c>
      <c r="E1326" s="10">
        <f>VLOOKUP(A1326,Лист2!A:E,4,0)</f>
        <v>2.5</v>
      </c>
      <c r="F1326" s="11">
        <f t="shared" si="63"/>
        <v>40000</v>
      </c>
      <c r="G1326" s="11">
        <f t="shared" si="64"/>
        <v>109200</v>
      </c>
      <c r="H1326" s="11">
        <f t="shared" si="65"/>
        <v>16000</v>
      </c>
    </row>
    <row r="1327" spans="1:8">
      <c r="A1327" s="6" t="s">
        <v>18</v>
      </c>
      <c r="B1327">
        <v>6000</v>
      </c>
      <c r="C1327">
        <v>6000</v>
      </c>
      <c r="D1327" s="8" t="str">
        <f>VLOOKUP(A1327,Лист2!A:E,5,0)</f>
        <v>малые</v>
      </c>
      <c r="E1327" s="10">
        <f>VLOOKUP(A1327,Лист2!A:E,4,0)</f>
        <v>2.5</v>
      </c>
      <c r="F1327" s="11">
        <f t="shared" si="63"/>
        <v>0</v>
      </c>
      <c r="G1327" s="11">
        <f t="shared" si="64"/>
        <v>2400</v>
      </c>
      <c r="H1327" s="11">
        <f t="shared" si="65"/>
        <v>0</v>
      </c>
    </row>
    <row r="1328" spans="1:8">
      <c r="A1328" s="6" t="s">
        <v>18</v>
      </c>
      <c r="B1328">
        <v>510000</v>
      </c>
      <c r="C1328">
        <v>481000</v>
      </c>
      <c r="D1328" s="8" t="str">
        <f>VLOOKUP(A1328,Лист2!A:E,5,0)</f>
        <v>малые</v>
      </c>
      <c r="E1328" s="10">
        <f>VLOOKUP(A1328,Лист2!A:E,4,0)</f>
        <v>2.5</v>
      </c>
      <c r="F1328" s="11">
        <f t="shared" si="63"/>
        <v>29000</v>
      </c>
      <c r="G1328" s="11">
        <f t="shared" si="64"/>
        <v>204000</v>
      </c>
      <c r="H1328" s="11">
        <f t="shared" si="65"/>
        <v>11600</v>
      </c>
    </row>
    <row r="1329" spans="1:8">
      <c r="A1329" s="6" t="s">
        <v>18</v>
      </c>
      <c r="B1329">
        <v>2655000</v>
      </c>
      <c r="C1329">
        <v>3653000</v>
      </c>
      <c r="D1329" s="8" t="str">
        <f>VLOOKUP(A1329,Лист2!A:E,5,0)</f>
        <v>малые</v>
      </c>
      <c r="E1329" s="10">
        <f>VLOOKUP(A1329,Лист2!A:E,4,0)</f>
        <v>2.5</v>
      </c>
      <c r="F1329" s="11">
        <f t="shared" si="63"/>
        <v>-998000</v>
      </c>
      <c r="G1329" s="11">
        <f t="shared" si="64"/>
        <v>1062000</v>
      </c>
      <c r="H1329" s="11">
        <f t="shared" si="65"/>
        <v>-399200</v>
      </c>
    </row>
    <row r="1330" spans="1:8">
      <c r="A1330" s="6" t="s">
        <v>18</v>
      </c>
      <c r="B1330">
        <v>27390000</v>
      </c>
      <c r="C1330">
        <v>29284000</v>
      </c>
      <c r="D1330" s="8" t="str">
        <f>VLOOKUP(A1330,Лист2!A:E,5,0)</f>
        <v>малые</v>
      </c>
      <c r="E1330" s="10">
        <f>VLOOKUP(A1330,Лист2!A:E,4,0)</f>
        <v>2.5</v>
      </c>
      <c r="F1330" s="11">
        <f t="shared" si="63"/>
        <v>-1894000</v>
      </c>
      <c r="G1330" s="11">
        <f t="shared" si="64"/>
        <v>10956000</v>
      </c>
      <c r="H1330" s="11">
        <f t="shared" si="65"/>
        <v>-757600</v>
      </c>
    </row>
    <row r="1331" spans="1:8">
      <c r="A1331" s="6" t="s">
        <v>18</v>
      </c>
      <c r="B1331">
        <v>4107000</v>
      </c>
      <c r="C1331">
        <v>4237000</v>
      </c>
      <c r="D1331" s="8" t="str">
        <f>VLOOKUP(A1331,Лист2!A:E,5,0)</f>
        <v>малые</v>
      </c>
      <c r="E1331" s="10">
        <f>VLOOKUP(A1331,Лист2!A:E,4,0)</f>
        <v>2.5</v>
      </c>
      <c r="F1331" s="11">
        <f t="shared" si="63"/>
        <v>-130000</v>
      </c>
      <c r="G1331" s="11">
        <f t="shared" si="64"/>
        <v>1642800</v>
      </c>
      <c r="H1331" s="11">
        <f t="shared" si="65"/>
        <v>-52000</v>
      </c>
    </row>
    <row r="1332" spans="1:8">
      <c r="A1332" s="6" t="s">
        <v>18</v>
      </c>
      <c r="B1332">
        <v>1541000</v>
      </c>
      <c r="C1332">
        <v>1541000</v>
      </c>
      <c r="D1332" s="8" t="str">
        <f>VLOOKUP(A1332,Лист2!A:E,5,0)</f>
        <v>малые</v>
      </c>
      <c r="E1332" s="10">
        <f>VLOOKUP(A1332,Лист2!A:E,4,0)</f>
        <v>2.5</v>
      </c>
      <c r="F1332" s="11">
        <f t="shared" si="63"/>
        <v>0</v>
      </c>
      <c r="G1332" s="11">
        <f t="shared" si="64"/>
        <v>616400</v>
      </c>
      <c r="H1332" s="11">
        <f t="shared" si="65"/>
        <v>0</v>
      </c>
    </row>
    <row r="1333" spans="1:8">
      <c r="A1333" s="6" t="s">
        <v>18</v>
      </c>
      <c r="B1333">
        <v>1044000</v>
      </c>
      <c r="C1333">
        <v>766000</v>
      </c>
      <c r="D1333" s="8" t="str">
        <f>VLOOKUP(A1333,Лист2!A:E,5,0)</f>
        <v>малые</v>
      </c>
      <c r="E1333" s="10">
        <f>VLOOKUP(A1333,Лист2!A:E,4,0)</f>
        <v>2.5</v>
      </c>
      <c r="F1333" s="11">
        <f t="shared" si="63"/>
        <v>278000</v>
      </c>
      <c r="G1333" s="11">
        <f t="shared" si="64"/>
        <v>417600</v>
      </c>
      <c r="H1333" s="11">
        <f t="shared" si="65"/>
        <v>111200</v>
      </c>
    </row>
    <row r="1334" spans="1:8">
      <c r="A1334" s="6" t="s">
        <v>18</v>
      </c>
      <c r="B1334">
        <v>57749000</v>
      </c>
      <c r="C1334">
        <v>101501000</v>
      </c>
      <c r="D1334" s="8" t="str">
        <f>VLOOKUP(A1334,Лист2!A:E,5,0)</f>
        <v>малые</v>
      </c>
      <c r="E1334" s="10">
        <f>VLOOKUP(A1334,Лист2!A:E,4,0)</f>
        <v>2.5</v>
      </c>
      <c r="F1334" s="11">
        <f t="shared" si="63"/>
        <v>-43752000</v>
      </c>
      <c r="G1334" s="11">
        <f t="shared" si="64"/>
        <v>23099600</v>
      </c>
      <c r="H1334" s="11">
        <f t="shared" si="65"/>
        <v>-17500800</v>
      </c>
    </row>
    <row r="1335" spans="1:8">
      <c r="A1335" s="6" t="s">
        <v>18</v>
      </c>
      <c r="B1335">
        <v>2513000</v>
      </c>
      <c r="C1335">
        <v>2562000</v>
      </c>
      <c r="D1335" s="8" t="str">
        <f>VLOOKUP(A1335,Лист2!A:E,5,0)</f>
        <v>малые</v>
      </c>
      <c r="E1335" s="10">
        <f>VLOOKUP(A1335,Лист2!A:E,4,0)</f>
        <v>2.5</v>
      </c>
      <c r="F1335" s="11">
        <f t="shared" si="63"/>
        <v>-49000</v>
      </c>
      <c r="G1335" s="11">
        <f t="shared" si="64"/>
        <v>1005200</v>
      </c>
      <c r="H1335" s="11">
        <f t="shared" si="65"/>
        <v>-19600</v>
      </c>
    </row>
    <row r="1336" spans="1:8">
      <c r="A1336" s="6" t="s">
        <v>18</v>
      </c>
      <c r="B1336">
        <v>41000</v>
      </c>
      <c r="C1336">
        <v>35000</v>
      </c>
      <c r="D1336" s="8" t="str">
        <f>VLOOKUP(A1336,Лист2!A:E,5,0)</f>
        <v>малые</v>
      </c>
      <c r="E1336" s="10">
        <f>VLOOKUP(A1336,Лист2!A:E,4,0)</f>
        <v>2.5</v>
      </c>
      <c r="F1336" s="11">
        <f t="shared" si="63"/>
        <v>6000</v>
      </c>
      <c r="G1336" s="11">
        <f t="shared" si="64"/>
        <v>16400</v>
      </c>
      <c r="H1336" s="11">
        <f t="shared" si="65"/>
        <v>2400</v>
      </c>
    </row>
    <row r="1337" spans="1:8">
      <c r="A1337" s="6" t="s">
        <v>18</v>
      </c>
      <c r="B1337">
        <v>571000</v>
      </c>
      <c r="C1337">
        <v>705000</v>
      </c>
      <c r="D1337" s="8" t="str">
        <f>VLOOKUP(A1337,Лист2!A:E,5,0)</f>
        <v>малые</v>
      </c>
      <c r="E1337" s="10">
        <f>VLOOKUP(A1337,Лист2!A:E,4,0)</f>
        <v>2.5</v>
      </c>
      <c r="F1337" s="11">
        <f t="shared" si="63"/>
        <v>-134000</v>
      </c>
      <c r="G1337" s="11">
        <f t="shared" si="64"/>
        <v>228400</v>
      </c>
      <c r="H1337" s="11">
        <f t="shared" si="65"/>
        <v>-53600</v>
      </c>
    </row>
    <row r="1338" spans="1:8">
      <c r="A1338" s="6" t="s">
        <v>18</v>
      </c>
      <c r="B1338">
        <v>2368000</v>
      </c>
      <c r="C1338">
        <v>2397000</v>
      </c>
      <c r="D1338" s="8" t="str">
        <f>VLOOKUP(A1338,Лист2!A:E,5,0)</f>
        <v>малые</v>
      </c>
      <c r="E1338" s="10">
        <f>VLOOKUP(A1338,Лист2!A:E,4,0)</f>
        <v>2.5</v>
      </c>
      <c r="F1338" s="11">
        <f t="shared" si="63"/>
        <v>-29000</v>
      </c>
      <c r="G1338" s="11">
        <f t="shared" si="64"/>
        <v>947200</v>
      </c>
      <c r="H1338" s="11">
        <f t="shared" si="65"/>
        <v>-11600</v>
      </c>
    </row>
    <row r="1339" spans="1:8">
      <c r="A1339" s="6" t="s">
        <v>18</v>
      </c>
      <c r="B1339">
        <v>4914000</v>
      </c>
      <c r="C1339">
        <v>3579000</v>
      </c>
      <c r="D1339" s="8" t="str">
        <f>VLOOKUP(A1339,Лист2!A:E,5,0)</f>
        <v>малые</v>
      </c>
      <c r="E1339" s="10">
        <f>VLOOKUP(A1339,Лист2!A:E,4,0)</f>
        <v>2.5</v>
      </c>
      <c r="F1339" s="11">
        <f t="shared" si="63"/>
        <v>1335000</v>
      </c>
      <c r="G1339" s="11">
        <f t="shared" si="64"/>
        <v>1965600</v>
      </c>
      <c r="H1339" s="11">
        <f t="shared" si="65"/>
        <v>534000</v>
      </c>
    </row>
    <row r="1340" spans="1:8">
      <c r="A1340" s="6" t="s">
        <v>18</v>
      </c>
      <c r="B1340">
        <v>12591000</v>
      </c>
      <c r="C1340">
        <v>10489000</v>
      </c>
      <c r="D1340" s="8" t="str">
        <f>VLOOKUP(A1340,Лист2!A:E,5,0)</f>
        <v>малые</v>
      </c>
      <c r="E1340" s="10">
        <f>VLOOKUP(A1340,Лист2!A:E,4,0)</f>
        <v>2.5</v>
      </c>
      <c r="F1340" s="11">
        <f t="shared" si="63"/>
        <v>2102000</v>
      </c>
      <c r="G1340" s="11">
        <f t="shared" si="64"/>
        <v>5036400</v>
      </c>
      <c r="H1340" s="11">
        <f t="shared" si="65"/>
        <v>840800</v>
      </c>
    </row>
    <row r="1341" spans="1:8">
      <c r="A1341" s="6" t="s">
        <v>18</v>
      </c>
      <c r="B1341">
        <v>185000</v>
      </c>
      <c r="C1341">
        <v>186000</v>
      </c>
      <c r="D1341" s="8" t="str">
        <f>VLOOKUP(A1341,Лист2!A:E,5,0)</f>
        <v>малые</v>
      </c>
      <c r="E1341" s="10">
        <f>VLOOKUP(A1341,Лист2!A:E,4,0)</f>
        <v>2.5</v>
      </c>
      <c r="F1341" s="11">
        <f t="shared" si="63"/>
        <v>-1000</v>
      </c>
      <c r="G1341" s="11">
        <f t="shared" si="64"/>
        <v>74000</v>
      </c>
      <c r="H1341" s="11">
        <f t="shared" si="65"/>
        <v>-400</v>
      </c>
    </row>
    <row r="1342" spans="1:8">
      <c r="A1342" s="6" t="s">
        <v>18</v>
      </c>
      <c r="B1342">
        <v>480000</v>
      </c>
      <c r="C1342">
        <v>460000</v>
      </c>
      <c r="D1342" s="8" t="str">
        <f>VLOOKUP(A1342,Лист2!A:E,5,0)</f>
        <v>малые</v>
      </c>
      <c r="E1342" s="10">
        <f>VLOOKUP(A1342,Лист2!A:E,4,0)</f>
        <v>2.5</v>
      </c>
      <c r="F1342" s="11">
        <f t="shared" si="63"/>
        <v>20000</v>
      </c>
      <c r="G1342" s="11">
        <f t="shared" si="64"/>
        <v>192000</v>
      </c>
      <c r="H1342" s="11">
        <f t="shared" si="65"/>
        <v>8000</v>
      </c>
    </row>
    <row r="1343" spans="1:8">
      <c r="A1343" s="6" t="s">
        <v>18</v>
      </c>
      <c r="B1343">
        <v>2061000</v>
      </c>
      <c r="C1343">
        <v>2061000</v>
      </c>
      <c r="D1343" s="8" t="str">
        <f>VLOOKUP(A1343,Лист2!A:E,5,0)</f>
        <v>малые</v>
      </c>
      <c r="E1343" s="10">
        <f>VLOOKUP(A1343,Лист2!A:E,4,0)</f>
        <v>2.5</v>
      </c>
      <c r="F1343" s="11">
        <f t="shared" si="63"/>
        <v>0</v>
      </c>
      <c r="G1343" s="11">
        <f t="shared" si="64"/>
        <v>824400</v>
      </c>
      <c r="H1343" s="11">
        <f t="shared" si="65"/>
        <v>0</v>
      </c>
    </row>
    <row r="1344" spans="1:8">
      <c r="A1344" s="6" t="s">
        <v>18</v>
      </c>
      <c r="B1344">
        <v>275000</v>
      </c>
      <c r="C1344">
        <v>272000</v>
      </c>
      <c r="D1344" s="8" t="str">
        <f>VLOOKUP(A1344,Лист2!A:E,5,0)</f>
        <v>малые</v>
      </c>
      <c r="E1344" s="10">
        <f>VLOOKUP(A1344,Лист2!A:E,4,0)</f>
        <v>2.5</v>
      </c>
      <c r="F1344" s="11">
        <f t="shared" si="63"/>
        <v>3000</v>
      </c>
      <c r="G1344" s="11">
        <f t="shared" si="64"/>
        <v>110000</v>
      </c>
      <c r="H1344" s="11">
        <f t="shared" si="65"/>
        <v>1200</v>
      </c>
    </row>
    <row r="1345" spans="1:8">
      <c r="A1345" s="6" t="s">
        <v>18</v>
      </c>
      <c r="B1345">
        <v>606000</v>
      </c>
      <c r="C1345">
        <v>585000</v>
      </c>
      <c r="D1345" s="8" t="str">
        <f>VLOOKUP(A1345,Лист2!A:E,5,0)</f>
        <v>малые</v>
      </c>
      <c r="E1345" s="10">
        <f>VLOOKUP(A1345,Лист2!A:E,4,0)</f>
        <v>2.5</v>
      </c>
      <c r="F1345" s="11">
        <f t="shared" si="63"/>
        <v>21000</v>
      </c>
      <c r="G1345" s="11">
        <f t="shared" si="64"/>
        <v>242400</v>
      </c>
      <c r="H1345" s="11">
        <f t="shared" si="65"/>
        <v>8400</v>
      </c>
    </row>
    <row r="1346" spans="1:8">
      <c r="A1346" s="6" t="s">
        <v>22</v>
      </c>
      <c r="B1346">
        <v>15307000</v>
      </c>
      <c r="C1346">
        <v>13198000</v>
      </c>
      <c r="D1346" s="8" t="str">
        <f>VLOOKUP(A1346,Лист2!A:E,5,0)</f>
        <v>малые</v>
      </c>
      <c r="E1346" s="10">
        <f>VLOOKUP(A1346,Лист2!A:E,4,0)</f>
        <v>13</v>
      </c>
      <c r="F1346" s="11">
        <f t="shared" si="63"/>
        <v>2109000</v>
      </c>
      <c r="G1346" s="11">
        <f t="shared" si="64"/>
        <v>1177461.5384615385</v>
      </c>
      <c r="H1346" s="11">
        <f t="shared" si="65"/>
        <v>162230.76923076922</v>
      </c>
    </row>
    <row r="1347" spans="1:8">
      <c r="A1347" s="6" t="s">
        <v>18</v>
      </c>
      <c r="B1347">
        <v>2035000</v>
      </c>
      <c r="C1347">
        <v>1511000</v>
      </c>
      <c r="D1347" s="8" t="str">
        <f>VLOOKUP(A1347,Лист2!A:E,5,0)</f>
        <v>малые</v>
      </c>
      <c r="E1347" s="10">
        <f>VLOOKUP(A1347,Лист2!A:E,4,0)</f>
        <v>2.5</v>
      </c>
      <c r="F1347" s="11">
        <f t="shared" si="63"/>
        <v>524000</v>
      </c>
      <c r="G1347" s="11">
        <f t="shared" si="64"/>
        <v>814000</v>
      </c>
      <c r="H1347" s="11">
        <f t="shared" si="65"/>
        <v>209600</v>
      </c>
    </row>
    <row r="1348" spans="1:8">
      <c r="A1348" s="6" t="s">
        <v>18</v>
      </c>
      <c r="B1348">
        <v>820000</v>
      </c>
      <c r="C1348">
        <v>537000</v>
      </c>
      <c r="D1348" s="8" t="str">
        <f>VLOOKUP(A1348,Лист2!A:E,5,0)</f>
        <v>малые</v>
      </c>
      <c r="E1348" s="10">
        <f>VLOOKUP(A1348,Лист2!A:E,4,0)</f>
        <v>2.5</v>
      </c>
      <c r="F1348" s="11">
        <f t="shared" si="63"/>
        <v>283000</v>
      </c>
      <c r="G1348" s="11">
        <f t="shared" si="64"/>
        <v>328000</v>
      </c>
      <c r="H1348" s="11">
        <f t="shared" si="65"/>
        <v>113200</v>
      </c>
    </row>
    <row r="1349" spans="1:8">
      <c r="A1349" s="6" t="s">
        <v>18</v>
      </c>
      <c r="B1349">
        <v>24258000</v>
      </c>
      <c r="C1349">
        <v>25635000</v>
      </c>
      <c r="D1349" s="8" t="str">
        <f>VLOOKUP(A1349,Лист2!A:E,5,0)</f>
        <v>малые</v>
      </c>
      <c r="E1349" s="10">
        <f>VLOOKUP(A1349,Лист2!A:E,4,0)</f>
        <v>2.5</v>
      </c>
      <c r="F1349" s="11">
        <f t="shared" si="63"/>
        <v>-1377000</v>
      </c>
      <c r="G1349" s="11">
        <f t="shared" si="64"/>
        <v>9703200</v>
      </c>
      <c r="H1349" s="11">
        <f t="shared" si="65"/>
        <v>-550800</v>
      </c>
    </row>
    <row r="1350" spans="1:8">
      <c r="A1350" s="6" t="s">
        <v>18</v>
      </c>
      <c r="B1350">
        <v>7980000</v>
      </c>
      <c r="C1350">
        <v>7111000</v>
      </c>
      <c r="D1350" s="8" t="str">
        <f>VLOOKUP(A1350,Лист2!A:E,5,0)</f>
        <v>малые</v>
      </c>
      <c r="E1350" s="10">
        <f>VLOOKUP(A1350,Лист2!A:E,4,0)</f>
        <v>2.5</v>
      </c>
      <c r="F1350" s="11">
        <f t="shared" si="63"/>
        <v>869000</v>
      </c>
      <c r="G1350" s="11">
        <f t="shared" si="64"/>
        <v>3192000</v>
      </c>
      <c r="H1350" s="11">
        <f t="shared" si="65"/>
        <v>347600</v>
      </c>
    </row>
    <row r="1351" spans="1:8">
      <c r="A1351" s="6" t="s">
        <v>18</v>
      </c>
      <c r="B1351">
        <v>1564000</v>
      </c>
      <c r="C1351">
        <v>1553000</v>
      </c>
      <c r="D1351" s="8" t="str">
        <f>VLOOKUP(A1351,Лист2!A:E,5,0)</f>
        <v>малые</v>
      </c>
      <c r="E1351" s="10">
        <f>VLOOKUP(A1351,Лист2!A:E,4,0)</f>
        <v>2.5</v>
      </c>
      <c r="F1351" s="11">
        <f t="shared" si="63"/>
        <v>11000</v>
      </c>
      <c r="G1351" s="11">
        <f t="shared" si="64"/>
        <v>625600</v>
      </c>
      <c r="H1351" s="11">
        <f t="shared" si="65"/>
        <v>4400</v>
      </c>
    </row>
    <row r="1352" spans="1:8">
      <c r="A1352" s="6" t="s">
        <v>18</v>
      </c>
      <c r="B1352">
        <v>7522000</v>
      </c>
      <c r="C1352">
        <v>6588000</v>
      </c>
      <c r="D1352" s="8" t="str">
        <f>VLOOKUP(A1352,Лист2!A:E,5,0)</f>
        <v>малые</v>
      </c>
      <c r="E1352" s="10">
        <f>VLOOKUP(A1352,Лист2!A:E,4,0)</f>
        <v>2.5</v>
      </c>
      <c r="F1352" s="11">
        <f t="shared" si="63"/>
        <v>934000</v>
      </c>
      <c r="G1352" s="11">
        <f t="shared" si="64"/>
        <v>3008800</v>
      </c>
      <c r="H1352" s="11">
        <f t="shared" si="65"/>
        <v>373600</v>
      </c>
    </row>
    <row r="1353" spans="1:8">
      <c r="A1353" s="6" t="s">
        <v>18</v>
      </c>
      <c r="B1353">
        <v>9121000</v>
      </c>
      <c r="C1353">
        <v>9121000</v>
      </c>
      <c r="D1353" s="8" t="str">
        <f>VLOOKUP(A1353,Лист2!A:E,5,0)</f>
        <v>малые</v>
      </c>
      <c r="E1353" s="10">
        <f>VLOOKUP(A1353,Лист2!A:E,4,0)</f>
        <v>2.5</v>
      </c>
      <c r="F1353" s="11">
        <f t="shared" ref="F1353:F1413" si="66">B1353-C1353</f>
        <v>0</v>
      </c>
      <c r="G1353" s="11">
        <f t="shared" ref="G1353:G1413" si="67">B1353/E1353</f>
        <v>3648400</v>
      </c>
      <c r="H1353" s="11">
        <f t="shared" ref="H1353:H1413" si="68">F1353/E1353</f>
        <v>0</v>
      </c>
    </row>
    <row r="1354" spans="1:8">
      <c r="A1354" s="6" t="s">
        <v>18</v>
      </c>
      <c r="B1354">
        <v>2525000</v>
      </c>
      <c r="C1354">
        <v>2657000</v>
      </c>
      <c r="D1354" s="8" t="str">
        <f>VLOOKUP(A1354,Лист2!A:E,5,0)</f>
        <v>малые</v>
      </c>
      <c r="E1354" s="10">
        <f>VLOOKUP(A1354,Лист2!A:E,4,0)</f>
        <v>2.5</v>
      </c>
      <c r="F1354" s="11">
        <f t="shared" si="66"/>
        <v>-132000</v>
      </c>
      <c r="G1354" s="11">
        <f t="shared" si="67"/>
        <v>1010000</v>
      </c>
      <c r="H1354" s="11">
        <f t="shared" si="68"/>
        <v>-52800</v>
      </c>
    </row>
    <row r="1355" spans="1:8">
      <c r="A1355" s="6" t="s">
        <v>18</v>
      </c>
      <c r="B1355">
        <v>489000</v>
      </c>
      <c r="C1355">
        <v>535000</v>
      </c>
      <c r="D1355" s="8" t="str">
        <f>VLOOKUP(A1355,Лист2!A:E,5,0)</f>
        <v>малые</v>
      </c>
      <c r="E1355" s="10">
        <f>VLOOKUP(A1355,Лист2!A:E,4,0)</f>
        <v>2.5</v>
      </c>
      <c r="F1355" s="11">
        <f t="shared" si="66"/>
        <v>-46000</v>
      </c>
      <c r="G1355" s="11">
        <f t="shared" si="67"/>
        <v>195600</v>
      </c>
      <c r="H1355" s="11">
        <f t="shared" si="68"/>
        <v>-18400</v>
      </c>
    </row>
    <row r="1356" spans="1:8">
      <c r="A1356" s="6" t="s">
        <v>18</v>
      </c>
      <c r="B1356">
        <v>3453000</v>
      </c>
      <c r="C1356">
        <v>3119000</v>
      </c>
      <c r="D1356" s="8" t="str">
        <f>VLOOKUP(A1356,Лист2!A:E,5,0)</f>
        <v>малые</v>
      </c>
      <c r="E1356" s="10">
        <f>VLOOKUP(A1356,Лист2!A:E,4,0)</f>
        <v>2.5</v>
      </c>
      <c r="F1356" s="11">
        <f t="shared" si="66"/>
        <v>334000</v>
      </c>
      <c r="G1356" s="11">
        <f t="shared" si="67"/>
        <v>1381200</v>
      </c>
      <c r="H1356" s="11">
        <f t="shared" si="68"/>
        <v>133600</v>
      </c>
    </row>
    <row r="1357" spans="1:8">
      <c r="A1357" s="6" t="s">
        <v>18</v>
      </c>
      <c r="B1357">
        <v>2817000</v>
      </c>
      <c r="C1357">
        <v>3095000</v>
      </c>
      <c r="D1357" s="8" t="str">
        <f>VLOOKUP(A1357,Лист2!A:E,5,0)</f>
        <v>малые</v>
      </c>
      <c r="E1357" s="10">
        <f>VLOOKUP(A1357,Лист2!A:E,4,0)</f>
        <v>2.5</v>
      </c>
      <c r="F1357" s="11">
        <f t="shared" si="66"/>
        <v>-278000</v>
      </c>
      <c r="G1357" s="11">
        <f t="shared" si="67"/>
        <v>1126800</v>
      </c>
      <c r="H1357" s="11">
        <f t="shared" si="68"/>
        <v>-111200</v>
      </c>
    </row>
    <row r="1358" spans="1:8">
      <c r="A1358" s="6" t="s">
        <v>18</v>
      </c>
      <c r="B1358">
        <v>101586000</v>
      </c>
      <c r="C1358">
        <v>97996000</v>
      </c>
      <c r="D1358" s="8" t="str">
        <f>VLOOKUP(A1358,Лист2!A:E,5,0)</f>
        <v>малые</v>
      </c>
      <c r="E1358" s="10">
        <f>VLOOKUP(A1358,Лист2!A:E,4,0)</f>
        <v>2.5</v>
      </c>
      <c r="F1358" s="11">
        <f t="shared" si="66"/>
        <v>3590000</v>
      </c>
      <c r="G1358" s="11">
        <f t="shared" si="67"/>
        <v>40634400</v>
      </c>
      <c r="H1358" s="11">
        <f t="shared" si="68"/>
        <v>1436000</v>
      </c>
    </row>
    <row r="1359" spans="1:8">
      <c r="A1359" s="6" t="s">
        <v>18</v>
      </c>
      <c r="B1359">
        <v>388000</v>
      </c>
      <c r="C1359">
        <v>454000</v>
      </c>
      <c r="D1359" s="8" t="str">
        <f>VLOOKUP(A1359,Лист2!A:E,5,0)</f>
        <v>малые</v>
      </c>
      <c r="E1359" s="10">
        <f>VLOOKUP(A1359,Лист2!A:E,4,0)</f>
        <v>2.5</v>
      </c>
      <c r="F1359" s="11">
        <f t="shared" si="66"/>
        <v>-66000</v>
      </c>
      <c r="G1359" s="11">
        <f t="shared" si="67"/>
        <v>155200</v>
      </c>
      <c r="H1359" s="11">
        <f t="shared" si="68"/>
        <v>-26400</v>
      </c>
    </row>
    <row r="1360" spans="1:8">
      <c r="A1360" s="6" t="s">
        <v>22</v>
      </c>
      <c r="B1360">
        <v>17659000</v>
      </c>
      <c r="C1360">
        <v>16839000</v>
      </c>
      <c r="D1360" s="8" t="str">
        <f>VLOOKUP(A1360,Лист2!A:E,5,0)</f>
        <v>малые</v>
      </c>
      <c r="E1360" s="10">
        <f>VLOOKUP(A1360,Лист2!A:E,4,0)</f>
        <v>13</v>
      </c>
      <c r="F1360" s="11">
        <f t="shared" si="66"/>
        <v>820000</v>
      </c>
      <c r="G1360" s="11">
        <f t="shared" si="67"/>
        <v>1358384.6153846155</v>
      </c>
      <c r="H1360" s="11">
        <f t="shared" si="68"/>
        <v>63076.923076923078</v>
      </c>
    </row>
    <row r="1361" spans="1:8">
      <c r="A1361" s="6" t="s">
        <v>18</v>
      </c>
      <c r="B1361">
        <v>3148000</v>
      </c>
      <c r="C1361">
        <v>2915000</v>
      </c>
      <c r="D1361" s="8" t="str">
        <f>VLOOKUP(A1361,Лист2!A:E,5,0)</f>
        <v>малые</v>
      </c>
      <c r="E1361" s="10">
        <f>VLOOKUP(A1361,Лист2!A:E,4,0)</f>
        <v>2.5</v>
      </c>
      <c r="F1361" s="11">
        <f t="shared" si="66"/>
        <v>233000</v>
      </c>
      <c r="G1361" s="11">
        <f t="shared" si="67"/>
        <v>1259200</v>
      </c>
      <c r="H1361" s="11">
        <f t="shared" si="68"/>
        <v>93200</v>
      </c>
    </row>
    <row r="1362" spans="1:8">
      <c r="A1362" s="6" t="s">
        <v>18</v>
      </c>
      <c r="B1362">
        <v>455000</v>
      </c>
      <c r="C1362">
        <v>602000</v>
      </c>
      <c r="D1362" s="8" t="str">
        <f>VLOOKUP(A1362,Лист2!A:E,5,0)</f>
        <v>малые</v>
      </c>
      <c r="E1362" s="10">
        <f>VLOOKUP(A1362,Лист2!A:E,4,0)</f>
        <v>2.5</v>
      </c>
      <c r="F1362" s="11">
        <f t="shared" si="66"/>
        <v>-147000</v>
      </c>
      <c r="G1362" s="11">
        <f t="shared" si="67"/>
        <v>182000</v>
      </c>
      <c r="H1362" s="11">
        <f t="shared" si="68"/>
        <v>-58800</v>
      </c>
    </row>
    <row r="1363" spans="1:8">
      <c r="A1363" s="6" t="s">
        <v>18</v>
      </c>
      <c r="B1363">
        <v>850000</v>
      </c>
      <c r="C1363">
        <v>850000</v>
      </c>
      <c r="D1363" s="8" t="str">
        <f>VLOOKUP(A1363,Лист2!A:E,5,0)</f>
        <v>малые</v>
      </c>
      <c r="E1363" s="10">
        <f>VLOOKUP(A1363,Лист2!A:E,4,0)</f>
        <v>2.5</v>
      </c>
      <c r="F1363" s="11">
        <f t="shared" si="66"/>
        <v>0</v>
      </c>
      <c r="G1363" s="11">
        <f t="shared" si="67"/>
        <v>340000</v>
      </c>
      <c r="H1363" s="11">
        <f t="shared" si="68"/>
        <v>0</v>
      </c>
    </row>
    <row r="1364" spans="1:8">
      <c r="A1364" s="6" t="s">
        <v>18</v>
      </c>
      <c r="B1364">
        <v>264000</v>
      </c>
      <c r="C1364">
        <v>259000</v>
      </c>
      <c r="D1364" s="8" t="str">
        <f>VLOOKUP(A1364,Лист2!A:E,5,0)</f>
        <v>малые</v>
      </c>
      <c r="E1364" s="10">
        <f>VLOOKUP(A1364,Лист2!A:E,4,0)</f>
        <v>2.5</v>
      </c>
      <c r="F1364" s="11">
        <f t="shared" si="66"/>
        <v>5000</v>
      </c>
      <c r="G1364" s="11">
        <f t="shared" si="67"/>
        <v>105600</v>
      </c>
      <c r="H1364" s="11">
        <f t="shared" si="68"/>
        <v>2000</v>
      </c>
    </row>
    <row r="1365" spans="1:8">
      <c r="A1365" s="6" t="s">
        <v>18</v>
      </c>
      <c r="B1365">
        <v>4985000</v>
      </c>
      <c r="C1365">
        <v>4969000</v>
      </c>
      <c r="D1365" s="8" t="str">
        <f>VLOOKUP(A1365,Лист2!A:E,5,0)</f>
        <v>малые</v>
      </c>
      <c r="E1365" s="10">
        <f>VLOOKUP(A1365,Лист2!A:E,4,0)</f>
        <v>2.5</v>
      </c>
      <c r="F1365" s="11">
        <f t="shared" si="66"/>
        <v>16000</v>
      </c>
      <c r="G1365" s="11">
        <f t="shared" si="67"/>
        <v>1994000</v>
      </c>
      <c r="H1365" s="11">
        <f t="shared" si="68"/>
        <v>6400</v>
      </c>
    </row>
    <row r="1366" spans="1:8">
      <c r="A1366" s="6" t="s">
        <v>18</v>
      </c>
      <c r="B1366">
        <v>9959000</v>
      </c>
      <c r="C1366">
        <v>8422000</v>
      </c>
      <c r="D1366" s="8" t="str">
        <f>VLOOKUP(A1366,Лист2!A:E,5,0)</f>
        <v>малые</v>
      </c>
      <c r="E1366" s="10">
        <f>VLOOKUP(A1366,Лист2!A:E,4,0)</f>
        <v>2.5</v>
      </c>
      <c r="F1366" s="11">
        <f t="shared" si="66"/>
        <v>1537000</v>
      </c>
      <c r="G1366" s="11">
        <f t="shared" si="67"/>
        <v>3983600</v>
      </c>
      <c r="H1366" s="11">
        <f t="shared" si="68"/>
        <v>614800</v>
      </c>
    </row>
    <row r="1367" spans="1:8">
      <c r="A1367" s="6" t="s">
        <v>18</v>
      </c>
      <c r="B1367">
        <v>18041000</v>
      </c>
      <c r="C1367">
        <v>16722000</v>
      </c>
      <c r="D1367" s="8" t="str">
        <f>VLOOKUP(A1367,Лист2!A:E,5,0)</f>
        <v>малые</v>
      </c>
      <c r="E1367" s="10">
        <f>VLOOKUP(A1367,Лист2!A:E,4,0)</f>
        <v>2.5</v>
      </c>
      <c r="F1367" s="11">
        <f t="shared" si="66"/>
        <v>1319000</v>
      </c>
      <c r="G1367" s="11">
        <f t="shared" si="67"/>
        <v>7216400</v>
      </c>
      <c r="H1367" s="11">
        <f t="shared" si="68"/>
        <v>527600</v>
      </c>
    </row>
    <row r="1368" spans="1:8">
      <c r="A1368" s="6" t="s">
        <v>18</v>
      </c>
      <c r="B1368">
        <v>9634000</v>
      </c>
      <c r="C1368">
        <v>9133000</v>
      </c>
      <c r="D1368" s="8" t="str">
        <f>VLOOKUP(A1368,Лист2!A:E,5,0)</f>
        <v>малые</v>
      </c>
      <c r="E1368" s="10">
        <f>VLOOKUP(A1368,Лист2!A:E,4,0)</f>
        <v>2.5</v>
      </c>
      <c r="F1368" s="11">
        <f t="shared" si="66"/>
        <v>501000</v>
      </c>
      <c r="G1368" s="11">
        <f t="shared" si="67"/>
        <v>3853600</v>
      </c>
      <c r="H1368" s="11">
        <f t="shared" si="68"/>
        <v>200400</v>
      </c>
    </row>
    <row r="1369" spans="1:8">
      <c r="A1369" s="6" t="s">
        <v>18</v>
      </c>
      <c r="B1369">
        <v>1985000</v>
      </c>
      <c r="C1369">
        <v>1821000</v>
      </c>
      <c r="D1369" s="8" t="str">
        <f>VLOOKUP(A1369,Лист2!A:E,5,0)</f>
        <v>малые</v>
      </c>
      <c r="E1369" s="10">
        <f>VLOOKUP(A1369,Лист2!A:E,4,0)</f>
        <v>2.5</v>
      </c>
      <c r="F1369" s="11">
        <f t="shared" si="66"/>
        <v>164000</v>
      </c>
      <c r="G1369" s="11">
        <f t="shared" si="67"/>
        <v>794000</v>
      </c>
      <c r="H1369" s="11">
        <f t="shared" si="68"/>
        <v>65600</v>
      </c>
    </row>
    <row r="1370" spans="1:8">
      <c r="A1370" s="6" t="s">
        <v>18</v>
      </c>
      <c r="B1370">
        <v>10000</v>
      </c>
      <c r="C1370">
        <v>10000</v>
      </c>
      <c r="D1370" s="8" t="str">
        <f>VLOOKUP(A1370,Лист2!A:E,5,0)</f>
        <v>малые</v>
      </c>
      <c r="E1370" s="10">
        <f>VLOOKUP(A1370,Лист2!A:E,4,0)</f>
        <v>2.5</v>
      </c>
      <c r="F1370" s="11">
        <f t="shared" si="66"/>
        <v>0</v>
      </c>
      <c r="G1370" s="11">
        <f t="shared" si="67"/>
        <v>4000</v>
      </c>
      <c r="H1370" s="11">
        <f t="shared" si="68"/>
        <v>0</v>
      </c>
    </row>
    <row r="1371" spans="1:8">
      <c r="A1371" s="6" t="s">
        <v>18</v>
      </c>
      <c r="B1371">
        <v>532000</v>
      </c>
      <c r="C1371">
        <v>399000</v>
      </c>
      <c r="D1371" s="8" t="str">
        <f>VLOOKUP(A1371,Лист2!A:E,5,0)</f>
        <v>малые</v>
      </c>
      <c r="E1371" s="10">
        <f>VLOOKUP(A1371,Лист2!A:E,4,0)</f>
        <v>2.5</v>
      </c>
      <c r="F1371" s="11">
        <f t="shared" si="66"/>
        <v>133000</v>
      </c>
      <c r="G1371" s="11">
        <f t="shared" si="67"/>
        <v>212800</v>
      </c>
      <c r="H1371" s="11">
        <f t="shared" si="68"/>
        <v>53200</v>
      </c>
    </row>
    <row r="1372" spans="1:8">
      <c r="A1372" s="6" t="s">
        <v>18</v>
      </c>
      <c r="B1372">
        <v>44412000</v>
      </c>
      <c r="C1372">
        <v>42630000</v>
      </c>
      <c r="D1372" s="8" t="str">
        <f>VLOOKUP(A1372,Лист2!A:E,5,0)</f>
        <v>малые</v>
      </c>
      <c r="E1372" s="10">
        <f>VLOOKUP(A1372,Лист2!A:E,4,0)</f>
        <v>2.5</v>
      </c>
      <c r="F1372" s="11">
        <f t="shared" si="66"/>
        <v>1782000</v>
      </c>
      <c r="G1372" s="11">
        <f t="shared" si="67"/>
        <v>17764800</v>
      </c>
      <c r="H1372" s="11">
        <f t="shared" si="68"/>
        <v>712800</v>
      </c>
    </row>
    <row r="1373" spans="1:8">
      <c r="A1373" s="6" t="s">
        <v>18</v>
      </c>
      <c r="B1373">
        <v>227000</v>
      </c>
      <c r="C1373">
        <v>201000</v>
      </c>
      <c r="D1373" s="8" t="str">
        <f>VLOOKUP(A1373,Лист2!A:E,5,0)</f>
        <v>малые</v>
      </c>
      <c r="E1373" s="10">
        <f>VLOOKUP(A1373,Лист2!A:E,4,0)</f>
        <v>2.5</v>
      </c>
      <c r="F1373" s="11">
        <f t="shared" si="66"/>
        <v>26000</v>
      </c>
      <c r="G1373" s="11">
        <f t="shared" si="67"/>
        <v>90800</v>
      </c>
      <c r="H1373" s="11">
        <f t="shared" si="68"/>
        <v>10400</v>
      </c>
    </row>
    <row r="1374" spans="1:8">
      <c r="A1374" s="6" t="s">
        <v>18</v>
      </c>
      <c r="B1374">
        <v>1598000</v>
      </c>
      <c r="C1374">
        <v>1380000</v>
      </c>
      <c r="D1374" s="8" t="str">
        <f>VLOOKUP(A1374,Лист2!A:E,5,0)</f>
        <v>малые</v>
      </c>
      <c r="E1374" s="10">
        <f>VLOOKUP(A1374,Лист2!A:E,4,0)</f>
        <v>2.5</v>
      </c>
      <c r="F1374" s="11">
        <f t="shared" si="66"/>
        <v>218000</v>
      </c>
      <c r="G1374" s="11">
        <f t="shared" si="67"/>
        <v>639200</v>
      </c>
      <c r="H1374" s="11">
        <f t="shared" si="68"/>
        <v>87200</v>
      </c>
    </row>
    <row r="1375" spans="1:8">
      <c r="A1375" s="6" t="s">
        <v>18</v>
      </c>
      <c r="B1375">
        <v>1673000</v>
      </c>
      <c r="C1375">
        <v>1756000</v>
      </c>
      <c r="D1375" s="8" t="str">
        <f>VLOOKUP(A1375,Лист2!A:E,5,0)</f>
        <v>малые</v>
      </c>
      <c r="E1375" s="10">
        <f>VLOOKUP(A1375,Лист2!A:E,4,0)</f>
        <v>2.5</v>
      </c>
      <c r="F1375" s="11">
        <f t="shared" si="66"/>
        <v>-83000</v>
      </c>
      <c r="G1375" s="11">
        <f t="shared" si="67"/>
        <v>669200</v>
      </c>
      <c r="H1375" s="11">
        <f t="shared" si="68"/>
        <v>-33200</v>
      </c>
    </row>
    <row r="1376" spans="1:8">
      <c r="A1376" s="6" t="s">
        <v>18</v>
      </c>
      <c r="B1376">
        <v>380000</v>
      </c>
      <c r="C1376">
        <v>346000</v>
      </c>
      <c r="D1376" s="8" t="str">
        <f>VLOOKUP(A1376,Лист2!A:E,5,0)</f>
        <v>малые</v>
      </c>
      <c r="E1376" s="10">
        <f>VLOOKUP(A1376,Лист2!A:E,4,0)</f>
        <v>2.5</v>
      </c>
      <c r="F1376" s="11">
        <f t="shared" si="66"/>
        <v>34000</v>
      </c>
      <c r="G1376" s="11">
        <f t="shared" si="67"/>
        <v>152000</v>
      </c>
      <c r="H1376" s="11">
        <f t="shared" si="68"/>
        <v>13600</v>
      </c>
    </row>
    <row r="1377" spans="1:8">
      <c r="A1377" s="6" t="s">
        <v>18</v>
      </c>
      <c r="B1377">
        <v>894000</v>
      </c>
      <c r="C1377">
        <v>903000</v>
      </c>
      <c r="D1377" s="8" t="str">
        <f>VLOOKUP(A1377,Лист2!A:E,5,0)</f>
        <v>малые</v>
      </c>
      <c r="E1377" s="10">
        <f>VLOOKUP(A1377,Лист2!A:E,4,0)</f>
        <v>2.5</v>
      </c>
      <c r="F1377" s="11">
        <f t="shared" si="66"/>
        <v>-9000</v>
      </c>
      <c r="G1377" s="11">
        <f t="shared" si="67"/>
        <v>357600</v>
      </c>
      <c r="H1377" s="11">
        <f t="shared" si="68"/>
        <v>-3600</v>
      </c>
    </row>
    <row r="1378" spans="1:8">
      <c r="A1378" s="6" t="s">
        <v>18</v>
      </c>
      <c r="B1378">
        <v>312000</v>
      </c>
      <c r="C1378">
        <v>293000</v>
      </c>
      <c r="D1378" s="8" t="str">
        <f>VLOOKUP(A1378,Лист2!A:E,5,0)</f>
        <v>малые</v>
      </c>
      <c r="E1378" s="10">
        <f>VLOOKUP(A1378,Лист2!A:E,4,0)</f>
        <v>2.5</v>
      </c>
      <c r="F1378" s="11">
        <f t="shared" si="66"/>
        <v>19000</v>
      </c>
      <c r="G1378" s="11">
        <f t="shared" si="67"/>
        <v>124800</v>
      </c>
      <c r="H1378" s="11">
        <f t="shared" si="68"/>
        <v>7600</v>
      </c>
    </row>
    <row r="1379" spans="1:8">
      <c r="A1379" s="6" t="s">
        <v>18</v>
      </c>
      <c r="B1379">
        <v>1654000</v>
      </c>
      <c r="C1379">
        <v>1993000</v>
      </c>
      <c r="D1379" s="8" t="str">
        <f>VLOOKUP(A1379,Лист2!A:E,5,0)</f>
        <v>малые</v>
      </c>
      <c r="E1379" s="10">
        <f>VLOOKUP(A1379,Лист2!A:E,4,0)</f>
        <v>2.5</v>
      </c>
      <c r="F1379" s="11">
        <f t="shared" si="66"/>
        <v>-339000</v>
      </c>
      <c r="G1379" s="11">
        <f t="shared" si="67"/>
        <v>661600</v>
      </c>
      <c r="H1379" s="11">
        <f t="shared" si="68"/>
        <v>-135600</v>
      </c>
    </row>
    <row r="1380" spans="1:8">
      <c r="A1380" s="6" t="s">
        <v>18</v>
      </c>
      <c r="B1380">
        <v>90000</v>
      </c>
      <c r="C1380">
        <v>90000</v>
      </c>
      <c r="D1380" s="8" t="str">
        <f>VLOOKUP(A1380,Лист2!A:E,5,0)</f>
        <v>малые</v>
      </c>
      <c r="E1380" s="10">
        <f>VLOOKUP(A1380,Лист2!A:E,4,0)</f>
        <v>2.5</v>
      </c>
      <c r="F1380" s="11">
        <f t="shared" si="66"/>
        <v>0</v>
      </c>
      <c r="G1380" s="11">
        <f t="shared" si="67"/>
        <v>36000</v>
      </c>
      <c r="H1380" s="11">
        <f t="shared" si="68"/>
        <v>0</v>
      </c>
    </row>
    <row r="1381" spans="1:8">
      <c r="A1381" s="6" t="s">
        <v>18</v>
      </c>
      <c r="B1381">
        <v>652000</v>
      </c>
      <c r="C1381">
        <v>558000</v>
      </c>
      <c r="D1381" s="8" t="str">
        <f>VLOOKUP(A1381,Лист2!A:E,5,0)</f>
        <v>малые</v>
      </c>
      <c r="E1381" s="10">
        <f>VLOOKUP(A1381,Лист2!A:E,4,0)</f>
        <v>2.5</v>
      </c>
      <c r="F1381" s="11">
        <f t="shared" si="66"/>
        <v>94000</v>
      </c>
      <c r="G1381" s="11">
        <f t="shared" si="67"/>
        <v>260800</v>
      </c>
      <c r="H1381" s="11">
        <f t="shared" si="68"/>
        <v>37600</v>
      </c>
    </row>
    <row r="1382" spans="1:8">
      <c r="A1382" s="6" t="s">
        <v>18</v>
      </c>
      <c r="B1382">
        <v>6832000</v>
      </c>
      <c r="C1382">
        <v>6658000</v>
      </c>
      <c r="D1382" s="8" t="str">
        <f>VLOOKUP(A1382,Лист2!A:E,5,0)</f>
        <v>малые</v>
      </c>
      <c r="E1382" s="10">
        <f>VLOOKUP(A1382,Лист2!A:E,4,0)</f>
        <v>2.5</v>
      </c>
      <c r="F1382" s="11">
        <f t="shared" si="66"/>
        <v>174000</v>
      </c>
      <c r="G1382" s="11">
        <f t="shared" si="67"/>
        <v>2732800</v>
      </c>
      <c r="H1382" s="11">
        <f t="shared" si="68"/>
        <v>69600</v>
      </c>
    </row>
    <row r="1383" spans="1:8">
      <c r="A1383" s="6" t="s">
        <v>22</v>
      </c>
      <c r="B1383">
        <v>649800000</v>
      </c>
      <c r="C1383">
        <v>476535000</v>
      </c>
      <c r="D1383" s="8" t="str">
        <f>VLOOKUP(A1383,Лист2!A:E,5,0)</f>
        <v>малые</v>
      </c>
      <c r="E1383" s="10">
        <f>VLOOKUP(A1383,Лист2!A:E,4,0)</f>
        <v>13</v>
      </c>
      <c r="F1383" s="11">
        <f t="shared" si="66"/>
        <v>173265000</v>
      </c>
      <c r="G1383" s="11">
        <f t="shared" si="67"/>
        <v>49984615.384615384</v>
      </c>
      <c r="H1383" s="11">
        <f t="shared" si="68"/>
        <v>13328076.923076924</v>
      </c>
    </row>
    <row r="1384" spans="1:8">
      <c r="A1384" s="6" t="s">
        <v>18</v>
      </c>
      <c r="B1384">
        <v>342000</v>
      </c>
      <c r="C1384">
        <v>310000</v>
      </c>
      <c r="D1384" s="8" t="str">
        <f>VLOOKUP(A1384,Лист2!A:E,5,0)</f>
        <v>малые</v>
      </c>
      <c r="E1384" s="10">
        <f>VLOOKUP(A1384,Лист2!A:E,4,0)</f>
        <v>2.5</v>
      </c>
      <c r="F1384" s="11">
        <f t="shared" si="66"/>
        <v>32000</v>
      </c>
      <c r="G1384" s="11">
        <f t="shared" si="67"/>
        <v>136800</v>
      </c>
      <c r="H1384" s="11">
        <f t="shared" si="68"/>
        <v>12800</v>
      </c>
    </row>
    <row r="1385" spans="1:8">
      <c r="A1385" s="6" t="s">
        <v>18</v>
      </c>
      <c r="B1385">
        <v>7500000</v>
      </c>
      <c r="C1385">
        <v>8164000</v>
      </c>
      <c r="D1385" s="8" t="str">
        <f>VLOOKUP(A1385,Лист2!A:E,5,0)</f>
        <v>малые</v>
      </c>
      <c r="E1385" s="10">
        <f>VLOOKUP(A1385,Лист2!A:E,4,0)</f>
        <v>2.5</v>
      </c>
      <c r="F1385" s="11">
        <f t="shared" si="66"/>
        <v>-664000</v>
      </c>
      <c r="G1385" s="11">
        <f t="shared" si="67"/>
        <v>3000000</v>
      </c>
      <c r="H1385" s="11">
        <f t="shared" si="68"/>
        <v>-265600</v>
      </c>
    </row>
    <row r="1386" spans="1:8">
      <c r="A1386" s="6" t="s">
        <v>18</v>
      </c>
      <c r="B1386">
        <v>536000</v>
      </c>
      <c r="C1386">
        <v>696000</v>
      </c>
      <c r="D1386" s="8" t="str">
        <f>VLOOKUP(A1386,Лист2!A:E,5,0)</f>
        <v>малые</v>
      </c>
      <c r="E1386" s="10">
        <f>VLOOKUP(A1386,Лист2!A:E,4,0)</f>
        <v>2.5</v>
      </c>
      <c r="F1386" s="11">
        <f t="shared" si="66"/>
        <v>-160000</v>
      </c>
      <c r="G1386" s="11">
        <f t="shared" si="67"/>
        <v>214400</v>
      </c>
      <c r="H1386" s="11">
        <f t="shared" si="68"/>
        <v>-64000</v>
      </c>
    </row>
    <row r="1387" spans="1:8">
      <c r="A1387" s="6" t="s">
        <v>18</v>
      </c>
      <c r="B1387">
        <v>4816000</v>
      </c>
      <c r="C1387">
        <v>2631000</v>
      </c>
      <c r="D1387" s="8" t="str">
        <f>VLOOKUP(A1387,Лист2!A:E,5,0)</f>
        <v>малые</v>
      </c>
      <c r="E1387" s="10">
        <f>VLOOKUP(A1387,Лист2!A:E,4,0)</f>
        <v>2.5</v>
      </c>
      <c r="F1387" s="11">
        <f t="shared" si="66"/>
        <v>2185000</v>
      </c>
      <c r="G1387" s="11">
        <f t="shared" si="67"/>
        <v>1926400</v>
      </c>
      <c r="H1387" s="11">
        <f t="shared" si="68"/>
        <v>874000</v>
      </c>
    </row>
    <row r="1388" spans="1:8">
      <c r="A1388" s="6" t="s">
        <v>18</v>
      </c>
      <c r="B1388">
        <v>327000</v>
      </c>
      <c r="C1388">
        <v>378000</v>
      </c>
      <c r="D1388" s="8" t="str">
        <f>VLOOKUP(A1388,Лист2!A:E,5,0)</f>
        <v>малые</v>
      </c>
      <c r="E1388" s="10">
        <f>VLOOKUP(A1388,Лист2!A:E,4,0)</f>
        <v>2.5</v>
      </c>
      <c r="F1388" s="11">
        <f t="shared" si="66"/>
        <v>-51000</v>
      </c>
      <c r="G1388" s="11">
        <f t="shared" si="67"/>
        <v>130800</v>
      </c>
      <c r="H1388" s="11">
        <f t="shared" si="68"/>
        <v>-20400</v>
      </c>
    </row>
    <row r="1389" spans="1:8">
      <c r="A1389" s="6" t="s">
        <v>22</v>
      </c>
      <c r="B1389">
        <v>5774000</v>
      </c>
      <c r="C1389">
        <v>5737000</v>
      </c>
      <c r="D1389" s="8" t="str">
        <f>VLOOKUP(A1389,Лист2!A:E,5,0)</f>
        <v>малые</v>
      </c>
      <c r="E1389" s="10">
        <f>VLOOKUP(A1389,Лист2!A:E,4,0)</f>
        <v>13</v>
      </c>
      <c r="F1389" s="11">
        <f t="shared" si="66"/>
        <v>37000</v>
      </c>
      <c r="G1389" s="11">
        <f t="shared" si="67"/>
        <v>444153.84615384613</v>
      </c>
      <c r="H1389" s="11">
        <f t="shared" si="68"/>
        <v>2846.1538461538462</v>
      </c>
    </row>
    <row r="1390" spans="1:8">
      <c r="A1390" s="6" t="s">
        <v>18</v>
      </c>
      <c r="B1390">
        <v>2313000</v>
      </c>
      <c r="C1390">
        <v>2336000</v>
      </c>
      <c r="D1390" s="8" t="str">
        <f>VLOOKUP(A1390,Лист2!A:E,5,0)</f>
        <v>малые</v>
      </c>
      <c r="E1390" s="10">
        <f>VLOOKUP(A1390,Лист2!A:E,4,0)</f>
        <v>2.5</v>
      </c>
      <c r="F1390" s="11">
        <f t="shared" si="66"/>
        <v>-23000</v>
      </c>
      <c r="G1390" s="11">
        <f t="shared" si="67"/>
        <v>925200</v>
      </c>
      <c r="H1390" s="11">
        <f t="shared" si="68"/>
        <v>-9200</v>
      </c>
    </row>
    <row r="1391" spans="1:8">
      <c r="A1391" s="6" t="s">
        <v>18</v>
      </c>
      <c r="B1391">
        <v>779000</v>
      </c>
      <c r="C1391">
        <v>1018000</v>
      </c>
      <c r="D1391" s="8" t="str">
        <f>VLOOKUP(A1391,Лист2!A:E,5,0)</f>
        <v>малые</v>
      </c>
      <c r="E1391" s="10">
        <f>VLOOKUP(A1391,Лист2!A:E,4,0)</f>
        <v>2.5</v>
      </c>
      <c r="F1391" s="11">
        <f t="shared" si="66"/>
        <v>-239000</v>
      </c>
      <c r="G1391" s="11">
        <f t="shared" si="67"/>
        <v>311600</v>
      </c>
      <c r="H1391" s="11">
        <f t="shared" si="68"/>
        <v>-95600</v>
      </c>
    </row>
    <row r="1392" spans="1:8">
      <c r="A1392" s="6" t="s">
        <v>18</v>
      </c>
      <c r="B1392">
        <v>155000</v>
      </c>
      <c r="C1392">
        <v>164000</v>
      </c>
      <c r="D1392" s="8" t="str">
        <f>VLOOKUP(A1392,Лист2!A:E,5,0)</f>
        <v>малые</v>
      </c>
      <c r="E1392" s="10">
        <f>VLOOKUP(A1392,Лист2!A:E,4,0)</f>
        <v>2.5</v>
      </c>
      <c r="F1392" s="11">
        <f t="shared" si="66"/>
        <v>-9000</v>
      </c>
      <c r="G1392" s="11">
        <f t="shared" si="67"/>
        <v>62000</v>
      </c>
      <c r="H1392" s="11">
        <f t="shared" si="68"/>
        <v>-3600</v>
      </c>
    </row>
    <row r="1393" spans="1:8">
      <c r="A1393" s="6" t="s">
        <v>18</v>
      </c>
      <c r="B1393">
        <v>2266000</v>
      </c>
      <c r="C1393">
        <v>2219000</v>
      </c>
      <c r="D1393" s="8" t="str">
        <f>VLOOKUP(A1393,Лист2!A:E,5,0)</f>
        <v>малые</v>
      </c>
      <c r="E1393" s="10">
        <f>VLOOKUP(A1393,Лист2!A:E,4,0)</f>
        <v>2.5</v>
      </c>
      <c r="F1393" s="11">
        <f t="shared" si="66"/>
        <v>47000</v>
      </c>
      <c r="G1393" s="11">
        <f t="shared" si="67"/>
        <v>906400</v>
      </c>
      <c r="H1393" s="11">
        <f t="shared" si="68"/>
        <v>18800</v>
      </c>
    </row>
    <row r="1394" spans="1:8">
      <c r="A1394" s="6" t="s">
        <v>77</v>
      </c>
      <c r="B1394">
        <v>25023000</v>
      </c>
      <c r="C1394">
        <v>26654000</v>
      </c>
      <c r="D1394" s="8" t="str">
        <f>VLOOKUP(A1394,Лист2!A:E,5,0)</f>
        <v>малые</v>
      </c>
      <c r="E1394" s="10">
        <f>VLOOKUP(A1394,Лист2!A:E,4,0)</f>
        <v>8</v>
      </c>
      <c r="F1394" s="11">
        <f t="shared" si="66"/>
        <v>-1631000</v>
      </c>
      <c r="G1394" s="11">
        <f t="shared" si="67"/>
        <v>3127875</v>
      </c>
      <c r="H1394" s="11">
        <f t="shared" si="68"/>
        <v>-203875</v>
      </c>
    </row>
    <row r="1395" spans="1:8">
      <c r="A1395" s="6" t="s">
        <v>18</v>
      </c>
      <c r="B1395">
        <v>300000</v>
      </c>
      <c r="C1395">
        <v>298000</v>
      </c>
      <c r="D1395" s="8" t="str">
        <f>VLOOKUP(A1395,Лист2!A:E,5,0)</f>
        <v>малые</v>
      </c>
      <c r="E1395" s="10">
        <f>VLOOKUP(A1395,Лист2!A:E,4,0)</f>
        <v>2.5</v>
      </c>
      <c r="F1395" s="11">
        <f t="shared" si="66"/>
        <v>2000</v>
      </c>
      <c r="G1395" s="11">
        <f t="shared" si="67"/>
        <v>120000</v>
      </c>
      <c r="H1395" s="11">
        <f t="shared" si="68"/>
        <v>800</v>
      </c>
    </row>
    <row r="1396" spans="1:8">
      <c r="A1396" s="6" t="s">
        <v>18</v>
      </c>
      <c r="B1396">
        <v>309615000</v>
      </c>
      <c r="C1396">
        <v>9840000</v>
      </c>
      <c r="D1396" s="8" t="str">
        <f>VLOOKUP(A1396,Лист2!A:E,5,0)</f>
        <v>малые</v>
      </c>
      <c r="E1396" s="10">
        <f>VLOOKUP(A1396,Лист2!A:E,4,0)</f>
        <v>2.5</v>
      </c>
      <c r="F1396" s="11">
        <f t="shared" si="66"/>
        <v>299775000</v>
      </c>
      <c r="G1396" s="11">
        <f t="shared" si="67"/>
        <v>123846000</v>
      </c>
      <c r="H1396" s="11">
        <f t="shared" si="68"/>
        <v>119910000</v>
      </c>
    </row>
    <row r="1397" spans="1:8">
      <c r="A1397" s="6" t="s">
        <v>18</v>
      </c>
      <c r="B1397">
        <v>79256000</v>
      </c>
      <c r="C1397">
        <v>66543000</v>
      </c>
      <c r="D1397" s="8" t="str">
        <f>VLOOKUP(A1397,Лист2!A:E,5,0)</f>
        <v>малые</v>
      </c>
      <c r="E1397" s="10">
        <f>VLOOKUP(A1397,Лист2!A:E,4,0)</f>
        <v>2.5</v>
      </c>
      <c r="F1397" s="11">
        <f t="shared" si="66"/>
        <v>12713000</v>
      </c>
      <c r="G1397" s="11">
        <f t="shared" si="67"/>
        <v>31702400</v>
      </c>
      <c r="H1397" s="11">
        <f t="shared" si="68"/>
        <v>5085200</v>
      </c>
    </row>
    <row r="1398" spans="1:8">
      <c r="A1398" s="6" t="s">
        <v>18</v>
      </c>
      <c r="B1398">
        <v>536000</v>
      </c>
      <c r="C1398">
        <v>765000</v>
      </c>
      <c r="D1398" s="8" t="str">
        <f>VLOOKUP(A1398,Лист2!A:E,5,0)</f>
        <v>малые</v>
      </c>
      <c r="E1398" s="10">
        <f>VLOOKUP(A1398,Лист2!A:E,4,0)</f>
        <v>2.5</v>
      </c>
      <c r="F1398" s="11">
        <f t="shared" si="66"/>
        <v>-229000</v>
      </c>
      <c r="G1398" s="11">
        <f t="shared" si="67"/>
        <v>214400</v>
      </c>
      <c r="H1398" s="11">
        <f t="shared" si="68"/>
        <v>-91600</v>
      </c>
    </row>
    <row r="1399" spans="1:8">
      <c r="A1399" s="6" t="s">
        <v>18</v>
      </c>
      <c r="B1399">
        <v>1653000</v>
      </c>
      <c r="C1399">
        <v>476000</v>
      </c>
      <c r="D1399" s="8" t="str">
        <f>VLOOKUP(A1399,Лист2!A:E,5,0)</f>
        <v>малые</v>
      </c>
      <c r="E1399" s="10">
        <f>VLOOKUP(A1399,Лист2!A:E,4,0)</f>
        <v>2.5</v>
      </c>
      <c r="F1399" s="11">
        <f t="shared" si="66"/>
        <v>1177000</v>
      </c>
      <c r="G1399" s="11">
        <f t="shared" si="67"/>
        <v>661200</v>
      </c>
      <c r="H1399" s="11">
        <f t="shared" si="68"/>
        <v>470800</v>
      </c>
    </row>
    <row r="1400" spans="1:8">
      <c r="A1400" s="6" t="s">
        <v>18</v>
      </c>
      <c r="B1400">
        <v>640000</v>
      </c>
      <c r="C1400">
        <v>611000</v>
      </c>
      <c r="D1400" s="8" t="str">
        <f>VLOOKUP(A1400,Лист2!A:E,5,0)</f>
        <v>малые</v>
      </c>
      <c r="E1400" s="10">
        <f>VLOOKUP(A1400,Лист2!A:E,4,0)</f>
        <v>2.5</v>
      </c>
      <c r="F1400" s="11">
        <f t="shared" si="66"/>
        <v>29000</v>
      </c>
      <c r="G1400" s="11">
        <f t="shared" si="67"/>
        <v>256000</v>
      </c>
      <c r="H1400" s="11">
        <f t="shared" si="68"/>
        <v>11600</v>
      </c>
    </row>
    <row r="1401" spans="1:8">
      <c r="A1401" s="6" t="s">
        <v>18</v>
      </c>
      <c r="B1401">
        <v>3148000</v>
      </c>
      <c r="C1401">
        <v>2982000</v>
      </c>
      <c r="D1401" s="8" t="str">
        <f>VLOOKUP(A1401,Лист2!A:E,5,0)</f>
        <v>малые</v>
      </c>
      <c r="E1401" s="10">
        <f>VLOOKUP(A1401,Лист2!A:E,4,0)</f>
        <v>2.5</v>
      </c>
      <c r="F1401" s="11">
        <f t="shared" si="66"/>
        <v>166000</v>
      </c>
      <c r="G1401" s="11">
        <f t="shared" si="67"/>
        <v>1259200</v>
      </c>
      <c r="H1401" s="11">
        <f t="shared" si="68"/>
        <v>66400</v>
      </c>
    </row>
    <row r="1402" spans="1:8">
      <c r="A1402" s="6" t="s">
        <v>18</v>
      </c>
      <c r="B1402">
        <v>42742000</v>
      </c>
      <c r="C1402">
        <v>42742000</v>
      </c>
      <c r="D1402" s="8" t="str">
        <f>VLOOKUP(A1402,Лист2!A:E,5,0)</f>
        <v>малые</v>
      </c>
      <c r="E1402" s="10">
        <f>VLOOKUP(A1402,Лист2!A:E,4,0)</f>
        <v>2.5</v>
      </c>
      <c r="F1402" s="11">
        <f t="shared" si="66"/>
        <v>0</v>
      </c>
      <c r="G1402" s="11">
        <f t="shared" si="67"/>
        <v>17096800</v>
      </c>
      <c r="H1402" s="11">
        <f t="shared" si="68"/>
        <v>0</v>
      </c>
    </row>
    <row r="1403" spans="1:8">
      <c r="A1403" s="6" t="s">
        <v>18</v>
      </c>
      <c r="B1403">
        <v>52000</v>
      </c>
      <c r="C1403">
        <v>52000</v>
      </c>
      <c r="D1403" s="8" t="str">
        <f>VLOOKUP(A1403,Лист2!A:E,5,0)</f>
        <v>малые</v>
      </c>
      <c r="E1403" s="10">
        <f>VLOOKUP(A1403,Лист2!A:E,4,0)</f>
        <v>2.5</v>
      </c>
      <c r="F1403" s="11">
        <f t="shared" si="66"/>
        <v>0</v>
      </c>
      <c r="G1403" s="11">
        <f t="shared" si="67"/>
        <v>20800</v>
      </c>
      <c r="H1403" s="11">
        <f t="shared" si="68"/>
        <v>0</v>
      </c>
    </row>
    <row r="1404" spans="1:8">
      <c r="A1404" s="6" t="s">
        <v>18</v>
      </c>
      <c r="B1404">
        <v>15311000</v>
      </c>
      <c r="C1404">
        <v>15303000</v>
      </c>
      <c r="D1404" s="8" t="str">
        <f>VLOOKUP(A1404,Лист2!A:E,5,0)</f>
        <v>малые</v>
      </c>
      <c r="E1404" s="10">
        <f>VLOOKUP(A1404,Лист2!A:E,4,0)</f>
        <v>2.5</v>
      </c>
      <c r="F1404" s="11">
        <f t="shared" si="66"/>
        <v>8000</v>
      </c>
      <c r="G1404" s="11">
        <f t="shared" si="67"/>
        <v>6124400</v>
      </c>
      <c r="H1404" s="11">
        <f t="shared" si="68"/>
        <v>3200</v>
      </c>
    </row>
    <row r="1405" spans="1:8">
      <c r="A1405" s="6" t="s">
        <v>18</v>
      </c>
      <c r="B1405">
        <v>14011000</v>
      </c>
      <c r="C1405">
        <v>14322000</v>
      </c>
      <c r="D1405" s="8" t="str">
        <f>VLOOKUP(A1405,Лист2!A:E,5,0)</f>
        <v>малые</v>
      </c>
      <c r="E1405" s="10">
        <f>VLOOKUP(A1405,Лист2!A:E,4,0)</f>
        <v>2.5</v>
      </c>
      <c r="F1405" s="11">
        <f t="shared" si="66"/>
        <v>-311000</v>
      </c>
      <c r="G1405" s="11">
        <f t="shared" si="67"/>
        <v>5604400</v>
      </c>
      <c r="H1405" s="11">
        <f t="shared" si="68"/>
        <v>-124400</v>
      </c>
    </row>
    <row r="1406" spans="1:8">
      <c r="A1406" s="6" t="s">
        <v>23</v>
      </c>
      <c r="B1406">
        <v>9297000</v>
      </c>
      <c r="C1406">
        <v>7709000</v>
      </c>
      <c r="D1406" s="8" t="str">
        <f>VLOOKUP(A1406,Лист2!A:E,5,0)</f>
        <v>средние</v>
      </c>
      <c r="E1406" s="10">
        <f>VLOOKUP(A1406,Лист2!A:E,4,0)</f>
        <v>75.5</v>
      </c>
      <c r="F1406" s="11">
        <f t="shared" si="66"/>
        <v>1588000</v>
      </c>
      <c r="G1406" s="11">
        <f t="shared" si="67"/>
        <v>123139.07284768212</v>
      </c>
      <c r="H1406" s="11">
        <f t="shared" si="68"/>
        <v>21033.112582781458</v>
      </c>
    </row>
    <row r="1407" spans="1:8">
      <c r="A1407" s="6" t="s">
        <v>18</v>
      </c>
      <c r="B1407">
        <v>1142000</v>
      </c>
      <c r="C1407">
        <v>1065000</v>
      </c>
      <c r="D1407" s="8" t="str">
        <f>VLOOKUP(A1407,Лист2!A:E,5,0)</f>
        <v>малые</v>
      </c>
      <c r="E1407" s="10">
        <f>VLOOKUP(A1407,Лист2!A:E,4,0)</f>
        <v>2.5</v>
      </c>
      <c r="F1407" s="11">
        <f t="shared" si="66"/>
        <v>77000</v>
      </c>
      <c r="G1407" s="11">
        <f t="shared" si="67"/>
        <v>456800</v>
      </c>
      <c r="H1407" s="11">
        <f t="shared" si="68"/>
        <v>30800</v>
      </c>
    </row>
    <row r="1408" spans="1:8">
      <c r="A1408" s="6" t="s">
        <v>18</v>
      </c>
      <c r="B1408">
        <v>2000</v>
      </c>
      <c r="C1408">
        <v>2000</v>
      </c>
      <c r="D1408" s="8" t="str">
        <f>VLOOKUP(A1408,Лист2!A:E,5,0)</f>
        <v>малые</v>
      </c>
      <c r="E1408" s="10">
        <f>VLOOKUP(A1408,Лист2!A:E,4,0)</f>
        <v>2.5</v>
      </c>
      <c r="F1408" s="11">
        <f t="shared" si="66"/>
        <v>0</v>
      </c>
      <c r="G1408" s="11">
        <f t="shared" si="67"/>
        <v>800</v>
      </c>
      <c r="H1408" s="11">
        <f t="shared" si="68"/>
        <v>0</v>
      </c>
    </row>
    <row r="1409" spans="1:8">
      <c r="A1409" s="6" t="s">
        <v>22</v>
      </c>
      <c r="B1409">
        <v>3003000</v>
      </c>
      <c r="C1409">
        <v>2938000</v>
      </c>
      <c r="D1409" s="8" t="str">
        <f>VLOOKUP(A1409,Лист2!A:E,5,0)</f>
        <v>малые</v>
      </c>
      <c r="E1409" s="10">
        <f>VLOOKUP(A1409,Лист2!A:E,4,0)</f>
        <v>13</v>
      </c>
      <c r="F1409" s="11">
        <f t="shared" si="66"/>
        <v>65000</v>
      </c>
      <c r="G1409" s="11">
        <f t="shared" si="67"/>
        <v>231000</v>
      </c>
      <c r="H1409" s="11">
        <f t="shared" si="68"/>
        <v>5000</v>
      </c>
    </row>
    <row r="1410" spans="1:8">
      <c r="A1410" s="6" t="s">
        <v>18</v>
      </c>
      <c r="B1410">
        <v>54000</v>
      </c>
      <c r="C1410">
        <v>60000</v>
      </c>
      <c r="D1410" s="8" t="str">
        <f>VLOOKUP(A1410,Лист2!A:E,5,0)</f>
        <v>малые</v>
      </c>
      <c r="E1410" s="10">
        <f>VLOOKUP(A1410,Лист2!A:E,4,0)</f>
        <v>2.5</v>
      </c>
      <c r="F1410" s="11">
        <f t="shared" si="66"/>
        <v>-6000</v>
      </c>
      <c r="G1410" s="11">
        <f t="shared" si="67"/>
        <v>21600</v>
      </c>
      <c r="H1410" s="11">
        <f t="shared" si="68"/>
        <v>-2400</v>
      </c>
    </row>
    <row r="1411" spans="1:8">
      <c r="A1411" s="6" t="s">
        <v>18</v>
      </c>
      <c r="B1411">
        <v>598000</v>
      </c>
      <c r="C1411">
        <v>3578000</v>
      </c>
      <c r="D1411" s="8" t="str">
        <f>VLOOKUP(A1411,Лист2!A:E,5,0)</f>
        <v>малые</v>
      </c>
      <c r="E1411" s="10">
        <f>VLOOKUP(A1411,Лист2!A:E,4,0)</f>
        <v>2.5</v>
      </c>
      <c r="F1411" s="11">
        <f t="shared" si="66"/>
        <v>-2980000</v>
      </c>
      <c r="G1411" s="11">
        <f t="shared" si="67"/>
        <v>239200</v>
      </c>
      <c r="H1411" s="11">
        <f t="shared" si="68"/>
        <v>-1192000</v>
      </c>
    </row>
    <row r="1412" spans="1:8">
      <c r="A1412" s="6" t="s">
        <v>18</v>
      </c>
      <c r="B1412">
        <v>17166000</v>
      </c>
      <c r="C1412">
        <v>16894000</v>
      </c>
      <c r="D1412" s="8" t="str">
        <f>VLOOKUP(A1412,Лист2!A:E,5,0)</f>
        <v>малые</v>
      </c>
      <c r="E1412" s="10">
        <f>VLOOKUP(A1412,Лист2!A:E,4,0)</f>
        <v>2.5</v>
      </c>
      <c r="F1412" s="11">
        <f t="shared" si="66"/>
        <v>272000</v>
      </c>
      <c r="G1412" s="11">
        <f t="shared" si="67"/>
        <v>6866400</v>
      </c>
      <c r="H1412" s="11">
        <f t="shared" si="68"/>
        <v>108800</v>
      </c>
    </row>
    <row r="1413" spans="1:8">
      <c r="A1413" s="6" t="s">
        <v>18</v>
      </c>
      <c r="B1413">
        <v>166983000</v>
      </c>
      <c r="C1413">
        <v>165862000</v>
      </c>
      <c r="D1413" s="8" t="str">
        <f>VLOOKUP(A1413,Лист2!A:E,5,0)</f>
        <v>малые</v>
      </c>
      <c r="E1413" s="10">
        <f>VLOOKUP(A1413,Лист2!A:E,4,0)</f>
        <v>2.5</v>
      </c>
      <c r="F1413" s="11">
        <f t="shared" si="66"/>
        <v>1121000</v>
      </c>
      <c r="G1413" s="11">
        <f t="shared" si="67"/>
        <v>66793200</v>
      </c>
      <c r="H1413" s="11">
        <f t="shared" si="68"/>
        <v>448400</v>
      </c>
    </row>
    <row r="1414" spans="1:8">
      <c r="A1414" s="6" t="s">
        <v>18</v>
      </c>
      <c r="B1414">
        <v>651000</v>
      </c>
      <c r="C1414">
        <v>980000</v>
      </c>
      <c r="D1414" s="8" t="str">
        <f>VLOOKUP(A1414,Лист2!A:E,5,0)</f>
        <v>малые</v>
      </c>
      <c r="E1414" s="10">
        <f>VLOOKUP(A1414,Лист2!A:E,4,0)</f>
        <v>2.5</v>
      </c>
      <c r="F1414" s="11">
        <f t="shared" ref="F1414:F1475" si="69">B1414-C1414</f>
        <v>-329000</v>
      </c>
      <c r="G1414" s="11">
        <f t="shared" ref="G1414:G1475" si="70">B1414/E1414</f>
        <v>260400</v>
      </c>
      <c r="H1414" s="11">
        <f t="shared" ref="H1414:H1475" si="71">F1414/E1414</f>
        <v>-131600</v>
      </c>
    </row>
    <row r="1415" spans="1:8">
      <c r="A1415" s="6" t="s">
        <v>18</v>
      </c>
      <c r="B1415">
        <v>92140000</v>
      </c>
      <c r="C1415">
        <v>51634000</v>
      </c>
      <c r="D1415" s="8" t="str">
        <f>VLOOKUP(A1415,Лист2!A:E,5,0)</f>
        <v>малые</v>
      </c>
      <c r="E1415" s="10">
        <f>VLOOKUP(A1415,Лист2!A:E,4,0)</f>
        <v>2.5</v>
      </c>
      <c r="F1415" s="11">
        <f t="shared" si="69"/>
        <v>40506000</v>
      </c>
      <c r="G1415" s="11">
        <f t="shared" si="70"/>
        <v>36856000</v>
      </c>
      <c r="H1415" s="11">
        <f t="shared" si="71"/>
        <v>16202400</v>
      </c>
    </row>
    <row r="1416" spans="1:8">
      <c r="A1416" s="6" t="s">
        <v>18</v>
      </c>
      <c r="B1416">
        <v>2117000</v>
      </c>
      <c r="C1416">
        <v>2109000</v>
      </c>
      <c r="D1416" s="8" t="str">
        <f>VLOOKUP(A1416,Лист2!A:E,5,0)</f>
        <v>малые</v>
      </c>
      <c r="E1416" s="10">
        <f>VLOOKUP(A1416,Лист2!A:E,4,0)</f>
        <v>2.5</v>
      </c>
      <c r="F1416" s="11">
        <f t="shared" si="69"/>
        <v>8000</v>
      </c>
      <c r="G1416" s="11">
        <f t="shared" si="70"/>
        <v>846800</v>
      </c>
      <c r="H1416" s="11">
        <f t="shared" si="71"/>
        <v>3200</v>
      </c>
    </row>
    <row r="1417" spans="1:8">
      <c r="A1417" s="6" t="s">
        <v>18</v>
      </c>
      <c r="B1417">
        <v>90000</v>
      </c>
      <c r="C1417">
        <v>90000</v>
      </c>
      <c r="D1417" s="8" t="str">
        <f>VLOOKUP(A1417,Лист2!A:E,5,0)</f>
        <v>малые</v>
      </c>
      <c r="E1417" s="10">
        <f>VLOOKUP(A1417,Лист2!A:E,4,0)</f>
        <v>2.5</v>
      </c>
      <c r="F1417" s="11">
        <f t="shared" si="69"/>
        <v>0</v>
      </c>
      <c r="G1417" s="11">
        <f t="shared" si="70"/>
        <v>36000</v>
      </c>
      <c r="H1417" s="11">
        <f t="shared" si="71"/>
        <v>0</v>
      </c>
    </row>
    <row r="1418" spans="1:8">
      <c r="A1418" s="6" t="s">
        <v>77</v>
      </c>
      <c r="B1418">
        <v>123626000</v>
      </c>
      <c r="C1418">
        <v>154644000</v>
      </c>
      <c r="D1418" s="8" t="str">
        <f>VLOOKUP(A1418,Лист2!A:E,5,0)</f>
        <v>малые</v>
      </c>
      <c r="E1418" s="10">
        <f>VLOOKUP(A1418,Лист2!A:E,4,0)</f>
        <v>8</v>
      </c>
      <c r="F1418" s="11">
        <f t="shared" si="69"/>
        <v>-31018000</v>
      </c>
      <c r="G1418" s="11">
        <f t="shared" si="70"/>
        <v>15453250</v>
      </c>
      <c r="H1418" s="11">
        <f t="shared" si="71"/>
        <v>-3877250</v>
      </c>
    </row>
    <row r="1419" spans="1:8">
      <c r="A1419" s="6" t="s">
        <v>18</v>
      </c>
      <c r="B1419">
        <v>574000</v>
      </c>
      <c r="C1419">
        <v>883000</v>
      </c>
      <c r="D1419" s="8" t="str">
        <f>VLOOKUP(A1419,Лист2!A:E,5,0)</f>
        <v>малые</v>
      </c>
      <c r="E1419" s="10">
        <f>VLOOKUP(A1419,Лист2!A:E,4,0)</f>
        <v>2.5</v>
      </c>
      <c r="F1419" s="11">
        <f t="shared" si="69"/>
        <v>-309000</v>
      </c>
      <c r="G1419" s="11">
        <f t="shared" si="70"/>
        <v>229600</v>
      </c>
      <c r="H1419" s="11">
        <f t="shared" si="71"/>
        <v>-123600</v>
      </c>
    </row>
    <row r="1420" spans="1:8">
      <c r="A1420" s="6" t="s">
        <v>18</v>
      </c>
      <c r="B1420">
        <v>1757000</v>
      </c>
      <c r="C1420">
        <v>1764000</v>
      </c>
      <c r="D1420" s="8" t="str">
        <f>VLOOKUP(A1420,Лист2!A:E,5,0)</f>
        <v>малые</v>
      </c>
      <c r="E1420" s="10">
        <f>VLOOKUP(A1420,Лист2!A:E,4,0)</f>
        <v>2.5</v>
      </c>
      <c r="F1420" s="11">
        <f t="shared" si="69"/>
        <v>-7000</v>
      </c>
      <c r="G1420" s="11">
        <f t="shared" si="70"/>
        <v>702800</v>
      </c>
      <c r="H1420" s="11">
        <f t="shared" si="71"/>
        <v>-2800</v>
      </c>
    </row>
    <row r="1421" spans="1:8">
      <c r="A1421" s="6" t="s">
        <v>18</v>
      </c>
      <c r="B1421">
        <v>43000</v>
      </c>
      <c r="C1421">
        <v>14000</v>
      </c>
      <c r="D1421" s="8" t="str">
        <f>VLOOKUP(A1421,Лист2!A:E,5,0)</f>
        <v>малые</v>
      </c>
      <c r="E1421" s="10">
        <f>VLOOKUP(A1421,Лист2!A:E,4,0)</f>
        <v>2.5</v>
      </c>
      <c r="F1421" s="11">
        <f t="shared" si="69"/>
        <v>29000</v>
      </c>
      <c r="G1421" s="11">
        <f t="shared" si="70"/>
        <v>17200</v>
      </c>
      <c r="H1421" s="11">
        <f t="shared" si="71"/>
        <v>11600</v>
      </c>
    </row>
    <row r="1422" spans="1:8">
      <c r="A1422" s="6" t="s">
        <v>18</v>
      </c>
      <c r="B1422">
        <v>2065000</v>
      </c>
      <c r="C1422">
        <v>1452000</v>
      </c>
      <c r="D1422" s="8" t="str">
        <f>VLOOKUP(A1422,Лист2!A:E,5,0)</f>
        <v>малые</v>
      </c>
      <c r="E1422" s="10">
        <f>VLOOKUP(A1422,Лист2!A:E,4,0)</f>
        <v>2.5</v>
      </c>
      <c r="F1422" s="11">
        <f t="shared" si="69"/>
        <v>613000</v>
      </c>
      <c r="G1422" s="11">
        <f t="shared" si="70"/>
        <v>826000</v>
      </c>
      <c r="H1422" s="11">
        <f t="shared" si="71"/>
        <v>245200</v>
      </c>
    </row>
    <row r="1423" spans="1:8">
      <c r="A1423" s="6" t="s">
        <v>18</v>
      </c>
      <c r="B1423">
        <v>9534000</v>
      </c>
      <c r="C1423">
        <v>9317000</v>
      </c>
      <c r="D1423" s="8" t="str">
        <f>VLOOKUP(A1423,Лист2!A:E,5,0)</f>
        <v>малые</v>
      </c>
      <c r="E1423" s="10">
        <f>VLOOKUP(A1423,Лист2!A:E,4,0)</f>
        <v>2.5</v>
      </c>
      <c r="F1423" s="11">
        <f t="shared" si="69"/>
        <v>217000</v>
      </c>
      <c r="G1423" s="11">
        <f t="shared" si="70"/>
        <v>3813600</v>
      </c>
      <c r="H1423" s="11">
        <f t="shared" si="71"/>
        <v>86800</v>
      </c>
    </row>
    <row r="1424" spans="1:8">
      <c r="A1424" s="6" t="s">
        <v>18</v>
      </c>
      <c r="B1424">
        <v>527000</v>
      </c>
      <c r="C1424">
        <v>590000</v>
      </c>
      <c r="D1424" s="8" t="str">
        <f>VLOOKUP(A1424,Лист2!A:E,5,0)</f>
        <v>малые</v>
      </c>
      <c r="E1424" s="10">
        <f>VLOOKUP(A1424,Лист2!A:E,4,0)</f>
        <v>2.5</v>
      </c>
      <c r="F1424" s="11">
        <f t="shared" si="69"/>
        <v>-63000</v>
      </c>
      <c r="G1424" s="11">
        <f t="shared" si="70"/>
        <v>210800</v>
      </c>
      <c r="H1424" s="11">
        <f t="shared" si="71"/>
        <v>-25200</v>
      </c>
    </row>
    <row r="1425" spans="1:8">
      <c r="A1425" s="6" t="s">
        <v>18</v>
      </c>
      <c r="B1425">
        <v>351000</v>
      </c>
      <c r="C1425">
        <v>192000</v>
      </c>
      <c r="D1425" s="8" t="str">
        <f>VLOOKUP(A1425,Лист2!A:E,5,0)</f>
        <v>малые</v>
      </c>
      <c r="E1425" s="10">
        <f>VLOOKUP(A1425,Лист2!A:E,4,0)</f>
        <v>2.5</v>
      </c>
      <c r="F1425" s="11">
        <f t="shared" si="69"/>
        <v>159000</v>
      </c>
      <c r="G1425" s="11">
        <f t="shared" si="70"/>
        <v>140400</v>
      </c>
      <c r="H1425" s="11">
        <f t="shared" si="71"/>
        <v>63600</v>
      </c>
    </row>
    <row r="1426" spans="1:8">
      <c r="A1426" s="6" t="s">
        <v>18</v>
      </c>
      <c r="B1426">
        <v>619000</v>
      </c>
      <c r="C1426">
        <v>652000</v>
      </c>
      <c r="D1426" s="8" t="str">
        <f>VLOOKUP(A1426,Лист2!A:E,5,0)</f>
        <v>малые</v>
      </c>
      <c r="E1426" s="10">
        <f>VLOOKUP(A1426,Лист2!A:E,4,0)</f>
        <v>2.5</v>
      </c>
      <c r="F1426" s="11">
        <f t="shared" si="69"/>
        <v>-33000</v>
      </c>
      <c r="G1426" s="11">
        <f t="shared" si="70"/>
        <v>247600</v>
      </c>
      <c r="H1426" s="11">
        <f t="shared" si="71"/>
        <v>-13200</v>
      </c>
    </row>
    <row r="1427" spans="1:8">
      <c r="A1427" s="6" t="s">
        <v>18</v>
      </c>
      <c r="B1427">
        <v>8000</v>
      </c>
      <c r="C1427">
        <v>9000</v>
      </c>
      <c r="D1427" s="8" t="str">
        <f>VLOOKUP(A1427,Лист2!A:E,5,0)</f>
        <v>малые</v>
      </c>
      <c r="E1427" s="10">
        <f>VLOOKUP(A1427,Лист2!A:E,4,0)</f>
        <v>2.5</v>
      </c>
      <c r="F1427" s="11">
        <f t="shared" si="69"/>
        <v>-1000</v>
      </c>
      <c r="G1427" s="11">
        <f t="shared" si="70"/>
        <v>3200</v>
      </c>
      <c r="H1427" s="11">
        <f t="shared" si="71"/>
        <v>-400</v>
      </c>
    </row>
    <row r="1428" spans="1:8">
      <c r="A1428" s="6" t="s">
        <v>18</v>
      </c>
      <c r="B1428">
        <v>19328000</v>
      </c>
      <c r="C1428">
        <v>19441000</v>
      </c>
      <c r="D1428" s="8" t="str">
        <f>VLOOKUP(A1428,Лист2!A:E,5,0)</f>
        <v>малые</v>
      </c>
      <c r="E1428" s="10">
        <f>VLOOKUP(A1428,Лист2!A:E,4,0)</f>
        <v>2.5</v>
      </c>
      <c r="F1428" s="11">
        <f t="shared" si="69"/>
        <v>-113000</v>
      </c>
      <c r="G1428" s="11">
        <f t="shared" si="70"/>
        <v>7731200</v>
      </c>
      <c r="H1428" s="11">
        <f t="shared" si="71"/>
        <v>-45200</v>
      </c>
    </row>
    <row r="1429" spans="1:8">
      <c r="A1429" s="6" t="s">
        <v>18</v>
      </c>
      <c r="B1429">
        <v>140000</v>
      </c>
      <c r="C1429">
        <v>128000</v>
      </c>
      <c r="D1429" s="8" t="str">
        <f>VLOOKUP(A1429,Лист2!A:E,5,0)</f>
        <v>малые</v>
      </c>
      <c r="E1429" s="10">
        <f>VLOOKUP(A1429,Лист2!A:E,4,0)</f>
        <v>2.5</v>
      </c>
      <c r="F1429" s="11">
        <f t="shared" si="69"/>
        <v>12000</v>
      </c>
      <c r="G1429" s="11">
        <f t="shared" si="70"/>
        <v>56000</v>
      </c>
      <c r="H1429" s="11">
        <f t="shared" si="71"/>
        <v>4800</v>
      </c>
    </row>
    <row r="1430" spans="1:8">
      <c r="A1430" s="6" t="s">
        <v>18</v>
      </c>
      <c r="B1430">
        <v>65000</v>
      </c>
      <c r="C1430">
        <v>65000</v>
      </c>
      <c r="D1430" s="8" t="str">
        <f>VLOOKUP(A1430,Лист2!A:E,5,0)</f>
        <v>малые</v>
      </c>
      <c r="E1430" s="10">
        <f>VLOOKUP(A1430,Лист2!A:E,4,0)</f>
        <v>2.5</v>
      </c>
      <c r="F1430" s="11">
        <f t="shared" si="69"/>
        <v>0</v>
      </c>
      <c r="G1430" s="11">
        <f t="shared" si="70"/>
        <v>26000</v>
      </c>
      <c r="H1430" s="11">
        <f t="shared" si="71"/>
        <v>0</v>
      </c>
    </row>
    <row r="1431" spans="1:8">
      <c r="A1431" s="6" t="s">
        <v>18</v>
      </c>
      <c r="B1431">
        <v>3781000</v>
      </c>
      <c r="C1431">
        <v>3819000</v>
      </c>
      <c r="D1431" s="8" t="str">
        <f>VLOOKUP(A1431,Лист2!A:E,5,0)</f>
        <v>малые</v>
      </c>
      <c r="E1431" s="10">
        <f>VLOOKUP(A1431,Лист2!A:E,4,0)</f>
        <v>2.5</v>
      </c>
      <c r="F1431" s="11">
        <f t="shared" si="69"/>
        <v>-38000</v>
      </c>
      <c r="G1431" s="11">
        <f t="shared" si="70"/>
        <v>1512400</v>
      </c>
      <c r="H1431" s="11">
        <f t="shared" si="71"/>
        <v>-15200</v>
      </c>
    </row>
    <row r="1432" spans="1:8">
      <c r="A1432" s="6" t="s">
        <v>18</v>
      </c>
      <c r="B1432">
        <v>1956000</v>
      </c>
      <c r="C1432">
        <v>1907000</v>
      </c>
      <c r="D1432" s="8" t="str">
        <f>VLOOKUP(A1432,Лист2!A:E,5,0)</f>
        <v>малые</v>
      </c>
      <c r="E1432" s="10">
        <f>VLOOKUP(A1432,Лист2!A:E,4,0)</f>
        <v>2.5</v>
      </c>
      <c r="F1432" s="11">
        <f t="shared" si="69"/>
        <v>49000</v>
      </c>
      <c r="G1432" s="11">
        <f t="shared" si="70"/>
        <v>782400</v>
      </c>
      <c r="H1432" s="11">
        <f t="shared" si="71"/>
        <v>19600</v>
      </c>
    </row>
    <row r="1433" spans="1:8">
      <c r="A1433" s="6" t="s">
        <v>18</v>
      </c>
      <c r="B1433">
        <v>55000</v>
      </c>
      <c r="C1433">
        <v>55000</v>
      </c>
      <c r="D1433" s="8" t="str">
        <f>VLOOKUP(A1433,Лист2!A:E,5,0)</f>
        <v>малые</v>
      </c>
      <c r="E1433" s="10">
        <f>VLOOKUP(A1433,Лист2!A:E,4,0)</f>
        <v>2.5</v>
      </c>
      <c r="F1433" s="11">
        <f t="shared" si="69"/>
        <v>0</v>
      </c>
      <c r="G1433" s="11">
        <f t="shared" si="70"/>
        <v>22000</v>
      </c>
      <c r="H1433" s="11">
        <f t="shared" si="71"/>
        <v>0</v>
      </c>
    </row>
    <row r="1434" spans="1:8">
      <c r="A1434" s="6" t="s">
        <v>18</v>
      </c>
      <c r="B1434">
        <v>703000</v>
      </c>
      <c r="C1434">
        <v>831000</v>
      </c>
      <c r="D1434" s="8" t="str">
        <f>VLOOKUP(A1434,Лист2!A:E,5,0)</f>
        <v>малые</v>
      </c>
      <c r="E1434" s="10">
        <f>VLOOKUP(A1434,Лист2!A:E,4,0)</f>
        <v>2.5</v>
      </c>
      <c r="F1434" s="11">
        <f t="shared" si="69"/>
        <v>-128000</v>
      </c>
      <c r="G1434" s="11">
        <f t="shared" si="70"/>
        <v>281200</v>
      </c>
      <c r="H1434" s="11">
        <f t="shared" si="71"/>
        <v>-51200</v>
      </c>
    </row>
    <row r="1435" spans="1:8">
      <c r="A1435" s="6" t="s">
        <v>18</v>
      </c>
      <c r="B1435">
        <v>71000</v>
      </c>
      <c r="C1435">
        <v>71000</v>
      </c>
      <c r="D1435" s="8" t="str">
        <f>VLOOKUP(A1435,Лист2!A:E,5,0)</f>
        <v>малые</v>
      </c>
      <c r="E1435" s="10">
        <f>VLOOKUP(A1435,Лист2!A:E,4,0)</f>
        <v>2.5</v>
      </c>
      <c r="F1435" s="11">
        <f t="shared" si="69"/>
        <v>0</v>
      </c>
      <c r="G1435" s="11">
        <f t="shared" si="70"/>
        <v>28400</v>
      </c>
      <c r="H1435" s="11">
        <f t="shared" si="71"/>
        <v>0</v>
      </c>
    </row>
    <row r="1436" spans="1:8">
      <c r="A1436" s="6" t="s">
        <v>302</v>
      </c>
      <c r="B1436">
        <v>67915000</v>
      </c>
      <c r="C1436">
        <v>67459000</v>
      </c>
      <c r="D1436" s="8" t="str">
        <f>VLOOKUP(A1436,Лист2!A:E,5,0)</f>
        <v>средние</v>
      </c>
      <c r="E1436" s="10">
        <f>VLOOKUP(A1436,Лист2!A:E,4,0)</f>
        <v>125.5</v>
      </c>
      <c r="F1436" s="11">
        <f t="shared" si="69"/>
        <v>456000</v>
      </c>
      <c r="G1436" s="11">
        <f t="shared" si="70"/>
        <v>541155.37848605576</v>
      </c>
      <c r="H1436" s="11">
        <f t="shared" si="71"/>
        <v>3633.4661354581672</v>
      </c>
    </row>
    <row r="1437" spans="1:8">
      <c r="A1437" s="6" t="s">
        <v>18</v>
      </c>
      <c r="B1437">
        <v>508000</v>
      </c>
      <c r="C1437">
        <v>88000</v>
      </c>
      <c r="D1437" s="8" t="str">
        <f>VLOOKUP(A1437,Лист2!A:E,5,0)</f>
        <v>малые</v>
      </c>
      <c r="E1437" s="10">
        <f>VLOOKUP(A1437,Лист2!A:E,4,0)</f>
        <v>2.5</v>
      </c>
      <c r="F1437" s="11">
        <f t="shared" si="69"/>
        <v>420000</v>
      </c>
      <c r="G1437" s="11">
        <f t="shared" si="70"/>
        <v>203200</v>
      </c>
      <c r="H1437" s="11">
        <f t="shared" si="71"/>
        <v>168000</v>
      </c>
    </row>
    <row r="1438" spans="1:8">
      <c r="A1438" s="6" t="s">
        <v>18</v>
      </c>
      <c r="B1438">
        <v>5000000</v>
      </c>
      <c r="C1438">
        <v>3601000</v>
      </c>
      <c r="D1438" s="8" t="str">
        <f>VLOOKUP(A1438,Лист2!A:E,5,0)</f>
        <v>малые</v>
      </c>
      <c r="E1438" s="10">
        <f>VLOOKUP(A1438,Лист2!A:E,4,0)</f>
        <v>2.5</v>
      </c>
      <c r="F1438" s="11">
        <f t="shared" si="69"/>
        <v>1399000</v>
      </c>
      <c r="G1438" s="11">
        <f t="shared" si="70"/>
        <v>2000000</v>
      </c>
      <c r="H1438" s="11">
        <f t="shared" si="71"/>
        <v>559600</v>
      </c>
    </row>
    <row r="1439" spans="1:8">
      <c r="A1439" s="6" t="s">
        <v>18</v>
      </c>
      <c r="B1439">
        <v>245000</v>
      </c>
      <c r="C1439">
        <v>264000</v>
      </c>
      <c r="D1439" s="8" t="str">
        <f>VLOOKUP(A1439,Лист2!A:E,5,0)</f>
        <v>малые</v>
      </c>
      <c r="E1439" s="10">
        <f>VLOOKUP(A1439,Лист2!A:E,4,0)</f>
        <v>2.5</v>
      </c>
      <c r="F1439" s="11">
        <f t="shared" si="69"/>
        <v>-19000</v>
      </c>
      <c r="G1439" s="11">
        <f t="shared" si="70"/>
        <v>98000</v>
      </c>
      <c r="H1439" s="11">
        <f t="shared" si="71"/>
        <v>-7600</v>
      </c>
    </row>
    <row r="1440" spans="1:8">
      <c r="A1440" s="6" t="s">
        <v>18</v>
      </c>
      <c r="B1440">
        <v>5000</v>
      </c>
      <c r="C1440">
        <v>4000</v>
      </c>
      <c r="D1440" s="8" t="str">
        <f>VLOOKUP(A1440,Лист2!A:E,5,0)</f>
        <v>малые</v>
      </c>
      <c r="E1440" s="10">
        <f>VLOOKUP(A1440,Лист2!A:E,4,0)</f>
        <v>2.5</v>
      </c>
      <c r="F1440" s="11">
        <f t="shared" si="69"/>
        <v>1000</v>
      </c>
      <c r="G1440" s="11">
        <f t="shared" si="70"/>
        <v>2000</v>
      </c>
      <c r="H1440" s="11">
        <f t="shared" si="71"/>
        <v>400</v>
      </c>
    </row>
    <row r="1441" spans="1:8">
      <c r="A1441" s="6" t="s">
        <v>18</v>
      </c>
      <c r="B1441">
        <v>808000</v>
      </c>
      <c r="C1441">
        <v>493000</v>
      </c>
      <c r="D1441" s="8" t="str">
        <f>VLOOKUP(A1441,Лист2!A:E,5,0)</f>
        <v>малые</v>
      </c>
      <c r="E1441" s="10">
        <f>VLOOKUP(A1441,Лист2!A:E,4,0)</f>
        <v>2.5</v>
      </c>
      <c r="F1441" s="11">
        <f t="shared" si="69"/>
        <v>315000</v>
      </c>
      <c r="G1441" s="11">
        <f t="shared" si="70"/>
        <v>323200</v>
      </c>
      <c r="H1441" s="11">
        <f t="shared" si="71"/>
        <v>126000</v>
      </c>
    </row>
    <row r="1442" spans="1:8">
      <c r="A1442" s="6" t="s">
        <v>18</v>
      </c>
      <c r="B1442">
        <v>17000</v>
      </c>
      <c r="C1442">
        <v>17000</v>
      </c>
      <c r="D1442" s="8" t="str">
        <f>VLOOKUP(A1442,Лист2!A:E,5,0)</f>
        <v>малые</v>
      </c>
      <c r="E1442" s="10">
        <f>VLOOKUP(A1442,Лист2!A:E,4,0)</f>
        <v>2.5</v>
      </c>
      <c r="F1442" s="11">
        <f t="shared" si="69"/>
        <v>0</v>
      </c>
      <c r="G1442" s="11">
        <f t="shared" si="70"/>
        <v>6800</v>
      </c>
      <c r="H1442" s="11">
        <f t="shared" si="71"/>
        <v>0</v>
      </c>
    </row>
    <row r="1443" spans="1:8">
      <c r="A1443" s="6" t="s">
        <v>18</v>
      </c>
      <c r="B1443">
        <v>191000</v>
      </c>
      <c r="C1443">
        <v>30000</v>
      </c>
      <c r="D1443" s="8" t="str">
        <f>VLOOKUP(A1443,Лист2!A:E,5,0)</f>
        <v>малые</v>
      </c>
      <c r="E1443" s="10">
        <f>VLOOKUP(A1443,Лист2!A:E,4,0)</f>
        <v>2.5</v>
      </c>
      <c r="F1443" s="11">
        <f t="shared" si="69"/>
        <v>161000</v>
      </c>
      <c r="G1443" s="11">
        <f t="shared" si="70"/>
        <v>76400</v>
      </c>
      <c r="H1443" s="11">
        <f t="shared" si="71"/>
        <v>64400</v>
      </c>
    </row>
    <row r="1444" spans="1:8">
      <c r="A1444" s="6" t="s">
        <v>18</v>
      </c>
      <c r="B1444">
        <v>2213000</v>
      </c>
      <c r="C1444">
        <v>827000</v>
      </c>
      <c r="D1444" s="8" t="str">
        <f>VLOOKUP(A1444,Лист2!A:E,5,0)</f>
        <v>малые</v>
      </c>
      <c r="E1444" s="10">
        <f>VLOOKUP(A1444,Лист2!A:E,4,0)</f>
        <v>2.5</v>
      </c>
      <c r="F1444" s="11">
        <f t="shared" si="69"/>
        <v>1386000</v>
      </c>
      <c r="G1444" s="11">
        <f t="shared" si="70"/>
        <v>885200</v>
      </c>
      <c r="H1444" s="11">
        <f t="shared" si="71"/>
        <v>554400</v>
      </c>
    </row>
    <row r="1445" spans="1:8">
      <c r="A1445" s="6" t="s">
        <v>18</v>
      </c>
      <c r="B1445">
        <v>19783000</v>
      </c>
      <c r="C1445">
        <v>19384000</v>
      </c>
      <c r="D1445" s="8" t="str">
        <f>VLOOKUP(A1445,Лист2!A:E,5,0)</f>
        <v>малые</v>
      </c>
      <c r="E1445" s="10">
        <f>VLOOKUP(A1445,Лист2!A:E,4,0)</f>
        <v>2.5</v>
      </c>
      <c r="F1445" s="11">
        <f t="shared" si="69"/>
        <v>399000</v>
      </c>
      <c r="G1445" s="11">
        <f t="shared" si="70"/>
        <v>7913200</v>
      </c>
      <c r="H1445" s="11">
        <f t="shared" si="71"/>
        <v>159600</v>
      </c>
    </row>
    <row r="1446" spans="1:8">
      <c r="A1446" s="6" t="s">
        <v>18</v>
      </c>
      <c r="B1446">
        <v>28613000</v>
      </c>
      <c r="C1446">
        <v>28635000</v>
      </c>
      <c r="D1446" s="8" t="str">
        <f>VLOOKUP(A1446,Лист2!A:E,5,0)</f>
        <v>малые</v>
      </c>
      <c r="E1446" s="10">
        <f>VLOOKUP(A1446,Лист2!A:E,4,0)</f>
        <v>2.5</v>
      </c>
      <c r="F1446" s="11">
        <f t="shared" si="69"/>
        <v>-22000</v>
      </c>
      <c r="G1446" s="11">
        <f t="shared" si="70"/>
        <v>11445200</v>
      </c>
      <c r="H1446" s="11">
        <f t="shared" si="71"/>
        <v>-8800</v>
      </c>
    </row>
    <row r="1447" spans="1:8">
      <c r="A1447" s="6" t="s">
        <v>22</v>
      </c>
      <c r="B1447">
        <v>7947000</v>
      </c>
      <c r="C1447">
        <v>9887000</v>
      </c>
      <c r="D1447" s="8" t="str">
        <f>VLOOKUP(A1447,Лист2!A:E,5,0)</f>
        <v>малые</v>
      </c>
      <c r="E1447" s="10">
        <f>VLOOKUP(A1447,Лист2!A:E,4,0)</f>
        <v>13</v>
      </c>
      <c r="F1447" s="11">
        <f t="shared" si="69"/>
        <v>-1940000</v>
      </c>
      <c r="G1447" s="11">
        <f t="shared" si="70"/>
        <v>611307.69230769225</v>
      </c>
      <c r="H1447" s="11">
        <f t="shared" si="71"/>
        <v>-149230.76923076922</v>
      </c>
    </row>
    <row r="1448" spans="1:8">
      <c r="A1448" s="6" t="s">
        <v>18</v>
      </c>
      <c r="B1448">
        <v>593000</v>
      </c>
      <c r="C1448">
        <v>578000</v>
      </c>
      <c r="D1448" s="8" t="str">
        <f>VLOOKUP(A1448,Лист2!A:E,5,0)</f>
        <v>малые</v>
      </c>
      <c r="E1448" s="10">
        <f>VLOOKUP(A1448,Лист2!A:E,4,0)</f>
        <v>2.5</v>
      </c>
      <c r="F1448" s="11">
        <f t="shared" si="69"/>
        <v>15000</v>
      </c>
      <c r="G1448" s="11">
        <f t="shared" si="70"/>
        <v>237200</v>
      </c>
      <c r="H1448" s="11">
        <f t="shared" si="71"/>
        <v>6000</v>
      </c>
    </row>
    <row r="1449" spans="1:8">
      <c r="A1449" s="6" t="s">
        <v>18</v>
      </c>
      <c r="B1449">
        <v>60000</v>
      </c>
      <c r="C1449">
        <v>4000</v>
      </c>
      <c r="D1449" s="8" t="str">
        <f>VLOOKUP(A1449,Лист2!A:E,5,0)</f>
        <v>малые</v>
      </c>
      <c r="E1449" s="10">
        <f>VLOOKUP(A1449,Лист2!A:E,4,0)</f>
        <v>2.5</v>
      </c>
      <c r="F1449" s="11">
        <f t="shared" si="69"/>
        <v>56000</v>
      </c>
      <c r="G1449" s="11">
        <f t="shared" si="70"/>
        <v>24000</v>
      </c>
      <c r="H1449" s="11">
        <f t="shared" si="71"/>
        <v>22400</v>
      </c>
    </row>
    <row r="1450" spans="1:8">
      <c r="A1450" s="6" t="s">
        <v>18</v>
      </c>
      <c r="B1450">
        <v>35294000</v>
      </c>
      <c r="C1450">
        <v>20817000</v>
      </c>
      <c r="D1450" s="8" t="str">
        <f>VLOOKUP(A1450,Лист2!A:E,5,0)</f>
        <v>малые</v>
      </c>
      <c r="E1450" s="10">
        <f>VLOOKUP(A1450,Лист2!A:E,4,0)</f>
        <v>2.5</v>
      </c>
      <c r="F1450" s="11">
        <f t="shared" si="69"/>
        <v>14477000</v>
      </c>
      <c r="G1450" s="11">
        <f t="shared" si="70"/>
        <v>14117600</v>
      </c>
      <c r="H1450" s="11">
        <f t="shared" si="71"/>
        <v>5790800</v>
      </c>
    </row>
    <row r="1451" spans="1:8">
      <c r="A1451" s="6" t="s">
        <v>18</v>
      </c>
      <c r="B1451">
        <v>2740400</v>
      </c>
      <c r="C1451">
        <v>3298191</v>
      </c>
      <c r="D1451" s="8" t="str">
        <f>VLOOKUP(A1451,Лист2!A:E,5,0)</f>
        <v>малые</v>
      </c>
      <c r="E1451" s="10">
        <f>VLOOKUP(A1451,Лист2!A:E,4,0)</f>
        <v>2.5</v>
      </c>
      <c r="F1451" s="11">
        <f t="shared" si="69"/>
        <v>-557791</v>
      </c>
      <c r="G1451" s="11">
        <f t="shared" si="70"/>
        <v>1096160</v>
      </c>
      <c r="H1451" s="11">
        <f t="shared" si="71"/>
        <v>-223116.4</v>
      </c>
    </row>
    <row r="1452" spans="1:8">
      <c r="A1452" s="6" t="s">
        <v>18</v>
      </c>
      <c r="B1452">
        <v>2674000</v>
      </c>
      <c r="C1452">
        <v>820000</v>
      </c>
      <c r="D1452" s="8" t="str">
        <f>VLOOKUP(A1452,Лист2!A:E,5,0)</f>
        <v>малые</v>
      </c>
      <c r="E1452" s="10">
        <f>VLOOKUP(A1452,Лист2!A:E,4,0)</f>
        <v>2.5</v>
      </c>
      <c r="F1452" s="11">
        <f t="shared" si="69"/>
        <v>1854000</v>
      </c>
      <c r="G1452" s="11">
        <f t="shared" si="70"/>
        <v>1069600</v>
      </c>
      <c r="H1452" s="11">
        <f t="shared" si="71"/>
        <v>741600</v>
      </c>
    </row>
    <row r="1453" spans="1:8">
      <c r="A1453" s="6" t="s">
        <v>18</v>
      </c>
      <c r="B1453">
        <v>3780000</v>
      </c>
      <c r="C1453">
        <v>7491000</v>
      </c>
      <c r="D1453" s="8" t="str">
        <f>VLOOKUP(A1453,Лист2!A:E,5,0)</f>
        <v>малые</v>
      </c>
      <c r="E1453" s="10">
        <f>VLOOKUP(A1453,Лист2!A:E,4,0)</f>
        <v>2.5</v>
      </c>
      <c r="F1453" s="11">
        <f t="shared" si="69"/>
        <v>-3711000</v>
      </c>
      <c r="G1453" s="11">
        <f t="shared" si="70"/>
        <v>1512000</v>
      </c>
      <c r="H1453" s="11">
        <f t="shared" si="71"/>
        <v>-1484400</v>
      </c>
    </row>
    <row r="1454" spans="1:8">
      <c r="A1454" s="6" t="s">
        <v>18</v>
      </c>
      <c r="B1454">
        <v>31156000</v>
      </c>
      <c r="C1454">
        <v>29506000</v>
      </c>
      <c r="D1454" s="8" t="str">
        <f>VLOOKUP(A1454,Лист2!A:E,5,0)</f>
        <v>малые</v>
      </c>
      <c r="E1454" s="10">
        <f>VLOOKUP(A1454,Лист2!A:E,4,0)</f>
        <v>2.5</v>
      </c>
      <c r="F1454" s="11">
        <f t="shared" si="69"/>
        <v>1650000</v>
      </c>
      <c r="G1454" s="11">
        <f t="shared" si="70"/>
        <v>12462400</v>
      </c>
      <c r="H1454" s="11">
        <f t="shared" si="71"/>
        <v>660000</v>
      </c>
    </row>
    <row r="1455" spans="1:8">
      <c r="A1455" s="6" t="s">
        <v>18</v>
      </c>
      <c r="B1455">
        <v>2767000</v>
      </c>
      <c r="C1455">
        <v>2711000</v>
      </c>
      <c r="D1455" s="8" t="str">
        <f>VLOOKUP(A1455,Лист2!A:E,5,0)</f>
        <v>малые</v>
      </c>
      <c r="E1455" s="10">
        <f>VLOOKUP(A1455,Лист2!A:E,4,0)</f>
        <v>2.5</v>
      </c>
      <c r="F1455" s="11">
        <f t="shared" si="69"/>
        <v>56000</v>
      </c>
      <c r="G1455" s="11">
        <f t="shared" si="70"/>
        <v>1106800</v>
      </c>
      <c r="H1455" s="11">
        <f t="shared" si="71"/>
        <v>22400</v>
      </c>
    </row>
    <row r="1456" spans="1:8">
      <c r="A1456" s="6" t="s">
        <v>18</v>
      </c>
      <c r="B1456">
        <v>80000</v>
      </c>
      <c r="C1456">
        <v>80000</v>
      </c>
      <c r="D1456" s="8" t="str">
        <f>VLOOKUP(A1456,Лист2!A:E,5,0)</f>
        <v>малые</v>
      </c>
      <c r="E1456" s="10">
        <f>VLOOKUP(A1456,Лист2!A:E,4,0)</f>
        <v>2.5</v>
      </c>
      <c r="F1456" s="11">
        <f t="shared" si="69"/>
        <v>0</v>
      </c>
      <c r="G1456" s="11">
        <f t="shared" si="70"/>
        <v>32000</v>
      </c>
      <c r="H1456" s="11">
        <f t="shared" si="71"/>
        <v>0</v>
      </c>
    </row>
    <row r="1457" spans="1:8">
      <c r="A1457" s="6" t="s">
        <v>18</v>
      </c>
      <c r="B1457">
        <v>235000</v>
      </c>
      <c r="C1457">
        <v>205000</v>
      </c>
      <c r="D1457" s="8" t="str">
        <f>VLOOKUP(A1457,Лист2!A:E,5,0)</f>
        <v>малые</v>
      </c>
      <c r="E1457" s="10">
        <f>VLOOKUP(A1457,Лист2!A:E,4,0)</f>
        <v>2.5</v>
      </c>
      <c r="F1457" s="11">
        <f t="shared" si="69"/>
        <v>30000</v>
      </c>
      <c r="G1457" s="11">
        <f t="shared" si="70"/>
        <v>94000</v>
      </c>
      <c r="H1457" s="11">
        <f t="shared" si="71"/>
        <v>12000</v>
      </c>
    </row>
    <row r="1458" spans="1:8">
      <c r="A1458" s="6" t="s">
        <v>18</v>
      </c>
      <c r="B1458">
        <v>836000</v>
      </c>
      <c r="C1458">
        <v>888000</v>
      </c>
      <c r="D1458" s="8" t="str">
        <f>VLOOKUP(A1458,Лист2!A:E,5,0)</f>
        <v>малые</v>
      </c>
      <c r="E1458" s="10">
        <f>VLOOKUP(A1458,Лист2!A:E,4,0)</f>
        <v>2.5</v>
      </c>
      <c r="F1458" s="11">
        <f t="shared" si="69"/>
        <v>-52000</v>
      </c>
      <c r="G1458" s="11">
        <f t="shared" si="70"/>
        <v>334400</v>
      </c>
      <c r="H1458" s="11">
        <f t="shared" si="71"/>
        <v>-20800</v>
      </c>
    </row>
    <row r="1459" spans="1:8">
      <c r="A1459" s="6" t="s">
        <v>18</v>
      </c>
      <c r="B1459">
        <v>208000</v>
      </c>
      <c r="C1459">
        <v>95000</v>
      </c>
      <c r="D1459" s="8" t="str">
        <f>VLOOKUP(A1459,Лист2!A:E,5,0)</f>
        <v>малые</v>
      </c>
      <c r="E1459" s="10">
        <f>VLOOKUP(A1459,Лист2!A:E,4,0)</f>
        <v>2.5</v>
      </c>
      <c r="F1459" s="11">
        <f t="shared" si="69"/>
        <v>113000</v>
      </c>
      <c r="G1459" s="11">
        <f t="shared" si="70"/>
        <v>83200</v>
      </c>
      <c r="H1459" s="11">
        <f t="shared" si="71"/>
        <v>45200</v>
      </c>
    </row>
    <row r="1460" spans="1:8">
      <c r="A1460" s="6" t="s">
        <v>18</v>
      </c>
      <c r="B1460">
        <v>2192000</v>
      </c>
      <c r="C1460">
        <v>1834000</v>
      </c>
      <c r="D1460" s="8" t="str">
        <f>VLOOKUP(A1460,Лист2!A:E,5,0)</f>
        <v>малые</v>
      </c>
      <c r="E1460" s="10">
        <f>VLOOKUP(A1460,Лист2!A:E,4,0)</f>
        <v>2.5</v>
      </c>
      <c r="F1460" s="11">
        <f t="shared" si="69"/>
        <v>358000</v>
      </c>
      <c r="G1460" s="11">
        <f t="shared" si="70"/>
        <v>876800</v>
      </c>
      <c r="H1460" s="11">
        <f t="shared" si="71"/>
        <v>143200</v>
      </c>
    </row>
    <row r="1461" spans="1:8">
      <c r="A1461" s="6" t="s">
        <v>18</v>
      </c>
      <c r="B1461">
        <v>62000</v>
      </c>
      <c r="C1461">
        <v>57000</v>
      </c>
      <c r="D1461" s="8" t="str">
        <f>VLOOKUP(A1461,Лист2!A:E,5,0)</f>
        <v>малые</v>
      </c>
      <c r="E1461" s="10">
        <f>VLOOKUP(A1461,Лист2!A:E,4,0)</f>
        <v>2.5</v>
      </c>
      <c r="F1461" s="11">
        <f t="shared" si="69"/>
        <v>5000</v>
      </c>
      <c r="G1461" s="11">
        <f t="shared" si="70"/>
        <v>24800</v>
      </c>
      <c r="H1461" s="11">
        <f t="shared" si="71"/>
        <v>2000</v>
      </c>
    </row>
    <row r="1462" spans="1:8">
      <c r="A1462" s="6" t="s">
        <v>18</v>
      </c>
      <c r="B1462">
        <v>5604000</v>
      </c>
      <c r="C1462">
        <v>17206000</v>
      </c>
      <c r="D1462" s="8" t="str">
        <f>VLOOKUP(A1462,Лист2!A:E,5,0)</f>
        <v>малые</v>
      </c>
      <c r="E1462" s="10">
        <f>VLOOKUP(A1462,Лист2!A:E,4,0)</f>
        <v>2.5</v>
      </c>
      <c r="F1462" s="11">
        <f t="shared" si="69"/>
        <v>-11602000</v>
      </c>
      <c r="G1462" s="11">
        <f t="shared" si="70"/>
        <v>2241600</v>
      </c>
      <c r="H1462" s="11">
        <f t="shared" si="71"/>
        <v>-4640800</v>
      </c>
    </row>
    <row r="1463" spans="1:8">
      <c r="A1463" s="6" t="s">
        <v>18</v>
      </c>
      <c r="B1463">
        <v>663000</v>
      </c>
      <c r="C1463">
        <v>663000</v>
      </c>
      <c r="D1463" s="8" t="str">
        <f>VLOOKUP(A1463,Лист2!A:E,5,0)</f>
        <v>малые</v>
      </c>
      <c r="E1463" s="10">
        <f>VLOOKUP(A1463,Лист2!A:E,4,0)</f>
        <v>2.5</v>
      </c>
      <c r="F1463" s="11">
        <f t="shared" si="69"/>
        <v>0</v>
      </c>
      <c r="G1463" s="11">
        <f t="shared" si="70"/>
        <v>265200</v>
      </c>
      <c r="H1463" s="11">
        <f t="shared" si="71"/>
        <v>0</v>
      </c>
    </row>
    <row r="1464" spans="1:8">
      <c r="A1464" s="6" t="s">
        <v>77</v>
      </c>
      <c r="B1464">
        <v>10753000</v>
      </c>
      <c r="C1464">
        <v>10174000</v>
      </c>
      <c r="D1464" s="8" t="str">
        <f>VLOOKUP(A1464,Лист2!A:E,5,0)</f>
        <v>малые</v>
      </c>
      <c r="E1464" s="10">
        <f>VLOOKUP(A1464,Лист2!A:E,4,0)</f>
        <v>8</v>
      </c>
      <c r="F1464" s="11">
        <f t="shared" si="69"/>
        <v>579000</v>
      </c>
      <c r="G1464" s="11">
        <f t="shared" si="70"/>
        <v>1344125</v>
      </c>
      <c r="H1464" s="11">
        <f t="shared" si="71"/>
        <v>72375</v>
      </c>
    </row>
    <row r="1465" spans="1:8">
      <c r="A1465" s="6" t="s">
        <v>18</v>
      </c>
      <c r="B1465">
        <v>260000</v>
      </c>
      <c r="C1465">
        <v>288000</v>
      </c>
      <c r="D1465" s="8" t="str">
        <f>VLOOKUP(A1465,Лист2!A:E,5,0)</f>
        <v>малые</v>
      </c>
      <c r="E1465" s="10">
        <f>VLOOKUP(A1465,Лист2!A:E,4,0)</f>
        <v>2.5</v>
      </c>
      <c r="F1465" s="11">
        <f t="shared" si="69"/>
        <v>-28000</v>
      </c>
      <c r="G1465" s="11">
        <f t="shared" si="70"/>
        <v>104000</v>
      </c>
      <c r="H1465" s="11">
        <f t="shared" si="71"/>
        <v>-11200</v>
      </c>
    </row>
    <row r="1466" spans="1:8">
      <c r="A1466" s="6" t="s">
        <v>22</v>
      </c>
      <c r="B1466">
        <v>1537000</v>
      </c>
      <c r="C1466">
        <v>1535000</v>
      </c>
      <c r="D1466" s="8" t="str">
        <f>VLOOKUP(A1466,Лист2!A:E,5,0)</f>
        <v>малые</v>
      </c>
      <c r="E1466" s="10">
        <f>VLOOKUP(A1466,Лист2!A:E,4,0)</f>
        <v>13</v>
      </c>
      <c r="F1466" s="11">
        <f t="shared" si="69"/>
        <v>2000</v>
      </c>
      <c r="G1466" s="11">
        <f t="shared" si="70"/>
        <v>118230.76923076923</v>
      </c>
      <c r="H1466" s="11">
        <f t="shared" si="71"/>
        <v>153.84615384615384</v>
      </c>
    </row>
    <row r="1467" spans="1:8">
      <c r="A1467" s="6" t="s">
        <v>18</v>
      </c>
      <c r="B1467">
        <v>2500000</v>
      </c>
      <c r="C1467">
        <v>2500000</v>
      </c>
      <c r="D1467" s="8" t="str">
        <f>VLOOKUP(A1467,Лист2!A:E,5,0)</f>
        <v>малые</v>
      </c>
      <c r="E1467" s="10">
        <f>VLOOKUP(A1467,Лист2!A:E,4,0)</f>
        <v>2.5</v>
      </c>
      <c r="F1467" s="11">
        <f t="shared" si="69"/>
        <v>0</v>
      </c>
      <c r="G1467" s="11">
        <f t="shared" si="70"/>
        <v>1000000</v>
      </c>
      <c r="H1467" s="11">
        <f t="shared" si="71"/>
        <v>0</v>
      </c>
    </row>
    <row r="1468" spans="1:8">
      <c r="A1468" s="6" t="s">
        <v>18</v>
      </c>
      <c r="B1468">
        <v>277000</v>
      </c>
      <c r="C1468">
        <v>21000</v>
      </c>
      <c r="D1468" s="8" t="str">
        <f>VLOOKUP(A1468,Лист2!A:E,5,0)</f>
        <v>малые</v>
      </c>
      <c r="E1468" s="10">
        <f>VLOOKUP(A1468,Лист2!A:E,4,0)</f>
        <v>2.5</v>
      </c>
      <c r="F1468" s="11">
        <f t="shared" si="69"/>
        <v>256000</v>
      </c>
      <c r="G1468" s="11">
        <f t="shared" si="70"/>
        <v>110800</v>
      </c>
      <c r="H1468" s="11">
        <f t="shared" si="71"/>
        <v>102400</v>
      </c>
    </row>
    <row r="1469" spans="1:8">
      <c r="A1469" s="6" t="s">
        <v>18</v>
      </c>
      <c r="B1469">
        <v>2299000</v>
      </c>
      <c r="C1469">
        <v>2297000</v>
      </c>
      <c r="D1469" s="8" t="str">
        <f>VLOOKUP(A1469,Лист2!A:E,5,0)</f>
        <v>малые</v>
      </c>
      <c r="E1469" s="10">
        <f>VLOOKUP(A1469,Лист2!A:E,4,0)</f>
        <v>2.5</v>
      </c>
      <c r="F1469" s="11">
        <f t="shared" si="69"/>
        <v>2000</v>
      </c>
      <c r="G1469" s="11">
        <f t="shared" si="70"/>
        <v>919600</v>
      </c>
      <c r="H1469" s="11">
        <f t="shared" si="71"/>
        <v>800</v>
      </c>
    </row>
    <row r="1470" spans="1:8">
      <c r="A1470" s="6" t="s">
        <v>18</v>
      </c>
      <c r="B1470">
        <v>6122000</v>
      </c>
      <c r="C1470">
        <v>5796000</v>
      </c>
      <c r="D1470" s="8" t="str">
        <f>VLOOKUP(A1470,Лист2!A:E,5,0)</f>
        <v>малые</v>
      </c>
      <c r="E1470" s="10">
        <f>VLOOKUP(A1470,Лист2!A:E,4,0)</f>
        <v>2.5</v>
      </c>
      <c r="F1470" s="11">
        <f t="shared" si="69"/>
        <v>326000</v>
      </c>
      <c r="G1470" s="11">
        <f t="shared" si="70"/>
        <v>2448800</v>
      </c>
      <c r="H1470" s="11">
        <f t="shared" si="71"/>
        <v>130400</v>
      </c>
    </row>
    <row r="1471" spans="1:8">
      <c r="A1471" s="6" t="s">
        <v>18</v>
      </c>
      <c r="B1471">
        <v>1234000</v>
      </c>
      <c r="C1471">
        <v>1360000</v>
      </c>
      <c r="D1471" s="8" t="str">
        <f>VLOOKUP(A1471,Лист2!A:E,5,0)</f>
        <v>малые</v>
      </c>
      <c r="E1471" s="10">
        <f>VLOOKUP(A1471,Лист2!A:E,4,0)</f>
        <v>2.5</v>
      </c>
      <c r="F1471" s="11">
        <f t="shared" si="69"/>
        <v>-126000</v>
      </c>
      <c r="G1471" s="11">
        <f t="shared" si="70"/>
        <v>493600</v>
      </c>
      <c r="H1471" s="11">
        <f t="shared" si="71"/>
        <v>-50400</v>
      </c>
    </row>
    <row r="1472" spans="1:8">
      <c r="A1472" s="6" t="s">
        <v>18</v>
      </c>
      <c r="B1472">
        <v>206445000</v>
      </c>
      <c r="C1472">
        <v>177683000</v>
      </c>
      <c r="D1472" s="8" t="str">
        <f>VLOOKUP(A1472,Лист2!A:E,5,0)</f>
        <v>малые</v>
      </c>
      <c r="E1472" s="10">
        <f>VLOOKUP(A1472,Лист2!A:E,4,0)</f>
        <v>2.5</v>
      </c>
      <c r="F1472" s="11">
        <f t="shared" si="69"/>
        <v>28762000</v>
      </c>
      <c r="G1472" s="11">
        <f t="shared" si="70"/>
        <v>82578000</v>
      </c>
      <c r="H1472" s="11">
        <f t="shared" si="71"/>
        <v>11504800</v>
      </c>
    </row>
    <row r="1473" spans="1:8">
      <c r="A1473" s="6" t="s">
        <v>18</v>
      </c>
      <c r="B1473">
        <v>800000</v>
      </c>
      <c r="C1473">
        <v>702000</v>
      </c>
      <c r="D1473" s="8" t="str">
        <f>VLOOKUP(A1473,Лист2!A:E,5,0)</f>
        <v>малые</v>
      </c>
      <c r="E1473" s="10">
        <f>VLOOKUP(A1473,Лист2!A:E,4,0)</f>
        <v>2.5</v>
      </c>
      <c r="F1473" s="11">
        <f t="shared" si="69"/>
        <v>98000</v>
      </c>
      <c r="G1473" s="11">
        <f t="shared" si="70"/>
        <v>320000</v>
      </c>
      <c r="H1473" s="11">
        <f t="shared" si="71"/>
        <v>39200</v>
      </c>
    </row>
    <row r="1474" spans="1:8">
      <c r="A1474" s="6" t="s">
        <v>18</v>
      </c>
      <c r="B1474">
        <v>1060000</v>
      </c>
      <c r="C1474">
        <v>1195000</v>
      </c>
      <c r="D1474" s="8" t="str">
        <f>VLOOKUP(A1474,Лист2!A:E,5,0)</f>
        <v>малые</v>
      </c>
      <c r="E1474" s="10">
        <f>VLOOKUP(A1474,Лист2!A:E,4,0)</f>
        <v>2.5</v>
      </c>
      <c r="F1474" s="11">
        <f t="shared" si="69"/>
        <v>-135000</v>
      </c>
      <c r="G1474" s="11">
        <f t="shared" si="70"/>
        <v>424000</v>
      </c>
      <c r="H1474" s="11">
        <f t="shared" si="71"/>
        <v>-54000</v>
      </c>
    </row>
    <row r="1475" spans="1:8">
      <c r="A1475" s="6" t="s">
        <v>18</v>
      </c>
      <c r="B1475">
        <v>1390000</v>
      </c>
      <c r="C1475">
        <v>1411000</v>
      </c>
      <c r="D1475" s="8" t="str">
        <f>VLOOKUP(A1475,Лист2!A:E,5,0)</f>
        <v>малые</v>
      </c>
      <c r="E1475" s="10">
        <f>VLOOKUP(A1475,Лист2!A:E,4,0)</f>
        <v>2.5</v>
      </c>
      <c r="F1475" s="11">
        <f t="shared" si="69"/>
        <v>-21000</v>
      </c>
      <c r="G1475" s="11">
        <f t="shared" si="70"/>
        <v>556000</v>
      </c>
      <c r="H1475" s="11">
        <f t="shared" si="71"/>
        <v>-8400</v>
      </c>
    </row>
    <row r="1476" spans="1:8">
      <c r="A1476" s="6" t="s">
        <v>18</v>
      </c>
      <c r="B1476">
        <v>3579000</v>
      </c>
      <c r="C1476">
        <v>3579000</v>
      </c>
      <c r="D1476" s="8" t="str">
        <f>VLOOKUP(A1476,Лист2!A:E,5,0)</f>
        <v>малые</v>
      </c>
      <c r="E1476" s="10">
        <f>VLOOKUP(A1476,Лист2!A:E,4,0)</f>
        <v>2.5</v>
      </c>
      <c r="F1476" s="11">
        <f t="shared" ref="F1476:F1538" si="72">B1476-C1476</f>
        <v>0</v>
      </c>
      <c r="G1476" s="11">
        <f t="shared" ref="G1476:G1538" si="73">B1476/E1476</f>
        <v>1431600</v>
      </c>
      <c r="H1476" s="11">
        <f t="shared" ref="H1476:H1538" si="74">F1476/E1476</f>
        <v>0</v>
      </c>
    </row>
    <row r="1477" spans="1:8">
      <c r="A1477" s="6" t="s">
        <v>18</v>
      </c>
      <c r="B1477">
        <v>78000</v>
      </c>
      <c r="C1477">
        <v>104000</v>
      </c>
      <c r="D1477" s="8" t="str">
        <f>VLOOKUP(A1477,Лист2!A:E,5,0)</f>
        <v>малые</v>
      </c>
      <c r="E1477" s="10">
        <f>VLOOKUP(A1477,Лист2!A:E,4,0)</f>
        <v>2.5</v>
      </c>
      <c r="F1477" s="11">
        <f t="shared" si="72"/>
        <v>-26000</v>
      </c>
      <c r="G1477" s="11">
        <f t="shared" si="73"/>
        <v>31200</v>
      </c>
      <c r="H1477" s="11">
        <f t="shared" si="74"/>
        <v>-10400</v>
      </c>
    </row>
    <row r="1478" spans="1:8">
      <c r="A1478" s="6" t="s">
        <v>18</v>
      </c>
      <c r="B1478">
        <v>2037000</v>
      </c>
      <c r="C1478">
        <v>3738000</v>
      </c>
      <c r="D1478" s="8" t="str">
        <f>VLOOKUP(A1478,Лист2!A:E,5,0)</f>
        <v>малые</v>
      </c>
      <c r="E1478" s="10">
        <f>VLOOKUP(A1478,Лист2!A:E,4,0)</f>
        <v>2.5</v>
      </c>
      <c r="F1478" s="11">
        <f t="shared" si="72"/>
        <v>-1701000</v>
      </c>
      <c r="G1478" s="11">
        <f t="shared" si="73"/>
        <v>814800</v>
      </c>
      <c r="H1478" s="11">
        <f t="shared" si="74"/>
        <v>-680400</v>
      </c>
    </row>
    <row r="1479" spans="1:8">
      <c r="A1479" s="6" t="s">
        <v>18</v>
      </c>
      <c r="B1479">
        <v>20993000</v>
      </c>
      <c r="C1479">
        <v>20993000</v>
      </c>
      <c r="D1479" s="8" t="str">
        <f>VLOOKUP(A1479,Лист2!A:E,5,0)</f>
        <v>малые</v>
      </c>
      <c r="E1479" s="10">
        <f>VLOOKUP(A1479,Лист2!A:E,4,0)</f>
        <v>2.5</v>
      </c>
      <c r="F1479" s="11">
        <f t="shared" si="72"/>
        <v>0</v>
      </c>
      <c r="G1479" s="11">
        <f t="shared" si="73"/>
        <v>8397200</v>
      </c>
      <c r="H1479" s="11">
        <f t="shared" si="74"/>
        <v>0</v>
      </c>
    </row>
    <row r="1480" spans="1:8">
      <c r="A1480" s="6" t="s">
        <v>18</v>
      </c>
      <c r="B1480">
        <v>496000</v>
      </c>
      <c r="C1480">
        <v>803000</v>
      </c>
      <c r="D1480" s="8" t="str">
        <f>VLOOKUP(A1480,Лист2!A:E,5,0)</f>
        <v>малые</v>
      </c>
      <c r="E1480" s="10">
        <f>VLOOKUP(A1480,Лист2!A:E,4,0)</f>
        <v>2.5</v>
      </c>
      <c r="F1480" s="11">
        <f t="shared" si="72"/>
        <v>-307000</v>
      </c>
      <c r="G1480" s="11">
        <f t="shared" si="73"/>
        <v>198400</v>
      </c>
      <c r="H1480" s="11">
        <f t="shared" si="74"/>
        <v>-122800</v>
      </c>
    </row>
    <row r="1481" spans="1:8">
      <c r="A1481" s="6" t="s">
        <v>77</v>
      </c>
      <c r="B1481">
        <v>17897000</v>
      </c>
      <c r="C1481">
        <v>18335000</v>
      </c>
      <c r="D1481" s="8" t="str">
        <f>VLOOKUP(A1481,Лист2!A:E,5,0)</f>
        <v>малые</v>
      </c>
      <c r="E1481" s="10">
        <f>VLOOKUP(A1481,Лист2!A:E,4,0)</f>
        <v>8</v>
      </c>
      <c r="F1481" s="11">
        <f t="shared" si="72"/>
        <v>-438000</v>
      </c>
      <c r="G1481" s="11">
        <f t="shared" si="73"/>
        <v>2237125</v>
      </c>
      <c r="H1481" s="11">
        <f t="shared" si="74"/>
        <v>-54750</v>
      </c>
    </row>
    <row r="1482" spans="1:8">
      <c r="A1482" s="6" t="s">
        <v>18</v>
      </c>
      <c r="B1482">
        <v>5899000</v>
      </c>
      <c r="C1482">
        <v>4717000</v>
      </c>
      <c r="D1482" s="8" t="str">
        <f>VLOOKUP(A1482,Лист2!A:E,5,0)</f>
        <v>малые</v>
      </c>
      <c r="E1482" s="10">
        <f>VLOOKUP(A1482,Лист2!A:E,4,0)</f>
        <v>2.5</v>
      </c>
      <c r="F1482" s="11">
        <f t="shared" si="72"/>
        <v>1182000</v>
      </c>
      <c r="G1482" s="11">
        <f t="shared" si="73"/>
        <v>2359600</v>
      </c>
      <c r="H1482" s="11">
        <f t="shared" si="74"/>
        <v>472800</v>
      </c>
    </row>
    <row r="1483" spans="1:8">
      <c r="A1483" s="6" t="s">
        <v>18</v>
      </c>
      <c r="B1483">
        <v>60000</v>
      </c>
      <c r="C1483">
        <v>8000</v>
      </c>
      <c r="D1483" s="8" t="str">
        <f>VLOOKUP(A1483,Лист2!A:E,5,0)</f>
        <v>малые</v>
      </c>
      <c r="E1483" s="10">
        <f>VLOOKUP(A1483,Лист2!A:E,4,0)</f>
        <v>2.5</v>
      </c>
      <c r="F1483" s="11">
        <f t="shared" si="72"/>
        <v>52000</v>
      </c>
      <c r="G1483" s="11">
        <f t="shared" si="73"/>
        <v>24000</v>
      </c>
      <c r="H1483" s="11">
        <f t="shared" si="74"/>
        <v>20800</v>
      </c>
    </row>
    <row r="1484" spans="1:8">
      <c r="A1484" s="6" t="s">
        <v>18</v>
      </c>
      <c r="B1484">
        <v>19000</v>
      </c>
      <c r="C1484">
        <v>19000</v>
      </c>
      <c r="D1484" s="8" t="str">
        <f>VLOOKUP(A1484,Лист2!A:E,5,0)</f>
        <v>малые</v>
      </c>
      <c r="E1484" s="10">
        <f>VLOOKUP(A1484,Лист2!A:E,4,0)</f>
        <v>2.5</v>
      </c>
      <c r="F1484" s="11">
        <f t="shared" si="72"/>
        <v>0</v>
      </c>
      <c r="G1484" s="11">
        <f t="shared" si="73"/>
        <v>7600</v>
      </c>
      <c r="H1484" s="11">
        <f t="shared" si="74"/>
        <v>0</v>
      </c>
    </row>
    <row r="1485" spans="1:8">
      <c r="A1485" s="6" t="s">
        <v>18</v>
      </c>
      <c r="B1485">
        <v>256477000</v>
      </c>
      <c r="C1485">
        <v>297625000</v>
      </c>
      <c r="D1485" s="8" t="str">
        <f>VLOOKUP(A1485,Лист2!A:E,5,0)</f>
        <v>малые</v>
      </c>
      <c r="E1485" s="10">
        <f>VLOOKUP(A1485,Лист2!A:E,4,0)</f>
        <v>2.5</v>
      </c>
      <c r="F1485" s="11">
        <f t="shared" si="72"/>
        <v>-41148000</v>
      </c>
      <c r="G1485" s="11">
        <f t="shared" si="73"/>
        <v>102590800</v>
      </c>
      <c r="H1485" s="11">
        <f t="shared" si="74"/>
        <v>-16459200</v>
      </c>
    </row>
    <row r="1486" spans="1:8">
      <c r="A1486" s="6" t="s">
        <v>18</v>
      </c>
      <c r="B1486">
        <v>40033000</v>
      </c>
      <c r="C1486">
        <v>40380000</v>
      </c>
      <c r="D1486" s="8" t="str">
        <f>VLOOKUP(A1486,Лист2!A:E,5,0)</f>
        <v>малые</v>
      </c>
      <c r="E1486" s="10">
        <f>VLOOKUP(A1486,Лист2!A:E,4,0)</f>
        <v>2.5</v>
      </c>
      <c r="F1486" s="11">
        <f t="shared" si="72"/>
        <v>-347000</v>
      </c>
      <c r="G1486" s="11">
        <f t="shared" si="73"/>
        <v>16013200</v>
      </c>
      <c r="H1486" s="11">
        <f t="shared" si="74"/>
        <v>-138800</v>
      </c>
    </row>
    <row r="1487" spans="1:8">
      <c r="A1487" s="6" t="s">
        <v>18</v>
      </c>
      <c r="B1487">
        <v>1147209000</v>
      </c>
      <c r="C1487">
        <v>850870000</v>
      </c>
      <c r="D1487" s="8" t="str">
        <f>VLOOKUP(A1487,Лист2!A:E,5,0)</f>
        <v>малые</v>
      </c>
      <c r="E1487" s="10">
        <f>VLOOKUP(A1487,Лист2!A:E,4,0)</f>
        <v>2.5</v>
      </c>
      <c r="F1487" s="11">
        <f t="shared" si="72"/>
        <v>296339000</v>
      </c>
      <c r="G1487" s="11">
        <f t="shared" si="73"/>
        <v>458883600</v>
      </c>
      <c r="H1487" s="11">
        <f t="shared" si="74"/>
        <v>118535600</v>
      </c>
    </row>
    <row r="1488" spans="1:8">
      <c r="A1488" s="6" t="s">
        <v>18</v>
      </c>
      <c r="B1488">
        <v>985000</v>
      </c>
      <c r="C1488">
        <v>934000</v>
      </c>
      <c r="D1488" s="8" t="str">
        <f>VLOOKUP(A1488,Лист2!A:E,5,0)</f>
        <v>малые</v>
      </c>
      <c r="E1488" s="10">
        <f>VLOOKUP(A1488,Лист2!A:E,4,0)</f>
        <v>2.5</v>
      </c>
      <c r="F1488" s="11">
        <f t="shared" si="72"/>
        <v>51000</v>
      </c>
      <c r="G1488" s="11">
        <f t="shared" si="73"/>
        <v>394000</v>
      </c>
      <c r="H1488" s="11">
        <f t="shared" si="74"/>
        <v>20400</v>
      </c>
    </row>
    <row r="1489" spans="1:8">
      <c r="A1489" s="6" t="s">
        <v>18</v>
      </c>
      <c r="B1489">
        <v>7000000</v>
      </c>
      <c r="C1489">
        <v>7015000</v>
      </c>
      <c r="D1489" s="8" t="str">
        <f>VLOOKUP(A1489,Лист2!A:E,5,0)</f>
        <v>малые</v>
      </c>
      <c r="E1489" s="10">
        <f>VLOOKUP(A1489,Лист2!A:E,4,0)</f>
        <v>2.5</v>
      </c>
      <c r="F1489" s="11">
        <f t="shared" si="72"/>
        <v>-15000</v>
      </c>
      <c r="G1489" s="11">
        <f t="shared" si="73"/>
        <v>2800000</v>
      </c>
      <c r="H1489" s="11">
        <f t="shared" si="74"/>
        <v>-6000</v>
      </c>
    </row>
    <row r="1490" spans="1:8">
      <c r="A1490" s="6" t="s">
        <v>18</v>
      </c>
      <c r="B1490">
        <v>2182000</v>
      </c>
      <c r="C1490">
        <v>2354000</v>
      </c>
      <c r="D1490" s="8" t="str">
        <f>VLOOKUP(A1490,Лист2!A:E,5,0)</f>
        <v>малые</v>
      </c>
      <c r="E1490" s="10">
        <f>VLOOKUP(A1490,Лист2!A:E,4,0)</f>
        <v>2.5</v>
      </c>
      <c r="F1490" s="11">
        <f t="shared" si="72"/>
        <v>-172000</v>
      </c>
      <c r="G1490" s="11">
        <f t="shared" si="73"/>
        <v>872800</v>
      </c>
      <c r="H1490" s="11">
        <f t="shared" si="74"/>
        <v>-68800</v>
      </c>
    </row>
    <row r="1491" spans="1:8">
      <c r="A1491" s="6" t="s">
        <v>18</v>
      </c>
      <c r="B1491">
        <v>216592000</v>
      </c>
      <c r="C1491">
        <v>220023000</v>
      </c>
      <c r="D1491" s="8" t="str">
        <f>VLOOKUP(A1491,Лист2!A:E,5,0)</f>
        <v>малые</v>
      </c>
      <c r="E1491" s="10">
        <f>VLOOKUP(A1491,Лист2!A:E,4,0)</f>
        <v>2.5</v>
      </c>
      <c r="F1491" s="11">
        <f t="shared" si="72"/>
        <v>-3431000</v>
      </c>
      <c r="G1491" s="11">
        <f t="shared" si="73"/>
        <v>86636800</v>
      </c>
      <c r="H1491" s="11">
        <f t="shared" si="74"/>
        <v>-1372400</v>
      </c>
    </row>
    <row r="1492" spans="1:8">
      <c r="A1492" s="6" t="s">
        <v>18</v>
      </c>
      <c r="B1492">
        <v>1844000</v>
      </c>
      <c r="C1492">
        <v>1502000</v>
      </c>
      <c r="D1492" s="8" t="str">
        <f>VLOOKUP(A1492,Лист2!A:E,5,0)</f>
        <v>малые</v>
      </c>
      <c r="E1492" s="10">
        <f>VLOOKUP(A1492,Лист2!A:E,4,0)</f>
        <v>2.5</v>
      </c>
      <c r="F1492" s="11">
        <f t="shared" si="72"/>
        <v>342000</v>
      </c>
      <c r="G1492" s="11">
        <f t="shared" si="73"/>
        <v>737600</v>
      </c>
      <c r="H1492" s="11">
        <f t="shared" si="74"/>
        <v>136800</v>
      </c>
    </row>
    <row r="1493" spans="1:8">
      <c r="A1493" s="6" t="s">
        <v>18</v>
      </c>
      <c r="B1493">
        <v>4775000</v>
      </c>
      <c r="C1493">
        <v>4708000</v>
      </c>
      <c r="D1493" s="8" t="str">
        <f>VLOOKUP(A1493,Лист2!A:E,5,0)</f>
        <v>малые</v>
      </c>
      <c r="E1493" s="10">
        <f>VLOOKUP(A1493,Лист2!A:E,4,0)</f>
        <v>2.5</v>
      </c>
      <c r="F1493" s="11">
        <f t="shared" si="72"/>
        <v>67000</v>
      </c>
      <c r="G1493" s="11">
        <f t="shared" si="73"/>
        <v>1910000</v>
      </c>
      <c r="H1493" s="11">
        <f t="shared" si="74"/>
        <v>26800</v>
      </c>
    </row>
    <row r="1494" spans="1:8">
      <c r="A1494" s="6" t="s">
        <v>18</v>
      </c>
      <c r="B1494">
        <v>33000</v>
      </c>
      <c r="C1494">
        <v>47000</v>
      </c>
      <c r="D1494" s="8" t="str">
        <f>VLOOKUP(A1494,Лист2!A:E,5,0)</f>
        <v>малые</v>
      </c>
      <c r="E1494" s="10">
        <f>VLOOKUP(A1494,Лист2!A:E,4,0)</f>
        <v>2.5</v>
      </c>
      <c r="F1494" s="11">
        <f t="shared" si="72"/>
        <v>-14000</v>
      </c>
      <c r="G1494" s="11">
        <f t="shared" si="73"/>
        <v>13200</v>
      </c>
      <c r="H1494" s="11">
        <f t="shared" si="74"/>
        <v>-5600</v>
      </c>
    </row>
    <row r="1495" spans="1:8">
      <c r="A1495" s="6" t="s">
        <v>18</v>
      </c>
      <c r="B1495">
        <v>8773000</v>
      </c>
      <c r="C1495">
        <v>5991000</v>
      </c>
      <c r="D1495" s="8" t="str">
        <f>VLOOKUP(A1495,Лист2!A:E,5,0)</f>
        <v>малые</v>
      </c>
      <c r="E1495" s="10">
        <f>VLOOKUP(A1495,Лист2!A:E,4,0)</f>
        <v>2.5</v>
      </c>
      <c r="F1495" s="11">
        <f t="shared" si="72"/>
        <v>2782000</v>
      </c>
      <c r="G1495" s="11">
        <f t="shared" si="73"/>
        <v>3509200</v>
      </c>
      <c r="H1495" s="11">
        <f t="shared" si="74"/>
        <v>1112800</v>
      </c>
    </row>
    <row r="1496" spans="1:8">
      <c r="A1496" s="6" t="s">
        <v>18</v>
      </c>
      <c r="B1496">
        <v>805000</v>
      </c>
      <c r="C1496">
        <v>96000</v>
      </c>
      <c r="D1496" s="8" t="str">
        <f>VLOOKUP(A1496,Лист2!A:E,5,0)</f>
        <v>малые</v>
      </c>
      <c r="E1496" s="10">
        <f>VLOOKUP(A1496,Лист2!A:E,4,0)</f>
        <v>2.5</v>
      </c>
      <c r="F1496" s="11">
        <f t="shared" si="72"/>
        <v>709000</v>
      </c>
      <c r="G1496" s="11">
        <f t="shared" si="73"/>
        <v>322000</v>
      </c>
      <c r="H1496" s="11">
        <f t="shared" si="74"/>
        <v>283600</v>
      </c>
    </row>
    <row r="1497" spans="1:8">
      <c r="A1497" s="6" t="s">
        <v>18</v>
      </c>
      <c r="B1497">
        <v>420000</v>
      </c>
      <c r="C1497">
        <v>454000</v>
      </c>
      <c r="D1497" s="8" t="str">
        <f>VLOOKUP(A1497,Лист2!A:E,5,0)</f>
        <v>малые</v>
      </c>
      <c r="E1497" s="10">
        <f>VLOOKUP(A1497,Лист2!A:E,4,0)</f>
        <v>2.5</v>
      </c>
      <c r="F1497" s="11">
        <f t="shared" si="72"/>
        <v>-34000</v>
      </c>
      <c r="G1497" s="11">
        <f t="shared" si="73"/>
        <v>168000</v>
      </c>
      <c r="H1497" s="11">
        <f t="shared" si="74"/>
        <v>-13600</v>
      </c>
    </row>
    <row r="1498" spans="1:8">
      <c r="A1498" s="6" t="s">
        <v>18</v>
      </c>
      <c r="B1498">
        <v>1216000</v>
      </c>
      <c r="C1498">
        <v>1215000</v>
      </c>
      <c r="D1498" s="8" t="str">
        <f>VLOOKUP(A1498,Лист2!A:E,5,0)</f>
        <v>малые</v>
      </c>
      <c r="E1498" s="10">
        <f>VLOOKUP(A1498,Лист2!A:E,4,0)</f>
        <v>2.5</v>
      </c>
      <c r="F1498" s="11">
        <f t="shared" si="72"/>
        <v>1000</v>
      </c>
      <c r="G1498" s="11">
        <f t="shared" si="73"/>
        <v>486400</v>
      </c>
      <c r="H1498" s="11">
        <f t="shared" si="74"/>
        <v>400</v>
      </c>
    </row>
    <row r="1499" spans="1:8">
      <c r="A1499" s="6" t="s">
        <v>18</v>
      </c>
      <c r="B1499">
        <v>681000</v>
      </c>
      <c r="C1499">
        <v>833000</v>
      </c>
      <c r="D1499" s="8" t="str">
        <f>VLOOKUP(A1499,Лист2!A:E,5,0)</f>
        <v>малые</v>
      </c>
      <c r="E1499" s="10">
        <f>VLOOKUP(A1499,Лист2!A:E,4,0)</f>
        <v>2.5</v>
      </c>
      <c r="F1499" s="11">
        <f t="shared" si="72"/>
        <v>-152000</v>
      </c>
      <c r="G1499" s="11">
        <f t="shared" si="73"/>
        <v>272400</v>
      </c>
      <c r="H1499" s="11">
        <f t="shared" si="74"/>
        <v>-60800</v>
      </c>
    </row>
    <row r="1500" spans="1:8">
      <c r="A1500" s="6" t="s">
        <v>18</v>
      </c>
      <c r="B1500">
        <v>134860000</v>
      </c>
      <c r="C1500">
        <v>128879000</v>
      </c>
      <c r="D1500" s="8" t="str">
        <f>VLOOKUP(A1500,Лист2!A:E,5,0)</f>
        <v>малые</v>
      </c>
      <c r="E1500" s="10">
        <f>VLOOKUP(A1500,Лист2!A:E,4,0)</f>
        <v>2.5</v>
      </c>
      <c r="F1500" s="11">
        <f t="shared" si="72"/>
        <v>5981000</v>
      </c>
      <c r="G1500" s="11">
        <f t="shared" si="73"/>
        <v>53944000</v>
      </c>
      <c r="H1500" s="11">
        <f t="shared" si="74"/>
        <v>2392400</v>
      </c>
    </row>
    <row r="1501" spans="1:8">
      <c r="A1501" s="6" t="s">
        <v>18</v>
      </c>
      <c r="B1501">
        <v>2208000</v>
      </c>
      <c r="C1501">
        <v>2586000</v>
      </c>
      <c r="D1501" s="8" t="str">
        <f>VLOOKUP(A1501,Лист2!A:E,5,0)</f>
        <v>малые</v>
      </c>
      <c r="E1501" s="10">
        <f>VLOOKUP(A1501,Лист2!A:E,4,0)</f>
        <v>2.5</v>
      </c>
      <c r="F1501" s="11">
        <f t="shared" si="72"/>
        <v>-378000</v>
      </c>
      <c r="G1501" s="11">
        <f t="shared" si="73"/>
        <v>883200</v>
      </c>
      <c r="H1501" s="11">
        <f t="shared" si="74"/>
        <v>-151200</v>
      </c>
    </row>
    <row r="1502" spans="1:8">
      <c r="A1502" s="6" t="s">
        <v>18</v>
      </c>
      <c r="B1502">
        <v>387000</v>
      </c>
      <c r="C1502">
        <v>410000</v>
      </c>
      <c r="D1502" s="8" t="str">
        <f>VLOOKUP(A1502,Лист2!A:E,5,0)</f>
        <v>малые</v>
      </c>
      <c r="E1502" s="10">
        <f>VLOOKUP(A1502,Лист2!A:E,4,0)</f>
        <v>2.5</v>
      </c>
      <c r="F1502" s="11">
        <f t="shared" si="72"/>
        <v>-23000</v>
      </c>
      <c r="G1502" s="11">
        <f t="shared" si="73"/>
        <v>154800</v>
      </c>
      <c r="H1502" s="11">
        <f t="shared" si="74"/>
        <v>-9200</v>
      </c>
    </row>
    <row r="1503" spans="1:8">
      <c r="A1503" s="6" t="s">
        <v>18</v>
      </c>
      <c r="B1503">
        <v>74000</v>
      </c>
      <c r="C1503">
        <v>55000</v>
      </c>
      <c r="D1503" s="8" t="str">
        <f>VLOOKUP(A1503,Лист2!A:E,5,0)</f>
        <v>малые</v>
      </c>
      <c r="E1503" s="10">
        <f>VLOOKUP(A1503,Лист2!A:E,4,0)</f>
        <v>2.5</v>
      </c>
      <c r="F1503" s="11">
        <f t="shared" si="72"/>
        <v>19000</v>
      </c>
      <c r="G1503" s="11">
        <f t="shared" si="73"/>
        <v>29600</v>
      </c>
      <c r="H1503" s="11">
        <f t="shared" si="74"/>
        <v>7600</v>
      </c>
    </row>
    <row r="1504" spans="1:8">
      <c r="A1504" s="6" t="s">
        <v>23</v>
      </c>
      <c r="B1504">
        <v>64631000</v>
      </c>
      <c r="C1504">
        <v>55875000</v>
      </c>
      <c r="D1504" s="8" t="str">
        <f>VLOOKUP(A1504,Лист2!A:E,5,0)</f>
        <v>средние</v>
      </c>
      <c r="E1504" s="10">
        <f>VLOOKUP(A1504,Лист2!A:E,4,0)</f>
        <v>75.5</v>
      </c>
      <c r="F1504" s="11">
        <f t="shared" si="72"/>
        <v>8756000</v>
      </c>
      <c r="G1504" s="11">
        <f t="shared" si="73"/>
        <v>856039.73509933776</v>
      </c>
      <c r="H1504" s="11">
        <f t="shared" si="74"/>
        <v>115973.50993377484</v>
      </c>
    </row>
    <row r="1505" spans="1:8">
      <c r="A1505" s="6" t="s">
        <v>18</v>
      </c>
      <c r="B1505">
        <v>656000</v>
      </c>
      <c r="C1505">
        <v>676000</v>
      </c>
      <c r="D1505" s="8" t="str">
        <f>VLOOKUP(A1505,Лист2!A:E,5,0)</f>
        <v>малые</v>
      </c>
      <c r="E1505" s="10">
        <f>VLOOKUP(A1505,Лист2!A:E,4,0)</f>
        <v>2.5</v>
      </c>
      <c r="F1505" s="11">
        <f t="shared" si="72"/>
        <v>-20000</v>
      </c>
      <c r="G1505" s="11">
        <f t="shared" si="73"/>
        <v>262400</v>
      </c>
      <c r="H1505" s="11">
        <f t="shared" si="74"/>
        <v>-8000</v>
      </c>
    </row>
    <row r="1506" spans="1:8">
      <c r="A1506" s="6" t="s">
        <v>22</v>
      </c>
      <c r="B1506">
        <v>24601000</v>
      </c>
      <c r="C1506">
        <v>24558000</v>
      </c>
      <c r="D1506" s="8" t="str">
        <f>VLOOKUP(A1506,Лист2!A:E,5,0)</f>
        <v>малые</v>
      </c>
      <c r="E1506" s="10">
        <f>VLOOKUP(A1506,Лист2!A:E,4,0)</f>
        <v>13</v>
      </c>
      <c r="F1506" s="11">
        <f t="shared" si="72"/>
        <v>43000</v>
      </c>
      <c r="G1506" s="11">
        <f t="shared" si="73"/>
        <v>1892384.6153846155</v>
      </c>
      <c r="H1506" s="11">
        <f t="shared" si="74"/>
        <v>3307.6923076923076</v>
      </c>
    </row>
    <row r="1507" spans="1:8">
      <c r="A1507" s="6" t="s">
        <v>22</v>
      </c>
      <c r="B1507">
        <v>63245000</v>
      </c>
      <c r="C1507">
        <v>60782000</v>
      </c>
      <c r="D1507" s="8" t="str">
        <f>VLOOKUP(A1507,Лист2!A:E,5,0)</f>
        <v>малые</v>
      </c>
      <c r="E1507" s="10">
        <f>VLOOKUP(A1507,Лист2!A:E,4,0)</f>
        <v>13</v>
      </c>
      <c r="F1507" s="11">
        <f t="shared" si="72"/>
        <v>2463000</v>
      </c>
      <c r="G1507" s="11">
        <f t="shared" si="73"/>
        <v>4865000</v>
      </c>
      <c r="H1507" s="11">
        <f t="shared" si="74"/>
        <v>189461.53846153847</v>
      </c>
    </row>
    <row r="1508" spans="1:8">
      <c r="A1508" s="6" t="s">
        <v>18</v>
      </c>
      <c r="B1508">
        <v>7163000</v>
      </c>
      <c r="C1508">
        <v>9294000</v>
      </c>
      <c r="D1508" s="8" t="str">
        <f>VLOOKUP(A1508,Лист2!A:E,5,0)</f>
        <v>малые</v>
      </c>
      <c r="E1508" s="10">
        <f>VLOOKUP(A1508,Лист2!A:E,4,0)</f>
        <v>2.5</v>
      </c>
      <c r="F1508" s="11">
        <f t="shared" si="72"/>
        <v>-2131000</v>
      </c>
      <c r="G1508" s="11">
        <f t="shared" si="73"/>
        <v>2865200</v>
      </c>
      <c r="H1508" s="11">
        <f t="shared" si="74"/>
        <v>-852400</v>
      </c>
    </row>
    <row r="1509" spans="1:8">
      <c r="A1509" s="6" t="s">
        <v>18</v>
      </c>
      <c r="B1509">
        <v>909000</v>
      </c>
      <c r="C1509">
        <v>1467000</v>
      </c>
      <c r="D1509" s="8" t="str">
        <f>VLOOKUP(A1509,Лист2!A:E,5,0)</f>
        <v>малые</v>
      </c>
      <c r="E1509" s="10">
        <f>VLOOKUP(A1509,Лист2!A:E,4,0)</f>
        <v>2.5</v>
      </c>
      <c r="F1509" s="11">
        <f t="shared" si="72"/>
        <v>-558000</v>
      </c>
      <c r="G1509" s="11">
        <f t="shared" si="73"/>
        <v>363600</v>
      </c>
      <c r="H1509" s="11">
        <f t="shared" si="74"/>
        <v>-223200</v>
      </c>
    </row>
    <row r="1510" spans="1:8">
      <c r="A1510" s="6" t="s">
        <v>18</v>
      </c>
      <c r="B1510">
        <v>360000</v>
      </c>
      <c r="C1510">
        <v>352000</v>
      </c>
      <c r="D1510" s="8" t="str">
        <f>VLOOKUP(A1510,Лист2!A:E,5,0)</f>
        <v>малые</v>
      </c>
      <c r="E1510" s="10">
        <f>VLOOKUP(A1510,Лист2!A:E,4,0)</f>
        <v>2.5</v>
      </c>
      <c r="F1510" s="11">
        <f t="shared" si="72"/>
        <v>8000</v>
      </c>
      <c r="G1510" s="11">
        <f t="shared" si="73"/>
        <v>144000</v>
      </c>
      <c r="H1510" s="11">
        <f t="shared" si="74"/>
        <v>3200</v>
      </c>
    </row>
    <row r="1511" spans="1:8">
      <c r="A1511" s="6" t="s">
        <v>18</v>
      </c>
      <c r="B1511">
        <v>9194000</v>
      </c>
      <c r="C1511">
        <v>118023000</v>
      </c>
      <c r="D1511" s="8" t="str">
        <f>VLOOKUP(A1511,Лист2!A:E,5,0)</f>
        <v>малые</v>
      </c>
      <c r="E1511" s="10">
        <f>VLOOKUP(A1511,Лист2!A:E,4,0)</f>
        <v>2.5</v>
      </c>
      <c r="F1511" s="11">
        <f t="shared" si="72"/>
        <v>-108829000</v>
      </c>
      <c r="G1511" s="11">
        <f t="shared" si="73"/>
        <v>3677600</v>
      </c>
      <c r="H1511" s="11">
        <f t="shared" si="74"/>
        <v>-43531600</v>
      </c>
    </row>
    <row r="1512" spans="1:8">
      <c r="A1512" s="6" t="s">
        <v>18</v>
      </c>
      <c r="B1512">
        <v>15816000</v>
      </c>
      <c r="C1512">
        <v>13572000</v>
      </c>
      <c r="D1512" s="8" t="str">
        <f>VLOOKUP(A1512,Лист2!A:E,5,0)</f>
        <v>малые</v>
      </c>
      <c r="E1512" s="10">
        <f>VLOOKUP(A1512,Лист2!A:E,4,0)</f>
        <v>2.5</v>
      </c>
      <c r="F1512" s="11">
        <f t="shared" si="72"/>
        <v>2244000</v>
      </c>
      <c r="G1512" s="11">
        <f t="shared" si="73"/>
        <v>6326400</v>
      </c>
      <c r="H1512" s="11">
        <f t="shared" si="74"/>
        <v>897600</v>
      </c>
    </row>
    <row r="1513" spans="1:8">
      <c r="A1513" s="6" t="s">
        <v>18</v>
      </c>
      <c r="B1513">
        <v>2456000</v>
      </c>
      <c r="C1513">
        <v>2281000</v>
      </c>
      <c r="D1513" s="8" t="str">
        <f>VLOOKUP(A1513,Лист2!A:E,5,0)</f>
        <v>малые</v>
      </c>
      <c r="E1513" s="10">
        <f>VLOOKUP(A1513,Лист2!A:E,4,0)</f>
        <v>2.5</v>
      </c>
      <c r="F1513" s="11">
        <f t="shared" si="72"/>
        <v>175000</v>
      </c>
      <c r="G1513" s="11">
        <f t="shared" si="73"/>
        <v>982400</v>
      </c>
      <c r="H1513" s="11">
        <f t="shared" si="74"/>
        <v>70000</v>
      </c>
    </row>
    <row r="1514" spans="1:8">
      <c r="A1514" s="6" t="s">
        <v>18</v>
      </c>
      <c r="B1514">
        <v>2236000</v>
      </c>
      <c r="C1514">
        <v>2213000</v>
      </c>
      <c r="D1514" s="8" t="str">
        <f>VLOOKUP(A1514,Лист2!A:E,5,0)</f>
        <v>малые</v>
      </c>
      <c r="E1514" s="10">
        <f>VLOOKUP(A1514,Лист2!A:E,4,0)</f>
        <v>2.5</v>
      </c>
      <c r="F1514" s="11">
        <f t="shared" si="72"/>
        <v>23000</v>
      </c>
      <c r="G1514" s="11">
        <f t="shared" si="73"/>
        <v>894400</v>
      </c>
      <c r="H1514" s="11">
        <f t="shared" si="74"/>
        <v>9200</v>
      </c>
    </row>
    <row r="1515" spans="1:8">
      <c r="A1515" s="6" t="s">
        <v>18</v>
      </c>
      <c r="B1515">
        <v>868000</v>
      </c>
      <c r="C1515">
        <v>625000</v>
      </c>
      <c r="D1515" s="8" t="str">
        <f>VLOOKUP(A1515,Лист2!A:E,5,0)</f>
        <v>малые</v>
      </c>
      <c r="E1515" s="10">
        <f>VLOOKUP(A1515,Лист2!A:E,4,0)</f>
        <v>2.5</v>
      </c>
      <c r="F1515" s="11">
        <f t="shared" si="72"/>
        <v>243000</v>
      </c>
      <c r="G1515" s="11">
        <f t="shared" si="73"/>
        <v>347200</v>
      </c>
      <c r="H1515" s="11">
        <f t="shared" si="74"/>
        <v>97200</v>
      </c>
    </row>
    <row r="1516" spans="1:8">
      <c r="A1516" s="6" t="s">
        <v>18</v>
      </c>
      <c r="B1516">
        <v>3452000</v>
      </c>
      <c r="C1516">
        <v>3359000</v>
      </c>
      <c r="D1516" s="8" t="str">
        <f>VLOOKUP(A1516,Лист2!A:E,5,0)</f>
        <v>малые</v>
      </c>
      <c r="E1516" s="10">
        <f>VLOOKUP(A1516,Лист2!A:E,4,0)</f>
        <v>2.5</v>
      </c>
      <c r="F1516" s="11">
        <f t="shared" si="72"/>
        <v>93000</v>
      </c>
      <c r="G1516" s="11">
        <f t="shared" si="73"/>
        <v>1380800</v>
      </c>
      <c r="H1516" s="11">
        <f t="shared" si="74"/>
        <v>37200</v>
      </c>
    </row>
    <row r="1517" spans="1:8">
      <c r="A1517" s="6" t="s">
        <v>18</v>
      </c>
      <c r="B1517">
        <v>2517000</v>
      </c>
      <c r="C1517">
        <v>283000</v>
      </c>
      <c r="D1517" s="8" t="str">
        <f>VLOOKUP(A1517,Лист2!A:E,5,0)</f>
        <v>малые</v>
      </c>
      <c r="E1517" s="10">
        <f>VLOOKUP(A1517,Лист2!A:E,4,0)</f>
        <v>2.5</v>
      </c>
      <c r="F1517" s="11">
        <f t="shared" si="72"/>
        <v>2234000</v>
      </c>
      <c r="G1517" s="11">
        <f t="shared" si="73"/>
        <v>1006800</v>
      </c>
      <c r="H1517" s="11">
        <f t="shared" si="74"/>
        <v>893600</v>
      </c>
    </row>
    <row r="1518" spans="1:8">
      <c r="A1518" s="6" t="s">
        <v>18</v>
      </c>
      <c r="B1518">
        <v>3879000</v>
      </c>
      <c r="C1518">
        <v>2602000</v>
      </c>
      <c r="D1518" s="8" t="str">
        <f>VLOOKUP(A1518,Лист2!A:E,5,0)</f>
        <v>малые</v>
      </c>
      <c r="E1518" s="10">
        <f>VLOOKUP(A1518,Лист2!A:E,4,0)</f>
        <v>2.5</v>
      </c>
      <c r="F1518" s="11">
        <f t="shared" si="72"/>
        <v>1277000</v>
      </c>
      <c r="G1518" s="11">
        <f t="shared" si="73"/>
        <v>1551600</v>
      </c>
      <c r="H1518" s="11">
        <f t="shared" si="74"/>
        <v>510800</v>
      </c>
    </row>
    <row r="1519" spans="1:8">
      <c r="A1519" s="6" t="s">
        <v>18</v>
      </c>
      <c r="B1519">
        <v>8489000</v>
      </c>
      <c r="C1519">
        <v>7036000</v>
      </c>
      <c r="D1519" s="8" t="str">
        <f>VLOOKUP(A1519,Лист2!A:E,5,0)</f>
        <v>малые</v>
      </c>
      <c r="E1519" s="10">
        <f>VLOOKUP(A1519,Лист2!A:E,4,0)</f>
        <v>2.5</v>
      </c>
      <c r="F1519" s="11">
        <f t="shared" si="72"/>
        <v>1453000</v>
      </c>
      <c r="G1519" s="11">
        <f t="shared" si="73"/>
        <v>3395600</v>
      </c>
      <c r="H1519" s="11">
        <f t="shared" si="74"/>
        <v>581200</v>
      </c>
    </row>
    <row r="1520" spans="1:8">
      <c r="A1520" s="6" t="s">
        <v>18</v>
      </c>
      <c r="B1520">
        <v>1254000</v>
      </c>
      <c r="C1520">
        <v>1296000</v>
      </c>
      <c r="D1520" s="8" t="str">
        <f>VLOOKUP(A1520,Лист2!A:E,5,0)</f>
        <v>малые</v>
      </c>
      <c r="E1520" s="10">
        <f>VLOOKUP(A1520,Лист2!A:E,4,0)</f>
        <v>2.5</v>
      </c>
      <c r="F1520" s="11">
        <f t="shared" si="72"/>
        <v>-42000</v>
      </c>
      <c r="G1520" s="11">
        <f t="shared" si="73"/>
        <v>501600</v>
      </c>
      <c r="H1520" s="11">
        <f t="shared" si="74"/>
        <v>-16800</v>
      </c>
    </row>
    <row r="1521" spans="1:8">
      <c r="A1521" s="6" t="s">
        <v>18</v>
      </c>
      <c r="B1521">
        <v>174000</v>
      </c>
      <c r="C1521">
        <v>124000</v>
      </c>
      <c r="D1521" s="8" t="str">
        <f>VLOOKUP(A1521,Лист2!A:E,5,0)</f>
        <v>малые</v>
      </c>
      <c r="E1521" s="10">
        <f>VLOOKUP(A1521,Лист2!A:E,4,0)</f>
        <v>2.5</v>
      </c>
      <c r="F1521" s="11">
        <f t="shared" si="72"/>
        <v>50000</v>
      </c>
      <c r="G1521" s="11">
        <f t="shared" si="73"/>
        <v>69600</v>
      </c>
      <c r="H1521" s="11">
        <f t="shared" si="74"/>
        <v>20000</v>
      </c>
    </row>
    <row r="1522" spans="1:8">
      <c r="A1522" s="6" t="s">
        <v>18</v>
      </c>
      <c r="B1522">
        <v>28465000</v>
      </c>
      <c r="C1522">
        <v>19185000</v>
      </c>
      <c r="D1522" s="8" t="str">
        <f>VLOOKUP(A1522,Лист2!A:E,5,0)</f>
        <v>малые</v>
      </c>
      <c r="E1522" s="10">
        <f>VLOOKUP(A1522,Лист2!A:E,4,0)</f>
        <v>2.5</v>
      </c>
      <c r="F1522" s="11">
        <f t="shared" si="72"/>
        <v>9280000</v>
      </c>
      <c r="G1522" s="11">
        <f t="shared" si="73"/>
        <v>11386000</v>
      </c>
      <c r="H1522" s="11">
        <f t="shared" si="74"/>
        <v>3712000</v>
      </c>
    </row>
    <row r="1523" spans="1:8">
      <c r="A1523" s="6" t="s">
        <v>18</v>
      </c>
      <c r="B1523">
        <v>5253000</v>
      </c>
      <c r="C1523">
        <v>5234000</v>
      </c>
      <c r="D1523" s="8" t="str">
        <f>VLOOKUP(A1523,Лист2!A:E,5,0)</f>
        <v>малые</v>
      </c>
      <c r="E1523" s="10">
        <f>VLOOKUP(A1523,Лист2!A:E,4,0)</f>
        <v>2.5</v>
      </c>
      <c r="F1523" s="11">
        <f t="shared" si="72"/>
        <v>19000</v>
      </c>
      <c r="G1523" s="11">
        <f t="shared" si="73"/>
        <v>2101200</v>
      </c>
      <c r="H1523" s="11">
        <f t="shared" si="74"/>
        <v>7600</v>
      </c>
    </row>
    <row r="1524" spans="1:8">
      <c r="A1524" s="6" t="s">
        <v>18</v>
      </c>
      <c r="B1524">
        <v>2750000</v>
      </c>
      <c r="C1524">
        <v>2750000</v>
      </c>
      <c r="D1524" s="8" t="str">
        <f>VLOOKUP(A1524,Лист2!A:E,5,0)</f>
        <v>малые</v>
      </c>
      <c r="E1524" s="10">
        <f>VLOOKUP(A1524,Лист2!A:E,4,0)</f>
        <v>2.5</v>
      </c>
      <c r="F1524" s="11">
        <f t="shared" si="72"/>
        <v>0</v>
      </c>
      <c r="G1524" s="11">
        <f t="shared" si="73"/>
        <v>1100000</v>
      </c>
      <c r="H1524" s="11">
        <f t="shared" si="74"/>
        <v>0</v>
      </c>
    </row>
    <row r="1525" spans="1:8">
      <c r="A1525" s="6" t="s">
        <v>18</v>
      </c>
      <c r="B1525">
        <v>2178000</v>
      </c>
      <c r="C1525">
        <v>1692000</v>
      </c>
      <c r="D1525" s="8" t="str">
        <f>VLOOKUP(A1525,Лист2!A:E,5,0)</f>
        <v>малые</v>
      </c>
      <c r="E1525" s="10">
        <f>VLOOKUP(A1525,Лист2!A:E,4,0)</f>
        <v>2.5</v>
      </c>
      <c r="F1525" s="11">
        <f t="shared" si="72"/>
        <v>486000</v>
      </c>
      <c r="G1525" s="11">
        <f t="shared" si="73"/>
        <v>871200</v>
      </c>
      <c r="H1525" s="11">
        <f t="shared" si="74"/>
        <v>194400</v>
      </c>
    </row>
    <row r="1526" spans="1:8">
      <c r="A1526" s="6" t="s">
        <v>18</v>
      </c>
      <c r="B1526">
        <v>707000</v>
      </c>
      <c r="C1526">
        <v>118000</v>
      </c>
      <c r="D1526" s="8" t="str">
        <f>VLOOKUP(A1526,Лист2!A:E,5,0)</f>
        <v>малые</v>
      </c>
      <c r="E1526" s="10">
        <f>VLOOKUP(A1526,Лист2!A:E,4,0)</f>
        <v>2.5</v>
      </c>
      <c r="F1526" s="11">
        <f t="shared" si="72"/>
        <v>589000</v>
      </c>
      <c r="G1526" s="11">
        <f t="shared" si="73"/>
        <v>282800</v>
      </c>
      <c r="H1526" s="11">
        <f t="shared" si="74"/>
        <v>235600</v>
      </c>
    </row>
    <row r="1527" spans="1:8">
      <c r="A1527" s="6" t="s">
        <v>18</v>
      </c>
      <c r="B1527">
        <v>504000</v>
      </c>
      <c r="C1527">
        <v>464000</v>
      </c>
      <c r="D1527" s="8" t="str">
        <f>VLOOKUP(A1527,Лист2!A:E,5,0)</f>
        <v>малые</v>
      </c>
      <c r="E1527" s="10">
        <f>VLOOKUP(A1527,Лист2!A:E,4,0)</f>
        <v>2.5</v>
      </c>
      <c r="F1527" s="11">
        <f t="shared" si="72"/>
        <v>40000</v>
      </c>
      <c r="G1527" s="11">
        <f t="shared" si="73"/>
        <v>201600</v>
      </c>
      <c r="H1527" s="11">
        <f t="shared" si="74"/>
        <v>16000</v>
      </c>
    </row>
    <row r="1528" spans="1:8">
      <c r="A1528" s="6" t="s">
        <v>18</v>
      </c>
      <c r="B1528">
        <v>4990000</v>
      </c>
      <c r="C1528">
        <v>4980000</v>
      </c>
      <c r="D1528" s="8" t="str">
        <f>VLOOKUP(A1528,Лист2!A:E,5,0)</f>
        <v>малые</v>
      </c>
      <c r="E1528" s="10">
        <f>VLOOKUP(A1528,Лист2!A:E,4,0)</f>
        <v>2.5</v>
      </c>
      <c r="F1528" s="11">
        <f t="shared" si="72"/>
        <v>10000</v>
      </c>
      <c r="G1528" s="11">
        <f t="shared" si="73"/>
        <v>1996000</v>
      </c>
      <c r="H1528" s="11">
        <f t="shared" si="74"/>
        <v>4000</v>
      </c>
    </row>
    <row r="1529" spans="1:8">
      <c r="A1529" s="6" t="s">
        <v>18</v>
      </c>
      <c r="B1529">
        <v>829000</v>
      </c>
      <c r="C1529">
        <v>829000</v>
      </c>
      <c r="D1529" s="8" t="str">
        <f>VLOOKUP(A1529,Лист2!A:E,5,0)</f>
        <v>малые</v>
      </c>
      <c r="E1529" s="10">
        <f>VLOOKUP(A1529,Лист2!A:E,4,0)</f>
        <v>2.5</v>
      </c>
      <c r="F1529" s="11">
        <f t="shared" si="72"/>
        <v>0</v>
      </c>
      <c r="G1529" s="11">
        <f t="shared" si="73"/>
        <v>331600</v>
      </c>
      <c r="H1529" s="11">
        <f t="shared" si="74"/>
        <v>0</v>
      </c>
    </row>
    <row r="1530" spans="1:8">
      <c r="A1530" s="6" t="s">
        <v>18</v>
      </c>
      <c r="B1530">
        <v>465000</v>
      </c>
      <c r="C1530">
        <v>462000</v>
      </c>
      <c r="D1530" s="8" t="str">
        <f>VLOOKUP(A1530,Лист2!A:E,5,0)</f>
        <v>малые</v>
      </c>
      <c r="E1530" s="10">
        <f>VLOOKUP(A1530,Лист2!A:E,4,0)</f>
        <v>2.5</v>
      </c>
      <c r="F1530" s="11">
        <f t="shared" si="72"/>
        <v>3000</v>
      </c>
      <c r="G1530" s="11">
        <f t="shared" si="73"/>
        <v>186000</v>
      </c>
      <c r="H1530" s="11">
        <f t="shared" si="74"/>
        <v>1200</v>
      </c>
    </row>
    <row r="1531" spans="1:8">
      <c r="A1531" s="6" t="s">
        <v>18</v>
      </c>
      <c r="B1531">
        <v>508000</v>
      </c>
      <c r="C1531">
        <v>508000</v>
      </c>
      <c r="D1531" s="8" t="str">
        <f>VLOOKUP(A1531,Лист2!A:E,5,0)</f>
        <v>малые</v>
      </c>
      <c r="E1531" s="10">
        <f>VLOOKUP(A1531,Лист2!A:E,4,0)</f>
        <v>2.5</v>
      </c>
      <c r="F1531" s="11">
        <f t="shared" si="72"/>
        <v>0</v>
      </c>
      <c r="G1531" s="11">
        <f t="shared" si="73"/>
        <v>203200</v>
      </c>
      <c r="H1531" s="11">
        <f t="shared" si="74"/>
        <v>0</v>
      </c>
    </row>
    <row r="1532" spans="1:8">
      <c r="A1532" s="6" t="s">
        <v>18</v>
      </c>
      <c r="B1532">
        <v>550000</v>
      </c>
      <c r="C1532">
        <v>643000</v>
      </c>
      <c r="D1532" s="8" t="str">
        <f>VLOOKUP(A1532,Лист2!A:E,5,0)</f>
        <v>малые</v>
      </c>
      <c r="E1532" s="10">
        <f>VLOOKUP(A1532,Лист2!A:E,4,0)</f>
        <v>2.5</v>
      </c>
      <c r="F1532" s="11">
        <f t="shared" si="72"/>
        <v>-93000</v>
      </c>
      <c r="G1532" s="11">
        <f t="shared" si="73"/>
        <v>220000</v>
      </c>
      <c r="H1532" s="11">
        <f t="shared" si="74"/>
        <v>-37200</v>
      </c>
    </row>
    <row r="1533" spans="1:8">
      <c r="A1533" s="6" t="s">
        <v>18</v>
      </c>
      <c r="B1533">
        <v>1231000</v>
      </c>
      <c r="C1533">
        <v>1117000</v>
      </c>
      <c r="D1533" s="8" t="str">
        <f>VLOOKUP(A1533,Лист2!A:E,5,0)</f>
        <v>малые</v>
      </c>
      <c r="E1533" s="10">
        <f>VLOOKUP(A1533,Лист2!A:E,4,0)</f>
        <v>2.5</v>
      </c>
      <c r="F1533" s="11">
        <f t="shared" si="72"/>
        <v>114000</v>
      </c>
      <c r="G1533" s="11">
        <f t="shared" si="73"/>
        <v>492400</v>
      </c>
      <c r="H1533" s="11">
        <f t="shared" si="74"/>
        <v>45600</v>
      </c>
    </row>
    <row r="1534" spans="1:8">
      <c r="A1534" s="6" t="s">
        <v>18</v>
      </c>
      <c r="B1534">
        <v>821000</v>
      </c>
      <c r="C1534">
        <v>821000</v>
      </c>
      <c r="D1534" s="8" t="str">
        <f>VLOOKUP(A1534,Лист2!A:E,5,0)</f>
        <v>малые</v>
      </c>
      <c r="E1534" s="10">
        <f>VLOOKUP(A1534,Лист2!A:E,4,0)</f>
        <v>2.5</v>
      </c>
      <c r="F1534" s="11">
        <f t="shared" si="72"/>
        <v>0</v>
      </c>
      <c r="G1534" s="11">
        <f t="shared" si="73"/>
        <v>328400</v>
      </c>
      <c r="H1534" s="11">
        <f t="shared" si="74"/>
        <v>0</v>
      </c>
    </row>
    <row r="1535" spans="1:8">
      <c r="A1535" s="6" t="s">
        <v>18</v>
      </c>
      <c r="B1535">
        <v>1466000</v>
      </c>
      <c r="C1535">
        <v>1466000</v>
      </c>
      <c r="D1535" s="8" t="str">
        <f>VLOOKUP(A1535,Лист2!A:E,5,0)</f>
        <v>малые</v>
      </c>
      <c r="E1535" s="10">
        <f>VLOOKUP(A1535,Лист2!A:E,4,0)</f>
        <v>2.5</v>
      </c>
      <c r="F1535" s="11">
        <f t="shared" si="72"/>
        <v>0</v>
      </c>
      <c r="G1535" s="11">
        <f t="shared" si="73"/>
        <v>586400</v>
      </c>
      <c r="H1535" s="11">
        <f t="shared" si="74"/>
        <v>0</v>
      </c>
    </row>
    <row r="1536" spans="1:8">
      <c r="A1536" s="6" t="s">
        <v>18</v>
      </c>
      <c r="B1536">
        <v>130000</v>
      </c>
      <c r="C1536">
        <v>19000</v>
      </c>
      <c r="D1536" s="8" t="str">
        <f>VLOOKUP(A1536,Лист2!A:E,5,0)</f>
        <v>малые</v>
      </c>
      <c r="E1536" s="10">
        <f>VLOOKUP(A1536,Лист2!A:E,4,0)</f>
        <v>2.5</v>
      </c>
      <c r="F1536" s="11">
        <f t="shared" si="72"/>
        <v>111000</v>
      </c>
      <c r="G1536" s="11">
        <f t="shared" si="73"/>
        <v>52000</v>
      </c>
      <c r="H1536" s="11">
        <f t="shared" si="74"/>
        <v>44400</v>
      </c>
    </row>
    <row r="1537" spans="1:8">
      <c r="A1537" s="6" t="s">
        <v>18</v>
      </c>
      <c r="B1537">
        <v>464000</v>
      </c>
      <c r="C1537">
        <v>464000</v>
      </c>
      <c r="D1537" s="8" t="str">
        <f>VLOOKUP(A1537,Лист2!A:E,5,0)</f>
        <v>малые</v>
      </c>
      <c r="E1537" s="10">
        <f>VLOOKUP(A1537,Лист2!A:E,4,0)</f>
        <v>2.5</v>
      </c>
      <c r="F1537" s="11">
        <f t="shared" si="72"/>
        <v>0</v>
      </c>
      <c r="G1537" s="11">
        <f t="shared" si="73"/>
        <v>185600</v>
      </c>
      <c r="H1537" s="11">
        <f t="shared" si="74"/>
        <v>0</v>
      </c>
    </row>
    <row r="1538" spans="1:8">
      <c r="A1538" s="6" t="s">
        <v>18</v>
      </c>
      <c r="B1538">
        <v>38879000</v>
      </c>
      <c r="C1538">
        <v>38214000</v>
      </c>
      <c r="D1538" s="8" t="str">
        <f>VLOOKUP(A1538,Лист2!A:E,5,0)</f>
        <v>малые</v>
      </c>
      <c r="E1538" s="10">
        <f>VLOOKUP(A1538,Лист2!A:E,4,0)</f>
        <v>2.5</v>
      </c>
      <c r="F1538" s="11">
        <f t="shared" si="72"/>
        <v>665000</v>
      </c>
      <c r="G1538" s="11">
        <f t="shared" si="73"/>
        <v>15551600</v>
      </c>
      <c r="H1538" s="11">
        <f t="shared" si="74"/>
        <v>266000</v>
      </c>
    </row>
    <row r="1539" spans="1:8">
      <c r="A1539" s="6" t="s">
        <v>18</v>
      </c>
      <c r="B1539">
        <v>1660000</v>
      </c>
      <c r="C1539">
        <v>2196000</v>
      </c>
      <c r="D1539" s="8" t="str">
        <f>VLOOKUP(A1539,Лист2!A:E,5,0)</f>
        <v>малые</v>
      </c>
      <c r="E1539" s="10">
        <f>VLOOKUP(A1539,Лист2!A:E,4,0)</f>
        <v>2.5</v>
      </c>
      <c r="F1539" s="11">
        <f t="shared" ref="F1539:F1598" si="75">B1539-C1539</f>
        <v>-536000</v>
      </c>
      <c r="G1539" s="11">
        <f t="shared" ref="G1539:G1598" si="76">B1539/E1539</f>
        <v>664000</v>
      </c>
      <c r="H1539" s="11">
        <f t="shared" ref="H1539:H1598" si="77">F1539/E1539</f>
        <v>-214400</v>
      </c>
    </row>
    <row r="1540" spans="1:8">
      <c r="A1540" s="6" t="s">
        <v>18</v>
      </c>
      <c r="B1540">
        <v>12556000</v>
      </c>
      <c r="C1540">
        <v>9213000</v>
      </c>
      <c r="D1540" s="8" t="str">
        <f>VLOOKUP(A1540,Лист2!A:E,5,0)</f>
        <v>малые</v>
      </c>
      <c r="E1540" s="10">
        <f>VLOOKUP(A1540,Лист2!A:E,4,0)</f>
        <v>2.5</v>
      </c>
      <c r="F1540" s="11">
        <f t="shared" si="75"/>
        <v>3343000</v>
      </c>
      <c r="G1540" s="11">
        <f t="shared" si="76"/>
        <v>5022400</v>
      </c>
      <c r="H1540" s="11">
        <f t="shared" si="77"/>
        <v>1337200</v>
      </c>
    </row>
    <row r="1541" spans="1:8">
      <c r="A1541" s="6" t="s">
        <v>77</v>
      </c>
      <c r="B1541">
        <v>3843000</v>
      </c>
      <c r="C1541">
        <v>3559000</v>
      </c>
      <c r="D1541" s="8" t="str">
        <f>VLOOKUP(A1541,Лист2!A:E,5,0)</f>
        <v>малые</v>
      </c>
      <c r="E1541" s="10">
        <f>VLOOKUP(A1541,Лист2!A:E,4,0)</f>
        <v>8</v>
      </c>
      <c r="F1541" s="11">
        <f t="shared" si="75"/>
        <v>284000</v>
      </c>
      <c r="G1541" s="11">
        <f t="shared" si="76"/>
        <v>480375</v>
      </c>
      <c r="H1541" s="11">
        <f t="shared" si="77"/>
        <v>35500</v>
      </c>
    </row>
    <row r="1542" spans="1:8">
      <c r="A1542" s="6" t="s">
        <v>18</v>
      </c>
      <c r="B1542">
        <v>2454000</v>
      </c>
      <c r="C1542">
        <v>2461000</v>
      </c>
      <c r="D1542" s="8" t="str">
        <f>VLOOKUP(A1542,Лист2!A:E,5,0)</f>
        <v>малые</v>
      </c>
      <c r="E1542" s="10">
        <f>VLOOKUP(A1542,Лист2!A:E,4,0)</f>
        <v>2.5</v>
      </c>
      <c r="F1542" s="11">
        <f t="shared" si="75"/>
        <v>-7000</v>
      </c>
      <c r="G1542" s="11">
        <f t="shared" si="76"/>
        <v>981600</v>
      </c>
      <c r="H1542" s="11">
        <f t="shared" si="77"/>
        <v>-2800</v>
      </c>
    </row>
    <row r="1543" spans="1:8">
      <c r="A1543" s="6" t="s">
        <v>18</v>
      </c>
      <c r="B1543">
        <v>16245000</v>
      </c>
      <c r="C1543">
        <v>1433000</v>
      </c>
      <c r="D1543" s="8" t="str">
        <f>VLOOKUP(A1543,Лист2!A:E,5,0)</f>
        <v>малые</v>
      </c>
      <c r="E1543" s="10">
        <f>VLOOKUP(A1543,Лист2!A:E,4,0)</f>
        <v>2.5</v>
      </c>
      <c r="F1543" s="11">
        <f t="shared" si="75"/>
        <v>14812000</v>
      </c>
      <c r="G1543" s="11">
        <f t="shared" si="76"/>
        <v>6498000</v>
      </c>
      <c r="H1543" s="11">
        <f t="shared" si="77"/>
        <v>5924800</v>
      </c>
    </row>
    <row r="1544" spans="1:8">
      <c r="A1544" s="6" t="s">
        <v>18</v>
      </c>
      <c r="B1544">
        <v>10183000</v>
      </c>
      <c r="C1544">
        <v>10233000</v>
      </c>
      <c r="D1544" s="8" t="str">
        <f>VLOOKUP(A1544,Лист2!A:E,5,0)</f>
        <v>малые</v>
      </c>
      <c r="E1544" s="10">
        <f>VLOOKUP(A1544,Лист2!A:E,4,0)</f>
        <v>2.5</v>
      </c>
      <c r="F1544" s="11">
        <f t="shared" si="75"/>
        <v>-50000</v>
      </c>
      <c r="G1544" s="11">
        <f t="shared" si="76"/>
        <v>4073200</v>
      </c>
      <c r="H1544" s="11">
        <f t="shared" si="77"/>
        <v>-20000</v>
      </c>
    </row>
    <row r="1545" spans="1:8">
      <c r="A1545" s="6" t="s">
        <v>18</v>
      </c>
      <c r="B1545">
        <v>50000</v>
      </c>
      <c r="C1545">
        <v>125000</v>
      </c>
      <c r="D1545" s="8" t="str">
        <f>VLOOKUP(A1545,Лист2!A:E,5,0)</f>
        <v>малые</v>
      </c>
      <c r="E1545" s="10">
        <f>VLOOKUP(A1545,Лист2!A:E,4,0)</f>
        <v>2.5</v>
      </c>
      <c r="F1545" s="11">
        <f t="shared" si="75"/>
        <v>-75000</v>
      </c>
      <c r="G1545" s="11">
        <f t="shared" si="76"/>
        <v>20000</v>
      </c>
      <c r="H1545" s="11">
        <f t="shared" si="77"/>
        <v>-30000</v>
      </c>
    </row>
    <row r="1546" spans="1:8">
      <c r="A1546" s="6" t="s">
        <v>18</v>
      </c>
      <c r="B1546">
        <v>5547000</v>
      </c>
      <c r="C1546">
        <v>5720000</v>
      </c>
      <c r="D1546" s="8" t="str">
        <f>VLOOKUP(A1546,Лист2!A:E,5,0)</f>
        <v>малые</v>
      </c>
      <c r="E1546" s="10">
        <f>VLOOKUP(A1546,Лист2!A:E,4,0)</f>
        <v>2.5</v>
      </c>
      <c r="F1546" s="11">
        <f t="shared" si="75"/>
        <v>-173000</v>
      </c>
      <c r="G1546" s="11">
        <f t="shared" si="76"/>
        <v>2218800</v>
      </c>
      <c r="H1546" s="11">
        <f t="shared" si="77"/>
        <v>-69200</v>
      </c>
    </row>
    <row r="1547" spans="1:8">
      <c r="A1547" s="6" t="s">
        <v>18</v>
      </c>
      <c r="B1547">
        <v>5527000</v>
      </c>
      <c r="C1547">
        <v>3073000</v>
      </c>
      <c r="D1547" s="8" t="str">
        <f>VLOOKUP(A1547,Лист2!A:E,5,0)</f>
        <v>малые</v>
      </c>
      <c r="E1547" s="10">
        <f>VLOOKUP(A1547,Лист2!A:E,4,0)</f>
        <v>2.5</v>
      </c>
      <c r="F1547" s="11">
        <f t="shared" si="75"/>
        <v>2454000</v>
      </c>
      <c r="G1547" s="11">
        <f t="shared" si="76"/>
        <v>2210800</v>
      </c>
      <c r="H1547" s="11">
        <f t="shared" si="77"/>
        <v>981600</v>
      </c>
    </row>
    <row r="1548" spans="1:8">
      <c r="A1548" s="6" t="s">
        <v>18</v>
      </c>
      <c r="B1548">
        <v>3290000</v>
      </c>
      <c r="C1548">
        <v>4337000</v>
      </c>
      <c r="D1548" s="8" t="str">
        <f>VLOOKUP(A1548,Лист2!A:E,5,0)</f>
        <v>малые</v>
      </c>
      <c r="E1548" s="10">
        <f>VLOOKUP(A1548,Лист2!A:E,4,0)</f>
        <v>2.5</v>
      </c>
      <c r="F1548" s="11">
        <f t="shared" si="75"/>
        <v>-1047000</v>
      </c>
      <c r="G1548" s="11">
        <f t="shared" si="76"/>
        <v>1316000</v>
      </c>
      <c r="H1548" s="11">
        <f t="shared" si="77"/>
        <v>-418800</v>
      </c>
    </row>
    <row r="1549" spans="1:8">
      <c r="A1549" s="6" t="s">
        <v>18</v>
      </c>
      <c r="B1549">
        <v>143000</v>
      </c>
      <c r="C1549">
        <v>146000</v>
      </c>
      <c r="D1549" s="8" t="str">
        <f>VLOOKUP(A1549,Лист2!A:E,5,0)</f>
        <v>малые</v>
      </c>
      <c r="E1549" s="10">
        <f>VLOOKUP(A1549,Лист2!A:E,4,0)</f>
        <v>2.5</v>
      </c>
      <c r="F1549" s="11">
        <f t="shared" si="75"/>
        <v>-3000</v>
      </c>
      <c r="G1549" s="11">
        <f t="shared" si="76"/>
        <v>57200</v>
      </c>
      <c r="H1549" s="11">
        <f t="shared" si="77"/>
        <v>-1200</v>
      </c>
    </row>
    <row r="1550" spans="1:8">
      <c r="A1550" s="6" t="s">
        <v>18</v>
      </c>
      <c r="B1550">
        <v>317000</v>
      </c>
      <c r="C1550">
        <v>291000</v>
      </c>
      <c r="D1550" s="8" t="str">
        <f>VLOOKUP(A1550,Лист2!A:E,5,0)</f>
        <v>малые</v>
      </c>
      <c r="E1550" s="10">
        <f>VLOOKUP(A1550,Лист2!A:E,4,0)</f>
        <v>2.5</v>
      </c>
      <c r="F1550" s="11">
        <f t="shared" si="75"/>
        <v>26000</v>
      </c>
      <c r="G1550" s="11">
        <f t="shared" si="76"/>
        <v>126800</v>
      </c>
      <c r="H1550" s="11">
        <f t="shared" si="77"/>
        <v>10400</v>
      </c>
    </row>
    <row r="1551" spans="1:8">
      <c r="A1551" s="6" t="s">
        <v>18</v>
      </c>
      <c r="B1551">
        <v>5131000</v>
      </c>
      <c r="C1551">
        <v>3391000</v>
      </c>
      <c r="D1551" s="8" t="str">
        <f>VLOOKUP(A1551,Лист2!A:E,5,0)</f>
        <v>малые</v>
      </c>
      <c r="E1551" s="10">
        <f>VLOOKUP(A1551,Лист2!A:E,4,0)</f>
        <v>2.5</v>
      </c>
      <c r="F1551" s="11">
        <f t="shared" si="75"/>
        <v>1740000</v>
      </c>
      <c r="G1551" s="11">
        <f t="shared" si="76"/>
        <v>2052400</v>
      </c>
      <c r="H1551" s="11">
        <f t="shared" si="77"/>
        <v>696000</v>
      </c>
    </row>
    <row r="1552" spans="1:8">
      <c r="A1552" s="6" t="s">
        <v>18</v>
      </c>
      <c r="B1552">
        <v>6659000</v>
      </c>
      <c r="C1552">
        <v>4187000</v>
      </c>
      <c r="D1552" s="8" t="str">
        <f>VLOOKUP(A1552,Лист2!A:E,5,0)</f>
        <v>малые</v>
      </c>
      <c r="E1552" s="10">
        <f>VLOOKUP(A1552,Лист2!A:E,4,0)</f>
        <v>2.5</v>
      </c>
      <c r="F1552" s="11">
        <f t="shared" si="75"/>
        <v>2472000</v>
      </c>
      <c r="G1552" s="11">
        <f t="shared" si="76"/>
        <v>2663600</v>
      </c>
      <c r="H1552" s="11">
        <f t="shared" si="77"/>
        <v>988800</v>
      </c>
    </row>
    <row r="1553" spans="1:8">
      <c r="A1553" s="6" t="s">
        <v>18</v>
      </c>
      <c r="B1553">
        <v>4331000</v>
      </c>
      <c r="C1553">
        <v>4050000</v>
      </c>
      <c r="D1553" s="8" t="str">
        <f>VLOOKUP(A1553,Лист2!A:E,5,0)</f>
        <v>малые</v>
      </c>
      <c r="E1553" s="10">
        <f>VLOOKUP(A1553,Лист2!A:E,4,0)</f>
        <v>2.5</v>
      </c>
      <c r="F1553" s="11">
        <f t="shared" si="75"/>
        <v>281000</v>
      </c>
      <c r="G1553" s="11">
        <f t="shared" si="76"/>
        <v>1732400</v>
      </c>
      <c r="H1553" s="11">
        <f t="shared" si="77"/>
        <v>112400</v>
      </c>
    </row>
    <row r="1554" spans="1:8">
      <c r="A1554" s="6" t="s">
        <v>18</v>
      </c>
      <c r="B1554">
        <v>5525000</v>
      </c>
      <c r="C1554">
        <v>5525000</v>
      </c>
      <c r="D1554" s="8" t="str">
        <f>VLOOKUP(A1554,Лист2!A:E,5,0)</f>
        <v>малые</v>
      </c>
      <c r="E1554" s="10">
        <f>VLOOKUP(A1554,Лист2!A:E,4,0)</f>
        <v>2.5</v>
      </c>
      <c r="F1554" s="11">
        <f t="shared" si="75"/>
        <v>0</v>
      </c>
      <c r="G1554" s="11">
        <f t="shared" si="76"/>
        <v>2210000</v>
      </c>
      <c r="H1554" s="11">
        <f t="shared" si="77"/>
        <v>0</v>
      </c>
    </row>
    <row r="1555" spans="1:8">
      <c r="A1555" s="6" t="s">
        <v>18</v>
      </c>
      <c r="B1555">
        <v>5800000</v>
      </c>
      <c r="C1555">
        <v>5958000</v>
      </c>
      <c r="D1555" s="8" t="str">
        <f>VLOOKUP(A1555,Лист2!A:E,5,0)</f>
        <v>малые</v>
      </c>
      <c r="E1555" s="10">
        <f>VLOOKUP(A1555,Лист2!A:E,4,0)</f>
        <v>2.5</v>
      </c>
      <c r="F1555" s="11">
        <f t="shared" si="75"/>
        <v>-158000</v>
      </c>
      <c r="G1555" s="11">
        <f t="shared" si="76"/>
        <v>2320000</v>
      </c>
      <c r="H1555" s="11">
        <f t="shared" si="77"/>
        <v>-63200</v>
      </c>
    </row>
    <row r="1556" spans="1:8">
      <c r="A1556" s="6" t="s">
        <v>18</v>
      </c>
      <c r="B1556">
        <v>28000</v>
      </c>
      <c r="C1556">
        <v>33000</v>
      </c>
      <c r="D1556" s="8" t="str">
        <f>VLOOKUP(A1556,Лист2!A:E,5,0)</f>
        <v>малые</v>
      </c>
      <c r="E1556" s="10">
        <f>VLOOKUP(A1556,Лист2!A:E,4,0)</f>
        <v>2.5</v>
      </c>
      <c r="F1556" s="11">
        <f t="shared" si="75"/>
        <v>-5000</v>
      </c>
      <c r="G1556" s="11">
        <f t="shared" si="76"/>
        <v>11200</v>
      </c>
      <c r="H1556" s="11">
        <f t="shared" si="77"/>
        <v>-2000</v>
      </c>
    </row>
    <row r="1557" spans="1:8">
      <c r="A1557" s="6" t="s">
        <v>18</v>
      </c>
      <c r="B1557">
        <v>29000</v>
      </c>
      <c r="C1557">
        <v>105000</v>
      </c>
      <c r="D1557" s="8" t="str">
        <f>VLOOKUP(A1557,Лист2!A:E,5,0)</f>
        <v>малые</v>
      </c>
      <c r="E1557" s="10">
        <f>VLOOKUP(A1557,Лист2!A:E,4,0)</f>
        <v>2.5</v>
      </c>
      <c r="F1557" s="11">
        <f t="shared" si="75"/>
        <v>-76000</v>
      </c>
      <c r="G1557" s="11">
        <f t="shared" si="76"/>
        <v>11600</v>
      </c>
      <c r="H1557" s="11">
        <f t="shared" si="77"/>
        <v>-30400</v>
      </c>
    </row>
    <row r="1558" spans="1:8">
      <c r="A1558" s="6" t="s">
        <v>18</v>
      </c>
      <c r="B1558">
        <v>26318000</v>
      </c>
      <c r="C1558">
        <v>20740000</v>
      </c>
      <c r="D1558" s="8" t="str">
        <f>VLOOKUP(A1558,Лист2!A:E,5,0)</f>
        <v>малые</v>
      </c>
      <c r="E1558" s="10">
        <f>VLOOKUP(A1558,Лист2!A:E,4,0)</f>
        <v>2.5</v>
      </c>
      <c r="F1558" s="11">
        <f t="shared" si="75"/>
        <v>5578000</v>
      </c>
      <c r="G1558" s="11">
        <f t="shared" si="76"/>
        <v>10527200</v>
      </c>
      <c r="H1558" s="11">
        <f t="shared" si="77"/>
        <v>2231200</v>
      </c>
    </row>
    <row r="1559" spans="1:8">
      <c r="A1559" s="6" t="s">
        <v>22</v>
      </c>
      <c r="B1559">
        <v>77573000</v>
      </c>
      <c r="C1559">
        <v>73408000</v>
      </c>
      <c r="D1559" s="8" t="str">
        <f>VLOOKUP(A1559,Лист2!A:E,5,0)</f>
        <v>малые</v>
      </c>
      <c r="E1559" s="10">
        <f>VLOOKUP(A1559,Лист2!A:E,4,0)</f>
        <v>13</v>
      </c>
      <c r="F1559" s="11">
        <f t="shared" si="75"/>
        <v>4165000</v>
      </c>
      <c r="G1559" s="11">
        <f t="shared" si="76"/>
        <v>5967153.846153846</v>
      </c>
      <c r="H1559" s="11">
        <f t="shared" si="77"/>
        <v>320384.61538461538</v>
      </c>
    </row>
    <row r="1560" spans="1:8">
      <c r="A1560" s="6" t="s">
        <v>18</v>
      </c>
      <c r="B1560">
        <v>1482000</v>
      </c>
      <c r="C1560">
        <v>1266000</v>
      </c>
      <c r="D1560" s="8" t="str">
        <f>VLOOKUP(A1560,Лист2!A:E,5,0)</f>
        <v>малые</v>
      </c>
      <c r="E1560" s="10">
        <f>VLOOKUP(A1560,Лист2!A:E,4,0)</f>
        <v>2.5</v>
      </c>
      <c r="F1560" s="11">
        <f t="shared" si="75"/>
        <v>216000</v>
      </c>
      <c r="G1560" s="11">
        <f t="shared" si="76"/>
        <v>592800</v>
      </c>
      <c r="H1560" s="11">
        <f t="shared" si="77"/>
        <v>86400</v>
      </c>
    </row>
    <row r="1561" spans="1:8">
      <c r="A1561" s="6" t="s">
        <v>18</v>
      </c>
      <c r="B1561">
        <v>245000</v>
      </c>
      <c r="C1561">
        <v>245000</v>
      </c>
      <c r="D1561" s="8" t="str">
        <f>VLOOKUP(A1561,Лист2!A:E,5,0)</f>
        <v>малые</v>
      </c>
      <c r="E1561" s="10">
        <f>VLOOKUP(A1561,Лист2!A:E,4,0)</f>
        <v>2.5</v>
      </c>
      <c r="F1561" s="11">
        <f t="shared" si="75"/>
        <v>0</v>
      </c>
      <c r="G1561" s="11">
        <f t="shared" si="76"/>
        <v>98000</v>
      </c>
      <c r="H1561" s="11">
        <f t="shared" si="77"/>
        <v>0</v>
      </c>
    </row>
    <row r="1562" spans="1:8">
      <c r="A1562" s="6" t="s">
        <v>18</v>
      </c>
      <c r="B1562">
        <v>9968000</v>
      </c>
      <c r="C1562">
        <v>9022000</v>
      </c>
      <c r="D1562" s="8" t="str">
        <f>VLOOKUP(A1562,Лист2!A:E,5,0)</f>
        <v>малые</v>
      </c>
      <c r="E1562" s="10">
        <f>VLOOKUP(A1562,Лист2!A:E,4,0)</f>
        <v>2.5</v>
      </c>
      <c r="F1562" s="11">
        <f t="shared" si="75"/>
        <v>946000</v>
      </c>
      <c r="G1562" s="11">
        <f t="shared" si="76"/>
        <v>3987200</v>
      </c>
      <c r="H1562" s="11">
        <f t="shared" si="77"/>
        <v>378400</v>
      </c>
    </row>
    <row r="1563" spans="1:8">
      <c r="A1563" s="6" t="s">
        <v>18</v>
      </c>
      <c r="B1563">
        <v>4401000</v>
      </c>
      <c r="C1563">
        <v>4526000</v>
      </c>
      <c r="D1563" s="8" t="str">
        <f>VLOOKUP(A1563,Лист2!A:E,5,0)</f>
        <v>малые</v>
      </c>
      <c r="E1563" s="10">
        <f>VLOOKUP(A1563,Лист2!A:E,4,0)</f>
        <v>2.5</v>
      </c>
      <c r="F1563" s="11">
        <f t="shared" si="75"/>
        <v>-125000</v>
      </c>
      <c r="G1563" s="11">
        <f t="shared" si="76"/>
        <v>1760400</v>
      </c>
      <c r="H1563" s="11">
        <f t="shared" si="77"/>
        <v>-50000</v>
      </c>
    </row>
    <row r="1564" spans="1:8">
      <c r="A1564" s="6" t="s">
        <v>18</v>
      </c>
      <c r="B1564">
        <v>4341000</v>
      </c>
      <c r="C1564">
        <v>4442000</v>
      </c>
      <c r="D1564" s="8" t="str">
        <f>VLOOKUP(A1564,Лист2!A:E,5,0)</f>
        <v>малые</v>
      </c>
      <c r="E1564" s="10">
        <f>VLOOKUP(A1564,Лист2!A:E,4,0)</f>
        <v>2.5</v>
      </c>
      <c r="F1564" s="11">
        <f t="shared" si="75"/>
        <v>-101000</v>
      </c>
      <c r="G1564" s="11">
        <f t="shared" si="76"/>
        <v>1736400</v>
      </c>
      <c r="H1564" s="11">
        <f t="shared" si="77"/>
        <v>-40400</v>
      </c>
    </row>
    <row r="1565" spans="1:8">
      <c r="A1565" s="6" t="s">
        <v>18</v>
      </c>
      <c r="B1565">
        <v>8919000</v>
      </c>
      <c r="C1565">
        <v>7765000</v>
      </c>
      <c r="D1565" s="8" t="str">
        <f>VLOOKUP(A1565,Лист2!A:E,5,0)</f>
        <v>малые</v>
      </c>
      <c r="E1565" s="10">
        <f>VLOOKUP(A1565,Лист2!A:E,4,0)</f>
        <v>2.5</v>
      </c>
      <c r="F1565" s="11">
        <f t="shared" si="75"/>
        <v>1154000</v>
      </c>
      <c r="G1565" s="11">
        <f t="shared" si="76"/>
        <v>3567600</v>
      </c>
      <c r="H1565" s="11">
        <f t="shared" si="77"/>
        <v>461600</v>
      </c>
    </row>
    <row r="1566" spans="1:8">
      <c r="A1566" s="6" t="s">
        <v>18</v>
      </c>
      <c r="B1566">
        <v>9060000</v>
      </c>
      <c r="C1566">
        <v>9245000</v>
      </c>
      <c r="D1566" s="8" t="str">
        <f>VLOOKUP(A1566,Лист2!A:E,5,0)</f>
        <v>малые</v>
      </c>
      <c r="E1566" s="10">
        <f>VLOOKUP(A1566,Лист2!A:E,4,0)</f>
        <v>2.5</v>
      </c>
      <c r="F1566" s="11">
        <f t="shared" si="75"/>
        <v>-185000</v>
      </c>
      <c r="G1566" s="11">
        <f t="shared" si="76"/>
        <v>3624000</v>
      </c>
      <c r="H1566" s="11">
        <f t="shared" si="77"/>
        <v>-74000</v>
      </c>
    </row>
    <row r="1567" spans="1:8">
      <c r="A1567" s="6" t="s">
        <v>18</v>
      </c>
      <c r="B1567">
        <v>1788000</v>
      </c>
      <c r="C1567">
        <v>1764000</v>
      </c>
      <c r="D1567" s="8" t="str">
        <f>VLOOKUP(A1567,Лист2!A:E,5,0)</f>
        <v>малые</v>
      </c>
      <c r="E1567" s="10">
        <f>VLOOKUP(A1567,Лист2!A:E,4,0)</f>
        <v>2.5</v>
      </c>
      <c r="F1567" s="11">
        <f t="shared" si="75"/>
        <v>24000</v>
      </c>
      <c r="G1567" s="11">
        <f t="shared" si="76"/>
        <v>715200</v>
      </c>
      <c r="H1567" s="11">
        <f t="shared" si="77"/>
        <v>9600</v>
      </c>
    </row>
    <row r="1568" spans="1:8">
      <c r="A1568" s="6" t="s">
        <v>23</v>
      </c>
      <c r="B1568">
        <v>81043000</v>
      </c>
      <c r="C1568">
        <v>80721000</v>
      </c>
      <c r="D1568" s="8" t="str">
        <f>VLOOKUP(A1568,Лист2!A:E,5,0)</f>
        <v>средние</v>
      </c>
      <c r="E1568" s="10">
        <f>VLOOKUP(A1568,Лист2!A:E,4,0)</f>
        <v>75.5</v>
      </c>
      <c r="F1568" s="11">
        <f t="shared" si="75"/>
        <v>322000</v>
      </c>
      <c r="G1568" s="11">
        <f t="shared" si="76"/>
        <v>1073417.2185430464</v>
      </c>
      <c r="H1568" s="11">
        <f t="shared" si="77"/>
        <v>4264.9006622516554</v>
      </c>
    </row>
    <row r="1569" spans="1:8">
      <c r="A1569" s="6" t="s">
        <v>18</v>
      </c>
      <c r="B1569">
        <v>803000</v>
      </c>
      <c r="C1569">
        <v>811000</v>
      </c>
      <c r="D1569" s="8" t="str">
        <f>VLOOKUP(A1569,Лист2!A:E,5,0)</f>
        <v>малые</v>
      </c>
      <c r="E1569" s="10">
        <f>VLOOKUP(A1569,Лист2!A:E,4,0)</f>
        <v>2.5</v>
      </c>
      <c r="F1569" s="11">
        <f t="shared" si="75"/>
        <v>-8000</v>
      </c>
      <c r="G1569" s="11">
        <f t="shared" si="76"/>
        <v>321200</v>
      </c>
      <c r="H1569" s="11">
        <f t="shared" si="77"/>
        <v>-3200</v>
      </c>
    </row>
    <row r="1570" spans="1:8">
      <c r="A1570" s="6" t="s">
        <v>18</v>
      </c>
      <c r="B1570">
        <v>22214000</v>
      </c>
      <c r="C1570">
        <v>14294000</v>
      </c>
      <c r="D1570" s="8" t="str">
        <f>VLOOKUP(A1570,Лист2!A:E,5,0)</f>
        <v>малые</v>
      </c>
      <c r="E1570" s="10">
        <f>VLOOKUP(A1570,Лист2!A:E,4,0)</f>
        <v>2.5</v>
      </c>
      <c r="F1570" s="11">
        <f t="shared" si="75"/>
        <v>7920000</v>
      </c>
      <c r="G1570" s="11">
        <f t="shared" si="76"/>
        <v>8885600</v>
      </c>
      <c r="H1570" s="11">
        <f t="shared" si="77"/>
        <v>3168000</v>
      </c>
    </row>
    <row r="1571" spans="1:8">
      <c r="A1571" s="6" t="s">
        <v>22</v>
      </c>
      <c r="B1571">
        <v>23646000</v>
      </c>
      <c r="C1571">
        <v>21890000</v>
      </c>
      <c r="D1571" s="8" t="str">
        <f>VLOOKUP(A1571,Лист2!A:E,5,0)</f>
        <v>малые</v>
      </c>
      <c r="E1571" s="10">
        <f>VLOOKUP(A1571,Лист2!A:E,4,0)</f>
        <v>13</v>
      </c>
      <c r="F1571" s="11">
        <f t="shared" si="75"/>
        <v>1756000</v>
      </c>
      <c r="G1571" s="11">
        <f t="shared" si="76"/>
        <v>1818923.076923077</v>
      </c>
      <c r="H1571" s="11">
        <f t="shared" si="77"/>
        <v>135076.92307692306</v>
      </c>
    </row>
    <row r="1572" spans="1:8">
      <c r="A1572" s="6" t="s">
        <v>18</v>
      </c>
      <c r="B1572">
        <v>14600000</v>
      </c>
      <c r="C1572">
        <v>14552000</v>
      </c>
      <c r="D1572" s="8" t="str">
        <f>VLOOKUP(A1572,Лист2!A:E,5,0)</f>
        <v>малые</v>
      </c>
      <c r="E1572" s="10">
        <f>VLOOKUP(A1572,Лист2!A:E,4,0)</f>
        <v>2.5</v>
      </c>
      <c r="F1572" s="11">
        <f t="shared" si="75"/>
        <v>48000</v>
      </c>
      <c r="G1572" s="11">
        <f t="shared" si="76"/>
        <v>5840000</v>
      </c>
      <c r="H1572" s="11">
        <f t="shared" si="77"/>
        <v>19200</v>
      </c>
    </row>
    <row r="1573" spans="1:8">
      <c r="A1573" s="6" t="s">
        <v>18</v>
      </c>
      <c r="B1573">
        <v>3316000</v>
      </c>
      <c r="C1573">
        <v>3318000</v>
      </c>
      <c r="D1573" s="8" t="str">
        <f>VLOOKUP(A1573,Лист2!A:E,5,0)</f>
        <v>малые</v>
      </c>
      <c r="E1573" s="10">
        <f>VLOOKUP(A1573,Лист2!A:E,4,0)</f>
        <v>2.5</v>
      </c>
      <c r="F1573" s="11">
        <f t="shared" si="75"/>
        <v>-2000</v>
      </c>
      <c r="G1573" s="11">
        <f t="shared" si="76"/>
        <v>1326400</v>
      </c>
      <c r="H1573" s="11">
        <f t="shared" si="77"/>
        <v>-800</v>
      </c>
    </row>
    <row r="1574" spans="1:8">
      <c r="A1574" s="6" t="s">
        <v>18</v>
      </c>
      <c r="B1574">
        <v>18000</v>
      </c>
      <c r="C1574">
        <v>9000</v>
      </c>
      <c r="D1574" s="8" t="str">
        <f>VLOOKUP(A1574,Лист2!A:E,5,0)</f>
        <v>малые</v>
      </c>
      <c r="E1574" s="10">
        <f>VLOOKUP(A1574,Лист2!A:E,4,0)</f>
        <v>2.5</v>
      </c>
      <c r="F1574" s="11">
        <f t="shared" si="75"/>
        <v>9000</v>
      </c>
      <c r="G1574" s="11">
        <f t="shared" si="76"/>
        <v>7200</v>
      </c>
      <c r="H1574" s="11">
        <f t="shared" si="77"/>
        <v>3600</v>
      </c>
    </row>
    <row r="1575" spans="1:8">
      <c r="A1575" s="6" t="s">
        <v>18</v>
      </c>
      <c r="B1575">
        <v>2606000</v>
      </c>
      <c r="C1575">
        <v>2382000</v>
      </c>
      <c r="D1575" s="8" t="str">
        <f>VLOOKUP(A1575,Лист2!A:E,5,0)</f>
        <v>малые</v>
      </c>
      <c r="E1575" s="10">
        <f>VLOOKUP(A1575,Лист2!A:E,4,0)</f>
        <v>2.5</v>
      </c>
      <c r="F1575" s="11">
        <f t="shared" si="75"/>
        <v>224000</v>
      </c>
      <c r="G1575" s="11">
        <f t="shared" si="76"/>
        <v>1042400</v>
      </c>
      <c r="H1575" s="11">
        <f t="shared" si="77"/>
        <v>89600</v>
      </c>
    </row>
    <row r="1576" spans="1:8">
      <c r="A1576" s="6" t="s">
        <v>18</v>
      </c>
      <c r="B1576">
        <v>1592000</v>
      </c>
      <c r="C1576">
        <v>2310000</v>
      </c>
      <c r="D1576" s="8" t="str">
        <f>VLOOKUP(A1576,Лист2!A:E,5,0)</f>
        <v>малые</v>
      </c>
      <c r="E1576" s="10">
        <f>VLOOKUP(A1576,Лист2!A:E,4,0)</f>
        <v>2.5</v>
      </c>
      <c r="F1576" s="11">
        <f t="shared" si="75"/>
        <v>-718000</v>
      </c>
      <c r="G1576" s="11">
        <f t="shared" si="76"/>
        <v>636800</v>
      </c>
      <c r="H1576" s="11">
        <f t="shared" si="77"/>
        <v>-287200</v>
      </c>
    </row>
    <row r="1577" spans="1:8">
      <c r="A1577" s="6" t="s">
        <v>77</v>
      </c>
      <c r="B1577">
        <v>415495000</v>
      </c>
      <c r="C1577">
        <v>427203000</v>
      </c>
      <c r="D1577" s="8" t="str">
        <f>VLOOKUP(A1577,Лист2!A:E,5,0)</f>
        <v>малые</v>
      </c>
      <c r="E1577" s="10">
        <f>VLOOKUP(A1577,Лист2!A:E,4,0)</f>
        <v>8</v>
      </c>
      <c r="F1577" s="11">
        <f t="shared" si="75"/>
        <v>-11708000</v>
      </c>
      <c r="G1577" s="11">
        <f t="shared" si="76"/>
        <v>51936875</v>
      </c>
      <c r="H1577" s="11">
        <f t="shared" si="77"/>
        <v>-1463500</v>
      </c>
    </row>
    <row r="1578" spans="1:8">
      <c r="A1578" s="6" t="s">
        <v>18</v>
      </c>
      <c r="B1578">
        <v>4175000</v>
      </c>
      <c r="C1578">
        <v>4168000</v>
      </c>
      <c r="D1578" s="8" t="str">
        <f>VLOOKUP(A1578,Лист2!A:E,5,0)</f>
        <v>малые</v>
      </c>
      <c r="E1578" s="10">
        <f>VLOOKUP(A1578,Лист2!A:E,4,0)</f>
        <v>2.5</v>
      </c>
      <c r="F1578" s="11">
        <f t="shared" si="75"/>
        <v>7000</v>
      </c>
      <c r="G1578" s="11">
        <f t="shared" si="76"/>
        <v>1670000</v>
      </c>
      <c r="H1578" s="11">
        <f t="shared" si="77"/>
        <v>2800</v>
      </c>
    </row>
    <row r="1579" spans="1:8">
      <c r="A1579" s="6" t="s">
        <v>18</v>
      </c>
      <c r="B1579">
        <v>1078000</v>
      </c>
      <c r="C1579">
        <v>1095000</v>
      </c>
      <c r="D1579" s="8" t="str">
        <f>VLOOKUP(A1579,Лист2!A:E,5,0)</f>
        <v>малые</v>
      </c>
      <c r="E1579" s="10">
        <f>VLOOKUP(A1579,Лист2!A:E,4,0)</f>
        <v>2.5</v>
      </c>
      <c r="F1579" s="11">
        <f t="shared" si="75"/>
        <v>-17000</v>
      </c>
      <c r="G1579" s="11">
        <f t="shared" si="76"/>
        <v>431200</v>
      </c>
      <c r="H1579" s="11">
        <f t="shared" si="77"/>
        <v>-6800</v>
      </c>
    </row>
    <row r="1580" spans="1:8">
      <c r="A1580" s="6" t="s">
        <v>22</v>
      </c>
      <c r="B1580">
        <v>2251000</v>
      </c>
      <c r="C1580">
        <v>2555000</v>
      </c>
      <c r="D1580" s="8" t="str">
        <f>VLOOKUP(A1580,Лист2!A:E,5,0)</f>
        <v>малые</v>
      </c>
      <c r="E1580" s="10">
        <f>VLOOKUP(A1580,Лист2!A:E,4,0)</f>
        <v>13</v>
      </c>
      <c r="F1580" s="11">
        <f t="shared" si="75"/>
        <v>-304000</v>
      </c>
      <c r="G1580" s="11">
        <f t="shared" si="76"/>
        <v>173153.84615384616</v>
      </c>
      <c r="H1580" s="11">
        <f t="shared" si="77"/>
        <v>-23384.615384615383</v>
      </c>
    </row>
    <row r="1581" spans="1:8">
      <c r="A1581" s="6" t="s">
        <v>18</v>
      </c>
      <c r="B1581">
        <v>7653000</v>
      </c>
      <c r="C1581">
        <v>8417000</v>
      </c>
      <c r="D1581" s="8" t="str">
        <f>VLOOKUP(A1581,Лист2!A:E,5,0)</f>
        <v>малые</v>
      </c>
      <c r="E1581" s="10">
        <f>VLOOKUP(A1581,Лист2!A:E,4,0)</f>
        <v>2.5</v>
      </c>
      <c r="F1581" s="11">
        <f t="shared" si="75"/>
        <v>-764000</v>
      </c>
      <c r="G1581" s="11">
        <f t="shared" si="76"/>
        <v>3061200</v>
      </c>
      <c r="H1581" s="11">
        <f t="shared" si="77"/>
        <v>-305600</v>
      </c>
    </row>
    <row r="1582" spans="1:8">
      <c r="A1582" s="6" t="s">
        <v>18</v>
      </c>
      <c r="B1582">
        <v>153000</v>
      </c>
      <c r="C1582">
        <v>155000</v>
      </c>
      <c r="D1582" s="8" t="str">
        <f>VLOOKUP(A1582,Лист2!A:E,5,0)</f>
        <v>малые</v>
      </c>
      <c r="E1582" s="10">
        <f>VLOOKUP(A1582,Лист2!A:E,4,0)</f>
        <v>2.5</v>
      </c>
      <c r="F1582" s="11">
        <f t="shared" si="75"/>
        <v>-2000</v>
      </c>
      <c r="G1582" s="11">
        <f t="shared" si="76"/>
        <v>61200</v>
      </c>
      <c r="H1582" s="11">
        <f t="shared" si="77"/>
        <v>-800</v>
      </c>
    </row>
    <row r="1583" spans="1:8">
      <c r="A1583" s="6" t="s">
        <v>18</v>
      </c>
      <c r="B1583">
        <v>527000</v>
      </c>
      <c r="C1583">
        <v>613000</v>
      </c>
      <c r="D1583" s="8" t="str">
        <f>VLOOKUP(A1583,Лист2!A:E,5,0)</f>
        <v>малые</v>
      </c>
      <c r="E1583" s="10">
        <f>VLOOKUP(A1583,Лист2!A:E,4,0)</f>
        <v>2.5</v>
      </c>
      <c r="F1583" s="11">
        <f t="shared" si="75"/>
        <v>-86000</v>
      </c>
      <c r="G1583" s="11">
        <f t="shared" si="76"/>
        <v>210800</v>
      </c>
      <c r="H1583" s="11">
        <f t="shared" si="77"/>
        <v>-34400</v>
      </c>
    </row>
    <row r="1584" spans="1:8">
      <c r="A1584" s="6" t="s">
        <v>18</v>
      </c>
      <c r="B1584">
        <v>890874</v>
      </c>
      <c r="C1584">
        <v>856414</v>
      </c>
      <c r="D1584" s="8" t="str">
        <f>VLOOKUP(A1584,Лист2!A:E,5,0)</f>
        <v>малые</v>
      </c>
      <c r="E1584" s="10">
        <f>VLOOKUP(A1584,Лист2!A:E,4,0)</f>
        <v>2.5</v>
      </c>
      <c r="F1584" s="11">
        <f t="shared" si="75"/>
        <v>34460</v>
      </c>
      <c r="G1584" s="11">
        <f t="shared" si="76"/>
        <v>356349.6</v>
      </c>
      <c r="H1584" s="11">
        <f t="shared" si="77"/>
        <v>13784</v>
      </c>
    </row>
    <row r="1585" spans="1:8">
      <c r="A1585" s="6" t="s">
        <v>77</v>
      </c>
      <c r="B1585">
        <v>2174000</v>
      </c>
      <c r="C1585">
        <v>2174000</v>
      </c>
      <c r="D1585" s="8" t="str">
        <f>VLOOKUP(A1585,Лист2!A:E,5,0)</f>
        <v>малые</v>
      </c>
      <c r="E1585" s="10">
        <f>VLOOKUP(A1585,Лист2!A:E,4,0)</f>
        <v>8</v>
      </c>
      <c r="F1585" s="11">
        <f t="shared" si="75"/>
        <v>0</v>
      </c>
      <c r="G1585" s="11">
        <f t="shared" si="76"/>
        <v>271750</v>
      </c>
      <c r="H1585" s="11">
        <f t="shared" si="77"/>
        <v>0</v>
      </c>
    </row>
    <row r="1586" spans="1:8">
      <c r="A1586" s="6" t="s">
        <v>18</v>
      </c>
      <c r="B1586">
        <v>5136000</v>
      </c>
      <c r="C1586">
        <v>33559000</v>
      </c>
      <c r="D1586" s="8" t="str">
        <f>VLOOKUP(A1586,Лист2!A:E,5,0)</f>
        <v>малые</v>
      </c>
      <c r="E1586" s="10">
        <f>VLOOKUP(A1586,Лист2!A:E,4,0)</f>
        <v>2.5</v>
      </c>
      <c r="F1586" s="11">
        <f t="shared" si="75"/>
        <v>-28423000</v>
      </c>
      <c r="G1586" s="11">
        <f t="shared" si="76"/>
        <v>2054400</v>
      </c>
      <c r="H1586" s="11">
        <f t="shared" si="77"/>
        <v>-11369200</v>
      </c>
    </row>
    <row r="1587" spans="1:8">
      <c r="A1587" s="6" t="s">
        <v>18</v>
      </c>
      <c r="B1587">
        <v>69835000</v>
      </c>
      <c r="C1587">
        <v>72426000</v>
      </c>
      <c r="D1587" s="8" t="str">
        <f>VLOOKUP(A1587,Лист2!A:E,5,0)</f>
        <v>малые</v>
      </c>
      <c r="E1587" s="10">
        <f>VLOOKUP(A1587,Лист2!A:E,4,0)</f>
        <v>2.5</v>
      </c>
      <c r="F1587" s="11">
        <f t="shared" si="75"/>
        <v>-2591000</v>
      </c>
      <c r="G1587" s="11">
        <f t="shared" si="76"/>
        <v>27934000</v>
      </c>
      <c r="H1587" s="11">
        <f t="shared" si="77"/>
        <v>-1036400</v>
      </c>
    </row>
    <row r="1588" spans="1:8">
      <c r="A1588" s="6" t="s">
        <v>18</v>
      </c>
      <c r="B1588">
        <v>18035000</v>
      </c>
      <c r="C1588">
        <v>17561000</v>
      </c>
      <c r="D1588" s="8" t="str">
        <f>VLOOKUP(A1588,Лист2!A:E,5,0)</f>
        <v>малые</v>
      </c>
      <c r="E1588" s="10">
        <f>VLOOKUP(A1588,Лист2!A:E,4,0)</f>
        <v>2.5</v>
      </c>
      <c r="F1588" s="11">
        <f t="shared" si="75"/>
        <v>474000</v>
      </c>
      <c r="G1588" s="11">
        <f t="shared" si="76"/>
        <v>7214000</v>
      </c>
      <c r="H1588" s="11">
        <f t="shared" si="77"/>
        <v>189600</v>
      </c>
    </row>
    <row r="1589" spans="1:8">
      <c r="A1589" s="6" t="s">
        <v>22</v>
      </c>
      <c r="B1589">
        <v>3710000</v>
      </c>
      <c r="C1589">
        <v>2233000</v>
      </c>
      <c r="D1589" s="8" t="str">
        <f>VLOOKUP(A1589,Лист2!A:E,5,0)</f>
        <v>малые</v>
      </c>
      <c r="E1589" s="10">
        <f>VLOOKUP(A1589,Лист2!A:E,4,0)</f>
        <v>13</v>
      </c>
      <c r="F1589" s="11">
        <f t="shared" si="75"/>
        <v>1477000</v>
      </c>
      <c r="G1589" s="11">
        <f t="shared" si="76"/>
        <v>285384.61538461538</v>
      </c>
      <c r="H1589" s="11">
        <f t="shared" si="77"/>
        <v>113615.38461538461</v>
      </c>
    </row>
    <row r="1590" spans="1:8">
      <c r="A1590" s="6" t="s">
        <v>18</v>
      </c>
      <c r="B1590">
        <v>1700000</v>
      </c>
      <c r="C1590">
        <v>1650000</v>
      </c>
      <c r="D1590" s="8" t="str">
        <f>VLOOKUP(A1590,Лист2!A:E,5,0)</f>
        <v>малые</v>
      </c>
      <c r="E1590" s="10">
        <f>VLOOKUP(A1590,Лист2!A:E,4,0)</f>
        <v>2.5</v>
      </c>
      <c r="F1590" s="11">
        <f t="shared" si="75"/>
        <v>50000</v>
      </c>
      <c r="G1590" s="11">
        <f t="shared" si="76"/>
        <v>680000</v>
      </c>
      <c r="H1590" s="11">
        <f t="shared" si="77"/>
        <v>20000</v>
      </c>
    </row>
    <row r="1591" spans="1:8">
      <c r="A1591" s="6" t="s">
        <v>18</v>
      </c>
      <c r="B1591">
        <v>8658000</v>
      </c>
      <c r="C1591">
        <v>7090000</v>
      </c>
      <c r="D1591" s="8" t="str">
        <f>VLOOKUP(A1591,Лист2!A:E,5,0)</f>
        <v>малые</v>
      </c>
      <c r="E1591" s="10">
        <f>VLOOKUP(A1591,Лист2!A:E,4,0)</f>
        <v>2.5</v>
      </c>
      <c r="F1591" s="11">
        <f t="shared" si="75"/>
        <v>1568000</v>
      </c>
      <c r="G1591" s="11">
        <f t="shared" si="76"/>
        <v>3463200</v>
      </c>
      <c r="H1591" s="11">
        <f t="shared" si="77"/>
        <v>627200</v>
      </c>
    </row>
    <row r="1592" spans="1:8">
      <c r="A1592" s="6" t="s">
        <v>18</v>
      </c>
      <c r="B1592">
        <v>1926000</v>
      </c>
      <c r="C1592">
        <v>2012000</v>
      </c>
      <c r="D1592" s="8" t="str">
        <f>VLOOKUP(A1592,Лист2!A:E,5,0)</f>
        <v>малые</v>
      </c>
      <c r="E1592" s="10">
        <f>VLOOKUP(A1592,Лист2!A:E,4,0)</f>
        <v>2.5</v>
      </c>
      <c r="F1592" s="11">
        <f t="shared" si="75"/>
        <v>-86000</v>
      </c>
      <c r="G1592" s="11">
        <f t="shared" si="76"/>
        <v>770400</v>
      </c>
      <c r="H1592" s="11">
        <f t="shared" si="77"/>
        <v>-34400</v>
      </c>
    </row>
    <row r="1593" spans="1:8">
      <c r="A1593" s="6" t="s">
        <v>18</v>
      </c>
      <c r="B1593">
        <v>11288000</v>
      </c>
      <c r="C1593">
        <v>11288000</v>
      </c>
      <c r="D1593" s="8" t="str">
        <f>VLOOKUP(A1593,Лист2!A:E,5,0)</f>
        <v>малые</v>
      </c>
      <c r="E1593" s="10">
        <f>VLOOKUP(A1593,Лист2!A:E,4,0)</f>
        <v>2.5</v>
      </c>
      <c r="F1593" s="11">
        <f t="shared" si="75"/>
        <v>0</v>
      </c>
      <c r="G1593" s="11">
        <f t="shared" si="76"/>
        <v>4515200</v>
      </c>
      <c r="H1593" s="11">
        <f t="shared" si="77"/>
        <v>0</v>
      </c>
    </row>
    <row r="1594" spans="1:8">
      <c r="A1594" s="6" t="s">
        <v>77</v>
      </c>
      <c r="B1594">
        <v>22122000</v>
      </c>
      <c r="C1594">
        <v>22904000</v>
      </c>
      <c r="D1594" s="8" t="str">
        <f>VLOOKUP(A1594,Лист2!A:E,5,0)</f>
        <v>малые</v>
      </c>
      <c r="E1594" s="10">
        <f>VLOOKUP(A1594,Лист2!A:E,4,0)</f>
        <v>8</v>
      </c>
      <c r="F1594" s="11">
        <f t="shared" si="75"/>
        <v>-782000</v>
      </c>
      <c r="G1594" s="11">
        <f t="shared" si="76"/>
        <v>2765250</v>
      </c>
      <c r="H1594" s="11">
        <f t="shared" si="77"/>
        <v>-97750</v>
      </c>
    </row>
    <row r="1595" spans="1:8">
      <c r="A1595" s="6" t="s">
        <v>18</v>
      </c>
      <c r="B1595">
        <v>118000</v>
      </c>
      <c r="C1595">
        <v>118000</v>
      </c>
      <c r="D1595" s="8" t="str">
        <f>VLOOKUP(A1595,Лист2!A:E,5,0)</f>
        <v>малые</v>
      </c>
      <c r="E1595" s="10">
        <f>VLOOKUP(A1595,Лист2!A:E,4,0)</f>
        <v>2.5</v>
      </c>
      <c r="F1595" s="11">
        <f t="shared" si="75"/>
        <v>0</v>
      </c>
      <c r="G1595" s="11">
        <f t="shared" si="76"/>
        <v>47200</v>
      </c>
      <c r="H1595" s="11">
        <f t="shared" si="77"/>
        <v>0</v>
      </c>
    </row>
    <row r="1596" spans="1:8">
      <c r="A1596" s="6" t="s">
        <v>18</v>
      </c>
      <c r="B1596">
        <v>217000</v>
      </c>
      <c r="C1596">
        <v>215000</v>
      </c>
      <c r="D1596" s="8" t="str">
        <f>VLOOKUP(A1596,Лист2!A:E,5,0)</f>
        <v>малые</v>
      </c>
      <c r="E1596" s="10">
        <f>VLOOKUP(A1596,Лист2!A:E,4,0)</f>
        <v>2.5</v>
      </c>
      <c r="F1596" s="11">
        <f t="shared" si="75"/>
        <v>2000</v>
      </c>
      <c r="G1596" s="11">
        <f t="shared" si="76"/>
        <v>86800</v>
      </c>
      <c r="H1596" s="11">
        <f t="shared" si="77"/>
        <v>800</v>
      </c>
    </row>
    <row r="1597" spans="1:8">
      <c r="A1597" s="6" t="s">
        <v>22</v>
      </c>
      <c r="B1597">
        <v>73700000</v>
      </c>
      <c r="C1597">
        <v>1193978000</v>
      </c>
      <c r="D1597" s="8" t="str">
        <f>VLOOKUP(A1597,Лист2!A:E,5,0)</f>
        <v>малые</v>
      </c>
      <c r="E1597" s="10">
        <f>VLOOKUP(A1597,Лист2!A:E,4,0)</f>
        <v>13</v>
      </c>
      <c r="F1597" s="11">
        <f t="shared" si="75"/>
        <v>-1120278000</v>
      </c>
      <c r="G1597" s="11">
        <f t="shared" si="76"/>
        <v>5669230.769230769</v>
      </c>
      <c r="H1597" s="11">
        <f t="shared" si="77"/>
        <v>-86175230.769230768</v>
      </c>
    </row>
    <row r="1598" spans="1:8">
      <c r="A1598" s="6" t="s">
        <v>18</v>
      </c>
      <c r="B1598">
        <v>32000</v>
      </c>
      <c r="C1598">
        <v>33000</v>
      </c>
      <c r="D1598" s="8" t="str">
        <f>VLOOKUP(A1598,Лист2!A:E,5,0)</f>
        <v>малые</v>
      </c>
      <c r="E1598" s="10">
        <f>VLOOKUP(A1598,Лист2!A:E,4,0)</f>
        <v>2.5</v>
      </c>
      <c r="F1598" s="11">
        <f t="shared" si="75"/>
        <v>-1000</v>
      </c>
      <c r="G1598" s="11">
        <f t="shared" si="76"/>
        <v>12800</v>
      </c>
      <c r="H1598" s="11">
        <f t="shared" si="77"/>
        <v>-400</v>
      </c>
    </row>
    <row r="1599" spans="1:8">
      <c r="A1599" s="6" t="s">
        <v>18</v>
      </c>
      <c r="B1599">
        <v>1243000</v>
      </c>
      <c r="C1599">
        <v>991000</v>
      </c>
      <c r="D1599" s="8" t="str">
        <f>VLOOKUP(A1599,Лист2!A:E,5,0)</f>
        <v>малые</v>
      </c>
      <c r="E1599" s="10">
        <f>VLOOKUP(A1599,Лист2!A:E,4,0)</f>
        <v>2.5</v>
      </c>
      <c r="F1599" s="11">
        <f t="shared" ref="F1599:F1659" si="78">B1599-C1599</f>
        <v>252000</v>
      </c>
      <c r="G1599" s="11">
        <f t="shared" ref="G1599:G1659" si="79">B1599/E1599</f>
        <v>497200</v>
      </c>
      <c r="H1599" s="11">
        <f t="shared" ref="H1599:H1659" si="80">F1599/E1599</f>
        <v>100800</v>
      </c>
    </row>
    <row r="1600" spans="1:8">
      <c r="A1600" s="6" t="s">
        <v>18</v>
      </c>
      <c r="B1600">
        <v>95000</v>
      </c>
      <c r="C1600">
        <v>91000</v>
      </c>
      <c r="D1600" s="8" t="str">
        <f>VLOOKUP(A1600,Лист2!A:E,5,0)</f>
        <v>малые</v>
      </c>
      <c r="E1600" s="10">
        <f>VLOOKUP(A1600,Лист2!A:E,4,0)</f>
        <v>2.5</v>
      </c>
      <c r="F1600" s="11">
        <f t="shared" si="78"/>
        <v>4000</v>
      </c>
      <c r="G1600" s="11">
        <f t="shared" si="79"/>
        <v>38000</v>
      </c>
      <c r="H1600" s="11">
        <f t="shared" si="80"/>
        <v>1600</v>
      </c>
    </row>
    <row r="1601" spans="1:8">
      <c r="A1601" s="6" t="s">
        <v>18</v>
      </c>
      <c r="B1601">
        <v>769000</v>
      </c>
      <c r="C1601">
        <v>692000</v>
      </c>
      <c r="D1601" s="8" t="str">
        <f>VLOOKUP(A1601,Лист2!A:E,5,0)</f>
        <v>малые</v>
      </c>
      <c r="E1601" s="10">
        <f>VLOOKUP(A1601,Лист2!A:E,4,0)</f>
        <v>2.5</v>
      </c>
      <c r="F1601" s="11">
        <f t="shared" si="78"/>
        <v>77000</v>
      </c>
      <c r="G1601" s="11">
        <f t="shared" si="79"/>
        <v>307600</v>
      </c>
      <c r="H1601" s="11">
        <f t="shared" si="80"/>
        <v>30800</v>
      </c>
    </row>
    <row r="1602" spans="1:8">
      <c r="A1602" s="6" t="s">
        <v>18</v>
      </c>
      <c r="B1602">
        <v>460000</v>
      </c>
      <c r="C1602">
        <v>416000</v>
      </c>
      <c r="D1602" s="8" t="str">
        <f>VLOOKUP(A1602,Лист2!A:E,5,0)</f>
        <v>малые</v>
      </c>
      <c r="E1602" s="10">
        <f>VLOOKUP(A1602,Лист2!A:E,4,0)</f>
        <v>2.5</v>
      </c>
      <c r="F1602" s="11">
        <f t="shared" si="78"/>
        <v>44000</v>
      </c>
      <c r="G1602" s="11">
        <f t="shared" si="79"/>
        <v>184000</v>
      </c>
      <c r="H1602" s="11">
        <f t="shared" si="80"/>
        <v>17600</v>
      </c>
    </row>
    <row r="1603" spans="1:8">
      <c r="A1603" s="6" t="s">
        <v>18</v>
      </c>
      <c r="B1603">
        <v>2950000</v>
      </c>
      <c r="C1603">
        <v>5993000</v>
      </c>
      <c r="D1603" s="8" t="str">
        <f>VLOOKUP(A1603,Лист2!A:E,5,0)</f>
        <v>малые</v>
      </c>
      <c r="E1603" s="10">
        <f>VLOOKUP(A1603,Лист2!A:E,4,0)</f>
        <v>2.5</v>
      </c>
      <c r="F1603" s="11">
        <f t="shared" si="78"/>
        <v>-3043000</v>
      </c>
      <c r="G1603" s="11">
        <f t="shared" si="79"/>
        <v>1180000</v>
      </c>
      <c r="H1603" s="11">
        <f t="shared" si="80"/>
        <v>-1217200</v>
      </c>
    </row>
    <row r="1604" spans="1:8">
      <c r="A1604" s="6" t="s">
        <v>18</v>
      </c>
      <c r="B1604">
        <v>1205000</v>
      </c>
      <c r="C1604">
        <v>1267000</v>
      </c>
      <c r="D1604" s="8" t="str">
        <f>VLOOKUP(A1604,Лист2!A:E,5,0)</f>
        <v>малые</v>
      </c>
      <c r="E1604" s="10">
        <f>VLOOKUP(A1604,Лист2!A:E,4,0)</f>
        <v>2.5</v>
      </c>
      <c r="F1604" s="11">
        <f t="shared" si="78"/>
        <v>-62000</v>
      </c>
      <c r="G1604" s="11">
        <f t="shared" si="79"/>
        <v>482000</v>
      </c>
      <c r="H1604" s="11">
        <f t="shared" si="80"/>
        <v>-24800</v>
      </c>
    </row>
    <row r="1605" spans="1:8">
      <c r="A1605" s="6" t="s">
        <v>18</v>
      </c>
      <c r="B1605">
        <v>7336000</v>
      </c>
      <c r="C1605">
        <v>7040000</v>
      </c>
      <c r="D1605" s="8" t="str">
        <f>VLOOKUP(A1605,Лист2!A:E,5,0)</f>
        <v>малые</v>
      </c>
      <c r="E1605" s="10">
        <f>VLOOKUP(A1605,Лист2!A:E,4,0)</f>
        <v>2.5</v>
      </c>
      <c r="F1605" s="11">
        <f t="shared" si="78"/>
        <v>296000</v>
      </c>
      <c r="G1605" s="11">
        <f t="shared" si="79"/>
        <v>2934400</v>
      </c>
      <c r="H1605" s="11">
        <f t="shared" si="80"/>
        <v>118400</v>
      </c>
    </row>
    <row r="1606" spans="1:8">
      <c r="A1606" s="6" t="s">
        <v>18</v>
      </c>
      <c r="B1606">
        <v>629000</v>
      </c>
      <c r="C1606">
        <v>628000</v>
      </c>
      <c r="D1606" s="8" t="str">
        <f>VLOOKUP(A1606,Лист2!A:E,5,0)</f>
        <v>малые</v>
      </c>
      <c r="E1606" s="10">
        <f>VLOOKUP(A1606,Лист2!A:E,4,0)</f>
        <v>2.5</v>
      </c>
      <c r="F1606" s="11">
        <f t="shared" si="78"/>
        <v>1000</v>
      </c>
      <c r="G1606" s="11">
        <f t="shared" si="79"/>
        <v>251600</v>
      </c>
      <c r="H1606" s="11">
        <f t="shared" si="80"/>
        <v>400</v>
      </c>
    </row>
    <row r="1607" spans="1:8">
      <c r="A1607" s="6" t="s">
        <v>18</v>
      </c>
      <c r="B1607">
        <v>550000</v>
      </c>
      <c r="C1607">
        <v>790000</v>
      </c>
      <c r="D1607" s="8" t="str">
        <f>VLOOKUP(A1607,Лист2!A:E,5,0)</f>
        <v>малые</v>
      </c>
      <c r="E1607" s="10">
        <f>VLOOKUP(A1607,Лист2!A:E,4,0)</f>
        <v>2.5</v>
      </c>
      <c r="F1607" s="11">
        <f t="shared" si="78"/>
        <v>-240000</v>
      </c>
      <c r="G1607" s="11">
        <f t="shared" si="79"/>
        <v>220000</v>
      </c>
      <c r="H1607" s="11">
        <f t="shared" si="80"/>
        <v>-96000</v>
      </c>
    </row>
    <row r="1608" spans="1:8">
      <c r="A1608" s="6" t="s">
        <v>18</v>
      </c>
      <c r="B1608">
        <v>4000</v>
      </c>
      <c r="C1608">
        <v>8000</v>
      </c>
      <c r="D1608" s="8" t="str">
        <f>VLOOKUP(A1608,Лист2!A:E,5,0)</f>
        <v>малые</v>
      </c>
      <c r="E1608" s="10">
        <f>VLOOKUP(A1608,Лист2!A:E,4,0)</f>
        <v>2.5</v>
      </c>
      <c r="F1608" s="11">
        <f t="shared" si="78"/>
        <v>-4000</v>
      </c>
      <c r="G1608" s="11">
        <f t="shared" si="79"/>
        <v>1600</v>
      </c>
      <c r="H1608" s="11">
        <f t="shared" si="80"/>
        <v>-1600</v>
      </c>
    </row>
    <row r="1609" spans="1:8">
      <c r="A1609" s="6" t="s">
        <v>18</v>
      </c>
      <c r="B1609">
        <v>326000</v>
      </c>
      <c r="C1609">
        <v>377000</v>
      </c>
      <c r="D1609" s="8" t="str">
        <f>VLOOKUP(A1609,Лист2!A:E,5,0)</f>
        <v>малые</v>
      </c>
      <c r="E1609" s="10">
        <f>VLOOKUP(A1609,Лист2!A:E,4,0)</f>
        <v>2.5</v>
      </c>
      <c r="F1609" s="11">
        <f t="shared" si="78"/>
        <v>-51000</v>
      </c>
      <c r="G1609" s="11">
        <f t="shared" si="79"/>
        <v>130400</v>
      </c>
      <c r="H1609" s="11">
        <f t="shared" si="80"/>
        <v>-20400</v>
      </c>
    </row>
    <row r="1610" spans="1:8">
      <c r="A1610" s="6" t="s">
        <v>18</v>
      </c>
      <c r="B1610">
        <v>225000</v>
      </c>
      <c r="C1610">
        <v>225000</v>
      </c>
      <c r="D1610" s="8" t="str">
        <f>VLOOKUP(A1610,Лист2!A:E,5,0)</f>
        <v>малые</v>
      </c>
      <c r="E1610" s="10">
        <f>VLOOKUP(A1610,Лист2!A:E,4,0)</f>
        <v>2.5</v>
      </c>
      <c r="F1610" s="11">
        <f t="shared" si="78"/>
        <v>0</v>
      </c>
      <c r="G1610" s="11">
        <f t="shared" si="79"/>
        <v>90000</v>
      </c>
      <c r="H1610" s="11">
        <f t="shared" si="80"/>
        <v>0</v>
      </c>
    </row>
    <row r="1611" spans="1:8">
      <c r="A1611" s="6" t="s">
        <v>18</v>
      </c>
      <c r="B1611">
        <v>2305000</v>
      </c>
      <c r="C1611">
        <v>2305000</v>
      </c>
      <c r="D1611" s="8" t="str">
        <f>VLOOKUP(A1611,Лист2!A:E,5,0)</f>
        <v>малые</v>
      </c>
      <c r="E1611" s="10">
        <f>VLOOKUP(A1611,Лист2!A:E,4,0)</f>
        <v>2.5</v>
      </c>
      <c r="F1611" s="11">
        <f t="shared" si="78"/>
        <v>0</v>
      </c>
      <c r="G1611" s="11">
        <f t="shared" si="79"/>
        <v>922000</v>
      </c>
      <c r="H1611" s="11">
        <f t="shared" si="80"/>
        <v>0</v>
      </c>
    </row>
    <row r="1612" spans="1:8">
      <c r="A1612" s="6" t="s">
        <v>18</v>
      </c>
      <c r="B1612">
        <v>318000</v>
      </c>
      <c r="C1612">
        <v>338000</v>
      </c>
      <c r="D1612" s="8" t="str">
        <f>VLOOKUP(A1612,Лист2!A:E,5,0)</f>
        <v>малые</v>
      </c>
      <c r="E1612" s="10">
        <f>VLOOKUP(A1612,Лист2!A:E,4,0)</f>
        <v>2.5</v>
      </c>
      <c r="F1612" s="11">
        <f t="shared" si="78"/>
        <v>-20000</v>
      </c>
      <c r="G1612" s="11">
        <f t="shared" si="79"/>
        <v>127200</v>
      </c>
      <c r="H1612" s="11">
        <f t="shared" si="80"/>
        <v>-8000</v>
      </c>
    </row>
    <row r="1613" spans="1:8">
      <c r="A1613" s="6" t="s">
        <v>18</v>
      </c>
      <c r="B1613">
        <v>2579000</v>
      </c>
      <c r="C1613">
        <v>2038000</v>
      </c>
      <c r="D1613" s="8" t="str">
        <f>VLOOKUP(A1613,Лист2!A:E,5,0)</f>
        <v>малые</v>
      </c>
      <c r="E1613" s="10">
        <f>VLOOKUP(A1613,Лист2!A:E,4,0)</f>
        <v>2.5</v>
      </c>
      <c r="F1613" s="11">
        <f t="shared" si="78"/>
        <v>541000</v>
      </c>
      <c r="G1613" s="11">
        <f t="shared" si="79"/>
        <v>1031600</v>
      </c>
      <c r="H1613" s="11">
        <f t="shared" si="80"/>
        <v>216400</v>
      </c>
    </row>
    <row r="1614" spans="1:8">
      <c r="A1614" s="6" t="s">
        <v>18</v>
      </c>
      <c r="B1614">
        <v>1409000</v>
      </c>
      <c r="C1614">
        <v>1412000</v>
      </c>
      <c r="D1614" s="8" t="str">
        <f>VLOOKUP(A1614,Лист2!A:E,5,0)</f>
        <v>малые</v>
      </c>
      <c r="E1614" s="10">
        <f>VLOOKUP(A1614,Лист2!A:E,4,0)</f>
        <v>2.5</v>
      </c>
      <c r="F1614" s="11">
        <f t="shared" si="78"/>
        <v>-3000</v>
      </c>
      <c r="G1614" s="11">
        <f t="shared" si="79"/>
        <v>563600</v>
      </c>
      <c r="H1614" s="11">
        <f t="shared" si="80"/>
        <v>-1200</v>
      </c>
    </row>
    <row r="1615" spans="1:8">
      <c r="A1615" s="6" t="s">
        <v>18</v>
      </c>
      <c r="B1615">
        <v>17686000</v>
      </c>
      <c r="C1615">
        <v>17603000</v>
      </c>
      <c r="D1615" s="8" t="str">
        <f>VLOOKUP(A1615,Лист2!A:E,5,0)</f>
        <v>малые</v>
      </c>
      <c r="E1615" s="10">
        <f>VLOOKUP(A1615,Лист2!A:E,4,0)</f>
        <v>2.5</v>
      </c>
      <c r="F1615" s="11">
        <f t="shared" si="78"/>
        <v>83000</v>
      </c>
      <c r="G1615" s="11">
        <f t="shared" si="79"/>
        <v>7074400</v>
      </c>
      <c r="H1615" s="11">
        <f t="shared" si="80"/>
        <v>33200</v>
      </c>
    </row>
    <row r="1616" spans="1:8">
      <c r="A1616" s="6" t="s">
        <v>18</v>
      </c>
      <c r="B1616">
        <v>350000</v>
      </c>
      <c r="C1616">
        <v>357000</v>
      </c>
      <c r="D1616" s="8" t="str">
        <f>VLOOKUP(A1616,Лист2!A:E,5,0)</f>
        <v>малые</v>
      </c>
      <c r="E1616" s="10">
        <f>VLOOKUP(A1616,Лист2!A:E,4,0)</f>
        <v>2.5</v>
      </c>
      <c r="F1616" s="11">
        <f t="shared" si="78"/>
        <v>-7000</v>
      </c>
      <c r="G1616" s="11">
        <f t="shared" si="79"/>
        <v>140000</v>
      </c>
      <c r="H1616" s="11">
        <f t="shared" si="80"/>
        <v>-2800</v>
      </c>
    </row>
    <row r="1617" spans="1:8">
      <c r="A1617" s="6" t="s">
        <v>18</v>
      </c>
      <c r="B1617">
        <v>1809000</v>
      </c>
      <c r="C1617">
        <v>2071000</v>
      </c>
      <c r="D1617" s="8" t="str">
        <f>VLOOKUP(A1617,Лист2!A:E,5,0)</f>
        <v>малые</v>
      </c>
      <c r="E1617" s="10">
        <f>VLOOKUP(A1617,Лист2!A:E,4,0)</f>
        <v>2.5</v>
      </c>
      <c r="F1617" s="11">
        <f t="shared" si="78"/>
        <v>-262000</v>
      </c>
      <c r="G1617" s="11">
        <f t="shared" si="79"/>
        <v>723600</v>
      </c>
      <c r="H1617" s="11">
        <f t="shared" si="80"/>
        <v>-104800</v>
      </c>
    </row>
    <row r="1618" spans="1:8">
      <c r="A1618" s="6" t="s">
        <v>18</v>
      </c>
      <c r="B1618">
        <v>1312000</v>
      </c>
      <c r="C1618">
        <v>1320000</v>
      </c>
      <c r="D1618" s="8" t="str">
        <f>VLOOKUP(A1618,Лист2!A:E,5,0)</f>
        <v>малые</v>
      </c>
      <c r="E1618" s="10">
        <f>VLOOKUP(A1618,Лист2!A:E,4,0)</f>
        <v>2.5</v>
      </c>
      <c r="F1618" s="11">
        <f t="shared" si="78"/>
        <v>-8000</v>
      </c>
      <c r="G1618" s="11">
        <f t="shared" si="79"/>
        <v>524800</v>
      </c>
      <c r="H1618" s="11">
        <f t="shared" si="80"/>
        <v>-3200</v>
      </c>
    </row>
    <row r="1619" spans="1:8">
      <c r="A1619" s="6" t="s">
        <v>18</v>
      </c>
      <c r="B1619">
        <v>29903000</v>
      </c>
      <c r="C1619">
        <v>45300000</v>
      </c>
      <c r="D1619" s="8" t="str">
        <f>VLOOKUP(A1619,Лист2!A:E,5,0)</f>
        <v>малые</v>
      </c>
      <c r="E1619" s="10">
        <f>VLOOKUP(A1619,Лист2!A:E,4,0)</f>
        <v>2.5</v>
      </c>
      <c r="F1619" s="11">
        <f t="shared" si="78"/>
        <v>-15397000</v>
      </c>
      <c r="G1619" s="11">
        <f t="shared" si="79"/>
        <v>11961200</v>
      </c>
      <c r="H1619" s="11">
        <f t="shared" si="80"/>
        <v>-6158800</v>
      </c>
    </row>
    <row r="1620" spans="1:8">
      <c r="A1620" s="6" t="s">
        <v>77</v>
      </c>
      <c r="B1620">
        <v>159615000</v>
      </c>
      <c r="C1620">
        <v>82060000</v>
      </c>
      <c r="D1620" s="8" t="str">
        <f>VLOOKUP(A1620,Лист2!A:E,5,0)</f>
        <v>малые</v>
      </c>
      <c r="E1620" s="10">
        <f>VLOOKUP(A1620,Лист2!A:E,4,0)</f>
        <v>8</v>
      </c>
      <c r="F1620" s="11">
        <f t="shared" si="78"/>
        <v>77555000</v>
      </c>
      <c r="G1620" s="11">
        <f t="shared" si="79"/>
        <v>19951875</v>
      </c>
      <c r="H1620" s="11">
        <f t="shared" si="80"/>
        <v>9694375</v>
      </c>
    </row>
    <row r="1621" spans="1:8">
      <c r="A1621" s="6" t="s">
        <v>18</v>
      </c>
      <c r="B1621">
        <v>5522000</v>
      </c>
      <c r="C1621">
        <v>5441000</v>
      </c>
      <c r="D1621" s="8" t="str">
        <f>VLOOKUP(A1621,Лист2!A:E,5,0)</f>
        <v>малые</v>
      </c>
      <c r="E1621" s="10">
        <f>VLOOKUP(A1621,Лист2!A:E,4,0)</f>
        <v>2.5</v>
      </c>
      <c r="F1621" s="11">
        <f t="shared" si="78"/>
        <v>81000</v>
      </c>
      <c r="G1621" s="11">
        <f t="shared" si="79"/>
        <v>2208800</v>
      </c>
      <c r="H1621" s="11">
        <f t="shared" si="80"/>
        <v>32400</v>
      </c>
    </row>
    <row r="1622" spans="1:8">
      <c r="A1622" s="6" t="s">
        <v>18</v>
      </c>
      <c r="B1622">
        <v>538000</v>
      </c>
      <c r="C1622">
        <v>562000</v>
      </c>
      <c r="D1622" s="8" t="str">
        <f>VLOOKUP(A1622,Лист2!A:E,5,0)</f>
        <v>малые</v>
      </c>
      <c r="E1622" s="10">
        <f>VLOOKUP(A1622,Лист2!A:E,4,0)</f>
        <v>2.5</v>
      </c>
      <c r="F1622" s="11">
        <f t="shared" si="78"/>
        <v>-24000</v>
      </c>
      <c r="G1622" s="11">
        <f t="shared" si="79"/>
        <v>215200</v>
      </c>
      <c r="H1622" s="11">
        <f t="shared" si="80"/>
        <v>-9600</v>
      </c>
    </row>
    <row r="1623" spans="1:8">
      <c r="A1623" s="6" t="s">
        <v>22</v>
      </c>
      <c r="B1623">
        <v>160000</v>
      </c>
      <c r="C1623">
        <v>811000</v>
      </c>
      <c r="D1623" s="8" t="str">
        <f>VLOOKUP(A1623,Лист2!A:E,5,0)</f>
        <v>малые</v>
      </c>
      <c r="E1623" s="10">
        <f>VLOOKUP(A1623,Лист2!A:E,4,0)</f>
        <v>13</v>
      </c>
      <c r="F1623" s="11">
        <f t="shared" si="78"/>
        <v>-651000</v>
      </c>
      <c r="G1623" s="11">
        <f t="shared" si="79"/>
        <v>12307.692307692309</v>
      </c>
      <c r="H1623" s="11">
        <f t="shared" si="80"/>
        <v>-50076.923076923078</v>
      </c>
    </row>
    <row r="1624" spans="1:8">
      <c r="A1624" s="6" t="s">
        <v>18</v>
      </c>
      <c r="B1624">
        <v>21000</v>
      </c>
      <c r="C1624">
        <v>21000</v>
      </c>
      <c r="D1624" s="8" t="str">
        <f>VLOOKUP(A1624,Лист2!A:E,5,0)</f>
        <v>малые</v>
      </c>
      <c r="E1624" s="10">
        <f>VLOOKUP(A1624,Лист2!A:E,4,0)</f>
        <v>2.5</v>
      </c>
      <c r="F1624" s="11">
        <f t="shared" si="78"/>
        <v>0</v>
      </c>
      <c r="G1624" s="11">
        <f t="shared" si="79"/>
        <v>8400</v>
      </c>
      <c r="H1624" s="11">
        <f t="shared" si="80"/>
        <v>0</v>
      </c>
    </row>
    <row r="1625" spans="1:8">
      <c r="A1625" s="6" t="s">
        <v>18</v>
      </c>
      <c r="B1625">
        <v>23000000</v>
      </c>
      <c r="C1625">
        <v>31215000</v>
      </c>
      <c r="D1625" s="8" t="str">
        <f>VLOOKUP(A1625,Лист2!A:E,5,0)</f>
        <v>малые</v>
      </c>
      <c r="E1625" s="10">
        <f>VLOOKUP(A1625,Лист2!A:E,4,0)</f>
        <v>2.5</v>
      </c>
      <c r="F1625" s="11">
        <f t="shared" si="78"/>
        <v>-8215000</v>
      </c>
      <c r="G1625" s="11">
        <f t="shared" si="79"/>
        <v>9200000</v>
      </c>
      <c r="H1625" s="11">
        <f t="shared" si="80"/>
        <v>-3286000</v>
      </c>
    </row>
    <row r="1626" spans="1:8">
      <c r="A1626" s="6" t="s">
        <v>23</v>
      </c>
      <c r="B1626">
        <v>3226282000</v>
      </c>
      <c r="C1626">
        <v>3029121000</v>
      </c>
      <c r="D1626" s="8" t="str">
        <f>VLOOKUP(A1626,Лист2!A:E,5,0)</f>
        <v>средние</v>
      </c>
      <c r="E1626" s="10">
        <f>VLOOKUP(A1626,Лист2!A:E,4,0)</f>
        <v>75.5</v>
      </c>
      <c r="F1626" s="11">
        <f t="shared" si="78"/>
        <v>197161000</v>
      </c>
      <c r="G1626" s="11">
        <f t="shared" si="79"/>
        <v>42732211.920529798</v>
      </c>
      <c r="H1626" s="11">
        <f t="shared" si="80"/>
        <v>2611403.9735099338</v>
      </c>
    </row>
    <row r="1627" spans="1:8">
      <c r="A1627" s="6" t="s">
        <v>18</v>
      </c>
      <c r="B1627">
        <v>23807000</v>
      </c>
      <c r="C1627">
        <v>13420000</v>
      </c>
      <c r="D1627" s="8" t="str">
        <f>VLOOKUP(A1627,Лист2!A:E,5,0)</f>
        <v>малые</v>
      </c>
      <c r="E1627" s="10">
        <f>VLOOKUP(A1627,Лист2!A:E,4,0)</f>
        <v>2.5</v>
      </c>
      <c r="F1627" s="11">
        <f t="shared" si="78"/>
        <v>10387000</v>
      </c>
      <c r="G1627" s="11">
        <f t="shared" si="79"/>
        <v>9522800</v>
      </c>
      <c r="H1627" s="11">
        <f t="shared" si="80"/>
        <v>4154800</v>
      </c>
    </row>
    <row r="1628" spans="1:8">
      <c r="A1628" s="6" t="s">
        <v>18</v>
      </c>
      <c r="B1628">
        <v>1503000</v>
      </c>
      <c r="C1628">
        <v>1299000</v>
      </c>
      <c r="D1628" s="8" t="str">
        <f>VLOOKUP(A1628,Лист2!A:E,5,0)</f>
        <v>малые</v>
      </c>
      <c r="E1628" s="10">
        <f>VLOOKUP(A1628,Лист2!A:E,4,0)</f>
        <v>2.5</v>
      </c>
      <c r="F1628" s="11">
        <f t="shared" si="78"/>
        <v>204000</v>
      </c>
      <c r="G1628" s="11">
        <f t="shared" si="79"/>
        <v>601200</v>
      </c>
      <c r="H1628" s="11">
        <f t="shared" si="80"/>
        <v>81600</v>
      </c>
    </row>
    <row r="1629" spans="1:8">
      <c r="A1629" s="6" t="s">
        <v>18</v>
      </c>
      <c r="B1629">
        <v>2369000</v>
      </c>
      <c r="C1629">
        <v>2273000</v>
      </c>
      <c r="D1629" s="8" t="str">
        <f>VLOOKUP(A1629,Лист2!A:E,5,0)</f>
        <v>малые</v>
      </c>
      <c r="E1629" s="10">
        <f>VLOOKUP(A1629,Лист2!A:E,4,0)</f>
        <v>2.5</v>
      </c>
      <c r="F1629" s="11">
        <f t="shared" si="78"/>
        <v>96000</v>
      </c>
      <c r="G1629" s="11">
        <f t="shared" si="79"/>
        <v>947600</v>
      </c>
      <c r="H1629" s="11">
        <f t="shared" si="80"/>
        <v>38400</v>
      </c>
    </row>
    <row r="1630" spans="1:8">
      <c r="A1630" s="6" t="s">
        <v>23</v>
      </c>
      <c r="B1630">
        <v>8061000</v>
      </c>
      <c r="C1630">
        <v>7663000</v>
      </c>
      <c r="D1630" s="8" t="str">
        <f>VLOOKUP(A1630,Лист2!A:E,5,0)</f>
        <v>средние</v>
      </c>
      <c r="E1630" s="10">
        <f>VLOOKUP(A1630,Лист2!A:E,4,0)</f>
        <v>75.5</v>
      </c>
      <c r="F1630" s="11">
        <f t="shared" si="78"/>
        <v>398000</v>
      </c>
      <c r="G1630" s="11">
        <f t="shared" si="79"/>
        <v>106768.21192052981</v>
      </c>
      <c r="H1630" s="11">
        <f t="shared" si="80"/>
        <v>5271.5231788079473</v>
      </c>
    </row>
    <row r="1631" spans="1:8">
      <c r="A1631" s="6" t="s">
        <v>77</v>
      </c>
      <c r="B1631">
        <v>263699000</v>
      </c>
      <c r="C1631">
        <v>255008000</v>
      </c>
      <c r="D1631" s="8" t="str">
        <f>VLOOKUP(A1631,Лист2!A:E,5,0)</f>
        <v>малые</v>
      </c>
      <c r="E1631" s="10">
        <f>VLOOKUP(A1631,Лист2!A:E,4,0)</f>
        <v>8</v>
      </c>
      <c r="F1631" s="11">
        <f t="shared" si="78"/>
        <v>8691000</v>
      </c>
      <c r="G1631" s="11">
        <f t="shared" si="79"/>
        <v>32962375</v>
      </c>
      <c r="H1631" s="11">
        <f t="shared" si="80"/>
        <v>1086375</v>
      </c>
    </row>
    <row r="1632" spans="1:8">
      <c r="A1632" s="6" t="s">
        <v>18</v>
      </c>
      <c r="B1632">
        <v>226000</v>
      </c>
      <c r="C1632">
        <v>4000</v>
      </c>
      <c r="D1632" s="8" t="str">
        <f>VLOOKUP(A1632,Лист2!A:E,5,0)</f>
        <v>малые</v>
      </c>
      <c r="E1632" s="10">
        <f>VLOOKUP(A1632,Лист2!A:E,4,0)</f>
        <v>2.5</v>
      </c>
      <c r="F1632" s="11">
        <f t="shared" si="78"/>
        <v>222000</v>
      </c>
      <c r="G1632" s="11">
        <f t="shared" si="79"/>
        <v>90400</v>
      </c>
      <c r="H1632" s="11">
        <f t="shared" si="80"/>
        <v>88800</v>
      </c>
    </row>
    <row r="1633" spans="1:8">
      <c r="A1633" s="6" t="s">
        <v>18</v>
      </c>
      <c r="B1633">
        <v>365000</v>
      </c>
      <c r="C1633">
        <v>410000</v>
      </c>
      <c r="D1633" s="8" t="str">
        <f>VLOOKUP(A1633,Лист2!A:E,5,0)</f>
        <v>малые</v>
      </c>
      <c r="E1633" s="10">
        <f>VLOOKUP(A1633,Лист2!A:E,4,0)</f>
        <v>2.5</v>
      </c>
      <c r="F1633" s="11">
        <f t="shared" si="78"/>
        <v>-45000</v>
      </c>
      <c r="G1633" s="11">
        <f t="shared" si="79"/>
        <v>146000</v>
      </c>
      <c r="H1633" s="11">
        <f t="shared" si="80"/>
        <v>-18000</v>
      </c>
    </row>
    <row r="1634" spans="1:8">
      <c r="A1634" s="6" t="s">
        <v>18</v>
      </c>
      <c r="B1634">
        <v>1342000</v>
      </c>
      <c r="C1634">
        <v>1293000</v>
      </c>
      <c r="D1634" s="8" t="str">
        <f>VLOOKUP(A1634,Лист2!A:E,5,0)</f>
        <v>малые</v>
      </c>
      <c r="E1634" s="10">
        <f>VLOOKUP(A1634,Лист2!A:E,4,0)</f>
        <v>2.5</v>
      </c>
      <c r="F1634" s="11">
        <f t="shared" si="78"/>
        <v>49000</v>
      </c>
      <c r="G1634" s="11">
        <f t="shared" si="79"/>
        <v>536800</v>
      </c>
      <c r="H1634" s="11">
        <f t="shared" si="80"/>
        <v>19600</v>
      </c>
    </row>
    <row r="1635" spans="1:8">
      <c r="A1635" s="6" t="s">
        <v>18</v>
      </c>
      <c r="B1635">
        <v>370000</v>
      </c>
      <c r="C1635">
        <v>43000</v>
      </c>
      <c r="D1635" s="8" t="str">
        <f>VLOOKUP(A1635,Лист2!A:E,5,0)</f>
        <v>малые</v>
      </c>
      <c r="E1635" s="10">
        <f>VLOOKUP(A1635,Лист2!A:E,4,0)</f>
        <v>2.5</v>
      </c>
      <c r="F1635" s="11">
        <f t="shared" si="78"/>
        <v>327000</v>
      </c>
      <c r="G1635" s="11">
        <f t="shared" si="79"/>
        <v>148000</v>
      </c>
      <c r="H1635" s="11">
        <f t="shared" si="80"/>
        <v>130800</v>
      </c>
    </row>
    <row r="1636" spans="1:8">
      <c r="A1636" s="6" t="s">
        <v>18</v>
      </c>
      <c r="B1636">
        <v>3209000</v>
      </c>
      <c r="C1636">
        <v>2846000</v>
      </c>
      <c r="D1636" s="8" t="str">
        <f>VLOOKUP(A1636,Лист2!A:E,5,0)</f>
        <v>малые</v>
      </c>
      <c r="E1636" s="10">
        <f>VLOOKUP(A1636,Лист2!A:E,4,0)</f>
        <v>2.5</v>
      </c>
      <c r="F1636" s="11">
        <f t="shared" si="78"/>
        <v>363000</v>
      </c>
      <c r="G1636" s="11">
        <f t="shared" si="79"/>
        <v>1283600</v>
      </c>
      <c r="H1636" s="11">
        <f t="shared" si="80"/>
        <v>145200</v>
      </c>
    </row>
    <row r="1637" spans="1:8">
      <c r="A1637" s="6" t="s">
        <v>18</v>
      </c>
      <c r="B1637">
        <v>3668000</v>
      </c>
      <c r="C1637">
        <v>3757000</v>
      </c>
      <c r="D1637" s="8" t="str">
        <f>VLOOKUP(A1637,Лист2!A:E,5,0)</f>
        <v>малые</v>
      </c>
      <c r="E1637" s="10">
        <f>VLOOKUP(A1637,Лист2!A:E,4,0)</f>
        <v>2.5</v>
      </c>
      <c r="F1637" s="11">
        <f t="shared" si="78"/>
        <v>-89000</v>
      </c>
      <c r="G1637" s="11">
        <f t="shared" si="79"/>
        <v>1467200</v>
      </c>
      <c r="H1637" s="11">
        <f t="shared" si="80"/>
        <v>-35600</v>
      </c>
    </row>
    <row r="1638" spans="1:8">
      <c r="A1638" s="6" t="s">
        <v>18</v>
      </c>
      <c r="B1638">
        <v>1585000</v>
      </c>
      <c r="C1638">
        <v>1564000</v>
      </c>
      <c r="D1638" s="8" t="str">
        <f>VLOOKUP(A1638,Лист2!A:E,5,0)</f>
        <v>малые</v>
      </c>
      <c r="E1638" s="10">
        <f>VLOOKUP(A1638,Лист2!A:E,4,0)</f>
        <v>2.5</v>
      </c>
      <c r="F1638" s="11">
        <f t="shared" si="78"/>
        <v>21000</v>
      </c>
      <c r="G1638" s="11">
        <f t="shared" si="79"/>
        <v>634000</v>
      </c>
      <c r="H1638" s="11">
        <f t="shared" si="80"/>
        <v>8400</v>
      </c>
    </row>
    <row r="1639" spans="1:8">
      <c r="A1639" s="6" t="s">
        <v>18</v>
      </c>
      <c r="B1639">
        <v>1241000</v>
      </c>
      <c r="C1639">
        <v>1240000</v>
      </c>
      <c r="D1639" s="8" t="str">
        <f>VLOOKUP(A1639,Лист2!A:E,5,0)</f>
        <v>малые</v>
      </c>
      <c r="E1639" s="10">
        <f>VLOOKUP(A1639,Лист2!A:E,4,0)</f>
        <v>2.5</v>
      </c>
      <c r="F1639" s="11">
        <f t="shared" si="78"/>
        <v>1000</v>
      </c>
      <c r="G1639" s="11">
        <f t="shared" si="79"/>
        <v>496400</v>
      </c>
      <c r="H1639" s="11">
        <f t="shared" si="80"/>
        <v>400</v>
      </c>
    </row>
    <row r="1640" spans="1:8">
      <c r="A1640" s="6" t="s">
        <v>18</v>
      </c>
      <c r="B1640">
        <v>624000</v>
      </c>
      <c r="C1640">
        <v>789000</v>
      </c>
      <c r="D1640" s="8" t="str">
        <f>VLOOKUP(A1640,Лист2!A:E,5,0)</f>
        <v>малые</v>
      </c>
      <c r="E1640" s="10">
        <f>VLOOKUP(A1640,Лист2!A:E,4,0)</f>
        <v>2.5</v>
      </c>
      <c r="F1640" s="11">
        <f t="shared" si="78"/>
        <v>-165000</v>
      </c>
      <c r="G1640" s="11">
        <f t="shared" si="79"/>
        <v>249600</v>
      </c>
      <c r="H1640" s="11">
        <f t="shared" si="80"/>
        <v>-66000</v>
      </c>
    </row>
    <row r="1641" spans="1:8">
      <c r="A1641" s="6" t="s">
        <v>18</v>
      </c>
      <c r="B1641">
        <v>1144000</v>
      </c>
      <c r="C1641">
        <v>1133000</v>
      </c>
      <c r="D1641" s="8" t="str">
        <f>VLOOKUP(A1641,Лист2!A:E,5,0)</f>
        <v>малые</v>
      </c>
      <c r="E1641" s="10">
        <f>VLOOKUP(A1641,Лист2!A:E,4,0)</f>
        <v>2.5</v>
      </c>
      <c r="F1641" s="11">
        <f t="shared" si="78"/>
        <v>11000</v>
      </c>
      <c r="G1641" s="11">
        <f t="shared" si="79"/>
        <v>457600</v>
      </c>
      <c r="H1641" s="11">
        <f t="shared" si="80"/>
        <v>4400</v>
      </c>
    </row>
    <row r="1642" spans="1:8">
      <c r="A1642" s="6" t="s">
        <v>18</v>
      </c>
      <c r="B1642">
        <v>1250000</v>
      </c>
      <c r="C1642">
        <v>132000</v>
      </c>
      <c r="D1642" s="8" t="str">
        <f>VLOOKUP(A1642,Лист2!A:E,5,0)</f>
        <v>малые</v>
      </c>
      <c r="E1642" s="10">
        <f>VLOOKUP(A1642,Лист2!A:E,4,0)</f>
        <v>2.5</v>
      </c>
      <c r="F1642" s="11">
        <f t="shared" si="78"/>
        <v>1118000</v>
      </c>
      <c r="G1642" s="11">
        <f t="shared" si="79"/>
        <v>500000</v>
      </c>
      <c r="H1642" s="11">
        <f t="shared" si="80"/>
        <v>447200</v>
      </c>
    </row>
    <row r="1643" spans="1:8">
      <c r="A1643" s="6" t="s">
        <v>18</v>
      </c>
      <c r="B1643">
        <v>1221000</v>
      </c>
      <c r="C1643">
        <v>1131000</v>
      </c>
      <c r="D1643" s="8" t="str">
        <f>VLOOKUP(A1643,Лист2!A:E,5,0)</f>
        <v>малые</v>
      </c>
      <c r="E1643" s="10">
        <f>VLOOKUP(A1643,Лист2!A:E,4,0)</f>
        <v>2.5</v>
      </c>
      <c r="F1643" s="11">
        <f t="shared" si="78"/>
        <v>90000</v>
      </c>
      <c r="G1643" s="11">
        <f t="shared" si="79"/>
        <v>488400</v>
      </c>
      <c r="H1643" s="11">
        <f t="shared" si="80"/>
        <v>36000</v>
      </c>
    </row>
    <row r="1644" spans="1:8">
      <c r="A1644" s="6" t="s">
        <v>18</v>
      </c>
      <c r="B1644">
        <v>398000</v>
      </c>
      <c r="C1644">
        <v>451000</v>
      </c>
      <c r="D1644" s="8" t="str">
        <f>VLOOKUP(A1644,Лист2!A:E,5,0)</f>
        <v>малые</v>
      </c>
      <c r="E1644" s="10">
        <f>VLOOKUP(A1644,Лист2!A:E,4,0)</f>
        <v>2.5</v>
      </c>
      <c r="F1644" s="11">
        <f t="shared" si="78"/>
        <v>-53000</v>
      </c>
      <c r="G1644" s="11">
        <f t="shared" si="79"/>
        <v>159200</v>
      </c>
      <c r="H1644" s="11">
        <f t="shared" si="80"/>
        <v>-21200</v>
      </c>
    </row>
    <row r="1645" spans="1:8">
      <c r="A1645" s="6" t="s">
        <v>18</v>
      </c>
      <c r="B1645">
        <v>20407000</v>
      </c>
      <c r="C1645">
        <v>17939000</v>
      </c>
      <c r="D1645" s="8" t="str">
        <f>VLOOKUP(A1645,Лист2!A:E,5,0)</f>
        <v>малые</v>
      </c>
      <c r="E1645" s="10">
        <f>VLOOKUP(A1645,Лист2!A:E,4,0)</f>
        <v>2.5</v>
      </c>
      <c r="F1645" s="11">
        <f t="shared" si="78"/>
        <v>2468000</v>
      </c>
      <c r="G1645" s="11">
        <f t="shared" si="79"/>
        <v>8162800</v>
      </c>
      <c r="H1645" s="11">
        <f t="shared" si="80"/>
        <v>987200</v>
      </c>
    </row>
    <row r="1646" spans="1:8">
      <c r="A1646" s="6" t="s">
        <v>18</v>
      </c>
      <c r="B1646">
        <v>1424000</v>
      </c>
      <c r="C1646">
        <v>1420000</v>
      </c>
      <c r="D1646" s="8" t="str">
        <f>VLOOKUP(A1646,Лист2!A:E,5,0)</f>
        <v>малые</v>
      </c>
      <c r="E1646" s="10">
        <f>VLOOKUP(A1646,Лист2!A:E,4,0)</f>
        <v>2.5</v>
      </c>
      <c r="F1646" s="11">
        <f t="shared" si="78"/>
        <v>4000</v>
      </c>
      <c r="G1646" s="11">
        <f t="shared" si="79"/>
        <v>569600</v>
      </c>
      <c r="H1646" s="11">
        <f t="shared" si="80"/>
        <v>1600</v>
      </c>
    </row>
    <row r="1647" spans="1:8">
      <c r="A1647" s="6" t="s">
        <v>18</v>
      </c>
      <c r="B1647">
        <v>1745000</v>
      </c>
      <c r="C1647">
        <v>1746000</v>
      </c>
      <c r="D1647" s="8" t="str">
        <f>VLOOKUP(A1647,Лист2!A:E,5,0)</f>
        <v>малые</v>
      </c>
      <c r="E1647" s="10">
        <f>VLOOKUP(A1647,Лист2!A:E,4,0)</f>
        <v>2.5</v>
      </c>
      <c r="F1647" s="11">
        <f t="shared" si="78"/>
        <v>-1000</v>
      </c>
      <c r="G1647" s="11">
        <f t="shared" si="79"/>
        <v>698000</v>
      </c>
      <c r="H1647" s="11">
        <f t="shared" si="80"/>
        <v>-400</v>
      </c>
    </row>
    <row r="1648" spans="1:8">
      <c r="A1648" s="6" t="s">
        <v>18</v>
      </c>
      <c r="B1648">
        <v>23271000</v>
      </c>
      <c r="C1648">
        <v>12868000</v>
      </c>
      <c r="D1648" s="8" t="str">
        <f>VLOOKUP(A1648,Лист2!A:E,5,0)</f>
        <v>малые</v>
      </c>
      <c r="E1648" s="10">
        <f>VLOOKUP(A1648,Лист2!A:E,4,0)</f>
        <v>2.5</v>
      </c>
      <c r="F1648" s="11">
        <f t="shared" si="78"/>
        <v>10403000</v>
      </c>
      <c r="G1648" s="11">
        <f t="shared" si="79"/>
        <v>9308400</v>
      </c>
      <c r="H1648" s="11">
        <f t="shared" si="80"/>
        <v>4161200</v>
      </c>
    </row>
    <row r="1649" spans="1:8">
      <c r="A1649" s="6" t="s">
        <v>18</v>
      </c>
      <c r="B1649">
        <v>2593000</v>
      </c>
      <c r="C1649">
        <v>2278000</v>
      </c>
      <c r="D1649" s="8" t="str">
        <f>VLOOKUP(A1649,Лист2!A:E,5,0)</f>
        <v>малые</v>
      </c>
      <c r="E1649" s="10">
        <f>VLOOKUP(A1649,Лист2!A:E,4,0)</f>
        <v>2.5</v>
      </c>
      <c r="F1649" s="11">
        <f t="shared" si="78"/>
        <v>315000</v>
      </c>
      <c r="G1649" s="11">
        <f t="shared" si="79"/>
        <v>1037200</v>
      </c>
      <c r="H1649" s="11">
        <f t="shared" si="80"/>
        <v>126000</v>
      </c>
    </row>
    <row r="1650" spans="1:8">
      <c r="A1650" s="6" t="s">
        <v>77</v>
      </c>
      <c r="B1650">
        <v>29187000</v>
      </c>
      <c r="C1650">
        <v>23176000</v>
      </c>
      <c r="D1650" s="8" t="str">
        <f>VLOOKUP(A1650,Лист2!A:E,5,0)</f>
        <v>малые</v>
      </c>
      <c r="E1650" s="10">
        <f>VLOOKUP(A1650,Лист2!A:E,4,0)</f>
        <v>8</v>
      </c>
      <c r="F1650" s="11">
        <f t="shared" si="78"/>
        <v>6011000</v>
      </c>
      <c r="G1650" s="11">
        <f t="shared" si="79"/>
        <v>3648375</v>
      </c>
      <c r="H1650" s="11">
        <f t="shared" si="80"/>
        <v>751375</v>
      </c>
    </row>
    <row r="1651" spans="1:8">
      <c r="A1651" s="6" t="s">
        <v>18</v>
      </c>
      <c r="B1651">
        <v>2747000</v>
      </c>
      <c r="C1651">
        <v>2727000</v>
      </c>
      <c r="D1651" s="8" t="str">
        <f>VLOOKUP(A1651,Лист2!A:E,5,0)</f>
        <v>малые</v>
      </c>
      <c r="E1651" s="10">
        <f>VLOOKUP(A1651,Лист2!A:E,4,0)</f>
        <v>2.5</v>
      </c>
      <c r="F1651" s="11">
        <f t="shared" si="78"/>
        <v>20000</v>
      </c>
      <c r="G1651" s="11">
        <f t="shared" si="79"/>
        <v>1098800</v>
      </c>
      <c r="H1651" s="11">
        <f t="shared" si="80"/>
        <v>8000</v>
      </c>
    </row>
    <row r="1652" spans="1:8">
      <c r="A1652" s="6" t="s">
        <v>18</v>
      </c>
      <c r="B1652">
        <v>5775000</v>
      </c>
      <c r="C1652">
        <v>5598000</v>
      </c>
      <c r="D1652" s="8" t="str">
        <f>VLOOKUP(A1652,Лист2!A:E,5,0)</f>
        <v>малые</v>
      </c>
      <c r="E1652" s="10">
        <f>VLOOKUP(A1652,Лист2!A:E,4,0)</f>
        <v>2.5</v>
      </c>
      <c r="F1652" s="11">
        <f t="shared" si="78"/>
        <v>177000</v>
      </c>
      <c r="G1652" s="11">
        <f t="shared" si="79"/>
        <v>2310000</v>
      </c>
      <c r="H1652" s="11">
        <f t="shared" si="80"/>
        <v>70800</v>
      </c>
    </row>
    <row r="1653" spans="1:8">
      <c r="A1653" s="6" t="s">
        <v>18</v>
      </c>
      <c r="B1653">
        <v>9176000</v>
      </c>
      <c r="C1653">
        <v>12611000</v>
      </c>
      <c r="D1653" s="8" t="str">
        <f>VLOOKUP(A1653,Лист2!A:E,5,0)</f>
        <v>малые</v>
      </c>
      <c r="E1653" s="10">
        <f>VLOOKUP(A1653,Лист2!A:E,4,0)</f>
        <v>2.5</v>
      </c>
      <c r="F1653" s="11">
        <f t="shared" si="78"/>
        <v>-3435000</v>
      </c>
      <c r="G1653" s="11">
        <f t="shared" si="79"/>
        <v>3670400</v>
      </c>
      <c r="H1653" s="11">
        <f t="shared" si="80"/>
        <v>-1374000</v>
      </c>
    </row>
    <row r="1654" spans="1:8">
      <c r="A1654" s="6" t="s">
        <v>18</v>
      </c>
      <c r="B1654">
        <v>604000</v>
      </c>
      <c r="C1654">
        <v>987000</v>
      </c>
      <c r="D1654" s="8" t="str">
        <f>VLOOKUP(A1654,Лист2!A:E,5,0)</f>
        <v>малые</v>
      </c>
      <c r="E1654" s="10">
        <f>VLOOKUP(A1654,Лист2!A:E,4,0)</f>
        <v>2.5</v>
      </c>
      <c r="F1654" s="11">
        <f t="shared" si="78"/>
        <v>-383000</v>
      </c>
      <c r="G1654" s="11">
        <f t="shared" si="79"/>
        <v>241600</v>
      </c>
      <c r="H1654" s="11">
        <f t="shared" si="80"/>
        <v>-153200</v>
      </c>
    </row>
    <row r="1655" spans="1:8">
      <c r="A1655" s="6" t="s">
        <v>18</v>
      </c>
      <c r="B1655">
        <v>118984000</v>
      </c>
      <c r="C1655">
        <v>38623000</v>
      </c>
      <c r="D1655" s="8" t="str">
        <f>VLOOKUP(A1655,Лист2!A:E,5,0)</f>
        <v>малые</v>
      </c>
      <c r="E1655" s="10">
        <f>VLOOKUP(A1655,Лист2!A:E,4,0)</f>
        <v>2.5</v>
      </c>
      <c r="F1655" s="11">
        <f t="shared" si="78"/>
        <v>80361000</v>
      </c>
      <c r="G1655" s="11">
        <f t="shared" si="79"/>
        <v>47593600</v>
      </c>
      <c r="H1655" s="11">
        <f t="shared" si="80"/>
        <v>32144400</v>
      </c>
    </row>
    <row r="1656" spans="1:8">
      <c r="A1656" s="6" t="s">
        <v>18</v>
      </c>
      <c r="B1656">
        <v>1031000</v>
      </c>
      <c r="C1656">
        <v>934000</v>
      </c>
      <c r="D1656" s="8" t="str">
        <f>VLOOKUP(A1656,Лист2!A:E,5,0)</f>
        <v>малые</v>
      </c>
      <c r="E1656" s="10">
        <f>VLOOKUP(A1656,Лист2!A:E,4,0)</f>
        <v>2.5</v>
      </c>
      <c r="F1656" s="11">
        <f t="shared" si="78"/>
        <v>97000</v>
      </c>
      <c r="G1656" s="11">
        <f t="shared" si="79"/>
        <v>412400</v>
      </c>
      <c r="H1656" s="11">
        <f t="shared" si="80"/>
        <v>38800</v>
      </c>
    </row>
    <row r="1657" spans="1:8">
      <c r="A1657" s="6" t="s">
        <v>18</v>
      </c>
      <c r="B1657">
        <v>8887000</v>
      </c>
      <c r="C1657">
        <v>8971000</v>
      </c>
      <c r="D1657" s="8" t="str">
        <f>VLOOKUP(A1657,Лист2!A:E,5,0)</f>
        <v>малые</v>
      </c>
      <c r="E1657" s="10">
        <f>VLOOKUP(A1657,Лист2!A:E,4,0)</f>
        <v>2.5</v>
      </c>
      <c r="F1657" s="11">
        <f t="shared" si="78"/>
        <v>-84000</v>
      </c>
      <c r="G1657" s="11">
        <f t="shared" si="79"/>
        <v>3554800</v>
      </c>
      <c r="H1657" s="11">
        <f t="shared" si="80"/>
        <v>-33600</v>
      </c>
    </row>
    <row r="1658" spans="1:8">
      <c r="A1658" s="6" t="s">
        <v>18</v>
      </c>
      <c r="B1658">
        <v>50000</v>
      </c>
      <c r="C1658">
        <v>59000</v>
      </c>
      <c r="D1658" s="8" t="str">
        <f>VLOOKUP(A1658,Лист2!A:E,5,0)</f>
        <v>малые</v>
      </c>
      <c r="E1658" s="10">
        <f>VLOOKUP(A1658,Лист2!A:E,4,0)</f>
        <v>2.5</v>
      </c>
      <c r="F1658" s="11">
        <f t="shared" si="78"/>
        <v>-9000</v>
      </c>
      <c r="G1658" s="11">
        <f t="shared" si="79"/>
        <v>20000</v>
      </c>
      <c r="H1658" s="11">
        <f t="shared" si="80"/>
        <v>-3600</v>
      </c>
    </row>
    <row r="1659" spans="1:8">
      <c r="A1659" s="6" t="s">
        <v>77</v>
      </c>
      <c r="B1659">
        <v>31765000</v>
      </c>
      <c r="C1659">
        <v>34134000</v>
      </c>
      <c r="D1659" s="8" t="str">
        <f>VLOOKUP(A1659,Лист2!A:E,5,0)</f>
        <v>малые</v>
      </c>
      <c r="E1659" s="10">
        <f>VLOOKUP(A1659,Лист2!A:E,4,0)</f>
        <v>8</v>
      </c>
      <c r="F1659" s="11">
        <f t="shared" si="78"/>
        <v>-2369000</v>
      </c>
      <c r="G1659" s="11">
        <f t="shared" si="79"/>
        <v>3970625</v>
      </c>
      <c r="H1659" s="11">
        <f t="shared" si="80"/>
        <v>-296125</v>
      </c>
    </row>
    <row r="1660" spans="1:8">
      <c r="A1660" s="6" t="s">
        <v>18</v>
      </c>
      <c r="B1660">
        <v>561000</v>
      </c>
      <c r="C1660">
        <v>628000</v>
      </c>
      <c r="D1660" s="8" t="str">
        <f>VLOOKUP(A1660,Лист2!A:E,5,0)</f>
        <v>малые</v>
      </c>
      <c r="E1660" s="10">
        <f>VLOOKUP(A1660,Лист2!A:E,4,0)</f>
        <v>2.5</v>
      </c>
      <c r="F1660" s="11">
        <f t="shared" ref="F1660:F1720" si="81">B1660-C1660</f>
        <v>-67000</v>
      </c>
      <c r="G1660" s="11">
        <f t="shared" ref="G1660:G1720" si="82">B1660/E1660</f>
        <v>224400</v>
      </c>
      <c r="H1660" s="11">
        <f t="shared" ref="H1660:H1720" si="83">F1660/E1660</f>
        <v>-26800</v>
      </c>
    </row>
    <row r="1661" spans="1:8">
      <c r="A1661" s="6" t="s">
        <v>18</v>
      </c>
      <c r="B1661">
        <v>764000</v>
      </c>
      <c r="C1661">
        <v>764000</v>
      </c>
      <c r="D1661" s="8" t="str">
        <f>VLOOKUP(A1661,Лист2!A:E,5,0)</f>
        <v>малые</v>
      </c>
      <c r="E1661" s="10">
        <f>VLOOKUP(A1661,Лист2!A:E,4,0)</f>
        <v>2.5</v>
      </c>
      <c r="F1661" s="11">
        <f t="shared" si="81"/>
        <v>0</v>
      </c>
      <c r="G1661" s="11">
        <f t="shared" si="82"/>
        <v>305600</v>
      </c>
      <c r="H1661" s="11">
        <f t="shared" si="83"/>
        <v>0</v>
      </c>
    </row>
    <row r="1662" spans="1:8">
      <c r="A1662" s="6" t="s">
        <v>18</v>
      </c>
      <c r="B1662">
        <v>5425000</v>
      </c>
      <c r="C1662">
        <v>5419000</v>
      </c>
      <c r="D1662" s="8" t="str">
        <f>VLOOKUP(A1662,Лист2!A:E,5,0)</f>
        <v>малые</v>
      </c>
      <c r="E1662" s="10">
        <f>VLOOKUP(A1662,Лист2!A:E,4,0)</f>
        <v>2.5</v>
      </c>
      <c r="F1662" s="11">
        <f t="shared" si="81"/>
        <v>6000</v>
      </c>
      <c r="G1662" s="11">
        <f t="shared" si="82"/>
        <v>2170000</v>
      </c>
      <c r="H1662" s="11">
        <f t="shared" si="83"/>
        <v>2400</v>
      </c>
    </row>
    <row r="1663" spans="1:8">
      <c r="A1663" s="6" t="s">
        <v>18</v>
      </c>
      <c r="B1663">
        <v>82308000</v>
      </c>
      <c r="C1663">
        <v>78395000</v>
      </c>
      <c r="D1663" s="8" t="str">
        <f>VLOOKUP(A1663,Лист2!A:E,5,0)</f>
        <v>малые</v>
      </c>
      <c r="E1663" s="10">
        <f>VLOOKUP(A1663,Лист2!A:E,4,0)</f>
        <v>2.5</v>
      </c>
      <c r="F1663" s="11">
        <f t="shared" si="81"/>
        <v>3913000</v>
      </c>
      <c r="G1663" s="11">
        <f t="shared" si="82"/>
        <v>32923200</v>
      </c>
      <c r="H1663" s="11">
        <f t="shared" si="83"/>
        <v>1565200</v>
      </c>
    </row>
    <row r="1664" spans="1:8">
      <c r="A1664" s="6" t="s">
        <v>18</v>
      </c>
      <c r="B1664">
        <v>12048000</v>
      </c>
      <c r="C1664">
        <v>12048000</v>
      </c>
      <c r="D1664" s="8" t="str">
        <f>VLOOKUP(A1664,Лист2!A:E,5,0)</f>
        <v>малые</v>
      </c>
      <c r="E1664" s="10">
        <f>VLOOKUP(A1664,Лист2!A:E,4,0)</f>
        <v>2.5</v>
      </c>
      <c r="F1664" s="11">
        <f t="shared" si="81"/>
        <v>0</v>
      </c>
      <c r="G1664" s="11">
        <f t="shared" si="82"/>
        <v>4819200</v>
      </c>
      <c r="H1664" s="11">
        <f t="shared" si="83"/>
        <v>0</v>
      </c>
    </row>
    <row r="1665" spans="1:8">
      <c r="A1665" s="6" t="s">
        <v>22</v>
      </c>
      <c r="B1665">
        <v>787000</v>
      </c>
      <c r="C1665">
        <v>2786000</v>
      </c>
      <c r="D1665" s="8" t="str">
        <f>VLOOKUP(A1665,Лист2!A:E,5,0)</f>
        <v>малые</v>
      </c>
      <c r="E1665" s="10">
        <f>VLOOKUP(A1665,Лист2!A:E,4,0)</f>
        <v>13</v>
      </c>
      <c r="F1665" s="11">
        <f t="shared" si="81"/>
        <v>-1999000</v>
      </c>
      <c r="G1665" s="11">
        <f t="shared" si="82"/>
        <v>60538.461538461539</v>
      </c>
      <c r="H1665" s="11">
        <f t="shared" si="83"/>
        <v>-153769.23076923078</v>
      </c>
    </row>
    <row r="1666" spans="1:8">
      <c r="A1666" s="6" t="s">
        <v>18</v>
      </c>
      <c r="B1666">
        <v>25905000</v>
      </c>
      <c r="C1666">
        <v>26371000</v>
      </c>
      <c r="D1666" s="8" t="str">
        <f>VLOOKUP(A1666,Лист2!A:E,5,0)</f>
        <v>малые</v>
      </c>
      <c r="E1666" s="10">
        <f>VLOOKUP(A1666,Лист2!A:E,4,0)</f>
        <v>2.5</v>
      </c>
      <c r="F1666" s="11">
        <f t="shared" si="81"/>
        <v>-466000</v>
      </c>
      <c r="G1666" s="11">
        <f t="shared" si="82"/>
        <v>10362000</v>
      </c>
      <c r="H1666" s="11">
        <f t="shared" si="83"/>
        <v>-186400</v>
      </c>
    </row>
    <row r="1667" spans="1:8">
      <c r="A1667" s="6" t="s">
        <v>22</v>
      </c>
      <c r="B1667">
        <v>5933000</v>
      </c>
      <c r="C1667">
        <v>6059000</v>
      </c>
      <c r="D1667" s="8" t="str">
        <f>VLOOKUP(A1667,Лист2!A:E,5,0)</f>
        <v>малые</v>
      </c>
      <c r="E1667" s="10">
        <f>VLOOKUP(A1667,Лист2!A:E,4,0)</f>
        <v>13</v>
      </c>
      <c r="F1667" s="11">
        <f t="shared" si="81"/>
        <v>-126000</v>
      </c>
      <c r="G1667" s="11">
        <f t="shared" si="82"/>
        <v>456384.61538461538</v>
      </c>
      <c r="H1667" s="11">
        <f t="shared" si="83"/>
        <v>-9692.3076923076915</v>
      </c>
    </row>
    <row r="1668" spans="1:8">
      <c r="A1668" s="6" t="s">
        <v>807</v>
      </c>
      <c r="B1668">
        <v>61367000</v>
      </c>
      <c r="C1668">
        <v>61661000</v>
      </c>
      <c r="D1668" s="8" t="str">
        <f>VLOOKUP(A1668,Лист2!A:E,5,0)</f>
        <v>средние</v>
      </c>
      <c r="E1668" s="10">
        <f>VLOOKUP(A1668,Лист2!A:E,4,0)</f>
        <v>175.5</v>
      </c>
      <c r="F1668" s="11">
        <f t="shared" si="81"/>
        <v>-294000</v>
      </c>
      <c r="G1668" s="11">
        <f t="shared" si="82"/>
        <v>349669.51566951565</v>
      </c>
      <c r="H1668" s="11">
        <f t="shared" si="83"/>
        <v>-1675.2136752136753</v>
      </c>
    </row>
    <row r="1669" spans="1:8">
      <c r="A1669" s="6" t="s">
        <v>18</v>
      </c>
      <c r="B1669">
        <v>1038000</v>
      </c>
      <c r="C1669">
        <v>1657000</v>
      </c>
      <c r="D1669" s="8" t="str">
        <f>VLOOKUP(A1669,Лист2!A:E,5,0)</f>
        <v>малые</v>
      </c>
      <c r="E1669" s="10">
        <f>VLOOKUP(A1669,Лист2!A:E,4,0)</f>
        <v>2.5</v>
      </c>
      <c r="F1669" s="11">
        <f t="shared" si="81"/>
        <v>-619000</v>
      </c>
      <c r="G1669" s="11">
        <f t="shared" si="82"/>
        <v>415200</v>
      </c>
      <c r="H1669" s="11">
        <f t="shared" si="83"/>
        <v>-247600</v>
      </c>
    </row>
    <row r="1670" spans="1:8">
      <c r="A1670" s="6" t="s">
        <v>23</v>
      </c>
      <c r="B1670">
        <v>25311000</v>
      </c>
      <c r="C1670">
        <v>25228000</v>
      </c>
      <c r="D1670" s="8" t="str">
        <f>VLOOKUP(A1670,Лист2!A:E,5,0)</f>
        <v>средние</v>
      </c>
      <c r="E1670" s="10">
        <f>VLOOKUP(A1670,Лист2!A:E,4,0)</f>
        <v>75.5</v>
      </c>
      <c r="F1670" s="11">
        <f t="shared" si="81"/>
        <v>83000</v>
      </c>
      <c r="G1670" s="11">
        <f t="shared" si="82"/>
        <v>335245.03311258281</v>
      </c>
      <c r="H1670" s="11">
        <f t="shared" si="83"/>
        <v>1099.3377483443708</v>
      </c>
    </row>
    <row r="1671" spans="1:8">
      <c r="A1671" s="6" t="s">
        <v>18</v>
      </c>
      <c r="B1671">
        <v>5070000</v>
      </c>
      <c r="C1671">
        <v>5510000</v>
      </c>
      <c r="D1671" s="8" t="str">
        <f>VLOOKUP(A1671,Лист2!A:E,5,0)</f>
        <v>малые</v>
      </c>
      <c r="E1671" s="10">
        <f>VLOOKUP(A1671,Лист2!A:E,4,0)</f>
        <v>2.5</v>
      </c>
      <c r="F1671" s="11">
        <f t="shared" si="81"/>
        <v>-440000</v>
      </c>
      <c r="G1671" s="11">
        <f t="shared" si="82"/>
        <v>2028000</v>
      </c>
      <c r="H1671" s="11">
        <f t="shared" si="83"/>
        <v>-176000</v>
      </c>
    </row>
    <row r="1672" spans="1:8">
      <c r="A1672" s="6" t="s">
        <v>18</v>
      </c>
      <c r="B1672">
        <v>3840000</v>
      </c>
      <c r="C1672">
        <v>3840000</v>
      </c>
      <c r="D1672" s="8" t="str">
        <f>VLOOKUP(A1672,Лист2!A:E,5,0)</f>
        <v>малые</v>
      </c>
      <c r="E1672" s="10">
        <f>VLOOKUP(A1672,Лист2!A:E,4,0)</f>
        <v>2.5</v>
      </c>
      <c r="F1672" s="11">
        <f t="shared" si="81"/>
        <v>0</v>
      </c>
      <c r="G1672" s="11">
        <f t="shared" si="82"/>
        <v>1536000</v>
      </c>
      <c r="H1672" s="11">
        <f t="shared" si="83"/>
        <v>0</v>
      </c>
    </row>
    <row r="1673" spans="1:8">
      <c r="A1673" s="6" t="s">
        <v>18</v>
      </c>
      <c r="B1673">
        <v>4185000</v>
      </c>
      <c r="C1673">
        <v>3606000</v>
      </c>
      <c r="D1673" s="8" t="str">
        <f>VLOOKUP(A1673,Лист2!A:E,5,0)</f>
        <v>малые</v>
      </c>
      <c r="E1673" s="10">
        <f>VLOOKUP(A1673,Лист2!A:E,4,0)</f>
        <v>2.5</v>
      </c>
      <c r="F1673" s="11">
        <f t="shared" si="81"/>
        <v>579000</v>
      </c>
      <c r="G1673" s="11">
        <f t="shared" si="82"/>
        <v>1674000</v>
      </c>
      <c r="H1673" s="11">
        <f t="shared" si="83"/>
        <v>231600</v>
      </c>
    </row>
    <row r="1674" spans="1:8">
      <c r="A1674" s="6" t="s">
        <v>22</v>
      </c>
      <c r="B1674">
        <v>1416000</v>
      </c>
      <c r="C1674">
        <v>1519000</v>
      </c>
      <c r="D1674" s="8" t="str">
        <f>VLOOKUP(A1674,Лист2!A:E,5,0)</f>
        <v>малые</v>
      </c>
      <c r="E1674" s="10">
        <f>VLOOKUP(A1674,Лист2!A:E,4,0)</f>
        <v>13</v>
      </c>
      <c r="F1674" s="11">
        <f t="shared" si="81"/>
        <v>-103000</v>
      </c>
      <c r="G1674" s="11">
        <f t="shared" si="82"/>
        <v>108923.07692307692</v>
      </c>
      <c r="H1674" s="11">
        <f t="shared" si="83"/>
        <v>-7923.0769230769229</v>
      </c>
    </row>
    <row r="1675" spans="1:8">
      <c r="A1675" s="6" t="s">
        <v>23</v>
      </c>
      <c r="B1675">
        <v>23834000</v>
      </c>
      <c r="C1675">
        <v>23717000</v>
      </c>
      <c r="D1675" s="8" t="str">
        <f>VLOOKUP(A1675,Лист2!A:E,5,0)</f>
        <v>средние</v>
      </c>
      <c r="E1675" s="10">
        <f>VLOOKUP(A1675,Лист2!A:E,4,0)</f>
        <v>75.5</v>
      </c>
      <c r="F1675" s="11">
        <f t="shared" si="81"/>
        <v>117000</v>
      </c>
      <c r="G1675" s="11">
        <f t="shared" si="82"/>
        <v>315682.11920529802</v>
      </c>
      <c r="H1675" s="11">
        <f t="shared" si="83"/>
        <v>1549.6688741721855</v>
      </c>
    </row>
    <row r="1676" spans="1:8">
      <c r="A1676" s="6" t="s">
        <v>23</v>
      </c>
      <c r="B1676">
        <v>29407000</v>
      </c>
      <c r="C1676">
        <v>28853000</v>
      </c>
      <c r="D1676" s="8" t="str">
        <f>VLOOKUP(A1676,Лист2!A:E,5,0)</f>
        <v>средние</v>
      </c>
      <c r="E1676" s="10">
        <f>VLOOKUP(A1676,Лист2!A:E,4,0)</f>
        <v>75.5</v>
      </c>
      <c r="F1676" s="11">
        <f t="shared" si="81"/>
        <v>554000</v>
      </c>
      <c r="G1676" s="11">
        <f t="shared" si="82"/>
        <v>389496.68874172185</v>
      </c>
      <c r="H1676" s="11">
        <f t="shared" si="83"/>
        <v>7337.7483443708607</v>
      </c>
    </row>
    <row r="1677" spans="1:8">
      <c r="A1677" s="6" t="s">
        <v>23</v>
      </c>
      <c r="B1677">
        <v>38447000</v>
      </c>
      <c r="C1677">
        <v>38389000</v>
      </c>
      <c r="D1677" s="8" t="str">
        <f>VLOOKUP(A1677,Лист2!A:E,5,0)</f>
        <v>средние</v>
      </c>
      <c r="E1677" s="10">
        <f>VLOOKUP(A1677,Лист2!A:E,4,0)</f>
        <v>75.5</v>
      </c>
      <c r="F1677" s="11">
        <f t="shared" si="81"/>
        <v>58000</v>
      </c>
      <c r="G1677" s="11">
        <f t="shared" si="82"/>
        <v>509231.78807947022</v>
      </c>
      <c r="H1677" s="11">
        <f t="shared" si="83"/>
        <v>768.21192052980132</v>
      </c>
    </row>
    <row r="1678" spans="1:8">
      <c r="A1678" s="6" t="s">
        <v>23</v>
      </c>
      <c r="B1678">
        <v>22798000</v>
      </c>
      <c r="C1678">
        <v>22374000</v>
      </c>
      <c r="D1678" s="8" t="str">
        <f>VLOOKUP(A1678,Лист2!A:E,5,0)</f>
        <v>средние</v>
      </c>
      <c r="E1678" s="10">
        <f>VLOOKUP(A1678,Лист2!A:E,4,0)</f>
        <v>75.5</v>
      </c>
      <c r="F1678" s="11">
        <f t="shared" si="81"/>
        <v>424000</v>
      </c>
      <c r="G1678" s="11">
        <f t="shared" si="82"/>
        <v>301960.26490066224</v>
      </c>
      <c r="H1678" s="11">
        <f t="shared" si="83"/>
        <v>5615.8940397350989</v>
      </c>
    </row>
    <row r="1679" spans="1:8">
      <c r="A1679" s="6" t="s">
        <v>23</v>
      </c>
      <c r="B1679">
        <v>19355000</v>
      </c>
      <c r="C1679">
        <v>17444000</v>
      </c>
      <c r="D1679" s="8" t="str">
        <f>VLOOKUP(A1679,Лист2!A:E,5,0)</f>
        <v>средние</v>
      </c>
      <c r="E1679" s="10">
        <f>VLOOKUP(A1679,Лист2!A:E,4,0)</f>
        <v>75.5</v>
      </c>
      <c r="F1679" s="11">
        <f t="shared" si="81"/>
        <v>1911000</v>
      </c>
      <c r="G1679" s="11">
        <f t="shared" si="82"/>
        <v>256357.61589403974</v>
      </c>
      <c r="H1679" s="11">
        <f t="shared" si="83"/>
        <v>25311.258278145695</v>
      </c>
    </row>
    <row r="1680" spans="1:8">
      <c r="A1680" s="6" t="s">
        <v>18</v>
      </c>
      <c r="B1680">
        <v>10400000</v>
      </c>
      <c r="C1680">
        <v>8102000</v>
      </c>
      <c r="D1680" s="8" t="str">
        <f>VLOOKUP(A1680,Лист2!A:E,5,0)</f>
        <v>малые</v>
      </c>
      <c r="E1680" s="10">
        <f>VLOOKUP(A1680,Лист2!A:E,4,0)</f>
        <v>2.5</v>
      </c>
      <c r="F1680" s="11">
        <f t="shared" si="81"/>
        <v>2298000</v>
      </c>
      <c r="G1680" s="11">
        <f t="shared" si="82"/>
        <v>4160000</v>
      </c>
      <c r="H1680" s="11">
        <f t="shared" si="83"/>
        <v>919200</v>
      </c>
    </row>
    <row r="1681" spans="1:8">
      <c r="A1681" s="6" t="s">
        <v>18</v>
      </c>
      <c r="B1681">
        <v>306000</v>
      </c>
      <c r="C1681">
        <v>92000</v>
      </c>
      <c r="D1681" s="8" t="str">
        <f>VLOOKUP(A1681,Лист2!A:E,5,0)</f>
        <v>малые</v>
      </c>
      <c r="E1681" s="10">
        <f>VLOOKUP(A1681,Лист2!A:E,4,0)</f>
        <v>2.5</v>
      </c>
      <c r="F1681" s="11">
        <f t="shared" si="81"/>
        <v>214000</v>
      </c>
      <c r="G1681" s="11">
        <f t="shared" si="82"/>
        <v>122400</v>
      </c>
      <c r="H1681" s="11">
        <f t="shared" si="83"/>
        <v>85600</v>
      </c>
    </row>
    <row r="1682" spans="1:8">
      <c r="A1682" s="6" t="s">
        <v>77</v>
      </c>
      <c r="B1682">
        <v>387000</v>
      </c>
      <c r="C1682">
        <v>543000</v>
      </c>
      <c r="D1682" s="8" t="str">
        <f>VLOOKUP(A1682,Лист2!A:E,5,0)</f>
        <v>малые</v>
      </c>
      <c r="E1682" s="10">
        <f>VLOOKUP(A1682,Лист2!A:E,4,0)</f>
        <v>8</v>
      </c>
      <c r="F1682" s="11">
        <f t="shared" si="81"/>
        <v>-156000</v>
      </c>
      <c r="G1682" s="11">
        <f t="shared" si="82"/>
        <v>48375</v>
      </c>
      <c r="H1682" s="11">
        <f t="shared" si="83"/>
        <v>-19500</v>
      </c>
    </row>
    <row r="1683" spans="1:8">
      <c r="A1683" s="6" t="s">
        <v>18</v>
      </c>
      <c r="B1683">
        <v>773000</v>
      </c>
      <c r="C1683">
        <v>779000</v>
      </c>
      <c r="D1683" s="8" t="str">
        <f>VLOOKUP(A1683,Лист2!A:E,5,0)</f>
        <v>малые</v>
      </c>
      <c r="E1683" s="10">
        <f>VLOOKUP(A1683,Лист2!A:E,4,0)</f>
        <v>2.5</v>
      </c>
      <c r="F1683" s="11">
        <f t="shared" si="81"/>
        <v>-6000</v>
      </c>
      <c r="G1683" s="11">
        <f t="shared" si="82"/>
        <v>309200</v>
      </c>
      <c r="H1683" s="11">
        <f t="shared" si="83"/>
        <v>-2400</v>
      </c>
    </row>
    <row r="1684" spans="1:8">
      <c r="A1684" s="6" t="s">
        <v>18</v>
      </c>
      <c r="B1684">
        <v>4131000</v>
      </c>
      <c r="C1684">
        <v>4118000</v>
      </c>
      <c r="D1684" s="8" t="str">
        <f>VLOOKUP(A1684,Лист2!A:E,5,0)</f>
        <v>малые</v>
      </c>
      <c r="E1684" s="10">
        <f>VLOOKUP(A1684,Лист2!A:E,4,0)</f>
        <v>2.5</v>
      </c>
      <c r="F1684" s="11">
        <f t="shared" si="81"/>
        <v>13000</v>
      </c>
      <c r="G1684" s="11">
        <f t="shared" si="82"/>
        <v>1652400</v>
      </c>
      <c r="H1684" s="11">
        <f t="shared" si="83"/>
        <v>5200</v>
      </c>
    </row>
    <row r="1685" spans="1:8">
      <c r="A1685" s="6" t="s">
        <v>18</v>
      </c>
      <c r="B1685">
        <v>595000</v>
      </c>
      <c r="C1685">
        <v>594000</v>
      </c>
      <c r="D1685" s="8" t="str">
        <f>VLOOKUP(A1685,Лист2!A:E,5,0)</f>
        <v>малые</v>
      </c>
      <c r="E1685" s="10">
        <f>VLOOKUP(A1685,Лист2!A:E,4,0)</f>
        <v>2.5</v>
      </c>
      <c r="F1685" s="11">
        <f t="shared" si="81"/>
        <v>1000</v>
      </c>
      <c r="G1685" s="11">
        <f t="shared" si="82"/>
        <v>238000</v>
      </c>
      <c r="H1685" s="11">
        <f t="shared" si="83"/>
        <v>400</v>
      </c>
    </row>
    <row r="1686" spans="1:8">
      <c r="A1686" s="6" t="s">
        <v>22</v>
      </c>
      <c r="B1686">
        <v>23321000</v>
      </c>
      <c r="C1686">
        <v>22731000</v>
      </c>
      <c r="D1686" s="8" t="str">
        <f>VLOOKUP(A1686,Лист2!A:E,5,0)</f>
        <v>малые</v>
      </c>
      <c r="E1686" s="10">
        <f>VLOOKUP(A1686,Лист2!A:E,4,0)</f>
        <v>13</v>
      </c>
      <c r="F1686" s="11">
        <f t="shared" si="81"/>
        <v>590000</v>
      </c>
      <c r="G1686" s="11">
        <f t="shared" si="82"/>
        <v>1793923.076923077</v>
      </c>
      <c r="H1686" s="11">
        <f t="shared" si="83"/>
        <v>45384.615384615383</v>
      </c>
    </row>
    <row r="1687" spans="1:8">
      <c r="A1687" s="6" t="s">
        <v>22</v>
      </c>
      <c r="B1687">
        <v>8030000</v>
      </c>
      <c r="C1687">
        <v>5350000</v>
      </c>
      <c r="D1687" s="8" t="str">
        <f>VLOOKUP(A1687,Лист2!A:E,5,0)</f>
        <v>малые</v>
      </c>
      <c r="E1687" s="10">
        <f>VLOOKUP(A1687,Лист2!A:E,4,0)</f>
        <v>13</v>
      </c>
      <c r="F1687" s="11">
        <f t="shared" si="81"/>
        <v>2680000</v>
      </c>
      <c r="G1687" s="11">
        <f t="shared" si="82"/>
        <v>617692.30769230775</v>
      </c>
      <c r="H1687" s="11">
        <f t="shared" si="83"/>
        <v>206153.84615384616</v>
      </c>
    </row>
    <row r="1688" spans="1:8">
      <c r="A1688" s="6" t="s">
        <v>18</v>
      </c>
      <c r="B1688">
        <v>1930000</v>
      </c>
      <c r="C1688">
        <v>1948000</v>
      </c>
      <c r="D1688" s="8" t="str">
        <f>VLOOKUP(A1688,Лист2!A:E,5,0)</f>
        <v>малые</v>
      </c>
      <c r="E1688" s="10">
        <f>VLOOKUP(A1688,Лист2!A:E,4,0)</f>
        <v>2.5</v>
      </c>
      <c r="F1688" s="11">
        <f t="shared" si="81"/>
        <v>-18000</v>
      </c>
      <c r="G1688" s="11">
        <f t="shared" si="82"/>
        <v>772000</v>
      </c>
      <c r="H1688" s="11">
        <f t="shared" si="83"/>
        <v>-7200</v>
      </c>
    </row>
    <row r="1689" spans="1:8">
      <c r="A1689" s="6" t="s">
        <v>18</v>
      </c>
      <c r="B1689">
        <v>48550000</v>
      </c>
      <c r="C1689">
        <v>50669000</v>
      </c>
      <c r="D1689" s="8" t="str">
        <f>VLOOKUP(A1689,Лист2!A:E,5,0)</f>
        <v>малые</v>
      </c>
      <c r="E1689" s="10">
        <f>VLOOKUP(A1689,Лист2!A:E,4,0)</f>
        <v>2.5</v>
      </c>
      <c r="F1689" s="11">
        <f t="shared" si="81"/>
        <v>-2119000</v>
      </c>
      <c r="G1689" s="11">
        <f t="shared" si="82"/>
        <v>19420000</v>
      </c>
      <c r="H1689" s="11">
        <f t="shared" si="83"/>
        <v>-847600</v>
      </c>
    </row>
    <row r="1690" spans="1:8">
      <c r="A1690" s="6" t="s">
        <v>18</v>
      </c>
      <c r="B1690">
        <v>925000</v>
      </c>
      <c r="C1690">
        <v>1035000</v>
      </c>
      <c r="D1690" s="8" t="str">
        <f>VLOOKUP(A1690,Лист2!A:E,5,0)</f>
        <v>малые</v>
      </c>
      <c r="E1690" s="10">
        <f>VLOOKUP(A1690,Лист2!A:E,4,0)</f>
        <v>2.5</v>
      </c>
      <c r="F1690" s="11">
        <f t="shared" si="81"/>
        <v>-110000</v>
      </c>
      <c r="G1690" s="11">
        <f t="shared" si="82"/>
        <v>370000</v>
      </c>
      <c r="H1690" s="11">
        <f t="shared" si="83"/>
        <v>-44000</v>
      </c>
    </row>
    <row r="1691" spans="1:8">
      <c r="A1691" s="6" t="s">
        <v>18</v>
      </c>
      <c r="B1691">
        <v>684000</v>
      </c>
      <c r="C1691">
        <v>775000</v>
      </c>
      <c r="D1691" s="8" t="str">
        <f>VLOOKUP(A1691,Лист2!A:E,5,0)</f>
        <v>малые</v>
      </c>
      <c r="E1691" s="10">
        <f>VLOOKUP(A1691,Лист2!A:E,4,0)</f>
        <v>2.5</v>
      </c>
      <c r="F1691" s="11">
        <f t="shared" si="81"/>
        <v>-91000</v>
      </c>
      <c r="G1691" s="11">
        <f t="shared" si="82"/>
        <v>273600</v>
      </c>
      <c r="H1691" s="11">
        <f t="shared" si="83"/>
        <v>-36400</v>
      </c>
    </row>
    <row r="1692" spans="1:8">
      <c r="A1692" s="6" t="s">
        <v>302</v>
      </c>
      <c r="B1692">
        <v>803889000</v>
      </c>
      <c r="C1692">
        <v>797290000</v>
      </c>
      <c r="D1692" s="8" t="str">
        <f>VLOOKUP(A1692,Лист2!A:E,5,0)</f>
        <v>средние</v>
      </c>
      <c r="E1692" s="10">
        <f>VLOOKUP(A1692,Лист2!A:E,4,0)</f>
        <v>125.5</v>
      </c>
      <c r="F1692" s="11">
        <f t="shared" si="81"/>
        <v>6599000</v>
      </c>
      <c r="G1692" s="11">
        <f t="shared" si="82"/>
        <v>6405490.0398406377</v>
      </c>
      <c r="H1692" s="11">
        <f t="shared" si="83"/>
        <v>52581.673306772907</v>
      </c>
    </row>
    <row r="1693" spans="1:8">
      <c r="A1693" s="6" t="s">
        <v>18</v>
      </c>
      <c r="B1693">
        <v>15604000</v>
      </c>
      <c r="C1693">
        <v>15641000</v>
      </c>
      <c r="D1693" s="8" t="str">
        <f>VLOOKUP(A1693,Лист2!A:E,5,0)</f>
        <v>малые</v>
      </c>
      <c r="E1693" s="10">
        <f>VLOOKUP(A1693,Лист2!A:E,4,0)</f>
        <v>2.5</v>
      </c>
      <c r="F1693" s="11">
        <f t="shared" si="81"/>
        <v>-37000</v>
      </c>
      <c r="G1693" s="11">
        <f t="shared" si="82"/>
        <v>6241600</v>
      </c>
      <c r="H1693" s="11">
        <f t="shared" si="83"/>
        <v>-14800</v>
      </c>
    </row>
    <row r="1694" spans="1:8">
      <c r="A1694" s="6" t="s">
        <v>18</v>
      </c>
      <c r="B1694">
        <v>9601000</v>
      </c>
      <c r="C1694">
        <v>8712000</v>
      </c>
      <c r="D1694" s="8" t="str">
        <f>VLOOKUP(A1694,Лист2!A:E,5,0)</f>
        <v>малые</v>
      </c>
      <c r="E1694" s="10">
        <f>VLOOKUP(A1694,Лист2!A:E,4,0)</f>
        <v>2.5</v>
      </c>
      <c r="F1694" s="11">
        <f t="shared" si="81"/>
        <v>889000</v>
      </c>
      <c r="G1694" s="11">
        <f t="shared" si="82"/>
        <v>3840400</v>
      </c>
      <c r="H1694" s="11">
        <f t="shared" si="83"/>
        <v>355600</v>
      </c>
    </row>
    <row r="1695" spans="1:8">
      <c r="A1695" s="6" t="s">
        <v>18</v>
      </c>
      <c r="B1695">
        <v>50000</v>
      </c>
      <c r="C1695">
        <v>50000</v>
      </c>
      <c r="D1695" s="8" t="str">
        <f>VLOOKUP(A1695,Лист2!A:E,5,0)</f>
        <v>малые</v>
      </c>
      <c r="E1695" s="10">
        <f>VLOOKUP(A1695,Лист2!A:E,4,0)</f>
        <v>2.5</v>
      </c>
      <c r="F1695" s="11">
        <f t="shared" si="81"/>
        <v>0</v>
      </c>
      <c r="G1695" s="11">
        <f t="shared" si="82"/>
        <v>20000</v>
      </c>
      <c r="H1695" s="11">
        <f t="shared" si="83"/>
        <v>0</v>
      </c>
    </row>
    <row r="1696" spans="1:8">
      <c r="A1696" s="6" t="s">
        <v>18</v>
      </c>
      <c r="B1696">
        <v>569000</v>
      </c>
      <c r="C1696">
        <v>809000</v>
      </c>
      <c r="D1696" s="8" t="str">
        <f>VLOOKUP(A1696,Лист2!A:E,5,0)</f>
        <v>малые</v>
      </c>
      <c r="E1696" s="10">
        <f>VLOOKUP(A1696,Лист2!A:E,4,0)</f>
        <v>2.5</v>
      </c>
      <c r="F1696" s="11">
        <f t="shared" si="81"/>
        <v>-240000</v>
      </c>
      <c r="G1696" s="11">
        <f t="shared" si="82"/>
        <v>227600</v>
      </c>
      <c r="H1696" s="11">
        <f t="shared" si="83"/>
        <v>-96000</v>
      </c>
    </row>
    <row r="1697" spans="1:8">
      <c r="A1697" s="6" t="s">
        <v>18</v>
      </c>
      <c r="B1697">
        <v>2816000</v>
      </c>
      <c r="C1697">
        <v>2593000</v>
      </c>
      <c r="D1697" s="8" t="str">
        <f>VLOOKUP(A1697,Лист2!A:E,5,0)</f>
        <v>малые</v>
      </c>
      <c r="E1697" s="10">
        <f>VLOOKUP(A1697,Лист2!A:E,4,0)</f>
        <v>2.5</v>
      </c>
      <c r="F1697" s="11">
        <f t="shared" si="81"/>
        <v>223000</v>
      </c>
      <c r="G1697" s="11">
        <f t="shared" si="82"/>
        <v>1126400</v>
      </c>
      <c r="H1697" s="11">
        <f t="shared" si="83"/>
        <v>89200</v>
      </c>
    </row>
    <row r="1698" spans="1:8">
      <c r="A1698" s="6" t="s">
        <v>18</v>
      </c>
      <c r="B1698">
        <v>3203000</v>
      </c>
      <c r="C1698">
        <v>2795000</v>
      </c>
      <c r="D1698" s="8" t="str">
        <f>VLOOKUP(A1698,Лист2!A:E,5,0)</f>
        <v>малые</v>
      </c>
      <c r="E1698" s="10">
        <f>VLOOKUP(A1698,Лист2!A:E,4,0)</f>
        <v>2.5</v>
      </c>
      <c r="F1698" s="11">
        <f t="shared" si="81"/>
        <v>408000</v>
      </c>
      <c r="G1698" s="11">
        <f t="shared" si="82"/>
        <v>1281200</v>
      </c>
      <c r="H1698" s="11">
        <f t="shared" si="83"/>
        <v>163200</v>
      </c>
    </row>
    <row r="1699" spans="1:8">
      <c r="A1699" s="6" t="s">
        <v>18</v>
      </c>
      <c r="B1699">
        <v>746000</v>
      </c>
      <c r="C1699">
        <v>712000</v>
      </c>
      <c r="D1699" s="8" t="str">
        <f>VLOOKUP(A1699,Лист2!A:E,5,0)</f>
        <v>малые</v>
      </c>
      <c r="E1699" s="10">
        <f>VLOOKUP(A1699,Лист2!A:E,4,0)</f>
        <v>2.5</v>
      </c>
      <c r="F1699" s="11">
        <f t="shared" si="81"/>
        <v>34000</v>
      </c>
      <c r="G1699" s="11">
        <f t="shared" si="82"/>
        <v>298400</v>
      </c>
      <c r="H1699" s="11">
        <f t="shared" si="83"/>
        <v>13600</v>
      </c>
    </row>
    <row r="1700" spans="1:8">
      <c r="A1700" s="6" t="s">
        <v>18</v>
      </c>
      <c r="B1700">
        <v>15687000</v>
      </c>
      <c r="C1700">
        <v>16605000</v>
      </c>
      <c r="D1700" s="8" t="str">
        <f>VLOOKUP(A1700,Лист2!A:E,5,0)</f>
        <v>малые</v>
      </c>
      <c r="E1700" s="10">
        <f>VLOOKUP(A1700,Лист2!A:E,4,0)</f>
        <v>2.5</v>
      </c>
      <c r="F1700" s="11">
        <f t="shared" si="81"/>
        <v>-918000</v>
      </c>
      <c r="G1700" s="11">
        <f t="shared" si="82"/>
        <v>6274800</v>
      </c>
      <c r="H1700" s="11">
        <f t="shared" si="83"/>
        <v>-367200</v>
      </c>
    </row>
    <row r="1701" spans="1:8">
      <c r="A1701" s="6" t="s">
        <v>18</v>
      </c>
      <c r="B1701">
        <v>5072000</v>
      </c>
      <c r="C1701">
        <v>5210000</v>
      </c>
      <c r="D1701" s="8" t="str">
        <f>VLOOKUP(A1701,Лист2!A:E,5,0)</f>
        <v>малые</v>
      </c>
      <c r="E1701" s="10">
        <f>VLOOKUP(A1701,Лист2!A:E,4,0)</f>
        <v>2.5</v>
      </c>
      <c r="F1701" s="11">
        <f t="shared" si="81"/>
        <v>-138000</v>
      </c>
      <c r="G1701" s="11">
        <f t="shared" si="82"/>
        <v>2028800</v>
      </c>
      <c r="H1701" s="11">
        <f t="shared" si="83"/>
        <v>-55200</v>
      </c>
    </row>
    <row r="1702" spans="1:8">
      <c r="A1702" s="6" t="s">
        <v>18</v>
      </c>
      <c r="B1702">
        <v>1222000</v>
      </c>
      <c r="C1702">
        <v>1222000</v>
      </c>
      <c r="D1702" s="8" t="str">
        <f>VLOOKUP(A1702,Лист2!A:E,5,0)</f>
        <v>малые</v>
      </c>
      <c r="E1702" s="10">
        <f>VLOOKUP(A1702,Лист2!A:E,4,0)</f>
        <v>2.5</v>
      </c>
      <c r="F1702" s="11">
        <f t="shared" si="81"/>
        <v>0</v>
      </c>
      <c r="G1702" s="11">
        <f t="shared" si="82"/>
        <v>488800</v>
      </c>
      <c r="H1702" s="11">
        <f t="shared" si="83"/>
        <v>0</v>
      </c>
    </row>
    <row r="1703" spans="1:8">
      <c r="A1703" s="6" t="s">
        <v>22</v>
      </c>
      <c r="B1703">
        <v>82176000</v>
      </c>
      <c r="C1703">
        <v>20911000</v>
      </c>
      <c r="D1703" s="8" t="str">
        <f>VLOOKUP(A1703,Лист2!A:E,5,0)</f>
        <v>малые</v>
      </c>
      <c r="E1703" s="10">
        <f>VLOOKUP(A1703,Лист2!A:E,4,0)</f>
        <v>13</v>
      </c>
      <c r="F1703" s="11">
        <f t="shared" si="81"/>
        <v>61265000</v>
      </c>
      <c r="G1703" s="11">
        <f t="shared" si="82"/>
        <v>6321230.769230769</v>
      </c>
      <c r="H1703" s="11">
        <f t="shared" si="83"/>
        <v>4712692.307692308</v>
      </c>
    </row>
    <row r="1704" spans="1:8">
      <c r="A1704" s="6" t="s">
        <v>18</v>
      </c>
      <c r="B1704">
        <v>1791000</v>
      </c>
      <c r="C1704">
        <v>1875000</v>
      </c>
      <c r="D1704" s="8" t="str">
        <f>VLOOKUP(A1704,Лист2!A:E,5,0)</f>
        <v>малые</v>
      </c>
      <c r="E1704" s="10">
        <f>VLOOKUP(A1704,Лист2!A:E,4,0)</f>
        <v>2.5</v>
      </c>
      <c r="F1704" s="11">
        <f t="shared" si="81"/>
        <v>-84000</v>
      </c>
      <c r="G1704" s="11">
        <f t="shared" si="82"/>
        <v>716400</v>
      </c>
      <c r="H1704" s="11">
        <f t="shared" si="83"/>
        <v>-33600</v>
      </c>
    </row>
    <row r="1705" spans="1:8">
      <c r="A1705" s="6" t="s">
        <v>18</v>
      </c>
      <c r="B1705">
        <v>64000</v>
      </c>
      <c r="C1705">
        <v>64000</v>
      </c>
      <c r="D1705" s="8" t="str">
        <f>VLOOKUP(A1705,Лист2!A:E,5,0)</f>
        <v>малые</v>
      </c>
      <c r="E1705" s="10">
        <f>VLOOKUP(A1705,Лист2!A:E,4,0)</f>
        <v>2.5</v>
      </c>
      <c r="F1705" s="11">
        <f t="shared" si="81"/>
        <v>0</v>
      </c>
      <c r="G1705" s="11">
        <f t="shared" si="82"/>
        <v>25600</v>
      </c>
      <c r="H1705" s="11">
        <f t="shared" si="83"/>
        <v>0</v>
      </c>
    </row>
    <row r="1706" spans="1:8">
      <c r="A1706" s="6" t="s">
        <v>18</v>
      </c>
      <c r="B1706">
        <v>49813000</v>
      </c>
      <c r="C1706">
        <v>46691000</v>
      </c>
      <c r="D1706" s="8" t="str">
        <f>VLOOKUP(A1706,Лист2!A:E,5,0)</f>
        <v>малые</v>
      </c>
      <c r="E1706" s="10">
        <f>VLOOKUP(A1706,Лист2!A:E,4,0)</f>
        <v>2.5</v>
      </c>
      <c r="F1706" s="11">
        <f t="shared" si="81"/>
        <v>3122000</v>
      </c>
      <c r="G1706" s="11">
        <f t="shared" si="82"/>
        <v>19925200</v>
      </c>
      <c r="H1706" s="11">
        <f t="shared" si="83"/>
        <v>1248800</v>
      </c>
    </row>
    <row r="1707" spans="1:8">
      <c r="A1707" s="6" t="s">
        <v>18</v>
      </c>
      <c r="B1707">
        <v>200000</v>
      </c>
      <c r="C1707">
        <v>272000</v>
      </c>
      <c r="D1707" s="8" t="str">
        <f>VLOOKUP(A1707,Лист2!A:E,5,0)</f>
        <v>малые</v>
      </c>
      <c r="E1707" s="10">
        <f>VLOOKUP(A1707,Лист2!A:E,4,0)</f>
        <v>2.5</v>
      </c>
      <c r="F1707" s="11">
        <f t="shared" si="81"/>
        <v>-72000</v>
      </c>
      <c r="G1707" s="11">
        <f t="shared" si="82"/>
        <v>80000</v>
      </c>
      <c r="H1707" s="11">
        <f t="shared" si="83"/>
        <v>-28800</v>
      </c>
    </row>
    <row r="1708" spans="1:8">
      <c r="A1708" s="6" t="s">
        <v>23</v>
      </c>
      <c r="B1708">
        <v>17537000</v>
      </c>
      <c r="C1708">
        <v>17366000</v>
      </c>
      <c r="D1708" s="8" t="str">
        <f>VLOOKUP(A1708,Лист2!A:E,5,0)</f>
        <v>средние</v>
      </c>
      <c r="E1708" s="10">
        <f>VLOOKUP(A1708,Лист2!A:E,4,0)</f>
        <v>75.5</v>
      </c>
      <c r="F1708" s="11">
        <f t="shared" si="81"/>
        <v>171000</v>
      </c>
      <c r="G1708" s="11">
        <f t="shared" si="82"/>
        <v>232278.14569536425</v>
      </c>
      <c r="H1708" s="11">
        <f t="shared" si="83"/>
        <v>2264.9006622516558</v>
      </c>
    </row>
    <row r="1709" spans="1:8">
      <c r="A1709" s="6" t="s">
        <v>18</v>
      </c>
      <c r="B1709">
        <v>7328000</v>
      </c>
      <c r="C1709">
        <v>6879000</v>
      </c>
      <c r="D1709" s="8" t="str">
        <f>VLOOKUP(A1709,Лист2!A:E,5,0)</f>
        <v>малые</v>
      </c>
      <c r="E1709" s="10">
        <f>VLOOKUP(A1709,Лист2!A:E,4,0)</f>
        <v>2.5</v>
      </c>
      <c r="F1709" s="11">
        <f t="shared" si="81"/>
        <v>449000</v>
      </c>
      <c r="G1709" s="11">
        <f t="shared" si="82"/>
        <v>2931200</v>
      </c>
      <c r="H1709" s="11">
        <f t="shared" si="83"/>
        <v>179600</v>
      </c>
    </row>
    <row r="1710" spans="1:8">
      <c r="A1710" s="6" t="s">
        <v>18</v>
      </c>
      <c r="B1710">
        <v>256000</v>
      </c>
      <c r="C1710">
        <v>243000</v>
      </c>
      <c r="D1710" s="8" t="str">
        <f>VLOOKUP(A1710,Лист2!A:E,5,0)</f>
        <v>малые</v>
      </c>
      <c r="E1710" s="10">
        <f>VLOOKUP(A1710,Лист2!A:E,4,0)</f>
        <v>2.5</v>
      </c>
      <c r="F1710" s="11">
        <f t="shared" si="81"/>
        <v>13000</v>
      </c>
      <c r="G1710" s="11">
        <f t="shared" si="82"/>
        <v>102400</v>
      </c>
      <c r="H1710" s="11">
        <f t="shared" si="83"/>
        <v>5200</v>
      </c>
    </row>
    <row r="1711" spans="1:8">
      <c r="A1711" s="6" t="s">
        <v>77</v>
      </c>
      <c r="B1711">
        <v>12726000</v>
      </c>
      <c r="C1711">
        <v>12263000</v>
      </c>
      <c r="D1711" s="8" t="str">
        <f>VLOOKUP(A1711,Лист2!A:E,5,0)</f>
        <v>малые</v>
      </c>
      <c r="E1711" s="10">
        <f>VLOOKUP(A1711,Лист2!A:E,4,0)</f>
        <v>8</v>
      </c>
      <c r="F1711" s="11">
        <f t="shared" si="81"/>
        <v>463000</v>
      </c>
      <c r="G1711" s="11">
        <f t="shared" si="82"/>
        <v>1590750</v>
      </c>
      <c r="H1711" s="11">
        <f t="shared" si="83"/>
        <v>57875</v>
      </c>
    </row>
    <row r="1712" spans="1:8">
      <c r="A1712" s="6" t="s">
        <v>18</v>
      </c>
      <c r="B1712">
        <v>4635000</v>
      </c>
      <c r="C1712">
        <v>4917000</v>
      </c>
      <c r="D1712" s="8" t="str">
        <f>VLOOKUP(A1712,Лист2!A:E,5,0)</f>
        <v>малые</v>
      </c>
      <c r="E1712" s="10">
        <f>VLOOKUP(A1712,Лист2!A:E,4,0)</f>
        <v>2.5</v>
      </c>
      <c r="F1712" s="11">
        <f t="shared" si="81"/>
        <v>-282000</v>
      </c>
      <c r="G1712" s="11">
        <f t="shared" si="82"/>
        <v>1854000</v>
      </c>
      <c r="H1712" s="11">
        <f t="shared" si="83"/>
        <v>-112800</v>
      </c>
    </row>
    <row r="1713" spans="1:8">
      <c r="A1713" s="6" t="s">
        <v>18</v>
      </c>
      <c r="B1713">
        <v>3141000</v>
      </c>
      <c r="C1713">
        <v>3090000</v>
      </c>
      <c r="D1713" s="8" t="str">
        <f>VLOOKUP(A1713,Лист2!A:E,5,0)</f>
        <v>малые</v>
      </c>
      <c r="E1713" s="10">
        <f>VLOOKUP(A1713,Лист2!A:E,4,0)</f>
        <v>2.5</v>
      </c>
      <c r="F1713" s="11">
        <f t="shared" si="81"/>
        <v>51000</v>
      </c>
      <c r="G1713" s="11">
        <f t="shared" si="82"/>
        <v>1256400</v>
      </c>
      <c r="H1713" s="11">
        <f t="shared" si="83"/>
        <v>20400</v>
      </c>
    </row>
    <row r="1714" spans="1:8">
      <c r="A1714" s="6" t="s">
        <v>18</v>
      </c>
      <c r="B1714">
        <v>2915000</v>
      </c>
      <c r="C1714">
        <v>2794000</v>
      </c>
      <c r="D1714" s="8" t="str">
        <f>VLOOKUP(A1714,Лист2!A:E,5,0)</f>
        <v>малые</v>
      </c>
      <c r="E1714" s="10">
        <f>VLOOKUP(A1714,Лист2!A:E,4,0)</f>
        <v>2.5</v>
      </c>
      <c r="F1714" s="11">
        <f t="shared" si="81"/>
        <v>121000</v>
      </c>
      <c r="G1714" s="11">
        <f t="shared" si="82"/>
        <v>1166000</v>
      </c>
      <c r="H1714" s="11">
        <f t="shared" si="83"/>
        <v>48400</v>
      </c>
    </row>
    <row r="1715" spans="1:8">
      <c r="A1715" s="6" t="s">
        <v>18</v>
      </c>
      <c r="B1715">
        <v>699000</v>
      </c>
      <c r="C1715">
        <v>706000</v>
      </c>
      <c r="D1715" s="8" t="str">
        <f>VLOOKUP(A1715,Лист2!A:E,5,0)</f>
        <v>малые</v>
      </c>
      <c r="E1715" s="10">
        <f>VLOOKUP(A1715,Лист2!A:E,4,0)</f>
        <v>2.5</v>
      </c>
      <c r="F1715" s="11">
        <f t="shared" si="81"/>
        <v>-7000</v>
      </c>
      <c r="G1715" s="11">
        <f t="shared" si="82"/>
        <v>279600</v>
      </c>
      <c r="H1715" s="11">
        <f t="shared" si="83"/>
        <v>-2800</v>
      </c>
    </row>
    <row r="1716" spans="1:8">
      <c r="A1716" s="6" t="s">
        <v>18</v>
      </c>
      <c r="B1716">
        <v>39931000</v>
      </c>
      <c r="C1716">
        <v>40087000</v>
      </c>
      <c r="D1716" s="8" t="str">
        <f>VLOOKUP(A1716,Лист2!A:E,5,0)</f>
        <v>малые</v>
      </c>
      <c r="E1716" s="10">
        <f>VLOOKUP(A1716,Лист2!A:E,4,0)</f>
        <v>2.5</v>
      </c>
      <c r="F1716" s="11">
        <f t="shared" si="81"/>
        <v>-156000</v>
      </c>
      <c r="G1716" s="11">
        <f t="shared" si="82"/>
        <v>15972400</v>
      </c>
      <c r="H1716" s="11">
        <f t="shared" si="83"/>
        <v>-62400</v>
      </c>
    </row>
    <row r="1717" spans="1:8">
      <c r="A1717" s="6" t="s">
        <v>18</v>
      </c>
      <c r="B1717">
        <v>295000</v>
      </c>
      <c r="C1717">
        <v>295000</v>
      </c>
      <c r="D1717" s="8" t="str">
        <f>VLOOKUP(A1717,Лист2!A:E,5,0)</f>
        <v>малые</v>
      </c>
      <c r="E1717" s="10">
        <f>VLOOKUP(A1717,Лист2!A:E,4,0)</f>
        <v>2.5</v>
      </c>
      <c r="F1717" s="11">
        <f t="shared" si="81"/>
        <v>0</v>
      </c>
      <c r="G1717" s="11">
        <f t="shared" si="82"/>
        <v>118000</v>
      </c>
      <c r="H1717" s="11">
        <f t="shared" si="83"/>
        <v>0</v>
      </c>
    </row>
    <row r="1718" spans="1:8">
      <c r="A1718" s="6" t="s">
        <v>77</v>
      </c>
      <c r="B1718">
        <v>21745000</v>
      </c>
      <c r="C1718">
        <v>22882000</v>
      </c>
      <c r="D1718" s="8" t="str">
        <f>VLOOKUP(A1718,Лист2!A:E,5,0)</f>
        <v>малые</v>
      </c>
      <c r="E1718" s="10">
        <f>VLOOKUP(A1718,Лист2!A:E,4,0)</f>
        <v>8</v>
      </c>
      <c r="F1718" s="11">
        <f t="shared" si="81"/>
        <v>-1137000</v>
      </c>
      <c r="G1718" s="11">
        <f t="shared" si="82"/>
        <v>2718125</v>
      </c>
      <c r="H1718" s="11">
        <f t="shared" si="83"/>
        <v>-142125</v>
      </c>
    </row>
    <row r="1719" spans="1:8">
      <c r="A1719" s="6" t="s">
        <v>18</v>
      </c>
      <c r="B1719">
        <v>15065000</v>
      </c>
      <c r="C1719">
        <v>14492000</v>
      </c>
      <c r="D1719" s="8" t="str">
        <f>VLOOKUP(A1719,Лист2!A:E,5,0)</f>
        <v>малые</v>
      </c>
      <c r="E1719" s="10">
        <f>VLOOKUP(A1719,Лист2!A:E,4,0)</f>
        <v>2.5</v>
      </c>
      <c r="F1719" s="11">
        <f t="shared" si="81"/>
        <v>573000</v>
      </c>
      <c r="G1719" s="11">
        <f t="shared" si="82"/>
        <v>6026000</v>
      </c>
      <c r="H1719" s="11">
        <f t="shared" si="83"/>
        <v>229200</v>
      </c>
    </row>
    <row r="1720" spans="1:8">
      <c r="A1720" s="6" t="s">
        <v>18</v>
      </c>
      <c r="B1720">
        <v>10000</v>
      </c>
      <c r="C1720">
        <v>10000</v>
      </c>
      <c r="D1720" s="8" t="str">
        <f>VLOOKUP(A1720,Лист2!A:E,5,0)</f>
        <v>малые</v>
      </c>
      <c r="E1720" s="10">
        <f>VLOOKUP(A1720,Лист2!A:E,4,0)</f>
        <v>2.5</v>
      </c>
      <c r="F1720" s="11">
        <f t="shared" si="81"/>
        <v>0</v>
      </c>
      <c r="G1720" s="11">
        <f t="shared" si="82"/>
        <v>4000</v>
      </c>
      <c r="H1720" s="11">
        <f t="shared" si="83"/>
        <v>0</v>
      </c>
    </row>
    <row r="1721" spans="1:8">
      <c r="A1721" s="6" t="s">
        <v>23</v>
      </c>
      <c r="B1721" s="5">
        <v>248596000</v>
      </c>
      <c r="C1721" s="5">
        <v>408668000</v>
      </c>
      <c r="D1721" s="8" t="str">
        <f>VLOOKUP(A1721,Лист2!A:E,5,0)</f>
        <v>средние</v>
      </c>
      <c r="E1721" s="10">
        <f>VLOOKUP(A1721,Лист2!A:E,4,0)</f>
        <v>75.5</v>
      </c>
      <c r="F1721" s="11">
        <f t="shared" ref="F1721:F1771" si="84">B1721-C1721</f>
        <v>-160072000</v>
      </c>
      <c r="G1721" s="11">
        <f t="shared" ref="G1721:G1771" si="85">B1721/E1721</f>
        <v>3292662.2516556294</v>
      </c>
      <c r="H1721" s="11">
        <f t="shared" ref="H1721:H1771" si="86">F1721/E1721</f>
        <v>-2120158.940397351</v>
      </c>
    </row>
    <row r="1722" spans="1:8">
      <c r="A1722" s="6" t="s">
        <v>23</v>
      </c>
      <c r="B1722" s="5">
        <v>25410000</v>
      </c>
      <c r="C1722" s="5">
        <v>24228000</v>
      </c>
      <c r="D1722" s="8" t="str">
        <f>VLOOKUP(A1722,Лист2!A:E,5,0)</f>
        <v>средние</v>
      </c>
      <c r="E1722" s="10">
        <f>VLOOKUP(A1722,Лист2!A:E,4,0)</f>
        <v>75.5</v>
      </c>
      <c r="F1722" s="11">
        <f t="shared" si="84"/>
        <v>1182000</v>
      </c>
      <c r="G1722" s="11">
        <f t="shared" si="85"/>
        <v>336556.2913907285</v>
      </c>
      <c r="H1722" s="11">
        <f t="shared" si="86"/>
        <v>15655.629139072847</v>
      </c>
    </row>
    <row r="1723" spans="1:8">
      <c r="A1723" s="6" t="s">
        <v>23</v>
      </c>
      <c r="B1723" s="5">
        <v>105573000</v>
      </c>
      <c r="C1723" s="5">
        <v>107906000</v>
      </c>
      <c r="D1723" s="8" t="str">
        <f>VLOOKUP(A1723,Лист2!A:E,5,0)</f>
        <v>средние</v>
      </c>
      <c r="E1723" s="10">
        <f>VLOOKUP(A1723,Лист2!A:E,4,0)</f>
        <v>75.5</v>
      </c>
      <c r="F1723" s="11">
        <f t="shared" si="84"/>
        <v>-2333000</v>
      </c>
      <c r="G1723" s="11">
        <f t="shared" si="85"/>
        <v>1398317.8807947021</v>
      </c>
      <c r="H1723" s="11">
        <f t="shared" si="86"/>
        <v>-30900.662251655631</v>
      </c>
    </row>
    <row r="1724" spans="1:8">
      <c r="A1724" s="6" t="s">
        <v>23</v>
      </c>
      <c r="B1724" s="5">
        <v>192711000</v>
      </c>
      <c r="C1724" s="5">
        <v>181373000</v>
      </c>
      <c r="D1724" s="8" t="str">
        <f>VLOOKUP(A1724,Лист2!A:E,5,0)</f>
        <v>средние</v>
      </c>
      <c r="E1724" s="10">
        <f>VLOOKUP(A1724,Лист2!A:E,4,0)</f>
        <v>75.5</v>
      </c>
      <c r="F1724" s="11">
        <f t="shared" si="84"/>
        <v>11338000</v>
      </c>
      <c r="G1724" s="11">
        <f t="shared" si="85"/>
        <v>2552463.5761589403</v>
      </c>
      <c r="H1724" s="11">
        <f t="shared" si="86"/>
        <v>150172.18543046358</v>
      </c>
    </row>
    <row r="1725" spans="1:8">
      <c r="A1725" s="6" t="s">
        <v>23</v>
      </c>
      <c r="B1725" s="5">
        <v>392217000</v>
      </c>
      <c r="C1725" s="5">
        <v>391510000</v>
      </c>
      <c r="D1725" s="8" t="str">
        <f>VLOOKUP(A1725,Лист2!A:E,5,0)</f>
        <v>средние</v>
      </c>
      <c r="E1725" s="10">
        <f>VLOOKUP(A1725,Лист2!A:E,4,0)</f>
        <v>75.5</v>
      </c>
      <c r="F1725" s="11">
        <f t="shared" si="84"/>
        <v>707000</v>
      </c>
      <c r="G1725" s="11">
        <f t="shared" si="85"/>
        <v>5194927.1523178807</v>
      </c>
      <c r="H1725" s="11">
        <f t="shared" si="86"/>
        <v>9364.2384105960264</v>
      </c>
    </row>
    <row r="1726" spans="1:8">
      <c r="A1726" s="6" t="s">
        <v>23</v>
      </c>
      <c r="B1726" s="5">
        <v>81438000</v>
      </c>
      <c r="C1726" s="5">
        <v>80312000</v>
      </c>
      <c r="D1726" s="8" t="str">
        <f>VLOOKUP(A1726,Лист2!A:E,5,0)</f>
        <v>средние</v>
      </c>
      <c r="E1726" s="10">
        <f>VLOOKUP(A1726,Лист2!A:E,4,0)</f>
        <v>75.5</v>
      </c>
      <c r="F1726" s="11">
        <f t="shared" si="84"/>
        <v>1126000</v>
      </c>
      <c r="G1726" s="11">
        <f t="shared" si="85"/>
        <v>1078649.0066225166</v>
      </c>
      <c r="H1726" s="11">
        <f t="shared" si="86"/>
        <v>14913.907284768213</v>
      </c>
    </row>
    <row r="1727" spans="1:8">
      <c r="A1727" s="6" t="s">
        <v>23</v>
      </c>
      <c r="B1727" s="5">
        <v>77820000</v>
      </c>
      <c r="C1727" s="5">
        <v>80423000</v>
      </c>
      <c r="D1727" s="8" t="str">
        <f>VLOOKUP(A1727,Лист2!A:E,5,0)</f>
        <v>средние</v>
      </c>
      <c r="E1727" s="10">
        <f>VLOOKUP(A1727,Лист2!A:E,4,0)</f>
        <v>75.5</v>
      </c>
      <c r="F1727" s="11">
        <f t="shared" si="84"/>
        <v>-2603000</v>
      </c>
      <c r="G1727" s="11">
        <f t="shared" si="85"/>
        <v>1030728.4768211921</v>
      </c>
      <c r="H1727" s="11">
        <f t="shared" si="86"/>
        <v>-34476.821192052979</v>
      </c>
    </row>
    <row r="1728" spans="1:8">
      <c r="A1728" s="6" t="s">
        <v>23</v>
      </c>
      <c r="B1728" s="5">
        <v>34662000</v>
      </c>
      <c r="C1728" s="5">
        <v>36655000</v>
      </c>
      <c r="D1728" s="8" t="str">
        <f>VLOOKUP(A1728,Лист2!A:E,5,0)</f>
        <v>средние</v>
      </c>
      <c r="E1728" s="10">
        <f>VLOOKUP(A1728,Лист2!A:E,4,0)</f>
        <v>75.5</v>
      </c>
      <c r="F1728" s="11">
        <f t="shared" si="84"/>
        <v>-1993000</v>
      </c>
      <c r="G1728" s="11">
        <f t="shared" si="85"/>
        <v>459099.33774834435</v>
      </c>
      <c r="H1728" s="11">
        <f t="shared" si="86"/>
        <v>-26397.350993377484</v>
      </c>
    </row>
    <row r="1729" spans="1:8">
      <c r="A1729" s="6" t="s">
        <v>302</v>
      </c>
      <c r="B1729" s="5">
        <v>91183000</v>
      </c>
      <c r="C1729" s="5">
        <v>91135000</v>
      </c>
      <c r="D1729" s="8" t="str">
        <f>VLOOKUP(A1729,Лист2!A:E,5,0)</f>
        <v>средние</v>
      </c>
      <c r="E1729" s="10">
        <f>VLOOKUP(A1729,Лист2!A:E,4,0)</f>
        <v>125.5</v>
      </c>
      <c r="F1729" s="11">
        <f t="shared" si="84"/>
        <v>48000</v>
      </c>
      <c r="G1729" s="11">
        <f t="shared" si="85"/>
        <v>726557.76892430277</v>
      </c>
      <c r="H1729" s="11">
        <f t="shared" si="86"/>
        <v>382.47011952191235</v>
      </c>
    </row>
    <row r="1730" spans="1:8">
      <c r="A1730" s="6" t="s">
        <v>807</v>
      </c>
      <c r="B1730" s="5">
        <v>19983000</v>
      </c>
      <c r="C1730" s="5">
        <v>17902000</v>
      </c>
      <c r="D1730" s="8" t="str">
        <f>VLOOKUP(A1730,Лист2!A:E,5,0)</f>
        <v>средние</v>
      </c>
      <c r="E1730" s="10">
        <f>VLOOKUP(A1730,Лист2!A:E,4,0)</f>
        <v>175.5</v>
      </c>
      <c r="F1730" s="11">
        <f t="shared" si="84"/>
        <v>2081000</v>
      </c>
      <c r="G1730" s="11">
        <f t="shared" si="85"/>
        <v>113863.24786324786</v>
      </c>
      <c r="H1730" s="11">
        <f t="shared" si="86"/>
        <v>11857.549857549857</v>
      </c>
    </row>
    <row r="1731" spans="1:8">
      <c r="A1731" s="6" t="s">
        <v>23</v>
      </c>
      <c r="B1731" s="5">
        <v>4525000</v>
      </c>
      <c r="C1731" s="5">
        <v>4514000</v>
      </c>
      <c r="D1731" s="8" t="str">
        <f>VLOOKUP(A1731,Лист2!A:E,5,0)</f>
        <v>средние</v>
      </c>
      <c r="E1731" s="10">
        <f>VLOOKUP(A1731,Лист2!A:E,4,0)</f>
        <v>75.5</v>
      </c>
      <c r="F1731" s="11">
        <f t="shared" si="84"/>
        <v>11000</v>
      </c>
      <c r="G1731" s="11">
        <f t="shared" si="85"/>
        <v>59933.774834437085</v>
      </c>
      <c r="H1731" s="11">
        <f t="shared" si="86"/>
        <v>145.6953642384106</v>
      </c>
    </row>
    <row r="1732" spans="1:8">
      <c r="A1732" s="6" t="s">
        <v>23</v>
      </c>
      <c r="B1732" s="5">
        <v>159153000</v>
      </c>
      <c r="C1732" s="5">
        <v>153781000</v>
      </c>
      <c r="D1732" s="8" t="str">
        <f>VLOOKUP(A1732,Лист2!A:E,5,0)</f>
        <v>средние</v>
      </c>
      <c r="E1732" s="10">
        <f>VLOOKUP(A1732,Лист2!A:E,4,0)</f>
        <v>75.5</v>
      </c>
      <c r="F1732" s="11">
        <f t="shared" si="84"/>
        <v>5372000</v>
      </c>
      <c r="G1732" s="11">
        <f t="shared" si="85"/>
        <v>2107986.7549668876</v>
      </c>
      <c r="H1732" s="11">
        <f t="shared" si="86"/>
        <v>71152.317880794697</v>
      </c>
    </row>
    <row r="1733" spans="1:8">
      <c r="A1733" s="6" t="s">
        <v>23</v>
      </c>
      <c r="B1733" s="5">
        <v>203789000</v>
      </c>
      <c r="C1733" s="5">
        <v>204316000</v>
      </c>
      <c r="D1733" s="8" t="str">
        <f>VLOOKUP(A1733,Лист2!A:E,5,0)</f>
        <v>средние</v>
      </c>
      <c r="E1733" s="10">
        <f>VLOOKUP(A1733,Лист2!A:E,4,0)</f>
        <v>75.5</v>
      </c>
      <c r="F1733" s="11">
        <f t="shared" si="84"/>
        <v>-527000</v>
      </c>
      <c r="G1733" s="11">
        <f t="shared" si="85"/>
        <v>2699192.0529801324</v>
      </c>
      <c r="H1733" s="11">
        <f t="shared" si="86"/>
        <v>-6980.1324503311262</v>
      </c>
    </row>
    <row r="1734" spans="1:8">
      <c r="A1734" s="6" t="s">
        <v>23</v>
      </c>
      <c r="B1734" s="5">
        <v>90314000</v>
      </c>
      <c r="C1734" s="5">
        <v>87220000</v>
      </c>
      <c r="D1734" s="8" t="str">
        <f>VLOOKUP(A1734,Лист2!A:E,5,0)</f>
        <v>средние</v>
      </c>
      <c r="E1734" s="10">
        <f>VLOOKUP(A1734,Лист2!A:E,4,0)</f>
        <v>75.5</v>
      </c>
      <c r="F1734" s="11">
        <f t="shared" si="84"/>
        <v>3094000</v>
      </c>
      <c r="G1734" s="11">
        <f t="shared" si="85"/>
        <v>1196211.9205298014</v>
      </c>
      <c r="H1734" s="11">
        <f t="shared" si="86"/>
        <v>40980.132450331126</v>
      </c>
    </row>
    <row r="1735" spans="1:8">
      <c r="A1735" s="6" t="s">
        <v>23</v>
      </c>
      <c r="B1735" s="5">
        <v>2076845000</v>
      </c>
      <c r="C1735" s="5">
        <v>2023573000</v>
      </c>
      <c r="D1735" s="8" t="str">
        <f>VLOOKUP(A1735,Лист2!A:E,5,0)</f>
        <v>средние</v>
      </c>
      <c r="E1735" s="10">
        <f>VLOOKUP(A1735,Лист2!A:E,4,0)</f>
        <v>75.5</v>
      </c>
      <c r="F1735" s="11">
        <f t="shared" si="84"/>
        <v>53272000</v>
      </c>
      <c r="G1735" s="11">
        <f t="shared" si="85"/>
        <v>27507880.794701986</v>
      </c>
      <c r="H1735" s="11">
        <f t="shared" si="86"/>
        <v>705589.40397350991</v>
      </c>
    </row>
    <row r="1736" spans="1:8">
      <c r="A1736" s="6" t="s">
        <v>23</v>
      </c>
      <c r="B1736" s="5">
        <v>439278000</v>
      </c>
      <c r="C1736" s="5">
        <v>475360000</v>
      </c>
      <c r="D1736" s="8" t="str">
        <f>VLOOKUP(A1736,Лист2!A:E,5,0)</f>
        <v>средние</v>
      </c>
      <c r="E1736" s="10">
        <f>VLOOKUP(A1736,Лист2!A:E,4,0)</f>
        <v>75.5</v>
      </c>
      <c r="F1736" s="11">
        <f t="shared" si="84"/>
        <v>-36082000</v>
      </c>
      <c r="G1736" s="11">
        <f t="shared" si="85"/>
        <v>5818251.6556291394</v>
      </c>
      <c r="H1736" s="11">
        <f t="shared" si="86"/>
        <v>-477907.28476821195</v>
      </c>
    </row>
    <row r="1737" spans="1:8">
      <c r="A1737" s="6" t="s">
        <v>23</v>
      </c>
      <c r="B1737" s="5">
        <v>1459022000</v>
      </c>
      <c r="C1737" s="5">
        <v>724737000</v>
      </c>
      <c r="D1737" s="8" t="str">
        <f>VLOOKUP(A1737,Лист2!A:E,5,0)</f>
        <v>средние</v>
      </c>
      <c r="E1737" s="10">
        <f>VLOOKUP(A1737,Лист2!A:E,4,0)</f>
        <v>75.5</v>
      </c>
      <c r="F1737" s="11">
        <f t="shared" si="84"/>
        <v>734285000</v>
      </c>
      <c r="G1737" s="11">
        <f t="shared" si="85"/>
        <v>19324794.701986756</v>
      </c>
      <c r="H1737" s="11">
        <f t="shared" si="86"/>
        <v>9725629.1390728485</v>
      </c>
    </row>
    <row r="1738" spans="1:8">
      <c r="A1738" s="6" t="s">
        <v>23</v>
      </c>
      <c r="B1738" s="5">
        <v>4187359000</v>
      </c>
      <c r="C1738" s="5">
        <v>4161157000</v>
      </c>
      <c r="D1738" s="8" t="str">
        <f>VLOOKUP(A1738,Лист2!A:E,5,0)</f>
        <v>средние</v>
      </c>
      <c r="E1738" s="10">
        <f>VLOOKUP(A1738,Лист2!A:E,4,0)</f>
        <v>75.5</v>
      </c>
      <c r="F1738" s="11">
        <f t="shared" si="84"/>
        <v>26202000</v>
      </c>
      <c r="G1738" s="11">
        <f t="shared" si="85"/>
        <v>55461708.609271526</v>
      </c>
      <c r="H1738" s="11">
        <f t="shared" si="86"/>
        <v>347046.35761589406</v>
      </c>
    </row>
    <row r="1739" spans="1:8">
      <c r="A1739" s="6" t="s">
        <v>1136</v>
      </c>
      <c r="B1739" s="5">
        <v>326065000</v>
      </c>
      <c r="C1739" s="5">
        <v>325313000</v>
      </c>
      <c r="D1739" s="8" t="str">
        <f>VLOOKUP(A1739,Лист2!A:E,5,0)</f>
        <v>крупные</v>
      </c>
      <c r="E1739" s="10">
        <f>VLOOKUP(A1739,Лист2!A:E,4,0)</f>
        <v>750.5</v>
      </c>
      <c r="F1739" s="11">
        <f t="shared" si="84"/>
        <v>752000</v>
      </c>
      <c r="G1739" s="11">
        <f t="shared" si="85"/>
        <v>434463.69087275153</v>
      </c>
      <c r="H1739" s="11">
        <f t="shared" si="86"/>
        <v>1001.9986675549634</v>
      </c>
    </row>
    <row r="1740" spans="1:8">
      <c r="A1740" s="6" t="s">
        <v>23</v>
      </c>
      <c r="B1740" s="5">
        <v>1581036000</v>
      </c>
      <c r="C1740" s="5">
        <v>1451184000</v>
      </c>
      <c r="D1740" s="8" t="str">
        <f>VLOOKUP(A1740,Лист2!A:E,5,0)</f>
        <v>средние</v>
      </c>
      <c r="E1740" s="10">
        <f>VLOOKUP(A1740,Лист2!A:E,4,0)</f>
        <v>75.5</v>
      </c>
      <c r="F1740" s="11">
        <f t="shared" si="84"/>
        <v>129852000</v>
      </c>
      <c r="G1740" s="11">
        <f t="shared" si="85"/>
        <v>20940874.172185432</v>
      </c>
      <c r="H1740" s="11">
        <f t="shared" si="86"/>
        <v>1719894.0397350993</v>
      </c>
    </row>
    <row r="1741" spans="1:8">
      <c r="A1741" s="6" t="s">
        <v>23</v>
      </c>
      <c r="B1741" s="5">
        <v>272017000</v>
      </c>
      <c r="C1741" s="5">
        <v>181180000</v>
      </c>
      <c r="D1741" s="8" t="str">
        <f>VLOOKUP(A1741,Лист2!A:E,5,0)</f>
        <v>средние</v>
      </c>
      <c r="E1741" s="10">
        <f>VLOOKUP(A1741,Лист2!A:E,4,0)</f>
        <v>75.5</v>
      </c>
      <c r="F1741" s="11">
        <f t="shared" si="84"/>
        <v>90837000</v>
      </c>
      <c r="G1741" s="11">
        <f t="shared" si="85"/>
        <v>3602874.1721854303</v>
      </c>
      <c r="H1741" s="11">
        <f t="shared" si="86"/>
        <v>1203139.0728476821</v>
      </c>
    </row>
    <row r="1742" spans="1:8">
      <c r="A1742" s="6" t="s">
        <v>302</v>
      </c>
      <c r="B1742" s="5">
        <v>57364000</v>
      </c>
      <c r="C1742" s="5">
        <v>57481000</v>
      </c>
      <c r="D1742" s="8" t="str">
        <f>VLOOKUP(A1742,Лист2!A:E,5,0)</f>
        <v>средние</v>
      </c>
      <c r="E1742" s="10">
        <f>VLOOKUP(A1742,Лист2!A:E,4,0)</f>
        <v>125.5</v>
      </c>
      <c r="F1742" s="11">
        <f t="shared" si="84"/>
        <v>-117000</v>
      </c>
      <c r="G1742" s="11">
        <f t="shared" si="85"/>
        <v>457083.6653386454</v>
      </c>
      <c r="H1742" s="11">
        <f t="shared" si="86"/>
        <v>-932.27091633466136</v>
      </c>
    </row>
    <row r="1743" spans="1:8">
      <c r="A1743" s="6" t="s">
        <v>23</v>
      </c>
      <c r="B1743" s="5">
        <v>9496000</v>
      </c>
      <c r="C1743" s="5">
        <v>9201000</v>
      </c>
      <c r="D1743" s="8" t="str">
        <f>VLOOKUP(A1743,Лист2!A:E,5,0)</f>
        <v>средние</v>
      </c>
      <c r="E1743" s="10">
        <f>VLOOKUP(A1743,Лист2!A:E,4,0)</f>
        <v>75.5</v>
      </c>
      <c r="F1743" s="11">
        <f t="shared" si="84"/>
        <v>295000</v>
      </c>
      <c r="G1743" s="11">
        <f t="shared" si="85"/>
        <v>125774.83443708609</v>
      </c>
      <c r="H1743" s="11">
        <f t="shared" si="86"/>
        <v>3907.2847682119204</v>
      </c>
    </row>
    <row r="1744" spans="1:8">
      <c r="A1744" s="6" t="s">
        <v>1135</v>
      </c>
      <c r="B1744" s="5">
        <v>335990000</v>
      </c>
      <c r="C1744" s="5">
        <v>329313000</v>
      </c>
      <c r="D1744" s="8" t="str">
        <f>VLOOKUP(A1744,Лист2!A:E,5,0)</f>
        <v>крупные</v>
      </c>
      <c r="E1744" s="10">
        <f>VLOOKUP(A1744,Лист2!A:E,4,0)</f>
        <v>375.5</v>
      </c>
      <c r="F1744" s="11">
        <f t="shared" si="84"/>
        <v>6677000</v>
      </c>
      <c r="G1744" s="11">
        <f t="shared" si="85"/>
        <v>894780.29294274305</v>
      </c>
      <c r="H1744" s="11">
        <f t="shared" si="86"/>
        <v>17781.624500665777</v>
      </c>
    </row>
    <row r="1745" spans="1:8">
      <c r="A1745" s="6" t="s">
        <v>23</v>
      </c>
      <c r="B1745">
        <v>11517000</v>
      </c>
      <c r="C1745">
        <v>13188000</v>
      </c>
      <c r="D1745" s="8" t="str">
        <f>VLOOKUP(A1745,Лист2!A:E,5,0)</f>
        <v>средние</v>
      </c>
      <c r="E1745" s="10">
        <f>VLOOKUP(A1745,Лист2!A:E,4,0)</f>
        <v>75.5</v>
      </c>
      <c r="F1745" s="11">
        <f t="shared" si="84"/>
        <v>-1671000</v>
      </c>
      <c r="G1745" s="11">
        <f t="shared" si="85"/>
        <v>152543.04635761588</v>
      </c>
      <c r="H1745" s="11">
        <f t="shared" si="86"/>
        <v>-22132.450331125827</v>
      </c>
    </row>
    <row r="1746" spans="1:8">
      <c r="A1746" s="6" t="s">
        <v>23</v>
      </c>
      <c r="B1746">
        <v>5550000</v>
      </c>
      <c r="C1746">
        <v>7175000</v>
      </c>
      <c r="D1746" s="8" t="str">
        <f>VLOOKUP(A1746,Лист2!A:E,5,0)</f>
        <v>средние</v>
      </c>
      <c r="E1746" s="10">
        <f>VLOOKUP(A1746,Лист2!A:E,4,0)</f>
        <v>75.5</v>
      </c>
      <c r="F1746" s="11">
        <f t="shared" si="84"/>
        <v>-1625000</v>
      </c>
      <c r="G1746" s="11">
        <f t="shared" si="85"/>
        <v>73509.933774834441</v>
      </c>
      <c r="H1746" s="11">
        <f t="shared" si="86"/>
        <v>-21523.178807947021</v>
      </c>
    </row>
    <row r="1747" spans="1:8">
      <c r="A1747" s="6" t="s">
        <v>23</v>
      </c>
      <c r="B1747">
        <v>61154000</v>
      </c>
      <c r="C1747">
        <v>45500000</v>
      </c>
      <c r="D1747" s="8" t="str">
        <f>VLOOKUP(A1747,Лист2!A:E,5,0)</f>
        <v>средние</v>
      </c>
      <c r="E1747" s="10">
        <f>VLOOKUP(A1747,Лист2!A:E,4,0)</f>
        <v>75.5</v>
      </c>
      <c r="F1747" s="11">
        <f t="shared" si="84"/>
        <v>15654000</v>
      </c>
      <c r="G1747" s="11">
        <f t="shared" si="85"/>
        <v>809986.75496688741</v>
      </c>
      <c r="H1747" s="11">
        <f t="shared" si="86"/>
        <v>207337.74834437086</v>
      </c>
    </row>
    <row r="1748" spans="1:8">
      <c r="A1748" s="6" t="s">
        <v>23</v>
      </c>
      <c r="B1748">
        <v>15897000</v>
      </c>
      <c r="C1748">
        <v>17196000</v>
      </c>
      <c r="D1748" s="8" t="str">
        <f>VLOOKUP(A1748,Лист2!A:E,5,0)</f>
        <v>средние</v>
      </c>
      <c r="E1748" s="10">
        <f>VLOOKUP(A1748,Лист2!A:E,4,0)</f>
        <v>75.5</v>
      </c>
      <c r="F1748" s="11">
        <f t="shared" si="84"/>
        <v>-1299000</v>
      </c>
      <c r="G1748" s="11">
        <f t="shared" si="85"/>
        <v>210556.29139072847</v>
      </c>
      <c r="H1748" s="11">
        <f t="shared" si="86"/>
        <v>-17205.298013245032</v>
      </c>
    </row>
    <row r="1749" spans="1:8">
      <c r="A1749" s="6" t="s">
        <v>23</v>
      </c>
      <c r="B1749">
        <v>266777000</v>
      </c>
      <c r="C1749">
        <v>172925000</v>
      </c>
      <c r="D1749" s="8" t="str">
        <f>VLOOKUP(A1749,Лист2!A:E,5,0)</f>
        <v>средние</v>
      </c>
      <c r="E1749" s="10">
        <f>VLOOKUP(A1749,Лист2!A:E,4,0)</f>
        <v>75.5</v>
      </c>
      <c r="F1749" s="11">
        <f t="shared" si="84"/>
        <v>93852000</v>
      </c>
      <c r="G1749" s="11">
        <f t="shared" si="85"/>
        <v>3533470.1986754965</v>
      </c>
      <c r="H1749" s="11">
        <f t="shared" si="86"/>
        <v>1243072.8476821191</v>
      </c>
    </row>
    <row r="1750" spans="1:8">
      <c r="A1750" s="6" t="s">
        <v>23</v>
      </c>
      <c r="B1750">
        <v>37497000</v>
      </c>
      <c r="C1750">
        <v>34710000</v>
      </c>
      <c r="D1750" s="8" t="str">
        <f>VLOOKUP(A1750,Лист2!A:E,5,0)</f>
        <v>средние</v>
      </c>
      <c r="E1750" s="10">
        <f>VLOOKUP(A1750,Лист2!A:E,4,0)</f>
        <v>75.5</v>
      </c>
      <c r="F1750" s="11">
        <f t="shared" si="84"/>
        <v>2787000</v>
      </c>
      <c r="G1750" s="11">
        <f t="shared" si="85"/>
        <v>496649.00662251655</v>
      </c>
      <c r="H1750" s="11">
        <f t="shared" si="86"/>
        <v>36913.907284768211</v>
      </c>
    </row>
    <row r="1751" spans="1:8">
      <c r="A1751" s="6" t="s">
        <v>807</v>
      </c>
      <c r="B1751">
        <v>84435000</v>
      </c>
      <c r="C1751">
        <v>80654000</v>
      </c>
      <c r="D1751" s="8" t="str">
        <f>VLOOKUP(A1751,Лист2!A:E,5,0)</f>
        <v>средние</v>
      </c>
      <c r="E1751" s="10">
        <f>VLOOKUP(A1751,Лист2!A:E,4,0)</f>
        <v>175.5</v>
      </c>
      <c r="F1751" s="11">
        <f t="shared" si="84"/>
        <v>3781000</v>
      </c>
      <c r="G1751" s="11">
        <f t="shared" si="85"/>
        <v>481111.11111111112</v>
      </c>
      <c r="H1751" s="11">
        <f t="shared" si="86"/>
        <v>21544.159544159545</v>
      </c>
    </row>
    <row r="1752" spans="1:8">
      <c r="A1752" s="6" t="s">
        <v>302</v>
      </c>
      <c r="B1752">
        <v>26908000</v>
      </c>
      <c r="C1752">
        <v>26315000</v>
      </c>
      <c r="D1752" s="8" t="str">
        <f>VLOOKUP(A1752,Лист2!A:E,5,0)</f>
        <v>средние</v>
      </c>
      <c r="E1752" s="10">
        <f>VLOOKUP(A1752,Лист2!A:E,4,0)</f>
        <v>125.5</v>
      </c>
      <c r="F1752" s="11">
        <f t="shared" si="84"/>
        <v>593000</v>
      </c>
      <c r="G1752" s="11">
        <f t="shared" si="85"/>
        <v>214406.37450199205</v>
      </c>
      <c r="H1752" s="11">
        <f t="shared" si="86"/>
        <v>4725.0996015936253</v>
      </c>
    </row>
    <row r="1753" spans="1:8">
      <c r="A1753" s="6" t="s">
        <v>302</v>
      </c>
      <c r="B1753">
        <v>409184000</v>
      </c>
      <c r="C1753">
        <v>381551000</v>
      </c>
      <c r="D1753" s="8" t="str">
        <f>VLOOKUP(A1753,Лист2!A:E,5,0)</f>
        <v>средние</v>
      </c>
      <c r="E1753" s="10">
        <f>VLOOKUP(A1753,Лист2!A:E,4,0)</f>
        <v>125.5</v>
      </c>
      <c r="F1753" s="11">
        <f t="shared" si="84"/>
        <v>27633000</v>
      </c>
      <c r="G1753" s="11">
        <f t="shared" si="85"/>
        <v>3260430.2788844621</v>
      </c>
      <c r="H1753" s="11">
        <f t="shared" si="86"/>
        <v>220183.26693227093</v>
      </c>
    </row>
    <row r="1754" spans="1:8">
      <c r="A1754" s="6" t="s">
        <v>23</v>
      </c>
      <c r="B1754">
        <v>20904000</v>
      </c>
      <c r="C1754">
        <v>40169000</v>
      </c>
      <c r="D1754" s="8" t="str">
        <f>VLOOKUP(A1754,Лист2!A:E,5,0)</f>
        <v>средние</v>
      </c>
      <c r="E1754" s="10">
        <f>VLOOKUP(A1754,Лист2!A:E,4,0)</f>
        <v>75.5</v>
      </c>
      <c r="F1754" s="11">
        <f t="shared" si="84"/>
        <v>-19265000</v>
      </c>
      <c r="G1754" s="11">
        <f t="shared" si="85"/>
        <v>276874.17218543048</v>
      </c>
      <c r="H1754" s="11">
        <f t="shared" si="86"/>
        <v>-255165.56291390728</v>
      </c>
    </row>
    <row r="1755" spans="1:8">
      <c r="A1755" s="6" t="s">
        <v>23</v>
      </c>
      <c r="B1755">
        <v>699844000</v>
      </c>
      <c r="C1755">
        <v>700977000</v>
      </c>
      <c r="D1755" s="8" t="str">
        <f>VLOOKUP(A1755,Лист2!A:E,5,0)</f>
        <v>средние</v>
      </c>
      <c r="E1755" s="10">
        <f>VLOOKUP(A1755,Лист2!A:E,4,0)</f>
        <v>75.5</v>
      </c>
      <c r="F1755" s="11">
        <f t="shared" si="84"/>
        <v>-1133000</v>
      </c>
      <c r="G1755" s="11">
        <f t="shared" si="85"/>
        <v>9269456.9536423832</v>
      </c>
      <c r="H1755" s="11">
        <f t="shared" si="86"/>
        <v>-15006.622516556292</v>
      </c>
    </row>
    <row r="1756" spans="1:8">
      <c r="A1756" s="6" t="s">
        <v>23</v>
      </c>
      <c r="B1756">
        <v>103150000</v>
      </c>
      <c r="C1756">
        <v>107313000</v>
      </c>
      <c r="D1756" s="8" t="str">
        <f>VLOOKUP(A1756,Лист2!A:E,5,0)</f>
        <v>средние</v>
      </c>
      <c r="E1756" s="10">
        <f>VLOOKUP(A1756,Лист2!A:E,4,0)</f>
        <v>75.5</v>
      </c>
      <c r="F1756" s="11">
        <f t="shared" si="84"/>
        <v>-4163000</v>
      </c>
      <c r="G1756" s="11">
        <f t="shared" si="85"/>
        <v>1366225.165562914</v>
      </c>
      <c r="H1756" s="11">
        <f t="shared" si="86"/>
        <v>-55139.072847682117</v>
      </c>
    </row>
    <row r="1757" spans="1:8">
      <c r="A1757" s="6" t="s">
        <v>23</v>
      </c>
      <c r="B1757">
        <v>18164000</v>
      </c>
      <c r="C1757">
        <v>42059000</v>
      </c>
      <c r="D1757" s="8" t="str">
        <f>VLOOKUP(A1757,Лист2!A:E,5,0)</f>
        <v>средние</v>
      </c>
      <c r="E1757" s="10">
        <f>VLOOKUP(A1757,Лист2!A:E,4,0)</f>
        <v>75.5</v>
      </c>
      <c r="F1757" s="11">
        <f t="shared" si="84"/>
        <v>-23895000</v>
      </c>
      <c r="G1757" s="11">
        <f t="shared" si="85"/>
        <v>240582.78145695364</v>
      </c>
      <c r="H1757" s="11">
        <f t="shared" si="86"/>
        <v>-316490.06622516556</v>
      </c>
    </row>
    <row r="1758" spans="1:8">
      <c r="A1758" s="6" t="s">
        <v>23</v>
      </c>
      <c r="B1758">
        <v>18591000</v>
      </c>
      <c r="C1758">
        <v>20115000</v>
      </c>
      <c r="D1758" s="8" t="str">
        <f>VLOOKUP(A1758,Лист2!A:E,5,0)</f>
        <v>средние</v>
      </c>
      <c r="E1758" s="10">
        <f>VLOOKUP(A1758,Лист2!A:E,4,0)</f>
        <v>75.5</v>
      </c>
      <c r="F1758" s="11">
        <f t="shared" si="84"/>
        <v>-1524000</v>
      </c>
      <c r="G1758" s="11">
        <f t="shared" si="85"/>
        <v>246238.41059602649</v>
      </c>
      <c r="H1758" s="11">
        <f t="shared" si="86"/>
        <v>-20185.430463576158</v>
      </c>
    </row>
    <row r="1759" spans="1:8">
      <c r="A1759" s="6" t="s">
        <v>302</v>
      </c>
      <c r="B1759">
        <v>73755000</v>
      </c>
      <c r="C1759">
        <v>74899000</v>
      </c>
      <c r="D1759" s="8" t="str">
        <f>VLOOKUP(A1759,Лист2!A:E,5,0)</f>
        <v>средние</v>
      </c>
      <c r="E1759" s="10">
        <f>VLOOKUP(A1759,Лист2!A:E,4,0)</f>
        <v>125.5</v>
      </c>
      <c r="F1759" s="11">
        <f t="shared" si="84"/>
        <v>-1144000</v>
      </c>
      <c r="G1759" s="11">
        <f t="shared" si="85"/>
        <v>587689.24302788847</v>
      </c>
      <c r="H1759" s="11">
        <f t="shared" si="86"/>
        <v>-9115.5378486055779</v>
      </c>
    </row>
    <row r="1760" spans="1:8">
      <c r="A1760" s="6" t="s">
        <v>23</v>
      </c>
      <c r="B1760">
        <v>71152000</v>
      </c>
      <c r="C1760">
        <v>64023000</v>
      </c>
      <c r="D1760" s="8" t="str">
        <f>VLOOKUP(A1760,Лист2!A:E,5,0)</f>
        <v>средние</v>
      </c>
      <c r="E1760" s="10">
        <f>VLOOKUP(A1760,Лист2!A:E,4,0)</f>
        <v>75.5</v>
      </c>
      <c r="F1760" s="11">
        <f t="shared" si="84"/>
        <v>7129000</v>
      </c>
      <c r="G1760" s="11">
        <f t="shared" si="85"/>
        <v>942410.59602649009</v>
      </c>
      <c r="H1760" s="11">
        <f t="shared" si="86"/>
        <v>94423.841059602652</v>
      </c>
    </row>
    <row r="1761" spans="1:8">
      <c r="A1761" s="6" t="s">
        <v>23</v>
      </c>
      <c r="B1761">
        <v>10913000</v>
      </c>
      <c r="C1761">
        <v>18192000</v>
      </c>
      <c r="D1761" s="8" t="str">
        <f>VLOOKUP(A1761,Лист2!A:E,5,0)</f>
        <v>средние</v>
      </c>
      <c r="E1761" s="10">
        <f>VLOOKUP(A1761,Лист2!A:E,4,0)</f>
        <v>75.5</v>
      </c>
      <c r="F1761" s="11">
        <f t="shared" si="84"/>
        <v>-7279000</v>
      </c>
      <c r="G1761" s="11">
        <f t="shared" si="85"/>
        <v>144543.04635761588</v>
      </c>
      <c r="H1761" s="11">
        <f t="shared" si="86"/>
        <v>-96410.596026490064</v>
      </c>
    </row>
    <row r="1762" spans="1:8">
      <c r="A1762" s="6" t="s">
        <v>23</v>
      </c>
      <c r="B1762">
        <v>141272000</v>
      </c>
      <c r="C1762">
        <v>134790000</v>
      </c>
      <c r="D1762" s="8" t="str">
        <f>VLOOKUP(A1762,Лист2!A:E,5,0)</f>
        <v>средние</v>
      </c>
      <c r="E1762" s="10">
        <f>VLOOKUP(A1762,Лист2!A:E,4,0)</f>
        <v>75.5</v>
      </c>
      <c r="F1762" s="11">
        <f t="shared" si="84"/>
        <v>6482000</v>
      </c>
      <c r="G1762" s="11">
        <f t="shared" si="85"/>
        <v>1871152.3178807946</v>
      </c>
      <c r="H1762" s="11">
        <f t="shared" si="86"/>
        <v>85854.304635761582</v>
      </c>
    </row>
    <row r="1763" spans="1:8">
      <c r="A1763" s="6" t="s">
        <v>23</v>
      </c>
      <c r="B1763">
        <v>3482906000</v>
      </c>
      <c r="C1763">
        <v>3578104000</v>
      </c>
      <c r="D1763" s="8" t="str">
        <f>VLOOKUP(A1763,Лист2!A:E,5,0)</f>
        <v>средние</v>
      </c>
      <c r="E1763" s="10">
        <f>VLOOKUP(A1763,Лист2!A:E,4,0)</f>
        <v>75.5</v>
      </c>
      <c r="F1763" s="11">
        <f t="shared" si="84"/>
        <v>-95198000</v>
      </c>
      <c r="G1763" s="11">
        <f t="shared" si="85"/>
        <v>46131205.298013248</v>
      </c>
      <c r="H1763" s="11">
        <f t="shared" si="86"/>
        <v>-1260900.6622516557</v>
      </c>
    </row>
    <row r="1764" spans="1:8">
      <c r="A1764" s="6" t="s">
        <v>280</v>
      </c>
      <c r="B1764">
        <v>70891000</v>
      </c>
      <c r="C1764">
        <v>70487000</v>
      </c>
      <c r="D1764" s="8" t="str">
        <f>VLOOKUP(A1764,Лист2!A:E,5,0)</f>
        <v>крупные</v>
      </c>
      <c r="E1764" s="10">
        <f>VLOOKUP(A1764,Лист2!A:E,4,0)</f>
        <v>225.5</v>
      </c>
      <c r="F1764" s="11">
        <f t="shared" si="84"/>
        <v>404000</v>
      </c>
      <c r="G1764" s="11">
        <f t="shared" si="85"/>
        <v>314372.50554323726</v>
      </c>
      <c r="H1764" s="11">
        <f t="shared" si="86"/>
        <v>1791.5742793791574</v>
      </c>
    </row>
    <row r="1765" spans="1:8">
      <c r="A1765" s="6" t="s">
        <v>23</v>
      </c>
      <c r="B1765">
        <v>34964000</v>
      </c>
      <c r="C1765">
        <v>34972000</v>
      </c>
      <c r="D1765" s="8" t="str">
        <f>VLOOKUP(A1765,Лист2!A:E,5,0)</f>
        <v>средние</v>
      </c>
      <c r="E1765" s="10">
        <f>VLOOKUP(A1765,Лист2!A:E,4,0)</f>
        <v>75.5</v>
      </c>
      <c r="F1765" s="11">
        <f t="shared" si="84"/>
        <v>-8000</v>
      </c>
      <c r="G1765" s="11">
        <f t="shared" si="85"/>
        <v>463099.33774834435</v>
      </c>
      <c r="H1765" s="11">
        <f t="shared" si="86"/>
        <v>-105.96026490066225</v>
      </c>
    </row>
    <row r="1766" spans="1:8">
      <c r="A1766" s="6" t="s">
        <v>23</v>
      </c>
      <c r="B1766">
        <v>27352000</v>
      </c>
      <c r="C1766">
        <v>27122000</v>
      </c>
      <c r="D1766" s="8" t="str">
        <f>VLOOKUP(A1766,Лист2!A:E,5,0)</f>
        <v>средние</v>
      </c>
      <c r="E1766" s="10">
        <f>VLOOKUP(A1766,Лист2!A:E,4,0)</f>
        <v>75.5</v>
      </c>
      <c r="F1766" s="11">
        <f t="shared" si="84"/>
        <v>230000</v>
      </c>
      <c r="G1766" s="11">
        <f t="shared" si="85"/>
        <v>362278.14569536422</v>
      </c>
      <c r="H1766" s="11">
        <f t="shared" si="86"/>
        <v>3046.3576158940396</v>
      </c>
    </row>
    <row r="1767" spans="1:8">
      <c r="A1767" s="6" t="s">
        <v>302</v>
      </c>
      <c r="B1767">
        <v>39799000</v>
      </c>
      <c r="C1767">
        <v>40614000</v>
      </c>
      <c r="D1767" s="8" t="str">
        <f>VLOOKUP(A1767,Лист2!A:E,5,0)</f>
        <v>средние</v>
      </c>
      <c r="E1767" s="10">
        <f>VLOOKUP(A1767,Лист2!A:E,4,0)</f>
        <v>125.5</v>
      </c>
      <c r="F1767" s="11">
        <f t="shared" si="84"/>
        <v>-815000</v>
      </c>
      <c r="G1767" s="11">
        <f t="shared" si="85"/>
        <v>317123.50597609562</v>
      </c>
      <c r="H1767" s="11">
        <f t="shared" si="86"/>
        <v>-6494.0239043824704</v>
      </c>
    </row>
    <row r="1768" spans="1:8">
      <c r="A1768" s="6" t="s">
        <v>23</v>
      </c>
      <c r="B1768">
        <v>46365000</v>
      </c>
      <c r="C1768">
        <v>45726000</v>
      </c>
      <c r="D1768" s="8" t="str">
        <f>VLOOKUP(A1768,Лист2!A:E,5,0)</f>
        <v>средние</v>
      </c>
      <c r="E1768" s="10">
        <f>VLOOKUP(A1768,Лист2!A:E,4,0)</f>
        <v>75.5</v>
      </c>
      <c r="F1768" s="11">
        <f t="shared" si="84"/>
        <v>639000</v>
      </c>
      <c r="G1768" s="11">
        <f t="shared" si="85"/>
        <v>614105.9602649007</v>
      </c>
      <c r="H1768" s="11">
        <f t="shared" si="86"/>
        <v>8463.5761589403974</v>
      </c>
    </row>
    <row r="1769" spans="1:8">
      <c r="A1769" s="6" t="s">
        <v>23</v>
      </c>
      <c r="B1769">
        <v>37020000</v>
      </c>
      <c r="C1769">
        <v>36940000</v>
      </c>
      <c r="D1769" s="8" t="str">
        <f>VLOOKUP(A1769,Лист2!A:E,5,0)</f>
        <v>средние</v>
      </c>
      <c r="E1769" s="10">
        <f>VLOOKUP(A1769,Лист2!A:E,4,0)</f>
        <v>75.5</v>
      </c>
      <c r="F1769" s="11">
        <f t="shared" si="84"/>
        <v>80000</v>
      </c>
      <c r="G1769" s="11">
        <f t="shared" si="85"/>
        <v>490331.12582781457</v>
      </c>
      <c r="H1769" s="11">
        <f t="shared" si="86"/>
        <v>1059.6026490066224</v>
      </c>
    </row>
    <row r="1770" spans="1:8">
      <c r="A1770" s="6" t="s">
        <v>23</v>
      </c>
      <c r="B1770">
        <v>21694000</v>
      </c>
      <c r="C1770">
        <v>22363000</v>
      </c>
      <c r="D1770" s="8" t="str">
        <f>VLOOKUP(A1770,Лист2!A:E,5,0)</f>
        <v>средние</v>
      </c>
      <c r="E1770" s="10">
        <f>VLOOKUP(A1770,Лист2!A:E,4,0)</f>
        <v>75.5</v>
      </c>
      <c r="F1770" s="11">
        <f t="shared" si="84"/>
        <v>-669000</v>
      </c>
      <c r="G1770" s="11">
        <f t="shared" si="85"/>
        <v>287337.74834437086</v>
      </c>
      <c r="H1770" s="11">
        <f t="shared" si="86"/>
        <v>-8860.9271523178813</v>
      </c>
    </row>
    <row r="1771" spans="1:8">
      <c r="A1771" s="6" t="s">
        <v>280</v>
      </c>
      <c r="B1771">
        <v>995636000</v>
      </c>
      <c r="C1771">
        <v>985164000</v>
      </c>
      <c r="D1771" s="8" t="str">
        <f>VLOOKUP(A1771,Лист2!A:E,5,0)</f>
        <v>крупные</v>
      </c>
      <c r="E1771" s="10">
        <f>VLOOKUP(A1771,Лист2!A:E,4,0)</f>
        <v>225.5</v>
      </c>
      <c r="F1771" s="11">
        <f t="shared" si="84"/>
        <v>10472000</v>
      </c>
      <c r="G1771" s="11">
        <f t="shared" si="85"/>
        <v>4415237.2505543241</v>
      </c>
      <c r="H1771" s="11">
        <f t="shared" si="86"/>
        <v>46439.024390243903</v>
      </c>
    </row>
  </sheetData>
  <autoFilter ref="A1:K1771" xr:uid="{0DFC508D-090A-4B15-87E1-BE3DFCA40C5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B46D-1E19-4AAF-A31A-0C40D92C53BF}">
  <dimension ref="A1:H1720"/>
  <sheetViews>
    <sheetView zoomScale="80" zoomScaleNormal="80" workbookViewId="0">
      <selection sqref="A1:H1"/>
    </sheetView>
  </sheetViews>
  <sheetFormatPr defaultRowHeight="15"/>
  <cols>
    <col min="1" max="1" width="32" customWidth="1"/>
    <col min="2" max="2" width="31.7109375" customWidth="1"/>
    <col min="3" max="3" width="32" customWidth="1"/>
    <col min="4" max="4" width="7.85546875" bestFit="1" customWidth="1"/>
    <col min="5" max="5" width="8.5703125" bestFit="1" customWidth="1"/>
    <col min="6" max="6" width="22.140625" bestFit="1" customWidth="1"/>
    <col min="7" max="7" width="20.28515625" bestFit="1" customWidth="1"/>
    <col min="8" max="8" width="23" bestFit="1" customWidth="1"/>
  </cols>
  <sheetData>
    <row r="1" spans="1:8" ht="25.5">
      <c r="A1" s="1" t="s">
        <v>7890</v>
      </c>
      <c r="B1" s="1" t="s">
        <v>7891</v>
      </c>
      <c r="C1" s="1" t="s">
        <v>7892</v>
      </c>
      <c r="D1" s="7" t="s">
        <v>7899</v>
      </c>
      <c r="E1" s="7" t="s">
        <v>7900</v>
      </c>
      <c r="F1" s="9" t="s">
        <v>7893</v>
      </c>
      <c r="G1" s="9" t="s">
        <v>7894</v>
      </c>
      <c r="H1" s="9" t="s">
        <v>7895</v>
      </c>
    </row>
    <row r="2" spans="1:8">
      <c r="A2" s="6" t="s">
        <v>18</v>
      </c>
      <c r="B2" s="5">
        <v>1533000</v>
      </c>
      <c r="C2" s="5">
        <v>1458000</v>
      </c>
      <c r="D2" t="str">
        <f>VLOOKUP(A2,Лист2!A:E,5,0)</f>
        <v>малые</v>
      </c>
      <c r="E2">
        <f>VLOOKUP(A2,Лист2!A:E,4,0)</f>
        <v>2.5</v>
      </c>
      <c r="F2" s="12">
        <f>B2-C2</f>
        <v>75000</v>
      </c>
      <c r="G2">
        <f>B2/E2</f>
        <v>613200</v>
      </c>
      <c r="H2">
        <f>F2/E2</f>
        <v>30000</v>
      </c>
    </row>
    <row r="3" spans="1:8">
      <c r="A3" s="6" t="s">
        <v>22</v>
      </c>
      <c r="B3" s="5">
        <v>754602000</v>
      </c>
      <c r="C3" s="5">
        <v>641697000</v>
      </c>
      <c r="D3" t="str">
        <f>VLOOKUP(A3,Лист2!A:E,5,0)</f>
        <v>малые</v>
      </c>
      <c r="E3">
        <f>VLOOKUP(A3,Лист2!A:E,4,0)</f>
        <v>13</v>
      </c>
      <c r="F3" s="12">
        <f t="shared" ref="F3:F54" si="0">B3-C3</f>
        <v>112905000</v>
      </c>
      <c r="G3">
        <f t="shared" ref="G3:G54" si="1">B3/E3</f>
        <v>58046307.692307696</v>
      </c>
      <c r="H3">
        <f t="shared" ref="H3:H54" si="2">F3/E3</f>
        <v>8685000</v>
      </c>
    </row>
    <row r="4" spans="1:8">
      <c r="A4" s="6" t="s">
        <v>18</v>
      </c>
      <c r="B4" s="5">
        <v>5000000</v>
      </c>
      <c r="C4" s="5">
        <v>4516000</v>
      </c>
      <c r="D4" t="str">
        <f>VLOOKUP(A4,Лист2!A:E,5,0)</f>
        <v>малые</v>
      </c>
      <c r="E4">
        <f>VLOOKUP(A4,Лист2!A:E,4,0)</f>
        <v>2.5</v>
      </c>
      <c r="F4" s="12">
        <f t="shared" si="0"/>
        <v>484000</v>
      </c>
      <c r="G4">
        <f t="shared" si="1"/>
        <v>2000000</v>
      </c>
      <c r="H4">
        <f t="shared" si="2"/>
        <v>193600</v>
      </c>
    </row>
    <row r="5" spans="1:8">
      <c r="A5" s="6" t="s">
        <v>22</v>
      </c>
      <c r="B5" s="5">
        <v>27002000</v>
      </c>
      <c r="C5" s="5">
        <v>29355000</v>
      </c>
      <c r="D5" t="str">
        <f>VLOOKUP(A5,Лист2!A:E,5,0)</f>
        <v>малые</v>
      </c>
      <c r="E5">
        <f>VLOOKUP(A5,Лист2!A:E,4,0)</f>
        <v>13</v>
      </c>
      <c r="F5" s="12">
        <f t="shared" si="0"/>
        <v>-2353000</v>
      </c>
      <c r="G5">
        <f t="shared" si="1"/>
        <v>2077076.923076923</v>
      </c>
      <c r="H5">
        <f t="shared" si="2"/>
        <v>-181000</v>
      </c>
    </row>
    <row r="6" spans="1:8">
      <c r="A6" s="6" t="s">
        <v>18</v>
      </c>
      <c r="B6" s="5">
        <v>4280000</v>
      </c>
      <c r="C6" s="5">
        <v>4122000</v>
      </c>
      <c r="D6" t="str">
        <f>VLOOKUP(A6,Лист2!A:E,5,0)</f>
        <v>малые</v>
      </c>
      <c r="E6">
        <f>VLOOKUP(A6,Лист2!A:E,4,0)</f>
        <v>2.5</v>
      </c>
      <c r="F6" s="12">
        <f t="shared" si="0"/>
        <v>158000</v>
      </c>
      <c r="G6">
        <f t="shared" si="1"/>
        <v>1712000</v>
      </c>
      <c r="H6">
        <f t="shared" si="2"/>
        <v>63200</v>
      </c>
    </row>
    <row r="7" spans="1:8">
      <c r="A7" s="6" t="s">
        <v>18</v>
      </c>
      <c r="B7" s="5">
        <v>1661000</v>
      </c>
      <c r="C7" s="5">
        <v>1674000</v>
      </c>
      <c r="D7" t="str">
        <f>VLOOKUP(A7,Лист2!A:E,5,0)</f>
        <v>малые</v>
      </c>
      <c r="E7">
        <f>VLOOKUP(A7,Лист2!A:E,4,0)</f>
        <v>2.5</v>
      </c>
      <c r="F7" s="12">
        <f t="shared" si="0"/>
        <v>-13000</v>
      </c>
      <c r="G7">
        <f t="shared" si="1"/>
        <v>664400</v>
      </c>
      <c r="H7">
        <f t="shared" si="2"/>
        <v>-5200</v>
      </c>
    </row>
    <row r="8" spans="1:8">
      <c r="A8" s="6" t="s">
        <v>18</v>
      </c>
      <c r="B8" s="5">
        <v>67000000</v>
      </c>
      <c r="C8" s="5">
        <v>74958000</v>
      </c>
      <c r="D8" t="str">
        <f>VLOOKUP(A8,Лист2!A:E,5,0)</f>
        <v>малые</v>
      </c>
      <c r="E8">
        <f>VLOOKUP(A8,Лист2!A:E,4,0)</f>
        <v>2.5</v>
      </c>
      <c r="F8" s="12">
        <f t="shared" si="0"/>
        <v>-7958000</v>
      </c>
      <c r="G8">
        <f t="shared" si="1"/>
        <v>26800000</v>
      </c>
      <c r="H8">
        <f t="shared" si="2"/>
        <v>-3183200</v>
      </c>
    </row>
    <row r="9" spans="1:8">
      <c r="A9" s="6" t="s">
        <v>18</v>
      </c>
      <c r="B9" s="5">
        <v>366217000</v>
      </c>
      <c r="C9" s="5">
        <v>363962000</v>
      </c>
      <c r="D9" t="str">
        <f>VLOOKUP(A9,Лист2!A:E,5,0)</f>
        <v>малые</v>
      </c>
      <c r="E9">
        <f>VLOOKUP(A9,Лист2!A:E,4,0)</f>
        <v>2.5</v>
      </c>
      <c r="F9" s="12">
        <f t="shared" si="0"/>
        <v>2255000</v>
      </c>
      <c r="G9">
        <f t="shared" si="1"/>
        <v>146486800</v>
      </c>
      <c r="H9">
        <f t="shared" si="2"/>
        <v>902000</v>
      </c>
    </row>
    <row r="10" spans="1:8">
      <c r="A10" s="6" t="s">
        <v>23</v>
      </c>
      <c r="B10" s="5">
        <v>253031000</v>
      </c>
      <c r="C10" s="5">
        <v>256576000</v>
      </c>
      <c r="D10" t="str">
        <f>VLOOKUP(A10,Лист2!A:E,5,0)</f>
        <v>средние</v>
      </c>
      <c r="E10">
        <f>VLOOKUP(A10,Лист2!A:E,4,0)</f>
        <v>75.5</v>
      </c>
      <c r="F10" s="12">
        <f t="shared" si="0"/>
        <v>-3545000</v>
      </c>
      <c r="G10">
        <f t="shared" si="1"/>
        <v>3351403.9735099338</v>
      </c>
      <c r="H10">
        <f t="shared" si="2"/>
        <v>-46953.642384105959</v>
      </c>
    </row>
    <row r="11" spans="1:8">
      <c r="A11" s="6" t="s">
        <v>18</v>
      </c>
      <c r="B11" s="5">
        <v>18169000</v>
      </c>
      <c r="C11" s="5">
        <v>15809000</v>
      </c>
      <c r="D11" t="str">
        <f>VLOOKUP(A11,Лист2!A:E,5,0)</f>
        <v>малые</v>
      </c>
      <c r="E11">
        <f>VLOOKUP(A11,Лист2!A:E,4,0)</f>
        <v>2.5</v>
      </c>
      <c r="F11" s="12">
        <f t="shared" si="0"/>
        <v>2360000</v>
      </c>
      <c r="G11">
        <f t="shared" si="1"/>
        <v>7267600</v>
      </c>
      <c r="H11">
        <f t="shared" si="2"/>
        <v>944000</v>
      </c>
    </row>
    <row r="12" spans="1:8">
      <c r="A12" s="6" t="s">
        <v>22</v>
      </c>
      <c r="B12" s="5">
        <v>191006000</v>
      </c>
      <c r="C12" s="5">
        <v>207475000</v>
      </c>
      <c r="D12" t="str">
        <f>VLOOKUP(A12,Лист2!A:E,5,0)</f>
        <v>малые</v>
      </c>
      <c r="E12">
        <f>VLOOKUP(A12,Лист2!A:E,4,0)</f>
        <v>13</v>
      </c>
      <c r="F12" s="12">
        <f t="shared" si="0"/>
        <v>-16469000</v>
      </c>
      <c r="G12">
        <f t="shared" si="1"/>
        <v>14692769.23076923</v>
      </c>
      <c r="H12">
        <f t="shared" si="2"/>
        <v>-1266846.1538461538</v>
      </c>
    </row>
    <row r="13" spans="1:8">
      <c r="A13" s="6" t="s">
        <v>23</v>
      </c>
      <c r="B13" s="5">
        <v>128983000</v>
      </c>
      <c r="C13" s="5">
        <v>95513000</v>
      </c>
      <c r="D13" t="str">
        <f>VLOOKUP(A13,Лист2!A:E,5,0)</f>
        <v>средние</v>
      </c>
      <c r="E13">
        <f>VLOOKUP(A13,Лист2!A:E,4,0)</f>
        <v>75.5</v>
      </c>
      <c r="F13" s="12">
        <f t="shared" si="0"/>
        <v>33470000</v>
      </c>
      <c r="G13">
        <f t="shared" si="1"/>
        <v>1708384.1059602648</v>
      </c>
      <c r="H13">
        <f t="shared" si="2"/>
        <v>443311.25827814569</v>
      </c>
    </row>
    <row r="14" spans="1:8">
      <c r="A14" s="6" t="s">
        <v>18</v>
      </c>
      <c r="B14" s="5">
        <v>16977000</v>
      </c>
      <c r="C14" s="5">
        <v>20640000</v>
      </c>
      <c r="D14" t="str">
        <f>VLOOKUP(A14,Лист2!A:E,5,0)</f>
        <v>малые</v>
      </c>
      <c r="E14">
        <f>VLOOKUP(A14,Лист2!A:E,4,0)</f>
        <v>2.5</v>
      </c>
      <c r="F14" s="12">
        <f t="shared" si="0"/>
        <v>-3663000</v>
      </c>
      <c r="G14">
        <f t="shared" si="1"/>
        <v>6790800</v>
      </c>
      <c r="H14">
        <f t="shared" si="2"/>
        <v>-1465200</v>
      </c>
    </row>
    <row r="15" spans="1:8">
      <c r="A15" s="6" t="s">
        <v>18</v>
      </c>
      <c r="B15" s="5">
        <v>78588000</v>
      </c>
      <c r="C15" s="5">
        <v>76572000</v>
      </c>
      <c r="D15" t="str">
        <f>VLOOKUP(A15,Лист2!A:E,5,0)</f>
        <v>малые</v>
      </c>
      <c r="E15">
        <f>VLOOKUP(A15,Лист2!A:E,4,0)</f>
        <v>2.5</v>
      </c>
      <c r="F15" s="12">
        <f t="shared" si="0"/>
        <v>2016000</v>
      </c>
      <c r="G15">
        <f t="shared" si="1"/>
        <v>31435200</v>
      </c>
      <c r="H15">
        <f t="shared" si="2"/>
        <v>806400</v>
      </c>
    </row>
    <row r="16" spans="1:8">
      <c r="A16" s="6" t="s">
        <v>77</v>
      </c>
      <c r="B16" s="5">
        <v>381000</v>
      </c>
      <c r="C16" s="5">
        <v>3501000</v>
      </c>
      <c r="D16" t="str">
        <f>VLOOKUP(A16,Лист2!A:E,5,0)</f>
        <v>малые</v>
      </c>
      <c r="E16">
        <f>VLOOKUP(A16,Лист2!A:E,4,0)</f>
        <v>8</v>
      </c>
      <c r="F16" s="12">
        <f t="shared" si="0"/>
        <v>-3120000</v>
      </c>
      <c r="G16">
        <f t="shared" si="1"/>
        <v>47625</v>
      </c>
      <c r="H16">
        <f t="shared" si="2"/>
        <v>-390000</v>
      </c>
    </row>
    <row r="17" spans="1:8">
      <c r="A17" s="6" t="s">
        <v>18</v>
      </c>
      <c r="B17" s="5">
        <v>1684000</v>
      </c>
      <c r="C17" s="5">
        <v>81000</v>
      </c>
      <c r="D17" t="str">
        <f>VLOOKUP(A17,Лист2!A:E,5,0)</f>
        <v>малые</v>
      </c>
      <c r="E17">
        <f>VLOOKUP(A17,Лист2!A:E,4,0)</f>
        <v>2.5</v>
      </c>
      <c r="F17" s="12">
        <f t="shared" si="0"/>
        <v>1603000</v>
      </c>
      <c r="G17">
        <f t="shared" si="1"/>
        <v>673600</v>
      </c>
      <c r="H17">
        <f t="shared" si="2"/>
        <v>641200</v>
      </c>
    </row>
    <row r="18" spans="1:8">
      <c r="A18" s="6" t="s">
        <v>77</v>
      </c>
      <c r="B18" s="5">
        <v>9631000</v>
      </c>
      <c r="C18" s="5">
        <v>24596000</v>
      </c>
      <c r="D18" t="str">
        <f>VLOOKUP(A18,Лист2!A:E,5,0)</f>
        <v>малые</v>
      </c>
      <c r="E18">
        <f>VLOOKUP(A18,Лист2!A:E,4,0)</f>
        <v>8</v>
      </c>
      <c r="F18" s="12">
        <f t="shared" si="0"/>
        <v>-14965000</v>
      </c>
      <c r="G18">
        <f t="shared" si="1"/>
        <v>1203875</v>
      </c>
      <c r="H18">
        <f t="shared" si="2"/>
        <v>-1870625</v>
      </c>
    </row>
    <row r="19" spans="1:8">
      <c r="A19" s="6" t="s">
        <v>18</v>
      </c>
      <c r="B19" s="5">
        <v>153000</v>
      </c>
      <c r="C19" s="5">
        <v>123000</v>
      </c>
      <c r="D19" t="str">
        <f>VLOOKUP(A19,Лист2!A:E,5,0)</f>
        <v>малые</v>
      </c>
      <c r="E19">
        <f>VLOOKUP(A19,Лист2!A:E,4,0)</f>
        <v>2.5</v>
      </c>
      <c r="F19" s="12">
        <f t="shared" si="0"/>
        <v>30000</v>
      </c>
      <c r="G19">
        <f t="shared" si="1"/>
        <v>61200</v>
      </c>
      <c r="H19">
        <f t="shared" si="2"/>
        <v>12000</v>
      </c>
    </row>
    <row r="20" spans="1:8">
      <c r="A20" s="6" t="s">
        <v>18</v>
      </c>
      <c r="B20" s="5">
        <v>12211000</v>
      </c>
      <c r="C20" s="5">
        <v>12285000</v>
      </c>
      <c r="D20" t="str">
        <f>VLOOKUP(A20,Лист2!A:E,5,0)</f>
        <v>малые</v>
      </c>
      <c r="E20">
        <f>VLOOKUP(A20,Лист2!A:E,4,0)</f>
        <v>2.5</v>
      </c>
      <c r="F20" s="12">
        <f t="shared" si="0"/>
        <v>-74000</v>
      </c>
      <c r="G20">
        <f t="shared" si="1"/>
        <v>4884400</v>
      </c>
      <c r="H20">
        <f t="shared" si="2"/>
        <v>-29600</v>
      </c>
    </row>
    <row r="21" spans="1:8">
      <c r="A21" s="6" t="s">
        <v>18</v>
      </c>
      <c r="B21" s="5">
        <v>220873000</v>
      </c>
      <c r="C21" s="5">
        <v>218348000</v>
      </c>
      <c r="D21" t="str">
        <f>VLOOKUP(A21,Лист2!A:E,5,0)</f>
        <v>малые</v>
      </c>
      <c r="E21">
        <f>VLOOKUP(A21,Лист2!A:E,4,0)</f>
        <v>2.5</v>
      </c>
      <c r="F21" s="12">
        <f t="shared" si="0"/>
        <v>2525000</v>
      </c>
      <c r="G21">
        <f t="shared" si="1"/>
        <v>88349200</v>
      </c>
      <c r="H21">
        <f t="shared" si="2"/>
        <v>1010000</v>
      </c>
    </row>
    <row r="22" spans="1:8">
      <c r="A22" s="6" t="s">
        <v>18</v>
      </c>
      <c r="B22" s="5">
        <v>397000</v>
      </c>
      <c r="C22" s="5">
        <v>397000</v>
      </c>
      <c r="D22" t="str">
        <f>VLOOKUP(A22,Лист2!A:E,5,0)</f>
        <v>малые</v>
      </c>
      <c r="E22">
        <f>VLOOKUP(A22,Лист2!A:E,4,0)</f>
        <v>2.5</v>
      </c>
      <c r="F22" s="12">
        <f t="shared" si="0"/>
        <v>0</v>
      </c>
      <c r="G22">
        <f t="shared" si="1"/>
        <v>158800</v>
      </c>
      <c r="H22">
        <f t="shared" si="2"/>
        <v>0</v>
      </c>
    </row>
    <row r="23" spans="1:8">
      <c r="A23" s="6" t="s">
        <v>18</v>
      </c>
      <c r="B23" s="5">
        <v>560000</v>
      </c>
      <c r="C23" s="5">
        <v>522000</v>
      </c>
      <c r="D23" t="str">
        <f>VLOOKUP(A23,Лист2!A:E,5,0)</f>
        <v>малые</v>
      </c>
      <c r="E23">
        <f>VLOOKUP(A23,Лист2!A:E,4,0)</f>
        <v>2.5</v>
      </c>
      <c r="F23" s="12">
        <f t="shared" si="0"/>
        <v>38000</v>
      </c>
      <c r="G23">
        <f t="shared" si="1"/>
        <v>224000</v>
      </c>
      <c r="H23">
        <f t="shared" si="2"/>
        <v>15200</v>
      </c>
    </row>
    <row r="24" spans="1:8">
      <c r="A24" s="6" t="s">
        <v>18</v>
      </c>
      <c r="B24" s="5">
        <v>3700000</v>
      </c>
      <c r="C24" s="5">
        <v>3400000</v>
      </c>
      <c r="D24" t="str">
        <f>VLOOKUP(A24,Лист2!A:E,5,0)</f>
        <v>малые</v>
      </c>
      <c r="E24">
        <f>VLOOKUP(A24,Лист2!A:E,4,0)</f>
        <v>2.5</v>
      </c>
      <c r="F24" s="12">
        <f t="shared" si="0"/>
        <v>300000</v>
      </c>
      <c r="G24">
        <f t="shared" si="1"/>
        <v>1480000</v>
      </c>
      <c r="H24">
        <f t="shared" si="2"/>
        <v>120000</v>
      </c>
    </row>
    <row r="25" spans="1:8">
      <c r="A25" s="6" t="s">
        <v>18</v>
      </c>
      <c r="B25" s="5">
        <v>3226000</v>
      </c>
      <c r="C25" s="5">
        <v>3248000</v>
      </c>
      <c r="D25" t="str">
        <f>VLOOKUP(A25,Лист2!A:E,5,0)</f>
        <v>малые</v>
      </c>
      <c r="E25">
        <f>VLOOKUP(A25,Лист2!A:E,4,0)</f>
        <v>2.5</v>
      </c>
      <c r="F25" s="12">
        <f t="shared" si="0"/>
        <v>-22000</v>
      </c>
      <c r="G25">
        <f t="shared" si="1"/>
        <v>1290400</v>
      </c>
      <c r="H25">
        <f t="shared" si="2"/>
        <v>-8800</v>
      </c>
    </row>
    <row r="26" spans="1:8">
      <c r="A26" s="6" t="s">
        <v>18</v>
      </c>
      <c r="B26" s="5">
        <v>4154000</v>
      </c>
      <c r="C26" s="5">
        <v>4154000</v>
      </c>
      <c r="D26" t="str">
        <f>VLOOKUP(A26,Лист2!A:E,5,0)</f>
        <v>малые</v>
      </c>
      <c r="E26">
        <f>VLOOKUP(A26,Лист2!A:E,4,0)</f>
        <v>2.5</v>
      </c>
      <c r="F26" s="12">
        <f t="shared" si="0"/>
        <v>0</v>
      </c>
      <c r="G26">
        <f t="shared" si="1"/>
        <v>1661600</v>
      </c>
      <c r="H26">
        <f t="shared" si="2"/>
        <v>0</v>
      </c>
    </row>
    <row r="27" spans="1:8">
      <c r="A27" s="6" t="s">
        <v>18</v>
      </c>
      <c r="B27" s="5">
        <v>4290000</v>
      </c>
      <c r="C27" s="5">
        <v>2999000</v>
      </c>
      <c r="D27" t="str">
        <f>VLOOKUP(A27,Лист2!A:E,5,0)</f>
        <v>малые</v>
      </c>
      <c r="E27">
        <f>VLOOKUP(A27,Лист2!A:E,4,0)</f>
        <v>2.5</v>
      </c>
      <c r="F27" s="12">
        <f t="shared" si="0"/>
        <v>1291000</v>
      </c>
      <c r="G27">
        <f t="shared" si="1"/>
        <v>1716000</v>
      </c>
      <c r="H27">
        <f t="shared" si="2"/>
        <v>516400</v>
      </c>
    </row>
    <row r="28" spans="1:8">
      <c r="A28" s="6" t="s">
        <v>18</v>
      </c>
      <c r="B28" s="5">
        <v>275000</v>
      </c>
      <c r="C28" s="5">
        <v>111000</v>
      </c>
      <c r="D28" t="str">
        <f>VLOOKUP(A28,Лист2!A:E,5,0)</f>
        <v>малые</v>
      </c>
      <c r="E28">
        <f>VLOOKUP(A28,Лист2!A:E,4,0)</f>
        <v>2.5</v>
      </c>
      <c r="F28" s="12">
        <f t="shared" si="0"/>
        <v>164000</v>
      </c>
      <c r="G28">
        <f t="shared" si="1"/>
        <v>110000</v>
      </c>
      <c r="H28">
        <f t="shared" si="2"/>
        <v>65600</v>
      </c>
    </row>
    <row r="29" spans="1:8">
      <c r="A29" s="6" t="s">
        <v>22</v>
      </c>
      <c r="B29" s="5">
        <v>13640000</v>
      </c>
      <c r="C29" s="5">
        <v>2813000</v>
      </c>
      <c r="D29" t="str">
        <f>VLOOKUP(A29,Лист2!A:E,5,0)</f>
        <v>малые</v>
      </c>
      <c r="E29">
        <f>VLOOKUP(A29,Лист2!A:E,4,0)</f>
        <v>13</v>
      </c>
      <c r="F29" s="12">
        <f t="shared" si="0"/>
        <v>10827000</v>
      </c>
      <c r="G29">
        <f t="shared" si="1"/>
        <v>1049230.7692307692</v>
      </c>
      <c r="H29">
        <f t="shared" si="2"/>
        <v>832846.15384615387</v>
      </c>
    </row>
    <row r="30" spans="1:8">
      <c r="A30" s="6" t="s">
        <v>18</v>
      </c>
      <c r="B30" s="5">
        <v>13220000</v>
      </c>
      <c r="C30" s="5">
        <v>12976000</v>
      </c>
      <c r="D30" t="str">
        <f>VLOOKUP(A30,Лист2!A:E,5,0)</f>
        <v>малые</v>
      </c>
      <c r="E30">
        <f>VLOOKUP(A30,Лист2!A:E,4,0)</f>
        <v>2.5</v>
      </c>
      <c r="F30" s="12">
        <f t="shared" si="0"/>
        <v>244000</v>
      </c>
      <c r="G30">
        <f t="shared" si="1"/>
        <v>5288000</v>
      </c>
      <c r="H30">
        <f t="shared" si="2"/>
        <v>97600</v>
      </c>
    </row>
    <row r="31" spans="1:8">
      <c r="A31" s="6" t="s">
        <v>18</v>
      </c>
      <c r="B31" s="5">
        <v>1782000</v>
      </c>
      <c r="C31" s="5">
        <v>1655000</v>
      </c>
      <c r="D31" t="str">
        <f>VLOOKUP(A31,Лист2!A:E,5,0)</f>
        <v>малые</v>
      </c>
      <c r="E31">
        <f>VLOOKUP(A31,Лист2!A:E,4,0)</f>
        <v>2.5</v>
      </c>
      <c r="F31" s="12">
        <f t="shared" si="0"/>
        <v>127000</v>
      </c>
      <c r="G31">
        <f t="shared" si="1"/>
        <v>712800</v>
      </c>
      <c r="H31">
        <f t="shared" si="2"/>
        <v>50800</v>
      </c>
    </row>
    <row r="32" spans="1:8">
      <c r="A32" s="6" t="s">
        <v>18</v>
      </c>
      <c r="B32" s="5">
        <v>144895000</v>
      </c>
      <c r="C32" s="5">
        <v>178280000</v>
      </c>
      <c r="D32" t="str">
        <f>VLOOKUP(A32,Лист2!A:E,5,0)</f>
        <v>малые</v>
      </c>
      <c r="E32">
        <f>VLOOKUP(A32,Лист2!A:E,4,0)</f>
        <v>2.5</v>
      </c>
      <c r="F32" s="12">
        <f t="shared" si="0"/>
        <v>-33385000</v>
      </c>
      <c r="G32">
        <f t="shared" si="1"/>
        <v>57958000</v>
      </c>
      <c r="H32">
        <f t="shared" si="2"/>
        <v>-13354000</v>
      </c>
    </row>
    <row r="33" spans="1:8">
      <c r="A33" s="6" t="s">
        <v>18</v>
      </c>
      <c r="B33" s="5">
        <v>45304000</v>
      </c>
      <c r="C33" s="5">
        <v>46293000</v>
      </c>
      <c r="D33" t="str">
        <f>VLOOKUP(A33,Лист2!A:E,5,0)</f>
        <v>малые</v>
      </c>
      <c r="E33">
        <f>VLOOKUP(A33,Лист2!A:E,4,0)</f>
        <v>2.5</v>
      </c>
      <c r="F33" s="12">
        <f t="shared" si="0"/>
        <v>-989000</v>
      </c>
      <c r="G33">
        <f t="shared" si="1"/>
        <v>18121600</v>
      </c>
      <c r="H33">
        <f t="shared" si="2"/>
        <v>-395600</v>
      </c>
    </row>
    <row r="34" spans="1:8">
      <c r="A34" s="6" t="s">
        <v>77</v>
      </c>
      <c r="B34" s="5">
        <v>9916000</v>
      </c>
      <c r="C34" s="5">
        <v>14554000</v>
      </c>
      <c r="D34" t="str">
        <f>VLOOKUP(A34,Лист2!A:E,5,0)</f>
        <v>малые</v>
      </c>
      <c r="E34">
        <f>VLOOKUP(A34,Лист2!A:E,4,0)</f>
        <v>8</v>
      </c>
      <c r="F34" s="12">
        <f t="shared" si="0"/>
        <v>-4638000</v>
      </c>
      <c r="G34">
        <f t="shared" si="1"/>
        <v>1239500</v>
      </c>
      <c r="H34">
        <f t="shared" si="2"/>
        <v>-579750</v>
      </c>
    </row>
    <row r="35" spans="1:8">
      <c r="A35" s="6" t="s">
        <v>18</v>
      </c>
      <c r="B35" s="5">
        <v>30155000</v>
      </c>
      <c r="C35" s="5">
        <v>35079000</v>
      </c>
      <c r="D35" t="str">
        <f>VLOOKUP(A35,Лист2!A:E,5,0)</f>
        <v>малые</v>
      </c>
      <c r="E35">
        <f>VLOOKUP(A35,Лист2!A:E,4,0)</f>
        <v>2.5</v>
      </c>
      <c r="F35" s="12">
        <f t="shared" si="0"/>
        <v>-4924000</v>
      </c>
      <c r="G35">
        <f t="shared" si="1"/>
        <v>12062000</v>
      </c>
      <c r="H35">
        <f t="shared" si="2"/>
        <v>-1969600</v>
      </c>
    </row>
    <row r="36" spans="1:8">
      <c r="A36" s="6" t="s">
        <v>18</v>
      </c>
      <c r="B36" s="5">
        <v>3091000</v>
      </c>
      <c r="C36" s="5">
        <v>5694000</v>
      </c>
      <c r="D36" t="str">
        <f>VLOOKUP(A36,Лист2!A:E,5,0)</f>
        <v>малые</v>
      </c>
      <c r="E36">
        <f>VLOOKUP(A36,Лист2!A:E,4,0)</f>
        <v>2.5</v>
      </c>
      <c r="F36" s="12">
        <f t="shared" si="0"/>
        <v>-2603000</v>
      </c>
      <c r="G36">
        <f t="shared" si="1"/>
        <v>1236400</v>
      </c>
      <c r="H36">
        <f t="shared" si="2"/>
        <v>-1041200</v>
      </c>
    </row>
    <row r="37" spans="1:8">
      <c r="A37" s="6" t="s">
        <v>18</v>
      </c>
      <c r="B37" s="5">
        <v>4737000</v>
      </c>
      <c r="C37" s="5">
        <v>4219000</v>
      </c>
      <c r="D37" t="str">
        <f>VLOOKUP(A37,Лист2!A:E,5,0)</f>
        <v>малые</v>
      </c>
      <c r="E37">
        <f>VLOOKUP(A37,Лист2!A:E,4,0)</f>
        <v>2.5</v>
      </c>
      <c r="F37" s="12">
        <f t="shared" si="0"/>
        <v>518000</v>
      </c>
      <c r="G37">
        <f t="shared" si="1"/>
        <v>1894800</v>
      </c>
      <c r="H37">
        <f t="shared" si="2"/>
        <v>207200</v>
      </c>
    </row>
    <row r="38" spans="1:8">
      <c r="A38" s="6" t="s">
        <v>18</v>
      </c>
      <c r="B38" s="5">
        <v>2577000</v>
      </c>
      <c r="C38" s="5">
        <v>548000</v>
      </c>
      <c r="D38" t="str">
        <f>VLOOKUP(A38,Лист2!A:E,5,0)</f>
        <v>малые</v>
      </c>
      <c r="E38">
        <f>VLOOKUP(A38,Лист2!A:E,4,0)</f>
        <v>2.5</v>
      </c>
      <c r="F38" s="12">
        <f t="shared" si="0"/>
        <v>2029000</v>
      </c>
      <c r="G38">
        <f t="shared" si="1"/>
        <v>1030800</v>
      </c>
      <c r="H38">
        <f t="shared" si="2"/>
        <v>811600</v>
      </c>
    </row>
    <row r="39" spans="1:8">
      <c r="A39" s="6" t="s">
        <v>18</v>
      </c>
      <c r="B39" s="5">
        <v>28095000</v>
      </c>
      <c r="C39" s="5">
        <v>29532000</v>
      </c>
      <c r="D39" t="str">
        <f>VLOOKUP(A39,Лист2!A:E,5,0)</f>
        <v>малые</v>
      </c>
      <c r="E39">
        <f>VLOOKUP(A39,Лист2!A:E,4,0)</f>
        <v>2.5</v>
      </c>
      <c r="F39" s="12">
        <f t="shared" si="0"/>
        <v>-1437000</v>
      </c>
      <c r="G39">
        <f t="shared" si="1"/>
        <v>11238000</v>
      </c>
      <c r="H39">
        <f t="shared" si="2"/>
        <v>-574800</v>
      </c>
    </row>
    <row r="40" spans="1:8">
      <c r="A40" s="6" t="s">
        <v>18</v>
      </c>
      <c r="B40" s="5">
        <v>3316000</v>
      </c>
      <c r="C40" s="5">
        <v>12956000</v>
      </c>
      <c r="D40" t="str">
        <f>VLOOKUP(A40,Лист2!A:E,5,0)</f>
        <v>малые</v>
      </c>
      <c r="E40">
        <f>VLOOKUP(A40,Лист2!A:E,4,0)</f>
        <v>2.5</v>
      </c>
      <c r="F40" s="12">
        <f t="shared" si="0"/>
        <v>-9640000</v>
      </c>
      <c r="G40">
        <f t="shared" si="1"/>
        <v>1326400</v>
      </c>
      <c r="H40">
        <f t="shared" si="2"/>
        <v>-3856000</v>
      </c>
    </row>
    <row r="41" spans="1:8">
      <c r="A41" s="6" t="s">
        <v>18</v>
      </c>
      <c r="B41" s="5">
        <v>150000</v>
      </c>
      <c r="C41" s="5">
        <v>120000</v>
      </c>
      <c r="D41" t="str">
        <f>VLOOKUP(A41,Лист2!A:E,5,0)</f>
        <v>малые</v>
      </c>
      <c r="E41">
        <f>VLOOKUP(A41,Лист2!A:E,4,0)</f>
        <v>2.5</v>
      </c>
      <c r="F41" s="12">
        <f t="shared" si="0"/>
        <v>30000</v>
      </c>
      <c r="G41">
        <f t="shared" si="1"/>
        <v>60000</v>
      </c>
      <c r="H41">
        <f t="shared" si="2"/>
        <v>12000</v>
      </c>
    </row>
    <row r="42" spans="1:8">
      <c r="A42" s="6" t="s">
        <v>18</v>
      </c>
      <c r="B42" s="5">
        <v>10334000</v>
      </c>
      <c r="C42" s="5">
        <v>12605000</v>
      </c>
      <c r="D42" t="str">
        <f>VLOOKUP(A42,Лист2!A:E,5,0)</f>
        <v>малые</v>
      </c>
      <c r="E42">
        <f>VLOOKUP(A42,Лист2!A:E,4,0)</f>
        <v>2.5</v>
      </c>
      <c r="F42" s="12">
        <f t="shared" si="0"/>
        <v>-2271000</v>
      </c>
      <c r="G42">
        <f t="shared" si="1"/>
        <v>4133600</v>
      </c>
      <c r="H42">
        <f t="shared" si="2"/>
        <v>-908400</v>
      </c>
    </row>
    <row r="43" spans="1:8">
      <c r="A43" s="6" t="s">
        <v>18</v>
      </c>
      <c r="B43" s="5">
        <v>2185000</v>
      </c>
      <c r="C43" s="5">
        <v>3304000</v>
      </c>
      <c r="D43" t="str">
        <f>VLOOKUP(A43,Лист2!A:E,5,0)</f>
        <v>малые</v>
      </c>
      <c r="E43">
        <f>VLOOKUP(A43,Лист2!A:E,4,0)</f>
        <v>2.5</v>
      </c>
      <c r="F43" s="12">
        <f t="shared" si="0"/>
        <v>-1119000</v>
      </c>
      <c r="G43">
        <f t="shared" si="1"/>
        <v>874000</v>
      </c>
      <c r="H43">
        <f t="shared" si="2"/>
        <v>-447600</v>
      </c>
    </row>
    <row r="44" spans="1:8">
      <c r="A44" s="6" t="s">
        <v>22</v>
      </c>
      <c r="B44" s="5">
        <v>192489000</v>
      </c>
      <c r="C44" s="5">
        <v>226637000</v>
      </c>
      <c r="D44" t="str">
        <f>VLOOKUP(A44,Лист2!A:E,5,0)</f>
        <v>малые</v>
      </c>
      <c r="E44">
        <f>VLOOKUP(A44,Лист2!A:E,4,0)</f>
        <v>13</v>
      </c>
      <c r="F44" s="12">
        <f t="shared" si="0"/>
        <v>-34148000</v>
      </c>
      <c r="G44">
        <f t="shared" si="1"/>
        <v>14806846.153846154</v>
      </c>
      <c r="H44">
        <f t="shared" si="2"/>
        <v>-2626769.230769231</v>
      </c>
    </row>
    <row r="45" spans="1:8">
      <c r="A45" s="6" t="s">
        <v>18</v>
      </c>
      <c r="B45" s="5">
        <v>1532000</v>
      </c>
      <c r="C45" s="5">
        <v>5507000</v>
      </c>
      <c r="D45" t="str">
        <f>VLOOKUP(A45,Лист2!A:E,5,0)</f>
        <v>малые</v>
      </c>
      <c r="E45">
        <f>VLOOKUP(A45,Лист2!A:E,4,0)</f>
        <v>2.5</v>
      </c>
      <c r="F45" s="12">
        <f t="shared" si="0"/>
        <v>-3975000</v>
      </c>
      <c r="G45">
        <f t="shared" si="1"/>
        <v>612800</v>
      </c>
      <c r="H45">
        <f t="shared" si="2"/>
        <v>-1590000</v>
      </c>
    </row>
    <row r="46" spans="1:8">
      <c r="A46" s="6" t="s">
        <v>18</v>
      </c>
      <c r="B46" s="5">
        <v>2640000</v>
      </c>
      <c r="C46" s="5">
        <v>2646000</v>
      </c>
      <c r="D46" t="str">
        <f>VLOOKUP(A46,Лист2!A:E,5,0)</f>
        <v>малые</v>
      </c>
      <c r="E46">
        <f>VLOOKUP(A46,Лист2!A:E,4,0)</f>
        <v>2.5</v>
      </c>
      <c r="F46" s="12">
        <f t="shared" si="0"/>
        <v>-6000</v>
      </c>
      <c r="G46">
        <f t="shared" si="1"/>
        <v>1056000</v>
      </c>
      <c r="H46">
        <f t="shared" si="2"/>
        <v>-2400</v>
      </c>
    </row>
    <row r="47" spans="1:8">
      <c r="A47" s="6" t="s">
        <v>18</v>
      </c>
      <c r="B47" s="5">
        <v>4184000</v>
      </c>
      <c r="C47" s="5">
        <v>14307000</v>
      </c>
      <c r="D47" t="str">
        <f>VLOOKUP(A47,Лист2!A:E,5,0)</f>
        <v>малые</v>
      </c>
      <c r="E47">
        <f>VLOOKUP(A47,Лист2!A:E,4,0)</f>
        <v>2.5</v>
      </c>
      <c r="F47" s="12">
        <f t="shared" si="0"/>
        <v>-10123000</v>
      </c>
      <c r="G47">
        <f t="shared" si="1"/>
        <v>1673600</v>
      </c>
      <c r="H47">
        <f t="shared" si="2"/>
        <v>-4049200</v>
      </c>
    </row>
    <row r="48" spans="1:8">
      <c r="A48" s="6" t="s">
        <v>18</v>
      </c>
      <c r="B48" s="5">
        <v>10000</v>
      </c>
      <c r="C48" s="5">
        <v>19000</v>
      </c>
      <c r="D48" t="str">
        <f>VLOOKUP(A48,Лист2!A:E,5,0)</f>
        <v>малые</v>
      </c>
      <c r="E48">
        <f>VLOOKUP(A48,Лист2!A:E,4,0)</f>
        <v>2.5</v>
      </c>
      <c r="F48" s="12">
        <f t="shared" si="0"/>
        <v>-9000</v>
      </c>
      <c r="G48">
        <f t="shared" si="1"/>
        <v>4000</v>
      </c>
      <c r="H48">
        <f t="shared" si="2"/>
        <v>-3600</v>
      </c>
    </row>
    <row r="49" spans="1:8">
      <c r="A49" s="6" t="s">
        <v>18</v>
      </c>
      <c r="B49" s="5">
        <v>778000</v>
      </c>
      <c r="C49" s="5">
        <v>1170000</v>
      </c>
      <c r="D49" t="str">
        <f>VLOOKUP(A49,Лист2!A:E,5,0)</f>
        <v>малые</v>
      </c>
      <c r="E49">
        <f>VLOOKUP(A49,Лист2!A:E,4,0)</f>
        <v>2.5</v>
      </c>
      <c r="F49" s="12">
        <f t="shared" si="0"/>
        <v>-392000</v>
      </c>
      <c r="G49">
        <f t="shared" si="1"/>
        <v>311200</v>
      </c>
      <c r="H49">
        <f t="shared" si="2"/>
        <v>-156800</v>
      </c>
    </row>
    <row r="50" spans="1:8">
      <c r="A50" s="6" t="s">
        <v>18</v>
      </c>
      <c r="B50" s="5">
        <v>15000</v>
      </c>
      <c r="C50" s="5">
        <v>11000</v>
      </c>
      <c r="D50" t="str">
        <f>VLOOKUP(A50,Лист2!A:E,5,0)</f>
        <v>малые</v>
      </c>
      <c r="E50">
        <f>VLOOKUP(A50,Лист2!A:E,4,0)</f>
        <v>2.5</v>
      </c>
      <c r="F50" s="12">
        <f t="shared" si="0"/>
        <v>4000</v>
      </c>
      <c r="G50">
        <f t="shared" si="1"/>
        <v>6000</v>
      </c>
      <c r="H50">
        <f t="shared" si="2"/>
        <v>1600</v>
      </c>
    </row>
    <row r="51" spans="1:8">
      <c r="A51" s="6" t="s">
        <v>18</v>
      </c>
      <c r="B51" s="5">
        <v>664000</v>
      </c>
      <c r="C51" s="5">
        <v>629000</v>
      </c>
      <c r="D51" t="str">
        <f>VLOOKUP(A51,Лист2!A:E,5,0)</f>
        <v>малые</v>
      </c>
      <c r="E51">
        <f>VLOOKUP(A51,Лист2!A:E,4,0)</f>
        <v>2.5</v>
      </c>
      <c r="F51" s="12">
        <f t="shared" si="0"/>
        <v>35000</v>
      </c>
      <c r="G51">
        <f t="shared" si="1"/>
        <v>265600</v>
      </c>
      <c r="H51">
        <f t="shared" si="2"/>
        <v>14000</v>
      </c>
    </row>
    <row r="52" spans="1:8">
      <c r="A52" s="6" t="s">
        <v>18</v>
      </c>
      <c r="B52" s="5">
        <v>23151000</v>
      </c>
      <c r="C52" s="5">
        <v>99038000</v>
      </c>
      <c r="D52" t="str">
        <f>VLOOKUP(A52,Лист2!A:E,5,0)</f>
        <v>малые</v>
      </c>
      <c r="E52">
        <f>VLOOKUP(A52,Лист2!A:E,4,0)</f>
        <v>2.5</v>
      </c>
      <c r="F52" s="12">
        <f t="shared" si="0"/>
        <v>-75887000</v>
      </c>
      <c r="G52">
        <f t="shared" si="1"/>
        <v>9260400</v>
      </c>
      <c r="H52">
        <f t="shared" si="2"/>
        <v>-30354800</v>
      </c>
    </row>
    <row r="53" spans="1:8">
      <c r="A53" s="6" t="s">
        <v>18</v>
      </c>
      <c r="B53" s="5">
        <v>2781000</v>
      </c>
      <c r="C53" s="5">
        <v>1269000</v>
      </c>
      <c r="D53" t="str">
        <f>VLOOKUP(A53,Лист2!A:E,5,0)</f>
        <v>малые</v>
      </c>
      <c r="E53">
        <f>VLOOKUP(A53,Лист2!A:E,4,0)</f>
        <v>2.5</v>
      </c>
      <c r="F53" s="12">
        <f t="shared" si="0"/>
        <v>1512000</v>
      </c>
      <c r="G53">
        <f t="shared" si="1"/>
        <v>1112400</v>
      </c>
      <c r="H53">
        <f t="shared" si="2"/>
        <v>604800</v>
      </c>
    </row>
    <row r="54" spans="1:8">
      <c r="A54" s="6" t="s">
        <v>18</v>
      </c>
      <c r="B54" s="5">
        <v>709000</v>
      </c>
      <c r="C54" s="5">
        <v>851000</v>
      </c>
      <c r="D54" t="str">
        <f>VLOOKUP(A54,Лист2!A:E,5,0)</f>
        <v>малые</v>
      </c>
      <c r="E54">
        <f>VLOOKUP(A54,Лист2!A:E,4,0)</f>
        <v>2.5</v>
      </c>
      <c r="F54" s="12">
        <f t="shared" si="0"/>
        <v>-142000</v>
      </c>
      <c r="G54">
        <f t="shared" si="1"/>
        <v>283600</v>
      </c>
      <c r="H54">
        <f t="shared" si="2"/>
        <v>-56800</v>
      </c>
    </row>
    <row r="55" spans="1:8">
      <c r="A55" s="6" t="s">
        <v>18</v>
      </c>
      <c r="B55" s="5">
        <v>6450000</v>
      </c>
      <c r="C55" s="5">
        <v>6312000</v>
      </c>
      <c r="D55" t="str">
        <f>VLOOKUP(A55,Лист2!A:E,5,0)</f>
        <v>малые</v>
      </c>
      <c r="E55">
        <f>VLOOKUP(A55,Лист2!A:E,4,0)</f>
        <v>2.5</v>
      </c>
      <c r="F55" s="12">
        <f t="shared" ref="F55:F106" si="3">B55-C55</f>
        <v>138000</v>
      </c>
      <c r="G55">
        <f t="shared" ref="G55:G106" si="4">B55/E55</f>
        <v>2580000</v>
      </c>
      <c r="H55">
        <f t="shared" ref="H55:H106" si="5">F55/E55</f>
        <v>55200</v>
      </c>
    </row>
    <row r="56" spans="1:8">
      <c r="A56" s="6" t="s">
        <v>77</v>
      </c>
      <c r="B56" s="5">
        <v>7612000</v>
      </c>
      <c r="C56" s="5">
        <v>7401000</v>
      </c>
      <c r="D56" t="str">
        <f>VLOOKUP(A56,Лист2!A:E,5,0)</f>
        <v>малые</v>
      </c>
      <c r="E56">
        <f>VLOOKUP(A56,Лист2!A:E,4,0)</f>
        <v>8</v>
      </c>
      <c r="F56" s="12">
        <f t="shared" si="3"/>
        <v>211000</v>
      </c>
      <c r="G56">
        <f t="shared" si="4"/>
        <v>951500</v>
      </c>
      <c r="H56">
        <f t="shared" si="5"/>
        <v>26375</v>
      </c>
    </row>
    <row r="57" spans="1:8">
      <c r="A57" s="6" t="s">
        <v>18</v>
      </c>
      <c r="B57" s="5">
        <v>172000</v>
      </c>
      <c r="C57" s="5">
        <v>245000</v>
      </c>
      <c r="D57" t="str">
        <f>VLOOKUP(A57,Лист2!A:E,5,0)</f>
        <v>малые</v>
      </c>
      <c r="E57">
        <f>VLOOKUP(A57,Лист2!A:E,4,0)</f>
        <v>2.5</v>
      </c>
      <c r="F57" s="12">
        <f t="shared" si="3"/>
        <v>-73000</v>
      </c>
      <c r="G57">
        <f t="shared" si="4"/>
        <v>68800</v>
      </c>
      <c r="H57">
        <f t="shared" si="5"/>
        <v>-29200</v>
      </c>
    </row>
    <row r="58" spans="1:8">
      <c r="A58" s="6" t="s">
        <v>18</v>
      </c>
      <c r="B58" s="5">
        <v>110000</v>
      </c>
      <c r="C58" s="5">
        <v>115000</v>
      </c>
      <c r="D58" t="str">
        <f>VLOOKUP(A58,Лист2!A:E,5,0)</f>
        <v>малые</v>
      </c>
      <c r="E58">
        <f>VLOOKUP(A58,Лист2!A:E,4,0)</f>
        <v>2.5</v>
      </c>
      <c r="F58" s="12">
        <f t="shared" si="3"/>
        <v>-5000</v>
      </c>
      <c r="G58">
        <f t="shared" si="4"/>
        <v>44000</v>
      </c>
      <c r="H58">
        <f t="shared" si="5"/>
        <v>-2000</v>
      </c>
    </row>
    <row r="59" spans="1:8">
      <c r="A59" s="6" t="s">
        <v>18</v>
      </c>
      <c r="B59" s="5">
        <v>1650000</v>
      </c>
      <c r="C59" s="5">
        <v>2197000</v>
      </c>
      <c r="D59" t="str">
        <f>VLOOKUP(A59,Лист2!A:E,5,0)</f>
        <v>малые</v>
      </c>
      <c r="E59">
        <f>VLOOKUP(A59,Лист2!A:E,4,0)</f>
        <v>2.5</v>
      </c>
      <c r="F59" s="12">
        <f t="shared" si="3"/>
        <v>-547000</v>
      </c>
      <c r="G59">
        <f t="shared" si="4"/>
        <v>660000</v>
      </c>
      <c r="H59">
        <f t="shared" si="5"/>
        <v>-218800</v>
      </c>
    </row>
    <row r="60" spans="1:8">
      <c r="A60" s="6" t="s">
        <v>22</v>
      </c>
      <c r="B60" s="5">
        <v>97403000</v>
      </c>
      <c r="C60" s="5">
        <v>62297000</v>
      </c>
      <c r="D60" t="str">
        <f>VLOOKUP(A60,Лист2!A:E,5,0)</f>
        <v>малые</v>
      </c>
      <c r="E60">
        <f>VLOOKUP(A60,Лист2!A:E,4,0)</f>
        <v>13</v>
      </c>
      <c r="F60" s="12">
        <f t="shared" si="3"/>
        <v>35106000</v>
      </c>
      <c r="G60">
        <f t="shared" si="4"/>
        <v>7492538.461538462</v>
      </c>
      <c r="H60">
        <f t="shared" si="5"/>
        <v>2700461.5384615385</v>
      </c>
    </row>
    <row r="61" spans="1:8">
      <c r="A61" s="6" t="s">
        <v>18</v>
      </c>
      <c r="B61" s="5">
        <v>18068000</v>
      </c>
      <c r="C61" s="5">
        <v>17711000</v>
      </c>
      <c r="D61" t="str">
        <f>VLOOKUP(A61,Лист2!A:E,5,0)</f>
        <v>малые</v>
      </c>
      <c r="E61">
        <f>VLOOKUP(A61,Лист2!A:E,4,0)</f>
        <v>2.5</v>
      </c>
      <c r="F61" s="12">
        <f t="shared" si="3"/>
        <v>357000</v>
      </c>
      <c r="G61">
        <f t="shared" si="4"/>
        <v>7227200</v>
      </c>
      <c r="H61">
        <f t="shared" si="5"/>
        <v>142800</v>
      </c>
    </row>
    <row r="62" spans="1:8">
      <c r="A62" s="6" t="s">
        <v>18</v>
      </c>
      <c r="B62" s="5">
        <v>19792000</v>
      </c>
      <c r="C62" s="5">
        <v>30402000</v>
      </c>
      <c r="D62" t="str">
        <f>VLOOKUP(A62,Лист2!A:E,5,0)</f>
        <v>малые</v>
      </c>
      <c r="E62">
        <f>VLOOKUP(A62,Лист2!A:E,4,0)</f>
        <v>2.5</v>
      </c>
      <c r="F62" s="12">
        <f t="shared" si="3"/>
        <v>-10610000</v>
      </c>
      <c r="G62">
        <f t="shared" si="4"/>
        <v>7916800</v>
      </c>
      <c r="H62">
        <f t="shared" si="5"/>
        <v>-4244000</v>
      </c>
    </row>
    <row r="63" spans="1:8">
      <c r="A63" s="6" t="s">
        <v>18</v>
      </c>
      <c r="B63" s="5">
        <v>3514000</v>
      </c>
      <c r="C63" s="5">
        <v>3452000</v>
      </c>
      <c r="D63" t="str">
        <f>VLOOKUP(A63,Лист2!A:E,5,0)</f>
        <v>малые</v>
      </c>
      <c r="E63">
        <f>VLOOKUP(A63,Лист2!A:E,4,0)</f>
        <v>2.5</v>
      </c>
      <c r="F63" s="12">
        <f t="shared" si="3"/>
        <v>62000</v>
      </c>
      <c r="G63">
        <f t="shared" si="4"/>
        <v>1405600</v>
      </c>
      <c r="H63">
        <f t="shared" si="5"/>
        <v>24800</v>
      </c>
    </row>
    <row r="64" spans="1:8">
      <c r="A64" s="6" t="s">
        <v>18</v>
      </c>
      <c r="B64" s="5">
        <v>6800000</v>
      </c>
      <c r="C64" s="5">
        <v>5647000</v>
      </c>
      <c r="D64" t="str">
        <f>VLOOKUP(A64,Лист2!A:E,5,0)</f>
        <v>малые</v>
      </c>
      <c r="E64">
        <f>VLOOKUP(A64,Лист2!A:E,4,0)</f>
        <v>2.5</v>
      </c>
      <c r="F64" s="12">
        <f t="shared" si="3"/>
        <v>1153000</v>
      </c>
      <c r="G64">
        <f t="shared" si="4"/>
        <v>2720000</v>
      </c>
      <c r="H64">
        <f t="shared" si="5"/>
        <v>461200</v>
      </c>
    </row>
    <row r="65" spans="1:8">
      <c r="A65" s="6" t="s">
        <v>23</v>
      </c>
      <c r="B65" s="5">
        <v>514068000</v>
      </c>
      <c r="C65" s="5">
        <v>442917000</v>
      </c>
      <c r="D65" t="str">
        <f>VLOOKUP(A65,Лист2!A:E,5,0)</f>
        <v>средние</v>
      </c>
      <c r="E65">
        <f>VLOOKUP(A65,Лист2!A:E,4,0)</f>
        <v>75.5</v>
      </c>
      <c r="F65" s="12">
        <f t="shared" si="3"/>
        <v>71151000</v>
      </c>
      <c r="G65">
        <f t="shared" si="4"/>
        <v>6808847.6821192056</v>
      </c>
      <c r="H65">
        <f t="shared" si="5"/>
        <v>942397.35099337751</v>
      </c>
    </row>
    <row r="66" spans="1:8">
      <c r="A66" s="6" t="s">
        <v>18</v>
      </c>
      <c r="B66" s="5">
        <v>13390000</v>
      </c>
      <c r="C66" s="5">
        <v>13674000</v>
      </c>
      <c r="D66" t="str">
        <f>VLOOKUP(A66,Лист2!A:E,5,0)</f>
        <v>малые</v>
      </c>
      <c r="E66">
        <f>VLOOKUP(A66,Лист2!A:E,4,0)</f>
        <v>2.5</v>
      </c>
      <c r="F66" s="12">
        <f t="shared" si="3"/>
        <v>-284000</v>
      </c>
      <c r="G66">
        <f t="shared" si="4"/>
        <v>5356000</v>
      </c>
      <c r="H66">
        <f t="shared" si="5"/>
        <v>-113600</v>
      </c>
    </row>
    <row r="67" spans="1:8">
      <c r="A67" s="6" t="s">
        <v>18</v>
      </c>
      <c r="B67" s="5">
        <v>12594000</v>
      </c>
      <c r="C67" s="5">
        <v>10451000</v>
      </c>
      <c r="D67" t="str">
        <f>VLOOKUP(A67,Лист2!A:E,5,0)</f>
        <v>малые</v>
      </c>
      <c r="E67">
        <f>VLOOKUP(A67,Лист2!A:E,4,0)</f>
        <v>2.5</v>
      </c>
      <c r="F67" s="12">
        <f t="shared" si="3"/>
        <v>2143000</v>
      </c>
      <c r="G67">
        <f t="shared" si="4"/>
        <v>5037600</v>
      </c>
      <c r="H67">
        <f t="shared" si="5"/>
        <v>857200</v>
      </c>
    </row>
    <row r="68" spans="1:8">
      <c r="A68" s="6" t="s">
        <v>18</v>
      </c>
      <c r="B68" s="5">
        <v>12980000</v>
      </c>
      <c r="C68" s="5">
        <v>9158000</v>
      </c>
      <c r="D68" t="str">
        <f>VLOOKUP(A68,Лист2!A:E,5,0)</f>
        <v>малые</v>
      </c>
      <c r="E68">
        <f>VLOOKUP(A68,Лист2!A:E,4,0)</f>
        <v>2.5</v>
      </c>
      <c r="F68" s="12">
        <f t="shared" si="3"/>
        <v>3822000</v>
      </c>
      <c r="G68">
        <f t="shared" si="4"/>
        <v>5192000</v>
      </c>
      <c r="H68">
        <f t="shared" si="5"/>
        <v>1528800</v>
      </c>
    </row>
    <row r="69" spans="1:8">
      <c r="A69" s="6" t="s">
        <v>22</v>
      </c>
      <c r="B69" s="5">
        <v>3425000</v>
      </c>
      <c r="C69" s="5">
        <v>3667000</v>
      </c>
      <c r="D69" t="str">
        <f>VLOOKUP(A69,Лист2!A:E,5,0)</f>
        <v>малые</v>
      </c>
      <c r="E69">
        <f>VLOOKUP(A69,Лист2!A:E,4,0)</f>
        <v>13</v>
      </c>
      <c r="F69" s="12">
        <f t="shared" si="3"/>
        <v>-242000</v>
      </c>
      <c r="G69">
        <f t="shared" si="4"/>
        <v>263461.53846153844</v>
      </c>
      <c r="H69">
        <f t="shared" si="5"/>
        <v>-18615.384615384617</v>
      </c>
    </row>
    <row r="70" spans="1:8">
      <c r="A70" s="6" t="s">
        <v>22</v>
      </c>
      <c r="B70" s="5">
        <v>66620000</v>
      </c>
      <c r="C70" s="5">
        <v>66674000</v>
      </c>
      <c r="D70" t="str">
        <f>VLOOKUP(A70,Лист2!A:E,5,0)</f>
        <v>малые</v>
      </c>
      <c r="E70">
        <f>VLOOKUP(A70,Лист2!A:E,4,0)</f>
        <v>13</v>
      </c>
      <c r="F70" s="12">
        <f t="shared" si="3"/>
        <v>-54000</v>
      </c>
      <c r="G70">
        <f t="shared" si="4"/>
        <v>5124615.384615385</v>
      </c>
      <c r="H70">
        <f t="shared" si="5"/>
        <v>-4153.8461538461543</v>
      </c>
    </row>
    <row r="71" spans="1:8">
      <c r="A71" s="6" t="s">
        <v>280</v>
      </c>
      <c r="B71" s="5">
        <v>77367000</v>
      </c>
      <c r="C71" s="5">
        <v>67628000</v>
      </c>
      <c r="D71" t="str">
        <f>VLOOKUP(A71,Лист2!A:E,5,0)</f>
        <v>крупные</v>
      </c>
      <c r="E71">
        <f>VLOOKUP(A71,Лист2!A:E,4,0)</f>
        <v>225.5</v>
      </c>
      <c r="F71" s="12">
        <f t="shared" si="3"/>
        <v>9739000</v>
      </c>
      <c r="G71">
        <f t="shared" si="4"/>
        <v>343090.90909090912</v>
      </c>
      <c r="H71">
        <f t="shared" si="5"/>
        <v>43188.47006651885</v>
      </c>
    </row>
    <row r="72" spans="1:8">
      <c r="A72" s="6" t="s">
        <v>18</v>
      </c>
      <c r="B72" s="5">
        <v>269412000</v>
      </c>
      <c r="C72" s="5">
        <v>251203000</v>
      </c>
      <c r="D72" t="str">
        <f>VLOOKUP(A72,Лист2!A:E,5,0)</f>
        <v>малые</v>
      </c>
      <c r="E72">
        <f>VLOOKUP(A72,Лист2!A:E,4,0)</f>
        <v>2.5</v>
      </c>
      <c r="F72" s="12">
        <f t="shared" si="3"/>
        <v>18209000</v>
      </c>
      <c r="G72">
        <f t="shared" si="4"/>
        <v>107764800</v>
      </c>
      <c r="H72">
        <f t="shared" si="5"/>
        <v>7283600</v>
      </c>
    </row>
    <row r="73" spans="1:8">
      <c r="A73" s="6" t="s">
        <v>18</v>
      </c>
      <c r="B73" s="5">
        <v>69000</v>
      </c>
      <c r="C73" s="5">
        <v>150000</v>
      </c>
      <c r="D73" t="str">
        <f>VLOOKUP(A73,Лист2!A:E,5,0)</f>
        <v>малые</v>
      </c>
      <c r="E73">
        <f>VLOOKUP(A73,Лист2!A:E,4,0)</f>
        <v>2.5</v>
      </c>
      <c r="F73" s="12">
        <f t="shared" si="3"/>
        <v>-81000</v>
      </c>
      <c r="G73">
        <f t="shared" si="4"/>
        <v>27600</v>
      </c>
      <c r="H73">
        <f t="shared" si="5"/>
        <v>-32400</v>
      </c>
    </row>
    <row r="74" spans="1:8">
      <c r="A74" s="6" t="s">
        <v>23</v>
      </c>
      <c r="B74" s="5">
        <v>50019000</v>
      </c>
      <c r="C74" s="5">
        <v>41433000</v>
      </c>
      <c r="D74" t="str">
        <f>VLOOKUP(A74,Лист2!A:E,5,0)</f>
        <v>средние</v>
      </c>
      <c r="E74">
        <f>VLOOKUP(A74,Лист2!A:E,4,0)</f>
        <v>75.5</v>
      </c>
      <c r="F74" s="12">
        <f t="shared" si="3"/>
        <v>8586000</v>
      </c>
      <c r="G74">
        <f t="shared" si="4"/>
        <v>662503.31125827809</v>
      </c>
      <c r="H74">
        <f t="shared" si="5"/>
        <v>113721.85430463577</v>
      </c>
    </row>
    <row r="75" spans="1:8">
      <c r="A75" s="6" t="s">
        <v>18</v>
      </c>
      <c r="B75" s="5">
        <v>7416000</v>
      </c>
      <c r="C75" s="5">
        <v>7176000</v>
      </c>
      <c r="D75" t="str">
        <f>VLOOKUP(A75,Лист2!A:E,5,0)</f>
        <v>малые</v>
      </c>
      <c r="E75">
        <f>VLOOKUP(A75,Лист2!A:E,4,0)</f>
        <v>2.5</v>
      </c>
      <c r="F75" s="12">
        <f t="shared" si="3"/>
        <v>240000</v>
      </c>
      <c r="G75">
        <f t="shared" si="4"/>
        <v>2966400</v>
      </c>
      <c r="H75">
        <f t="shared" si="5"/>
        <v>96000</v>
      </c>
    </row>
    <row r="76" spans="1:8">
      <c r="A76" s="6" t="s">
        <v>18</v>
      </c>
      <c r="B76" s="5">
        <v>3539000</v>
      </c>
      <c r="C76" s="5">
        <v>6026000</v>
      </c>
      <c r="D76" t="str">
        <f>VLOOKUP(A76,Лист2!A:E,5,0)</f>
        <v>малые</v>
      </c>
      <c r="E76">
        <f>VLOOKUP(A76,Лист2!A:E,4,0)</f>
        <v>2.5</v>
      </c>
      <c r="F76" s="12">
        <f t="shared" si="3"/>
        <v>-2487000</v>
      </c>
      <c r="G76">
        <f t="shared" si="4"/>
        <v>1415600</v>
      </c>
      <c r="H76">
        <f t="shared" si="5"/>
        <v>-994800</v>
      </c>
    </row>
    <row r="77" spans="1:8">
      <c r="A77" s="6" t="s">
        <v>18</v>
      </c>
      <c r="B77" s="5">
        <v>1231000</v>
      </c>
      <c r="C77" s="5">
        <v>1229000</v>
      </c>
      <c r="D77" t="str">
        <f>VLOOKUP(A77,Лист2!A:E,5,0)</f>
        <v>малые</v>
      </c>
      <c r="E77">
        <f>VLOOKUP(A77,Лист2!A:E,4,0)</f>
        <v>2.5</v>
      </c>
      <c r="F77" s="12">
        <f t="shared" si="3"/>
        <v>2000</v>
      </c>
      <c r="G77">
        <f t="shared" si="4"/>
        <v>492400</v>
      </c>
      <c r="H77">
        <f t="shared" si="5"/>
        <v>800</v>
      </c>
    </row>
    <row r="78" spans="1:8">
      <c r="A78" s="6" t="s">
        <v>302</v>
      </c>
      <c r="B78" s="5">
        <v>82558000</v>
      </c>
      <c r="C78" s="5">
        <v>71662000</v>
      </c>
      <c r="D78" t="str">
        <f>VLOOKUP(A78,Лист2!A:E,5,0)</f>
        <v>средние</v>
      </c>
      <c r="E78">
        <f>VLOOKUP(A78,Лист2!A:E,4,0)</f>
        <v>125.5</v>
      </c>
      <c r="F78" s="12">
        <f t="shared" si="3"/>
        <v>10896000</v>
      </c>
      <c r="G78">
        <f t="shared" si="4"/>
        <v>657832.6693227092</v>
      </c>
      <c r="H78">
        <f t="shared" si="5"/>
        <v>86820.717131474099</v>
      </c>
    </row>
    <row r="79" spans="1:8">
      <c r="A79" s="6" t="s">
        <v>18</v>
      </c>
      <c r="B79" s="5">
        <v>9431000</v>
      </c>
      <c r="C79" s="5">
        <v>33219000</v>
      </c>
      <c r="D79" t="str">
        <f>VLOOKUP(A79,Лист2!A:E,5,0)</f>
        <v>малые</v>
      </c>
      <c r="E79">
        <f>VLOOKUP(A79,Лист2!A:E,4,0)</f>
        <v>2.5</v>
      </c>
      <c r="F79" s="12">
        <f t="shared" si="3"/>
        <v>-23788000</v>
      </c>
      <c r="G79">
        <f t="shared" si="4"/>
        <v>3772400</v>
      </c>
      <c r="H79">
        <f t="shared" si="5"/>
        <v>-9515200</v>
      </c>
    </row>
    <row r="80" spans="1:8">
      <c r="A80" s="6" t="s">
        <v>18</v>
      </c>
      <c r="B80" s="5">
        <v>1728000</v>
      </c>
      <c r="C80" s="5">
        <v>1197000</v>
      </c>
      <c r="D80" t="str">
        <f>VLOOKUP(A80,Лист2!A:E,5,0)</f>
        <v>малые</v>
      </c>
      <c r="E80">
        <f>VLOOKUP(A80,Лист2!A:E,4,0)</f>
        <v>2.5</v>
      </c>
      <c r="F80" s="12">
        <f t="shared" si="3"/>
        <v>531000</v>
      </c>
      <c r="G80">
        <f t="shared" si="4"/>
        <v>691200</v>
      </c>
      <c r="H80">
        <f t="shared" si="5"/>
        <v>212400</v>
      </c>
    </row>
    <row r="81" spans="1:8">
      <c r="A81" s="6" t="s">
        <v>18</v>
      </c>
      <c r="B81" s="5">
        <v>1428000</v>
      </c>
      <c r="C81" s="5">
        <v>1425000</v>
      </c>
      <c r="D81" t="str">
        <f>VLOOKUP(A81,Лист2!A:E,5,0)</f>
        <v>малые</v>
      </c>
      <c r="E81">
        <f>VLOOKUP(A81,Лист2!A:E,4,0)</f>
        <v>2.5</v>
      </c>
      <c r="F81" s="12">
        <f t="shared" si="3"/>
        <v>3000</v>
      </c>
      <c r="G81">
        <f t="shared" si="4"/>
        <v>571200</v>
      </c>
      <c r="H81">
        <f t="shared" si="5"/>
        <v>1200</v>
      </c>
    </row>
    <row r="82" spans="1:8">
      <c r="A82" s="6" t="s">
        <v>18</v>
      </c>
      <c r="B82" s="5">
        <v>7719000</v>
      </c>
      <c r="C82" s="5">
        <v>7142000</v>
      </c>
      <c r="D82" t="str">
        <f>VLOOKUP(A82,Лист2!A:E,5,0)</f>
        <v>малые</v>
      </c>
      <c r="E82">
        <f>VLOOKUP(A82,Лист2!A:E,4,0)</f>
        <v>2.5</v>
      </c>
      <c r="F82" s="12">
        <f t="shared" si="3"/>
        <v>577000</v>
      </c>
      <c r="G82">
        <f t="shared" si="4"/>
        <v>3087600</v>
      </c>
      <c r="H82">
        <f t="shared" si="5"/>
        <v>230800</v>
      </c>
    </row>
    <row r="83" spans="1:8">
      <c r="A83" s="6" t="s">
        <v>18</v>
      </c>
      <c r="B83" s="5">
        <v>13961000</v>
      </c>
      <c r="C83" s="5">
        <v>6713000</v>
      </c>
      <c r="D83" t="str">
        <f>VLOOKUP(A83,Лист2!A:E,5,0)</f>
        <v>малые</v>
      </c>
      <c r="E83">
        <f>VLOOKUP(A83,Лист2!A:E,4,0)</f>
        <v>2.5</v>
      </c>
      <c r="F83" s="12">
        <f t="shared" si="3"/>
        <v>7248000</v>
      </c>
      <c r="G83">
        <f t="shared" si="4"/>
        <v>5584400</v>
      </c>
      <c r="H83">
        <f t="shared" si="5"/>
        <v>2899200</v>
      </c>
    </row>
    <row r="84" spans="1:8">
      <c r="A84" s="6" t="s">
        <v>18</v>
      </c>
      <c r="B84" s="5">
        <v>118183000</v>
      </c>
      <c r="C84" s="5">
        <v>96446000</v>
      </c>
      <c r="D84" t="str">
        <f>VLOOKUP(A84,Лист2!A:E,5,0)</f>
        <v>малые</v>
      </c>
      <c r="E84">
        <f>VLOOKUP(A84,Лист2!A:E,4,0)</f>
        <v>2.5</v>
      </c>
      <c r="F84" s="12">
        <f t="shared" si="3"/>
        <v>21737000</v>
      </c>
      <c r="G84">
        <f t="shared" si="4"/>
        <v>47273200</v>
      </c>
      <c r="H84">
        <f t="shared" si="5"/>
        <v>8694800</v>
      </c>
    </row>
    <row r="85" spans="1:8">
      <c r="A85" s="6" t="s">
        <v>77</v>
      </c>
      <c r="B85" s="5">
        <v>74828000</v>
      </c>
      <c r="C85" s="5">
        <v>67885000</v>
      </c>
      <c r="D85" t="str">
        <f>VLOOKUP(A85,Лист2!A:E,5,0)</f>
        <v>малые</v>
      </c>
      <c r="E85">
        <f>VLOOKUP(A85,Лист2!A:E,4,0)</f>
        <v>8</v>
      </c>
      <c r="F85" s="12">
        <f t="shared" si="3"/>
        <v>6943000</v>
      </c>
      <c r="G85">
        <f t="shared" si="4"/>
        <v>9353500</v>
      </c>
      <c r="H85">
        <f t="shared" si="5"/>
        <v>867875</v>
      </c>
    </row>
    <row r="86" spans="1:8">
      <c r="A86" s="6" t="s">
        <v>18</v>
      </c>
      <c r="B86" s="5">
        <v>2558000</v>
      </c>
      <c r="C86" s="5">
        <v>1855000</v>
      </c>
      <c r="D86" t="str">
        <f>VLOOKUP(A86,Лист2!A:E,5,0)</f>
        <v>малые</v>
      </c>
      <c r="E86">
        <f>VLOOKUP(A86,Лист2!A:E,4,0)</f>
        <v>2.5</v>
      </c>
      <c r="F86" s="12">
        <f t="shared" si="3"/>
        <v>703000</v>
      </c>
      <c r="G86">
        <f t="shared" si="4"/>
        <v>1023200</v>
      </c>
      <c r="H86">
        <f t="shared" si="5"/>
        <v>281200</v>
      </c>
    </row>
    <row r="87" spans="1:8">
      <c r="A87" s="6" t="s">
        <v>18</v>
      </c>
      <c r="B87" s="5">
        <v>85019000</v>
      </c>
      <c r="C87" s="5">
        <v>53611000</v>
      </c>
      <c r="D87" t="str">
        <f>VLOOKUP(A87,Лист2!A:E,5,0)</f>
        <v>малые</v>
      </c>
      <c r="E87">
        <f>VLOOKUP(A87,Лист2!A:E,4,0)</f>
        <v>2.5</v>
      </c>
      <c r="F87" s="12">
        <f t="shared" si="3"/>
        <v>31408000</v>
      </c>
      <c r="G87">
        <f t="shared" si="4"/>
        <v>34007600</v>
      </c>
      <c r="H87">
        <f t="shared" si="5"/>
        <v>12563200</v>
      </c>
    </row>
    <row r="88" spans="1:8">
      <c r="A88" s="6" t="s">
        <v>18</v>
      </c>
      <c r="B88" s="5">
        <v>4537000</v>
      </c>
      <c r="C88" s="5">
        <v>4519000</v>
      </c>
      <c r="D88" t="str">
        <f>VLOOKUP(A88,Лист2!A:E,5,0)</f>
        <v>малые</v>
      </c>
      <c r="E88">
        <f>VLOOKUP(A88,Лист2!A:E,4,0)</f>
        <v>2.5</v>
      </c>
      <c r="F88" s="12">
        <f t="shared" si="3"/>
        <v>18000</v>
      </c>
      <c r="G88">
        <f t="shared" si="4"/>
        <v>1814800</v>
      </c>
      <c r="H88">
        <f t="shared" si="5"/>
        <v>7200</v>
      </c>
    </row>
    <row r="89" spans="1:8">
      <c r="A89" s="6" t="s">
        <v>23</v>
      </c>
      <c r="B89" s="5">
        <v>41859000</v>
      </c>
      <c r="C89" s="5">
        <v>36172000</v>
      </c>
      <c r="D89" t="str">
        <f>VLOOKUP(A89,Лист2!A:E,5,0)</f>
        <v>средние</v>
      </c>
      <c r="E89">
        <f>VLOOKUP(A89,Лист2!A:E,4,0)</f>
        <v>75.5</v>
      </c>
      <c r="F89" s="12">
        <f t="shared" si="3"/>
        <v>5687000</v>
      </c>
      <c r="G89">
        <f t="shared" si="4"/>
        <v>554423.84105960268</v>
      </c>
      <c r="H89">
        <f t="shared" si="5"/>
        <v>75324.503311258275</v>
      </c>
    </row>
    <row r="90" spans="1:8">
      <c r="A90" s="6" t="s">
        <v>18</v>
      </c>
      <c r="B90" s="5">
        <v>17000</v>
      </c>
      <c r="C90" s="5">
        <v>17000</v>
      </c>
      <c r="D90" t="str">
        <f>VLOOKUP(A90,Лист2!A:E,5,0)</f>
        <v>малые</v>
      </c>
      <c r="E90">
        <f>VLOOKUP(A90,Лист2!A:E,4,0)</f>
        <v>2.5</v>
      </c>
      <c r="F90" s="12">
        <f t="shared" si="3"/>
        <v>0</v>
      </c>
      <c r="G90">
        <f t="shared" si="4"/>
        <v>6800</v>
      </c>
      <c r="H90">
        <f t="shared" si="5"/>
        <v>0</v>
      </c>
    </row>
    <row r="91" spans="1:8">
      <c r="A91" s="6" t="s">
        <v>18</v>
      </c>
      <c r="B91" s="5">
        <v>16619000</v>
      </c>
      <c r="C91" s="5">
        <v>17244000</v>
      </c>
      <c r="D91" t="str">
        <f>VLOOKUP(A91,Лист2!A:E,5,0)</f>
        <v>малые</v>
      </c>
      <c r="E91">
        <f>VLOOKUP(A91,Лист2!A:E,4,0)</f>
        <v>2.5</v>
      </c>
      <c r="F91" s="12">
        <f t="shared" si="3"/>
        <v>-625000</v>
      </c>
      <c r="G91">
        <f t="shared" si="4"/>
        <v>6647600</v>
      </c>
      <c r="H91">
        <f t="shared" si="5"/>
        <v>-250000</v>
      </c>
    </row>
    <row r="92" spans="1:8">
      <c r="A92" s="6" t="s">
        <v>77</v>
      </c>
      <c r="B92" s="5">
        <v>6258000</v>
      </c>
      <c r="C92" s="5">
        <v>8466000</v>
      </c>
      <c r="D92" t="str">
        <f>VLOOKUP(A92,Лист2!A:E,5,0)</f>
        <v>малые</v>
      </c>
      <c r="E92">
        <f>VLOOKUP(A92,Лист2!A:E,4,0)</f>
        <v>8</v>
      </c>
      <c r="F92" s="12">
        <f t="shared" si="3"/>
        <v>-2208000</v>
      </c>
      <c r="G92">
        <f t="shared" si="4"/>
        <v>782250</v>
      </c>
      <c r="H92">
        <f t="shared" si="5"/>
        <v>-276000</v>
      </c>
    </row>
    <row r="93" spans="1:8">
      <c r="A93" s="6" t="s">
        <v>18</v>
      </c>
      <c r="B93" s="5">
        <v>143794000</v>
      </c>
      <c r="C93" s="5">
        <v>265249000</v>
      </c>
      <c r="D93" t="str">
        <f>VLOOKUP(A93,Лист2!A:E,5,0)</f>
        <v>малые</v>
      </c>
      <c r="E93">
        <f>VLOOKUP(A93,Лист2!A:E,4,0)</f>
        <v>2.5</v>
      </c>
      <c r="F93" s="12">
        <f t="shared" si="3"/>
        <v>-121455000</v>
      </c>
      <c r="G93">
        <f t="shared" si="4"/>
        <v>57517600</v>
      </c>
      <c r="H93">
        <f t="shared" si="5"/>
        <v>-48582000</v>
      </c>
    </row>
    <row r="94" spans="1:8">
      <c r="A94" s="6" t="s">
        <v>18</v>
      </c>
      <c r="B94" s="5">
        <v>14400000</v>
      </c>
      <c r="C94" s="5">
        <v>14841000</v>
      </c>
      <c r="D94" t="str">
        <f>VLOOKUP(A94,Лист2!A:E,5,0)</f>
        <v>малые</v>
      </c>
      <c r="E94">
        <f>VLOOKUP(A94,Лист2!A:E,4,0)</f>
        <v>2.5</v>
      </c>
      <c r="F94" s="12">
        <f t="shared" si="3"/>
        <v>-441000</v>
      </c>
      <c r="G94">
        <f t="shared" si="4"/>
        <v>5760000</v>
      </c>
      <c r="H94">
        <f t="shared" si="5"/>
        <v>-176400</v>
      </c>
    </row>
    <row r="95" spans="1:8">
      <c r="A95" s="6" t="s">
        <v>18</v>
      </c>
      <c r="B95" s="5">
        <v>25973000</v>
      </c>
      <c r="C95" s="5">
        <v>12812000</v>
      </c>
      <c r="D95" t="str">
        <f>VLOOKUP(A95,Лист2!A:E,5,0)</f>
        <v>малые</v>
      </c>
      <c r="E95">
        <f>VLOOKUP(A95,Лист2!A:E,4,0)</f>
        <v>2.5</v>
      </c>
      <c r="F95" s="12">
        <f t="shared" si="3"/>
        <v>13161000</v>
      </c>
      <c r="G95">
        <f t="shared" si="4"/>
        <v>10389200</v>
      </c>
      <c r="H95">
        <f t="shared" si="5"/>
        <v>5264400</v>
      </c>
    </row>
    <row r="96" spans="1:8">
      <c r="A96" s="6" t="s">
        <v>18</v>
      </c>
      <c r="B96" s="5">
        <v>6946000</v>
      </c>
      <c r="C96" s="5">
        <v>6541000</v>
      </c>
      <c r="D96" t="str">
        <f>VLOOKUP(A96,Лист2!A:E,5,0)</f>
        <v>малые</v>
      </c>
      <c r="E96">
        <f>VLOOKUP(A96,Лист2!A:E,4,0)</f>
        <v>2.5</v>
      </c>
      <c r="F96" s="12">
        <f t="shared" si="3"/>
        <v>405000</v>
      </c>
      <c r="G96">
        <f t="shared" si="4"/>
        <v>2778400</v>
      </c>
      <c r="H96">
        <f t="shared" si="5"/>
        <v>162000</v>
      </c>
    </row>
    <row r="97" spans="1:8">
      <c r="A97" s="6" t="s">
        <v>23</v>
      </c>
      <c r="B97" s="5">
        <v>155467000</v>
      </c>
      <c r="C97" s="5">
        <v>69241000</v>
      </c>
      <c r="D97" t="str">
        <f>VLOOKUP(A97,Лист2!A:E,5,0)</f>
        <v>средние</v>
      </c>
      <c r="E97">
        <f>VLOOKUP(A97,Лист2!A:E,4,0)</f>
        <v>75.5</v>
      </c>
      <c r="F97" s="12">
        <f t="shared" si="3"/>
        <v>86226000</v>
      </c>
      <c r="G97">
        <f t="shared" si="4"/>
        <v>2059165.5629139072</v>
      </c>
      <c r="H97">
        <f t="shared" si="5"/>
        <v>1142066.2251655629</v>
      </c>
    </row>
    <row r="98" spans="1:8">
      <c r="A98" s="6" t="s">
        <v>18</v>
      </c>
      <c r="B98" s="5">
        <v>2505000</v>
      </c>
      <c r="C98" s="5">
        <v>2445000</v>
      </c>
      <c r="D98" t="str">
        <f>VLOOKUP(A98,Лист2!A:E,5,0)</f>
        <v>малые</v>
      </c>
      <c r="E98">
        <f>VLOOKUP(A98,Лист2!A:E,4,0)</f>
        <v>2.5</v>
      </c>
      <c r="F98" s="12">
        <f t="shared" si="3"/>
        <v>60000</v>
      </c>
      <c r="G98">
        <f t="shared" si="4"/>
        <v>1002000</v>
      </c>
      <c r="H98">
        <f t="shared" si="5"/>
        <v>24000</v>
      </c>
    </row>
    <row r="99" spans="1:8">
      <c r="A99" s="6" t="s">
        <v>18</v>
      </c>
      <c r="B99" s="5">
        <v>201000</v>
      </c>
      <c r="C99" s="5">
        <v>207000</v>
      </c>
      <c r="D99" t="str">
        <f>VLOOKUP(A99,Лист2!A:E,5,0)</f>
        <v>малые</v>
      </c>
      <c r="E99">
        <f>VLOOKUP(A99,Лист2!A:E,4,0)</f>
        <v>2.5</v>
      </c>
      <c r="F99" s="12">
        <f t="shared" si="3"/>
        <v>-6000</v>
      </c>
      <c r="G99">
        <f t="shared" si="4"/>
        <v>80400</v>
      </c>
      <c r="H99">
        <f t="shared" si="5"/>
        <v>-2400</v>
      </c>
    </row>
    <row r="100" spans="1:8">
      <c r="A100" s="6" t="s">
        <v>18</v>
      </c>
      <c r="B100" s="5">
        <v>50000</v>
      </c>
      <c r="C100" s="5">
        <v>47000</v>
      </c>
      <c r="D100" t="str">
        <f>VLOOKUP(A100,Лист2!A:E,5,0)</f>
        <v>малые</v>
      </c>
      <c r="E100">
        <f>VLOOKUP(A100,Лист2!A:E,4,0)</f>
        <v>2.5</v>
      </c>
      <c r="F100" s="12">
        <f t="shared" si="3"/>
        <v>3000</v>
      </c>
      <c r="G100">
        <f t="shared" si="4"/>
        <v>20000</v>
      </c>
      <c r="H100">
        <f t="shared" si="5"/>
        <v>1200</v>
      </c>
    </row>
    <row r="101" spans="1:8">
      <c r="A101" s="6" t="s">
        <v>18</v>
      </c>
      <c r="B101" s="5">
        <v>3209000</v>
      </c>
      <c r="C101" s="5">
        <v>2670000</v>
      </c>
      <c r="D101" t="str">
        <f>VLOOKUP(A101,Лист2!A:E,5,0)</f>
        <v>малые</v>
      </c>
      <c r="E101">
        <f>VLOOKUP(A101,Лист2!A:E,4,0)</f>
        <v>2.5</v>
      </c>
      <c r="F101" s="12">
        <f t="shared" si="3"/>
        <v>539000</v>
      </c>
      <c r="G101">
        <f t="shared" si="4"/>
        <v>1283600</v>
      </c>
      <c r="H101">
        <f t="shared" si="5"/>
        <v>215600</v>
      </c>
    </row>
    <row r="102" spans="1:8">
      <c r="A102" s="6" t="s">
        <v>18</v>
      </c>
      <c r="B102" s="5">
        <v>3799000</v>
      </c>
      <c r="C102" s="5">
        <v>3653000</v>
      </c>
      <c r="D102" t="str">
        <f>VLOOKUP(A102,Лист2!A:E,5,0)</f>
        <v>малые</v>
      </c>
      <c r="E102">
        <f>VLOOKUP(A102,Лист2!A:E,4,0)</f>
        <v>2.5</v>
      </c>
      <c r="F102" s="12">
        <f t="shared" si="3"/>
        <v>146000</v>
      </c>
      <c r="G102">
        <f t="shared" si="4"/>
        <v>1519600</v>
      </c>
      <c r="H102">
        <f t="shared" si="5"/>
        <v>58400</v>
      </c>
    </row>
    <row r="103" spans="1:8">
      <c r="A103" s="6" t="s">
        <v>18</v>
      </c>
      <c r="B103" s="5">
        <v>1576000</v>
      </c>
      <c r="C103" s="5">
        <v>3872000</v>
      </c>
      <c r="D103" t="str">
        <f>VLOOKUP(A103,Лист2!A:E,5,0)</f>
        <v>малые</v>
      </c>
      <c r="E103">
        <f>VLOOKUP(A103,Лист2!A:E,4,0)</f>
        <v>2.5</v>
      </c>
      <c r="F103" s="12">
        <f t="shared" si="3"/>
        <v>-2296000</v>
      </c>
      <c r="G103">
        <f t="shared" si="4"/>
        <v>630400</v>
      </c>
      <c r="H103">
        <f t="shared" si="5"/>
        <v>-918400</v>
      </c>
    </row>
    <row r="104" spans="1:8">
      <c r="A104" s="6" t="s">
        <v>18</v>
      </c>
      <c r="B104" s="5">
        <v>3060000</v>
      </c>
      <c r="C104" s="5">
        <v>3468000</v>
      </c>
      <c r="D104" t="str">
        <f>VLOOKUP(A104,Лист2!A:E,5,0)</f>
        <v>малые</v>
      </c>
      <c r="E104">
        <f>VLOOKUP(A104,Лист2!A:E,4,0)</f>
        <v>2.5</v>
      </c>
      <c r="F104" s="12">
        <f t="shared" si="3"/>
        <v>-408000</v>
      </c>
      <c r="G104">
        <f t="shared" si="4"/>
        <v>1224000</v>
      </c>
      <c r="H104">
        <f t="shared" si="5"/>
        <v>-163200</v>
      </c>
    </row>
    <row r="105" spans="1:8">
      <c r="A105" s="6" t="s">
        <v>22</v>
      </c>
      <c r="B105" s="5">
        <v>11031000</v>
      </c>
      <c r="C105" s="5">
        <v>18407000</v>
      </c>
      <c r="D105" t="str">
        <f>VLOOKUP(A105,Лист2!A:E,5,0)</f>
        <v>малые</v>
      </c>
      <c r="E105">
        <f>VLOOKUP(A105,Лист2!A:E,4,0)</f>
        <v>13</v>
      </c>
      <c r="F105" s="12">
        <f t="shared" si="3"/>
        <v>-7376000</v>
      </c>
      <c r="G105">
        <f t="shared" si="4"/>
        <v>848538.4615384615</v>
      </c>
      <c r="H105">
        <f t="shared" si="5"/>
        <v>-567384.61538461538</v>
      </c>
    </row>
    <row r="106" spans="1:8">
      <c r="A106" s="6" t="s">
        <v>23</v>
      </c>
      <c r="B106" s="5">
        <v>41475000</v>
      </c>
      <c r="C106" s="5">
        <v>40195000</v>
      </c>
      <c r="D106" t="str">
        <f>VLOOKUP(A106,Лист2!A:E,5,0)</f>
        <v>средние</v>
      </c>
      <c r="E106">
        <f>VLOOKUP(A106,Лист2!A:E,4,0)</f>
        <v>75.5</v>
      </c>
      <c r="F106" s="12">
        <f t="shared" si="3"/>
        <v>1280000</v>
      </c>
      <c r="G106">
        <f t="shared" si="4"/>
        <v>549337.74834437086</v>
      </c>
      <c r="H106">
        <f t="shared" si="5"/>
        <v>16953.642384105959</v>
      </c>
    </row>
    <row r="107" spans="1:8">
      <c r="A107" s="6" t="s">
        <v>18</v>
      </c>
      <c r="B107" s="5">
        <v>24710000</v>
      </c>
      <c r="C107" s="5">
        <v>21286000</v>
      </c>
      <c r="D107" t="str">
        <f>VLOOKUP(A107,Лист2!A:E,5,0)</f>
        <v>малые</v>
      </c>
      <c r="E107">
        <f>VLOOKUP(A107,Лист2!A:E,4,0)</f>
        <v>2.5</v>
      </c>
      <c r="F107" s="12">
        <f t="shared" ref="F107:F153" si="6">B107-C107</f>
        <v>3424000</v>
      </c>
      <c r="G107">
        <f t="shared" ref="G107:G153" si="7">B107/E107</f>
        <v>9884000</v>
      </c>
      <c r="H107">
        <f t="shared" ref="H107:H153" si="8">F107/E107</f>
        <v>1369600</v>
      </c>
    </row>
    <row r="108" spans="1:8">
      <c r="A108" s="6" t="s">
        <v>18</v>
      </c>
      <c r="B108" s="5">
        <v>15715000</v>
      </c>
      <c r="C108" s="5">
        <v>12215000</v>
      </c>
      <c r="D108" t="str">
        <f>VLOOKUP(A108,Лист2!A:E,5,0)</f>
        <v>малые</v>
      </c>
      <c r="E108">
        <f>VLOOKUP(A108,Лист2!A:E,4,0)</f>
        <v>2.5</v>
      </c>
      <c r="F108" s="12">
        <f t="shared" si="6"/>
        <v>3500000</v>
      </c>
      <c r="G108">
        <f t="shared" si="7"/>
        <v>6286000</v>
      </c>
      <c r="H108">
        <f t="shared" si="8"/>
        <v>1400000</v>
      </c>
    </row>
    <row r="109" spans="1:8">
      <c r="A109" s="6" t="s">
        <v>18</v>
      </c>
      <c r="B109" s="5">
        <v>8550000</v>
      </c>
      <c r="C109" s="5">
        <v>8076000</v>
      </c>
      <c r="D109" t="str">
        <f>VLOOKUP(A109,Лист2!A:E,5,0)</f>
        <v>малые</v>
      </c>
      <c r="E109">
        <f>VLOOKUP(A109,Лист2!A:E,4,0)</f>
        <v>2.5</v>
      </c>
      <c r="F109" s="12">
        <f t="shared" si="6"/>
        <v>474000</v>
      </c>
      <c r="G109">
        <f t="shared" si="7"/>
        <v>3420000</v>
      </c>
      <c r="H109">
        <f t="shared" si="8"/>
        <v>189600</v>
      </c>
    </row>
    <row r="110" spans="1:8">
      <c r="A110" s="6" t="s">
        <v>22</v>
      </c>
      <c r="B110" s="5">
        <v>2682331000</v>
      </c>
      <c r="C110" s="5">
        <v>2664750000</v>
      </c>
      <c r="D110" t="str">
        <f>VLOOKUP(A110,Лист2!A:E,5,0)</f>
        <v>малые</v>
      </c>
      <c r="E110">
        <f>VLOOKUP(A110,Лист2!A:E,4,0)</f>
        <v>13</v>
      </c>
      <c r="F110" s="12">
        <f t="shared" si="6"/>
        <v>17581000</v>
      </c>
      <c r="G110">
        <f t="shared" si="7"/>
        <v>206333153.84615386</v>
      </c>
      <c r="H110">
        <f t="shared" si="8"/>
        <v>1352384.6153846155</v>
      </c>
    </row>
    <row r="111" spans="1:8">
      <c r="A111" s="6" t="s">
        <v>18</v>
      </c>
      <c r="B111" s="5">
        <v>9565000</v>
      </c>
      <c r="C111" s="5">
        <v>7416000</v>
      </c>
      <c r="D111" t="str">
        <f>VLOOKUP(A111,Лист2!A:E,5,0)</f>
        <v>малые</v>
      </c>
      <c r="E111">
        <f>VLOOKUP(A111,Лист2!A:E,4,0)</f>
        <v>2.5</v>
      </c>
      <c r="F111" s="12">
        <f t="shared" si="6"/>
        <v>2149000</v>
      </c>
      <c r="G111">
        <f t="shared" si="7"/>
        <v>3826000</v>
      </c>
      <c r="H111">
        <f t="shared" si="8"/>
        <v>859600</v>
      </c>
    </row>
    <row r="112" spans="1:8">
      <c r="A112" s="6" t="s">
        <v>22</v>
      </c>
      <c r="B112" s="5">
        <v>19026000</v>
      </c>
      <c r="C112" s="5">
        <v>18736000</v>
      </c>
      <c r="D112" t="str">
        <f>VLOOKUP(A112,Лист2!A:E,5,0)</f>
        <v>малые</v>
      </c>
      <c r="E112">
        <f>VLOOKUP(A112,Лист2!A:E,4,0)</f>
        <v>13</v>
      </c>
      <c r="F112" s="12">
        <f t="shared" si="6"/>
        <v>290000</v>
      </c>
      <c r="G112">
        <f t="shared" si="7"/>
        <v>1463538.4615384615</v>
      </c>
      <c r="H112">
        <f t="shared" si="8"/>
        <v>22307.692307692309</v>
      </c>
    </row>
    <row r="113" spans="1:8">
      <c r="A113" s="6" t="s">
        <v>18</v>
      </c>
      <c r="B113" s="5">
        <v>14000000</v>
      </c>
      <c r="C113" s="5">
        <v>13500000</v>
      </c>
      <c r="D113" t="str">
        <f>VLOOKUP(A113,Лист2!A:E,5,0)</f>
        <v>малые</v>
      </c>
      <c r="E113">
        <f>VLOOKUP(A113,Лист2!A:E,4,0)</f>
        <v>2.5</v>
      </c>
      <c r="F113" s="12">
        <f t="shared" si="6"/>
        <v>500000</v>
      </c>
      <c r="G113">
        <f t="shared" si="7"/>
        <v>5600000</v>
      </c>
      <c r="H113">
        <f t="shared" si="8"/>
        <v>200000</v>
      </c>
    </row>
    <row r="114" spans="1:8">
      <c r="A114" s="6" t="s">
        <v>18</v>
      </c>
      <c r="B114" s="5">
        <v>1539000</v>
      </c>
      <c r="C114" s="5">
        <v>1573000</v>
      </c>
      <c r="D114" t="str">
        <f>VLOOKUP(A114,Лист2!A:E,5,0)</f>
        <v>малые</v>
      </c>
      <c r="E114">
        <f>VLOOKUP(A114,Лист2!A:E,4,0)</f>
        <v>2.5</v>
      </c>
      <c r="F114" s="12">
        <f t="shared" si="6"/>
        <v>-34000</v>
      </c>
      <c r="G114">
        <f t="shared" si="7"/>
        <v>615600</v>
      </c>
      <c r="H114">
        <f t="shared" si="8"/>
        <v>-13600</v>
      </c>
    </row>
    <row r="115" spans="1:8">
      <c r="A115" s="6" t="s">
        <v>18</v>
      </c>
      <c r="B115" s="5">
        <v>2050000</v>
      </c>
      <c r="C115" s="5">
        <v>2078000</v>
      </c>
      <c r="D115" t="str">
        <f>VLOOKUP(A115,Лист2!A:E,5,0)</f>
        <v>малые</v>
      </c>
      <c r="E115">
        <f>VLOOKUP(A115,Лист2!A:E,4,0)</f>
        <v>2.5</v>
      </c>
      <c r="F115" s="12">
        <f t="shared" si="6"/>
        <v>-28000</v>
      </c>
      <c r="G115">
        <f t="shared" si="7"/>
        <v>820000</v>
      </c>
      <c r="H115">
        <f t="shared" si="8"/>
        <v>-11200</v>
      </c>
    </row>
    <row r="116" spans="1:8">
      <c r="A116" s="6" t="s">
        <v>18</v>
      </c>
      <c r="B116" s="5">
        <v>11287000</v>
      </c>
      <c r="C116" s="5">
        <v>10698000</v>
      </c>
      <c r="D116" t="str">
        <f>VLOOKUP(A116,Лист2!A:E,5,0)</f>
        <v>малые</v>
      </c>
      <c r="E116">
        <f>VLOOKUP(A116,Лист2!A:E,4,0)</f>
        <v>2.5</v>
      </c>
      <c r="F116" s="12">
        <f t="shared" si="6"/>
        <v>589000</v>
      </c>
      <c r="G116">
        <f t="shared" si="7"/>
        <v>4514800</v>
      </c>
      <c r="H116">
        <f t="shared" si="8"/>
        <v>235600</v>
      </c>
    </row>
    <row r="117" spans="1:8">
      <c r="A117" s="6" t="s">
        <v>18</v>
      </c>
      <c r="B117" s="5">
        <v>795000</v>
      </c>
      <c r="C117" s="5">
        <v>712000</v>
      </c>
      <c r="D117" t="str">
        <f>VLOOKUP(A117,Лист2!A:E,5,0)</f>
        <v>малые</v>
      </c>
      <c r="E117">
        <f>VLOOKUP(A117,Лист2!A:E,4,0)</f>
        <v>2.5</v>
      </c>
      <c r="F117" s="12">
        <f t="shared" si="6"/>
        <v>83000</v>
      </c>
      <c r="G117">
        <f t="shared" si="7"/>
        <v>318000</v>
      </c>
      <c r="H117">
        <f t="shared" si="8"/>
        <v>33200</v>
      </c>
    </row>
    <row r="118" spans="1:8">
      <c r="A118" s="6" t="s">
        <v>22</v>
      </c>
      <c r="B118" s="5">
        <v>1799000</v>
      </c>
      <c r="C118" s="5">
        <v>3777000</v>
      </c>
      <c r="D118" t="str">
        <f>VLOOKUP(A118,Лист2!A:E,5,0)</f>
        <v>малые</v>
      </c>
      <c r="E118">
        <f>VLOOKUP(A118,Лист2!A:E,4,0)</f>
        <v>13</v>
      </c>
      <c r="F118" s="12">
        <f t="shared" si="6"/>
        <v>-1978000</v>
      </c>
      <c r="G118">
        <f t="shared" si="7"/>
        <v>138384.61538461538</v>
      </c>
      <c r="H118">
        <f t="shared" si="8"/>
        <v>-152153.84615384616</v>
      </c>
    </row>
    <row r="119" spans="1:8">
      <c r="A119" s="6" t="s">
        <v>18</v>
      </c>
      <c r="B119" s="5">
        <v>3992000</v>
      </c>
      <c r="C119" s="5">
        <v>4723000</v>
      </c>
      <c r="D119" t="str">
        <f>VLOOKUP(A119,Лист2!A:E,5,0)</f>
        <v>малые</v>
      </c>
      <c r="E119">
        <f>VLOOKUP(A119,Лист2!A:E,4,0)</f>
        <v>2.5</v>
      </c>
      <c r="F119" s="12">
        <f t="shared" si="6"/>
        <v>-731000</v>
      </c>
      <c r="G119">
        <f t="shared" si="7"/>
        <v>1596800</v>
      </c>
      <c r="H119">
        <f t="shared" si="8"/>
        <v>-292400</v>
      </c>
    </row>
    <row r="120" spans="1:8">
      <c r="A120" s="6" t="s">
        <v>22</v>
      </c>
      <c r="B120" s="5">
        <v>79973000</v>
      </c>
      <c r="C120" s="5">
        <v>53135000</v>
      </c>
      <c r="D120" t="str">
        <f>VLOOKUP(A120,Лист2!A:E,5,0)</f>
        <v>малые</v>
      </c>
      <c r="E120">
        <f>VLOOKUP(A120,Лист2!A:E,4,0)</f>
        <v>13</v>
      </c>
      <c r="F120" s="12">
        <f t="shared" si="6"/>
        <v>26838000</v>
      </c>
      <c r="G120">
        <f t="shared" si="7"/>
        <v>6151769.230769231</v>
      </c>
      <c r="H120">
        <f t="shared" si="8"/>
        <v>2064461.5384615385</v>
      </c>
    </row>
    <row r="121" spans="1:8">
      <c r="A121" s="6" t="s">
        <v>18</v>
      </c>
      <c r="B121" s="5">
        <v>1251000</v>
      </c>
      <c r="C121" s="5">
        <v>1269000</v>
      </c>
      <c r="D121" t="str">
        <f>VLOOKUP(A121,Лист2!A:E,5,0)</f>
        <v>малые</v>
      </c>
      <c r="E121">
        <f>VLOOKUP(A121,Лист2!A:E,4,0)</f>
        <v>2.5</v>
      </c>
      <c r="F121" s="12">
        <f t="shared" si="6"/>
        <v>-18000</v>
      </c>
      <c r="G121">
        <f t="shared" si="7"/>
        <v>500400</v>
      </c>
      <c r="H121">
        <f t="shared" si="8"/>
        <v>-7200</v>
      </c>
    </row>
    <row r="122" spans="1:8">
      <c r="A122" s="6" t="s">
        <v>22</v>
      </c>
      <c r="B122" s="5">
        <v>1843000</v>
      </c>
      <c r="C122" s="5">
        <v>1843000</v>
      </c>
      <c r="D122" t="str">
        <f>VLOOKUP(A122,Лист2!A:E,5,0)</f>
        <v>малые</v>
      </c>
      <c r="E122">
        <f>VLOOKUP(A122,Лист2!A:E,4,0)</f>
        <v>13</v>
      </c>
      <c r="F122" s="12">
        <f t="shared" si="6"/>
        <v>0</v>
      </c>
      <c r="G122">
        <f t="shared" si="7"/>
        <v>141769.23076923078</v>
      </c>
      <c r="H122">
        <f t="shared" si="8"/>
        <v>0</v>
      </c>
    </row>
    <row r="123" spans="1:8">
      <c r="A123" s="6" t="s">
        <v>77</v>
      </c>
      <c r="B123" s="5">
        <v>3528000</v>
      </c>
      <c r="C123" s="5">
        <v>4310000</v>
      </c>
      <c r="D123" t="str">
        <f>VLOOKUP(A123,Лист2!A:E,5,0)</f>
        <v>малые</v>
      </c>
      <c r="E123">
        <f>VLOOKUP(A123,Лист2!A:E,4,0)</f>
        <v>8</v>
      </c>
      <c r="F123" s="12">
        <f t="shared" si="6"/>
        <v>-782000</v>
      </c>
      <c r="G123">
        <f t="shared" si="7"/>
        <v>441000</v>
      </c>
      <c r="H123">
        <f t="shared" si="8"/>
        <v>-97750</v>
      </c>
    </row>
    <row r="124" spans="1:8">
      <c r="A124" s="6" t="s">
        <v>18</v>
      </c>
      <c r="B124" s="5">
        <v>49142000</v>
      </c>
      <c r="C124" s="5">
        <v>64195000</v>
      </c>
      <c r="D124" t="str">
        <f>VLOOKUP(A124,Лист2!A:E,5,0)</f>
        <v>малые</v>
      </c>
      <c r="E124">
        <f>VLOOKUP(A124,Лист2!A:E,4,0)</f>
        <v>2.5</v>
      </c>
      <c r="F124" s="12">
        <f t="shared" si="6"/>
        <v>-15053000</v>
      </c>
      <c r="G124">
        <f t="shared" si="7"/>
        <v>19656800</v>
      </c>
      <c r="H124">
        <f t="shared" si="8"/>
        <v>-6021200</v>
      </c>
    </row>
    <row r="125" spans="1:8">
      <c r="A125" s="6" t="s">
        <v>18</v>
      </c>
      <c r="B125" s="5">
        <v>645000</v>
      </c>
      <c r="C125" s="5">
        <v>5612000</v>
      </c>
      <c r="D125" t="str">
        <f>VLOOKUP(A125,Лист2!A:E,5,0)</f>
        <v>малые</v>
      </c>
      <c r="E125">
        <f>VLOOKUP(A125,Лист2!A:E,4,0)</f>
        <v>2.5</v>
      </c>
      <c r="F125" s="12">
        <f t="shared" si="6"/>
        <v>-4967000</v>
      </c>
      <c r="G125">
        <f t="shared" si="7"/>
        <v>258000</v>
      </c>
      <c r="H125">
        <f t="shared" si="8"/>
        <v>-1986800</v>
      </c>
    </row>
    <row r="126" spans="1:8">
      <c r="A126" s="6" t="s">
        <v>18</v>
      </c>
      <c r="B126" s="5">
        <v>47030000</v>
      </c>
      <c r="C126" s="5">
        <v>32841000</v>
      </c>
      <c r="D126" t="str">
        <f>VLOOKUP(A126,Лист2!A:E,5,0)</f>
        <v>малые</v>
      </c>
      <c r="E126">
        <f>VLOOKUP(A126,Лист2!A:E,4,0)</f>
        <v>2.5</v>
      </c>
      <c r="F126" s="12">
        <f t="shared" si="6"/>
        <v>14189000</v>
      </c>
      <c r="G126">
        <f t="shared" si="7"/>
        <v>18812000</v>
      </c>
      <c r="H126">
        <f t="shared" si="8"/>
        <v>5675600</v>
      </c>
    </row>
    <row r="127" spans="1:8">
      <c r="A127" s="6" t="s">
        <v>18</v>
      </c>
      <c r="B127" s="5">
        <v>112000</v>
      </c>
      <c r="C127" s="5">
        <v>213000</v>
      </c>
      <c r="D127" t="str">
        <f>VLOOKUP(A127,Лист2!A:E,5,0)</f>
        <v>малые</v>
      </c>
      <c r="E127">
        <f>VLOOKUP(A127,Лист2!A:E,4,0)</f>
        <v>2.5</v>
      </c>
      <c r="F127" s="12">
        <f t="shared" si="6"/>
        <v>-101000</v>
      </c>
      <c r="G127">
        <f t="shared" si="7"/>
        <v>44800</v>
      </c>
      <c r="H127">
        <f t="shared" si="8"/>
        <v>-40400</v>
      </c>
    </row>
    <row r="128" spans="1:8">
      <c r="A128" s="6" t="s">
        <v>18</v>
      </c>
      <c r="B128" s="5">
        <v>51420000</v>
      </c>
      <c r="C128" s="5">
        <v>51550000</v>
      </c>
      <c r="D128" t="str">
        <f>VLOOKUP(A128,Лист2!A:E,5,0)</f>
        <v>малые</v>
      </c>
      <c r="E128">
        <f>VLOOKUP(A128,Лист2!A:E,4,0)</f>
        <v>2.5</v>
      </c>
      <c r="F128" s="12">
        <f t="shared" si="6"/>
        <v>-130000</v>
      </c>
      <c r="G128">
        <f t="shared" si="7"/>
        <v>20568000</v>
      </c>
      <c r="H128">
        <f t="shared" si="8"/>
        <v>-52000</v>
      </c>
    </row>
    <row r="129" spans="1:8">
      <c r="A129" s="6" t="s">
        <v>18</v>
      </c>
      <c r="B129" s="5">
        <v>4512000</v>
      </c>
      <c r="C129" s="5">
        <v>6516000</v>
      </c>
      <c r="D129" t="str">
        <f>VLOOKUP(A129,Лист2!A:E,5,0)</f>
        <v>малые</v>
      </c>
      <c r="E129">
        <f>VLOOKUP(A129,Лист2!A:E,4,0)</f>
        <v>2.5</v>
      </c>
      <c r="F129" s="12">
        <f t="shared" si="6"/>
        <v>-2004000</v>
      </c>
      <c r="G129">
        <f t="shared" si="7"/>
        <v>1804800</v>
      </c>
      <c r="H129">
        <f t="shared" si="8"/>
        <v>-801600</v>
      </c>
    </row>
    <row r="130" spans="1:8">
      <c r="A130" s="6" t="s">
        <v>18</v>
      </c>
      <c r="B130" s="5">
        <v>29048000</v>
      </c>
      <c r="C130" s="5">
        <v>30087000</v>
      </c>
      <c r="D130" t="str">
        <f>VLOOKUP(A130,Лист2!A:E,5,0)</f>
        <v>малые</v>
      </c>
      <c r="E130">
        <f>VLOOKUP(A130,Лист2!A:E,4,0)</f>
        <v>2.5</v>
      </c>
      <c r="F130" s="12">
        <f t="shared" si="6"/>
        <v>-1039000</v>
      </c>
      <c r="G130">
        <f t="shared" si="7"/>
        <v>11619200</v>
      </c>
      <c r="H130">
        <f t="shared" si="8"/>
        <v>-415600</v>
      </c>
    </row>
    <row r="131" spans="1:8">
      <c r="A131" s="6" t="s">
        <v>22</v>
      </c>
      <c r="B131" s="5">
        <v>12586000</v>
      </c>
      <c r="C131" s="5">
        <v>13386000</v>
      </c>
      <c r="D131" t="str">
        <f>VLOOKUP(A131,Лист2!A:E,5,0)</f>
        <v>малые</v>
      </c>
      <c r="E131">
        <f>VLOOKUP(A131,Лист2!A:E,4,0)</f>
        <v>13</v>
      </c>
      <c r="F131" s="12">
        <f t="shared" si="6"/>
        <v>-800000</v>
      </c>
      <c r="G131">
        <f t="shared" si="7"/>
        <v>968153.84615384613</v>
      </c>
      <c r="H131">
        <f t="shared" si="8"/>
        <v>-61538.461538461539</v>
      </c>
    </row>
    <row r="132" spans="1:8">
      <c r="A132" s="6" t="s">
        <v>18</v>
      </c>
      <c r="B132" s="5">
        <v>82449000</v>
      </c>
      <c r="C132" s="5">
        <v>77478000</v>
      </c>
      <c r="D132" t="str">
        <f>VLOOKUP(A132,Лист2!A:E,5,0)</f>
        <v>малые</v>
      </c>
      <c r="E132">
        <f>VLOOKUP(A132,Лист2!A:E,4,0)</f>
        <v>2.5</v>
      </c>
      <c r="F132" s="12">
        <f t="shared" si="6"/>
        <v>4971000</v>
      </c>
      <c r="G132">
        <f t="shared" si="7"/>
        <v>32979600</v>
      </c>
      <c r="H132">
        <f t="shared" si="8"/>
        <v>1988400</v>
      </c>
    </row>
    <row r="133" spans="1:8">
      <c r="A133" s="6" t="s">
        <v>18</v>
      </c>
      <c r="B133" s="5">
        <v>43840000</v>
      </c>
      <c r="C133" s="5">
        <v>38079000</v>
      </c>
      <c r="D133" t="str">
        <f>VLOOKUP(A133,Лист2!A:E,5,0)</f>
        <v>малые</v>
      </c>
      <c r="E133">
        <f>VLOOKUP(A133,Лист2!A:E,4,0)</f>
        <v>2.5</v>
      </c>
      <c r="F133" s="12">
        <f t="shared" si="6"/>
        <v>5761000</v>
      </c>
      <c r="G133">
        <f t="shared" si="7"/>
        <v>17536000</v>
      </c>
      <c r="H133">
        <f t="shared" si="8"/>
        <v>2304400</v>
      </c>
    </row>
    <row r="134" spans="1:8">
      <c r="A134" s="6" t="s">
        <v>18</v>
      </c>
      <c r="B134" s="5">
        <v>6398000</v>
      </c>
      <c r="C134" s="5">
        <v>6410000</v>
      </c>
      <c r="D134" t="str">
        <f>VLOOKUP(A134,Лист2!A:E,5,0)</f>
        <v>малые</v>
      </c>
      <c r="E134">
        <f>VLOOKUP(A134,Лист2!A:E,4,0)</f>
        <v>2.5</v>
      </c>
      <c r="F134" s="12">
        <f t="shared" si="6"/>
        <v>-12000</v>
      </c>
      <c r="G134">
        <f t="shared" si="7"/>
        <v>2559200</v>
      </c>
      <c r="H134">
        <f t="shared" si="8"/>
        <v>-4800</v>
      </c>
    </row>
    <row r="135" spans="1:8">
      <c r="A135" s="6" t="s">
        <v>18</v>
      </c>
      <c r="B135" s="5">
        <v>64105000</v>
      </c>
      <c r="C135" s="5">
        <v>48265000</v>
      </c>
      <c r="D135" t="str">
        <f>VLOOKUP(A135,Лист2!A:E,5,0)</f>
        <v>малые</v>
      </c>
      <c r="E135">
        <f>VLOOKUP(A135,Лист2!A:E,4,0)</f>
        <v>2.5</v>
      </c>
      <c r="F135" s="12">
        <f t="shared" si="6"/>
        <v>15840000</v>
      </c>
      <c r="G135">
        <f t="shared" si="7"/>
        <v>25642000</v>
      </c>
      <c r="H135">
        <f t="shared" si="8"/>
        <v>6336000</v>
      </c>
    </row>
    <row r="136" spans="1:8">
      <c r="A136" s="6" t="s">
        <v>18</v>
      </c>
      <c r="B136" s="5">
        <v>346000</v>
      </c>
      <c r="C136" s="5">
        <v>346000</v>
      </c>
      <c r="D136" t="str">
        <f>VLOOKUP(A136,Лист2!A:E,5,0)</f>
        <v>малые</v>
      </c>
      <c r="E136">
        <f>VLOOKUP(A136,Лист2!A:E,4,0)</f>
        <v>2.5</v>
      </c>
      <c r="F136" s="12">
        <f t="shared" si="6"/>
        <v>0</v>
      </c>
      <c r="G136">
        <f t="shared" si="7"/>
        <v>138400</v>
      </c>
      <c r="H136">
        <f t="shared" si="8"/>
        <v>0</v>
      </c>
    </row>
    <row r="137" spans="1:8">
      <c r="A137" s="6" t="s">
        <v>18</v>
      </c>
      <c r="B137" s="5">
        <v>1781000</v>
      </c>
      <c r="C137" s="5">
        <v>1780000</v>
      </c>
      <c r="D137" t="str">
        <f>VLOOKUP(A137,Лист2!A:E,5,0)</f>
        <v>малые</v>
      </c>
      <c r="E137">
        <f>VLOOKUP(A137,Лист2!A:E,4,0)</f>
        <v>2.5</v>
      </c>
      <c r="F137" s="12">
        <f t="shared" si="6"/>
        <v>1000</v>
      </c>
      <c r="G137">
        <f t="shared" si="7"/>
        <v>712400</v>
      </c>
      <c r="H137">
        <f t="shared" si="8"/>
        <v>400</v>
      </c>
    </row>
    <row r="138" spans="1:8">
      <c r="A138" s="6" t="s">
        <v>77</v>
      </c>
      <c r="B138" s="5">
        <v>4813000</v>
      </c>
      <c r="C138" s="5">
        <v>5132000</v>
      </c>
      <c r="D138" t="str">
        <f>VLOOKUP(A138,Лист2!A:E,5,0)</f>
        <v>малые</v>
      </c>
      <c r="E138">
        <f>VLOOKUP(A138,Лист2!A:E,4,0)</f>
        <v>8</v>
      </c>
      <c r="F138" s="12">
        <f t="shared" si="6"/>
        <v>-319000</v>
      </c>
      <c r="G138">
        <f t="shared" si="7"/>
        <v>601625</v>
      </c>
      <c r="H138">
        <f t="shared" si="8"/>
        <v>-39875</v>
      </c>
    </row>
    <row r="139" spans="1:8">
      <c r="A139" s="6" t="s">
        <v>18</v>
      </c>
      <c r="B139" s="5">
        <v>15842000</v>
      </c>
      <c r="C139" s="5">
        <v>12483000</v>
      </c>
      <c r="D139" t="str">
        <f>VLOOKUP(A139,Лист2!A:E,5,0)</f>
        <v>малые</v>
      </c>
      <c r="E139">
        <f>VLOOKUP(A139,Лист2!A:E,4,0)</f>
        <v>2.5</v>
      </c>
      <c r="F139" s="12">
        <f t="shared" si="6"/>
        <v>3359000</v>
      </c>
      <c r="G139">
        <f t="shared" si="7"/>
        <v>6336800</v>
      </c>
      <c r="H139">
        <f t="shared" si="8"/>
        <v>1343600</v>
      </c>
    </row>
    <row r="140" spans="1:8">
      <c r="A140" s="6" t="s">
        <v>18</v>
      </c>
      <c r="B140" s="5">
        <v>6339000</v>
      </c>
      <c r="C140" s="5">
        <v>2590000</v>
      </c>
      <c r="D140" t="str">
        <f>VLOOKUP(A140,Лист2!A:E,5,0)</f>
        <v>малые</v>
      </c>
      <c r="E140">
        <f>VLOOKUP(A140,Лист2!A:E,4,0)</f>
        <v>2.5</v>
      </c>
      <c r="F140" s="12">
        <f t="shared" si="6"/>
        <v>3749000</v>
      </c>
      <c r="G140">
        <f t="shared" si="7"/>
        <v>2535600</v>
      </c>
      <c r="H140">
        <f t="shared" si="8"/>
        <v>1499600</v>
      </c>
    </row>
    <row r="141" spans="1:8">
      <c r="A141" s="6" t="s">
        <v>77</v>
      </c>
      <c r="B141" s="5">
        <v>786000</v>
      </c>
      <c r="C141" s="5">
        <v>2387000</v>
      </c>
      <c r="D141" t="str">
        <f>VLOOKUP(A141,Лист2!A:E,5,0)</f>
        <v>малые</v>
      </c>
      <c r="E141">
        <f>VLOOKUP(A141,Лист2!A:E,4,0)</f>
        <v>8</v>
      </c>
      <c r="F141" s="12">
        <f t="shared" si="6"/>
        <v>-1601000</v>
      </c>
      <c r="G141">
        <f t="shared" si="7"/>
        <v>98250</v>
      </c>
      <c r="H141">
        <f t="shared" si="8"/>
        <v>-200125</v>
      </c>
    </row>
    <row r="142" spans="1:8">
      <c r="A142" s="6" t="s">
        <v>18</v>
      </c>
      <c r="B142" s="5">
        <v>10942000</v>
      </c>
      <c r="C142" s="5">
        <v>505862000</v>
      </c>
      <c r="D142" t="str">
        <f>VLOOKUP(A142,Лист2!A:E,5,0)</f>
        <v>малые</v>
      </c>
      <c r="E142">
        <f>VLOOKUP(A142,Лист2!A:E,4,0)</f>
        <v>2.5</v>
      </c>
      <c r="F142" s="12">
        <f t="shared" si="6"/>
        <v>-494920000</v>
      </c>
      <c r="G142">
        <f t="shared" si="7"/>
        <v>4376800</v>
      </c>
      <c r="H142">
        <f t="shared" si="8"/>
        <v>-197968000</v>
      </c>
    </row>
    <row r="143" spans="1:8">
      <c r="A143" s="6" t="s">
        <v>18</v>
      </c>
      <c r="B143" s="5">
        <v>14297000</v>
      </c>
      <c r="C143" s="5">
        <v>12168000</v>
      </c>
      <c r="D143" t="str">
        <f>VLOOKUP(A143,Лист2!A:E,5,0)</f>
        <v>малые</v>
      </c>
      <c r="E143">
        <f>VLOOKUP(A143,Лист2!A:E,4,0)</f>
        <v>2.5</v>
      </c>
      <c r="F143" s="12">
        <f t="shared" si="6"/>
        <v>2129000</v>
      </c>
      <c r="G143">
        <f t="shared" si="7"/>
        <v>5718800</v>
      </c>
      <c r="H143">
        <f t="shared" si="8"/>
        <v>851600</v>
      </c>
    </row>
    <row r="144" spans="1:8">
      <c r="A144" s="6" t="s">
        <v>18</v>
      </c>
      <c r="B144" s="5">
        <v>1003000</v>
      </c>
      <c r="C144" s="5">
        <v>4000</v>
      </c>
      <c r="D144" t="str">
        <f>VLOOKUP(A144,Лист2!A:E,5,0)</f>
        <v>малые</v>
      </c>
      <c r="E144">
        <f>VLOOKUP(A144,Лист2!A:E,4,0)</f>
        <v>2.5</v>
      </c>
      <c r="F144" s="12">
        <f t="shared" si="6"/>
        <v>999000</v>
      </c>
      <c r="G144">
        <f t="shared" si="7"/>
        <v>401200</v>
      </c>
      <c r="H144">
        <f t="shared" si="8"/>
        <v>399600</v>
      </c>
    </row>
    <row r="145" spans="1:8">
      <c r="A145" s="6" t="s">
        <v>18</v>
      </c>
      <c r="B145" s="5">
        <v>223000</v>
      </c>
      <c r="C145" s="5">
        <v>77000</v>
      </c>
      <c r="D145" t="str">
        <f>VLOOKUP(A145,Лист2!A:E,5,0)</f>
        <v>малые</v>
      </c>
      <c r="E145">
        <f>VLOOKUP(A145,Лист2!A:E,4,0)</f>
        <v>2.5</v>
      </c>
      <c r="F145" s="12">
        <f t="shared" si="6"/>
        <v>146000</v>
      </c>
      <c r="G145">
        <f t="shared" si="7"/>
        <v>89200</v>
      </c>
      <c r="H145">
        <f t="shared" si="8"/>
        <v>58400</v>
      </c>
    </row>
    <row r="146" spans="1:8">
      <c r="A146" s="6" t="s">
        <v>22</v>
      </c>
      <c r="B146" s="5">
        <v>69847000</v>
      </c>
      <c r="C146" s="5">
        <v>66508000</v>
      </c>
      <c r="D146" t="str">
        <f>VLOOKUP(A146,Лист2!A:E,5,0)</f>
        <v>малые</v>
      </c>
      <c r="E146">
        <f>VLOOKUP(A146,Лист2!A:E,4,0)</f>
        <v>13</v>
      </c>
      <c r="F146" s="12">
        <f t="shared" si="6"/>
        <v>3339000</v>
      </c>
      <c r="G146">
        <f t="shared" si="7"/>
        <v>5372846.153846154</v>
      </c>
      <c r="H146">
        <f t="shared" si="8"/>
        <v>256846.15384615384</v>
      </c>
    </row>
    <row r="147" spans="1:8">
      <c r="A147" s="6" t="s">
        <v>18</v>
      </c>
      <c r="B147" s="5">
        <v>56260000</v>
      </c>
      <c r="C147" s="5">
        <v>56796000</v>
      </c>
      <c r="D147" t="str">
        <f>VLOOKUP(A147,Лист2!A:E,5,0)</f>
        <v>малые</v>
      </c>
      <c r="E147">
        <f>VLOOKUP(A147,Лист2!A:E,4,0)</f>
        <v>2.5</v>
      </c>
      <c r="F147" s="12">
        <f t="shared" si="6"/>
        <v>-536000</v>
      </c>
      <c r="G147">
        <f t="shared" si="7"/>
        <v>22504000</v>
      </c>
      <c r="H147">
        <f t="shared" si="8"/>
        <v>-214400</v>
      </c>
    </row>
    <row r="148" spans="1:8">
      <c r="A148" s="6" t="s">
        <v>18</v>
      </c>
      <c r="B148" s="5">
        <v>399000</v>
      </c>
      <c r="C148" s="5">
        <v>399000</v>
      </c>
      <c r="D148" t="str">
        <f>VLOOKUP(A148,Лист2!A:E,5,0)</f>
        <v>малые</v>
      </c>
      <c r="E148">
        <f>VLOOKUP(A148,Лист2!A:E,4,0)</f>
        <v>2.5</v>
      </c>
      <c r="F148" s="12">
        <f t="shared" si="6"/>
        <v>0</v>
      </c>
      <c r="G148">
        <f t="shared" si="7"/>
        <v>159600</v>
      </c>
      <c r="H148">
        <f t="shared" si="8"/>
        <v>0</v>
      </c>
    </row>
    <row r="149" spans="1:8">
      <c r="A149" s="6" t="s">
        <v>22</v>
      </c>
      <c r="B149" s="5">
        <v>57703000</v>
      </c>
      <c r="C149" s="5">
        <v>45859000</v>
      </c>
      <c r="D149" t="str">
        <f>VLOOKUP(A149,Лист2!A:E,5,0)</f>
        <v>малые</v>
      </c>
      <c r="E149">
        <f>VLOOKUP(A149,Лист2!A:E,4,0)</f>
        <v>13</v>
      </c>
      <c r="F149" s="12">
        <f t="shared" si="6"/>
        <v>11844000</v>
      </c>
      <c r="G149">
        <f t="shared" si="7"/>
        <v>4438692.307692308</v>
      </c>
      <c r="H149">
        <f t="shared" si="8"/>
        <v>911076.92307692312</v>
      </c>
    </row>
    <row r="150" spans="1:8">
      <c r="A150" s="6" t="s">
        <v>18</v>
      </c>
      <c r="B150" s="5">
        <v>17590000</v>
      </c>
      <c r="C150" s="5">
        <v>17335000</v>
      </c>
      <c r="D150" t="str">
        <f>VLOOKUP(A150,Лист2!A:E,5,0)</f>
        <v>малые</v>
      </c>
      <c r="E150">
        <f>VLOOKUP(A150,Лист2!A:E,4,0)</f>
        <v>2.5</v>
      </c>
      <c r="F150" s="12">
        <f t="shared" si="6"/>
        <v>255000</v>
      </c>
      <c r="G150">
        <f t="shared" si="7"/>
        <v>7036000</v>
      </c>
      <c r="H150">
        <f t="shared" si="8"/>
        <v>102000</v>
      </c>
    </row>
    <row r="151" spans="1:8">
      <c r="A151" s="6" t="s">
        <v>18</v>
      </c>
      <c r="B151" s="5">
        <v>270000</v>
      </c>
      <c r="C151" s="5">
        <v>369000</v>
      </c>
      <c r="D151" t="str">
        <f>VLOOKUP(A151,Лист2!A:E,5,0)</f>
        <v>малые</v>
      </c>
      <c r="E151">
        <f>VLOOKUP(A151,Лист2!A:E,4,0)</f>
        <v>2.5</v>
      </c>
      <c r="F151" s="12">
        <f t="shared" si="6"/>
        <v>-99000</v>
      </c>
      <c r="G151">
        <f t="shared" si="7"/>
        <v>108000</v>
      </c>
      <c r="H151">
        <f t="shared" si="8"/>
        <v>-39600</v>
      </c>
    </row>
    <row r="152" spans="1:8">
      <c r="A152" s="6" t="s">
        <v>22</v>
      </c>
      <c r="B152" s="5">
        <v>26329000</v>
      </c>
      <c r="C152" s="5">
        <v>27613000</v>
      </c>
      <c r="D152" t="str">
        <f>VLOOKUP(A152,Лист2!A:E,5,0)</f>
        <v>малые</v>
      </c>
      <c r="E152">
        <f>VLOOKUP(A152,Лист2!A:E,4,0)</f>
        <v>13</v>
      </c>
      <c r="F152" s="12">
        <f t="shared" si="6"/>
        <v>-1284000</v>
      </c>
      <c r="G152">
        <f t="shared" si="7"/>
        <v>2025307.6923076923</v>
      </c>
      <c r="H152">
        <f t="shared" si="8"/>
        <v>-98769.230769230766</v>
      </c>
    </row>
    <row r="153" spans="1:8">
      <c r="A153" s="6" t="s">
        <v>22</v>
      </c>
      <c r="B153" s="5">
        <v>1715385000</v>
      </c>
      <c r="C153" s="5">
        <v>1575287000</v>
      </c>
      <c r="D153" t="str">
        <f>VLOOKUP(A153,Лист2!A:E,5,0)</f>
        <v>малые</v>
      </c>
      <c r="E153">
        <f>VLOOKUP(A153,Лист2!A:E,4,0)</f>
        <v>13</v>
      </c>
      <c r="F153" s="12">
        <f t="shared" si="6"/>
        <v>140098000</v>
      </c>
      <c r="G153">
        <f t="shared" si="7"/>
        <v>131952692.3076923</v>
      </c>
      <c r="H153">
        <f t="shared" si="8"/>
        <v>10776769.23076923</v>
      </c>
    </row>
    <row r="154" spans="1:8">
      <c r="A154" s="6" t="s">
        <v>18</v>
      </c>
      <c r="B154" s="5">
        <v>10684000</v>
      </c>
      <c r="C154" s="5">
        <v>6249000</v>
      </c>
      <c r="D154" t="str">
        <f>VLOOKUP(A154,Лист2!A:E,5,0)</f>
        <v>малые</v>
      </c>
      <c r="E154">
        <f>VLOOKUP(A154,Лист2!A:E,4,0)</f>
        <v>2.5</v>
      </c>
      <c r="F154" s="12">
        <f t="shared" ref="F154:F197" si="9">B154-C154</f>
        <v>4435000</v>
      </c>
      <c r="G154">
        <f t="shared" ref="G154:G197" si="10">B154/E154</f>
        <v>4273600</v>
      </c>
      <c r="H154">
        <f t="shared" ref="H154:H197" si="11">F154/E154</f>
        <v>1774000</v>
      </c>
    </row>
    <row r="155" spans="1:8">
      <c r="A155" s="6" t="s">
        <v>77</v>
      </c>
      <c r="B155" s="5">
        <v>58018000</v>
      </c>
      <c r="C155" s="5">
        <v>66715000</v>
      </c>
      <c r="D155" t="str">
        <f>VLOOKUP(A155,Лист2!A:E,5,0)</f>
        <v>малые</v>
      </c>
      <c r="E155">
        <f>VLOOKUP(A155,Лист2!A:E,4,0)</f>
        <v>8</v>
      </c>
      <c r="F155" s="12">
        <f t="shared" si="9"/>
        <v>-8697000</v>
      </c>
      <c r="G155">
        <f t="shared" si="10"/>
        <v>7252250</v>
      </c>
      <c r="H155">
        <f t="shared" si="11"/>
        <v>-1087125</v>
      </c>
    </row>
    <row r="156" spans="1:8">
      <c r="A156" s="6" t="s">
        <v>22</v>
      </c>
      <c r="B156" s="5">
        <v>9423000</v>
      </c>
      <c r="C156" s="5">
        <v>24519000</v>
      </c>
      <c r="D156" t="str">
        <f>VLOOKUP(A156,Лист2!A:E,5,0)</f>
        <v>малые</v>
      </c>
      <c r="E156">
        <f>VLOOKUP(A156,Лист2!A:E,4,0)</f>
        <v>13</v>
      </c>
      <c r="F156" s="12">
        <f t="shared" si="9"/>
        <v>-15096000</v>
      </c>
      <c r="G156">
        <f t="shared" si="10"/>
        <v>724846.15384615387</v>
      </c>
      <c r="H156">
        <f t="shared" si="11"/>
        <v>-1161230.7692307692</v>
      </c>
    </row>
    <row r="157" spans="1:8">
      <c r="A157" s="6" t="s">
        <v>23</v>
      </c>
      <c r="B157" s="5">
        <v>276376000</v>
      </c>
      <c r="C157" s="5">
        <v>206676000</v>
      </c>
      <c r="D157" t="str">
        <f>VLOOKUP(A157,Лист2!A:E,5,0)</f>
        <v>средние</v>
      </c>
      <c r="E157">
        <f>VLOOKUP(A157,Лист2!A:E,4,0)</f>
        <v>75.5</v>
      </c>
      <c r="F157" s="12">
        <f t="shared" si="9"/>
        <v>69700000</v>
      </c>
      <c r="G157">
        <f t="shared" si="10"/>
        <v>3660609.271523179</v>
      </c>
      <c r="H157">
        <f t="shared" si="11"/>
        <v>923178.80794701981</v>
      </c>
    </row>
    <row r="158" spans="1:8">
      <c r="A158" s="6" t="s">
        <v>18</v>
      </c>
      <c r="B158" s="5">
        <v>14725000</v>
      </c>
      <c r="C158" s="5">
        <v>15975000</v>
      </c>
      <c r="D158" t="str">
        <f>VLOOKUP(A158,Лист2!A:E,5,0)</f>
        <v>малые</v>
      </c>
      <c r="E158">
        <f>VLOOKUP(A158,Лист2!A:E,4,0)</f>
        <v>2.5</v>
      </c>
      <c r="F158" s="12">
        <f t="shared" si="9"/>
        <v>-1250000</v>
      </c>
      <c r="G158">
        <f t="shared" si="10"/>
        <v>5890000</v>
      </c>
      <c r="H158">
        <f t="shared" si="11"/>
        <v>-500000</v>
      </c>
    </row>
    <row r="159" spans="1:8">
      <c r="A159" s="6" t="s">
        <v>18</v>
      </c>
      <c r="B159" s="5">
        <v>34057000</v>
      </c>
      <c r="C159" s="5">
        <v>35935000</v>
      </c>
      <c r="D159" t="str">
        <f>VLOOKUP(A159,Лист2!A:E,5,0)</f>
        <v>малые</v>
      </c>
      <c r="E159">
        <f>VLOOKUP(A159,Лист2!A:E,4,0)</f>
        <v>2.5</v>
      </c>
      <c r="F159" s="12">
        <f t="shared" si="9"/>
        <v>-1878000</v>
      </c>
      <c r="G159">
        <f t="shared" si="10"/>
        <v>13622800</v>
      </c>
      <c r="H159">
        <f t="shared" si="11"/>
        <v>-751200</v>
      </c>
    </row>
    <row r="160" spans="1:8">
      <c r="A160" s="6" t="s">
        <v>18</v>
      </c>
      <c r="B160" s="5">
        <v>47830000</v>
      </c>
      <c r="C160" s="5">
        <v>47613000</v>
      </c>
      <c r="D160" t="str">
        <f>VLOOKUP(A160,Лист2!A:E,5,0)</f>
        <v>малые</v>
      </c>
      <c r="E160">
        <f>VLOOKUP(A160,Лист2!A:E,4,0)</f>
        <v>2.5</v>
      </c>
      <c r="F160" s="12">
        <f t="shared" si="9"/>
        <v>217000</v>
      </c>
      <c r="G160">
        <f t="shared" si="10"/>
        <v>19132000</v>
      </c>
      <c r="H160">
        <f t="shared" si="11"/>
        <v>86800</v>
      </c>
    </row>
    <row r="161" spans="1:8">
      <c r="A161" s="6" t="s">
        <v>18</v>
      </c>
      <c r="B161" s="5">
        <v>8811000</v>
      </c>
      <c r="C161" s="5">
        <v>8811000</v>
      </c>
      <c r="D161" t="str">
        <f>VLOOKUP(A161,Лист2!A:E,5,0)</f>
        <v>малые</v>
      </c>
      <c r="E161">
        <f>VLOOKUP(A161,Лист2!A:E,4,0)</f>
        <v>2.5</v>
      </c>
      <c r="F161" s="12">
        <f t="shared" si="9"/>
        <v>0</v>
      </c>
      <c r="G161">
        <f t="shared" si="10"/>
        <v>3524400</v>
      </c>
      <c r="H161">
        <f t="shared" si="11"/>
        <v>0</v>
      </c>
    </row>
    <row r="162" spans="1:8">
      <c r="A162" s="6" t="s">
        <v>77</v>
      </c>
      <c r="B162" s="5">
        <v>8000000</v>
      </c>
      <c r="C162" s="5">
        <v>9086000</v>
      </c>
      <c r="D162" t="str">
        <f>VLOOKUP(A162,Лист2!A:E,5,0)</f>
        <v>малые</v>
      </c>
      <c r="E162">
        <f>VLOOKUP(A162,Лист2!A:E,4,0)</f>
        <v>8</v>
      </c>
      <c r="F162" s="12">
        <f t="shared" si="9"/>
        <v>-1086000</v>
      </c>
      <c r="G162">
        <f t="shared" si="10"/>
        <v>1000000</v>
      </c>
      <c r="H162">
        <f t="shared" si="11"/>
        <v>-135750</v>
      </c>
    </row>
    <row r="163" spans="1:8">
      <c r="A163" s="6" t="s">
        <v>18</v>
      </c>
      <c r="B163" s="5">
        <v>1789000</v>
      </c>
      <c r="C163" s="5">
        <v>1830000</v>
      </c>
      <c r="D163" t="str">
        <f>VLOOKUP(A163,Лист2!A:E,5,0)</f>
        <v>малые</v>
      </c>
      <c r="E163">
        <f>VLOOKUP(A163,Лист2!A:E,4,0)</f>
        <v>2.5</v>
      </c>
      <c r="F163" s="12">
        <f t="shared" si="9"/>
        <v>-41000</v>
      </c>
      <c r="G163">
        <f t="shared" si="10"/>
        <v>715600</v>
      </c>
      <c r="H163">
        <f t="shared" si="11"/>
        <v>-16400</v>
      </c>
    </row>
    <row r="164" spans="1:8">
      <c r="A164" s="6" t="s">
        <v>18</v>
      </c>
      <c r="B164" s="5">
        <v>6213000</v>
      </c>
      <c r="C164" s="5">
        <v>6401000</v>
      </c>
      <c r="D164" t="str">
        <f>VLOOKUP(A164,Лист2!A:E,5,0)</f>
        <v>малые</v>
      </c>
      <c r="E164">
        <f>VLOOKUP(A164,Лист2!A:E,4,0)</f>
        <v>2.5</v>
      </c>
      <c r="F164" s="12">
        <f t="shared" si="9"/>
        <v>-188000</v>
      </c>
      <c r="G164">
        <f t="shared" si="10"/>
        <v>2485200</v>
      </c>
      <c r="H164">
        <f t="shared" si="11"/>
        <v>-75200</v>
      </c>
    </row>
    <row r="165" spans="1:8">
      <c r="A165" s="6" t="s">
        <v>22</v>
      </c>
      <c r="B165" s="5">
        <v>22011000</v>
      </c>
      <c r="C165" s="5">
        <v>24603000</v>
      </c>
      <c r="D165" t="str">
        <f>VLOOKUP(A165,Лист2!A:E,5,0)</f>
        <v>малые</v>
      </c>
      <c r="E165">
        <f>VLOOKUP(A165,Лист2!A:E,4,0)</f>
        <v>13</v>
      </c>
      <c r="F165" s="12">
        <f t="shared" si="9"/>
        <v>-2592000</v>
      </c>
      <c r="G165">
        <f t="shared" si="10"/>
        <v>1693153.8461538462</v>
      </c>
      <c r="H165">
        <f t="shared" si="11"/>
        <v>-199384.61538461538</v>
      </c>
    </row>
    <row r="166" spans="1:8">
      <c r="A166" s="6" t="s">
        <v>77</v>
      </c>
      <c r="B166" s="5">
        <v>472532000</v>
      </c>
      <c r="C166" s="5">
        <v>327707000</v>
      </c>
      <c r="D166" t="str">
        <f>VLOOKUP(A166,Лист2!A:E,5,0)</f>
        <v>малые</v>
      </c>
      <c r="E166">
        <f>VLOOKUP(A166,Лист2!A:E,4,0)</f>
        <v>8</v>
      </c>
      <c r="F166" s="12">
        <f t="shared" si="9"/>
        <v>144825000</v>
      </c>
      <c r="G166">
        <f t="shared" si="10"/>
        <v>59066500</v>
      </c>
      <c r="H166">
        <f t="shared" si="11"/>
        <v>18103125</v>
      </c>
    </row>
    <row r="167" spans="1:8">
      <c r="A167" s="6" t="s">
        <v>18</v>
      </c>
      <c r="B167" s="5">
        <v>943731000</v>
      </c>
      <c r="C167" s="5">
        <v>1321992000</v>
      </c>
      <c r="D167" t="str">
        <f>VLOOKUP(A167,Лист2!A:E,5,0)</f>
        <v>малые</v>
      </c>
      <c r="E167">
        <f>VLOOKUP(A167,Лист2!A:E,4,0)</f>
        <v>2.5</v>
      </c>
      <c r="F167" s="12">
        <f t="shared" si="9"/>
        <v>-378261000</v>
      </c>
      <c r="G167">
        <f t="shared" si="10"/>
        <v>377492400</v>
      </c>
      <c r="H167">
        <f t="shared" si="11"/>
        <v>-151304400</v>
      </c>
    </row>
    <row r="168" spans="1:8">
      <c r="A168" s="6" t="s">
        <v>18</v>
      </c>
      <c r="B168" s="5">
        <v>2994000</v>
      </c>
      <c r="C168" s="5">
        <v>3055000</v>
      </c>
      <c r="D168" t="str">
        <f>VLOOKUP(A168,Лист2!A:E,5,0)</f>
        <v>малые</v>
      </c>
      <c r="E168">
        <f>VLOOKUP(A168,Лист2!A:E,4,0)</f>
        <v>2.5</v>
      </c>
      <c r="F168" s="12">
        <f t="shared" si="9"/>
        <v>-61000</v>
      </c>
      <c r="G168">
        <f t="shared" si="10"/>
        <v>1197600</v>
      </c>
      <c r="H168">
        <f t="shared" si="11"/>
        <v>-24400</v>
      </c>
    </row>
    <row r="169" spans="1:8">
      <c r="A169" s="6" t="s">
        <v>22</v>
      </c>
      <c r="B169" s="5">
        <v>5941000</v>
      </c>
      <c r="C169" s="5">
        <v>7125000</v>
      </c>
      <c r="D169" t="str">
        <f>VLOOKUP(A169,Лист2!A:E,5,0)</f>
        <v>малые</v>
      </c>
      <c r="E169">
        <f>VLOOKUP(A169,Лист2!A:E,4,0)</f>
        <v>13</v>
      </c>
      <c r="F169" s="12">
        <f t="shared" si="9"/>
        <v>-1184000</v>
      </c>
      <c r="G169">
        <f t="shared" si="10"/>
        <v>457000</v>
      </c>
      <c r="H169">
        <f t="shared" si="11"/>
        <v>-91076.923076923078</v>
      </c>
    </row>
    <row r="170" spans="1:8">
      <c r="A170" s="6" t="s">
        <v>18</v>
      </c>
      <c r="B170" s="5">
        <v>66296000</v>
      </c>
      <c r="C170" s="5">
        <v>66411000</v>
      </c>
      <c r="D170" t="str">
        <f>VLOOKUP(A170,Лист2!A:E,5,0)</f>
        <v>малые</v>
      </c>
      <c r="E170">
        <f>VLOOKUP(A170,Лист2!A:E,4,0)</f>
        <v>2.5</v>
      </c>
      <c r="F170" s="12">
        <f t="shared" si="9"/>
        <v>-115000</v>
      </c>
      <c r="G170">
        <f t="shared" si="10"/>
        <v>26518400</v>
      </c>
      <c r="H170">
        <f t="shared" si="11"/>
        <v>-46000</v>
      </c>
    </row>
    <row r="171" spans="1:8">
      <c r="A171" s="6" t="s">
        <v>18</v>
      </c>
      <c r="B171" s="5">
        <v>200000</v>
      </c>
      <c r="C171" s="5">
        <v>102000</v>
      </c>
      <c r="D171" t="str">
        <f>VLOOKUP(A171,Лист2!A:E,5,0)</f>
        <v>малые</v>
      </c>
      <c r="E171">
        <f>VLOOKUP(A171,Лист2!A:E,4,0)</f>
        <v>2.5</v>
      </c>
      <c r="F171" s="12">
        <f t="shared" si="9"/>
        <v>98000</v>
      </c>
      <c r="G171">
        <f t="shared" si="10"/>
        <v>80000</v>
      </c>
      <c r="H171">
        <f t="shared" si="11"/>
        <v>39200</v>
      </c>
    </row>
    <row r="172" spans="1:8">
      <c r="A172" s="6" t="s">
        <v>77</v>
      </c>
      <c r="B172" s="5">
        <v>31137000</v>
      </c>
      <c r="C172" s="5">
        <v>34392000</v>
      </c>
      <c r="D172" t="str">
        <f>VLOOKUP(A172,Лист2!A:E,5,0)</f>
        <v>малые</v>
      </c>
      <c r="E172">
        <f>VLOOKUP(A172,Лист2!A:E,4,0)</f>
        <v>8</v>
      </c>
      <c r="F172" s="12">
        <f t="shared" si="9"/>
        <v>-3255000</v>
      </c>
      <c r="G172">
        <f t="shared" si="10"/>
        <v>3892125</v>
      </c>
      <c r="H172">
        <f t="shared" si="11"/>
        <v>-406875</v>
      </c>
    </row>
    <row r="173" spans="1:8">
      <c r="A173" s="6" t="s">
        <v>18</v>
      </c>
      <c r="B173" s="5">
        <v>11411000</v>
      </c>
      <c r="C173" s="5">
        <v>52668000</v>
      </c>
      <c r="D173" t="str">
        <f>VLOOKUP(A173,Лист2!A:E,5,0)</f>
        <v>малые</v>
      </c>
      <c r="E173">
        <f>VLOOKUP(A173,Лист2!A:E,4,0)</f>
        <v>2.5</v>
      </c>
      <c r="F173" s="12">
        <f t="shared" si="9"/>
        <v>-41257000</v>
      </c>
      <c r="G173">
        <f t="shared" si="10"/>
        <v>4564400</v>
      </c>
      <c r="H173">
        <f t="shared" si="11"/>
        <v>-16502800</v>
      </c>
    </row>
    <row r="174" spans="1:8">
      <c r="A174" s="6" t="s">
        <v>18</v>
      </c>
      <c r="B174" s="5">
        <v>15843000</v>
      </c>
      <c r="C174" s="5">
        <v>15441000</v>
      </c>
      <c r="D174" t="str">
        <f>VLOOKUP(A174,Лист2!A:E,5,0)</f>
        <v>малые</v>
      </c>
      <c r="E174">
        <f>VLOOKUP(A174,Лист2!A:E,4,0)</f>
        <v>2.5</v>
      </c>
      <c r="F174" s="12">
        <f t="shared" si="9"/>
        <v>402000</v>
      </c>
      <c r="G174">
        <f t="shared" si="10"/>
        <v>6337200</v>
      </c>
      <c r="H174">
        <f t="shared" si="11"/>
        <v>160800</v>
      </c>
    </row>
    <row r="175" spans="1:8">
      <c r="A175" s="6" t="s">
        <v>18</v>
      </c>
      <c r="B175" s="5">
        <v>724000</v>
      </c>
      <c r="C175" s="5">
        <v>446000</v>
      </c>
      <c r="D175" t="str">
        <f>VLOOKUP(A175,Лист2!A:E,5,0)</f>
        <v>малые</v>
      </c>
      <c r="E175">
        <f>VLOOKUP(A175,Лист2!A:E,4,0)</f>
        <v>2.5</v>
      </c>
      <c r="F175" s="12">
        <f t="shared" si="9"/>
        <v>278000</v>
      </c>
      <c r="G175">
        <f t="shared" si="10"/>
        <v>289600</v>
      </c>
      <c r="H175">
        <f t="shared" si="11"/>
        <v>111200</v>
      </c>
    </row>
    <row r="176" spans="1:8">
      <c r="A176" s="6" t="s">
        <v>18</v>
      </c>
      <c r="B176" s="5">
        <v>2414000</v>
      </c>
      <c r="C176" s="5">
        <v>2215000</v>
      </c>
      <c r="D176" t="str">
        <f>VLOOKUP(A176,Лист2!A:E,5,0)</f>
        <v>малые</v>
      </c>
      <c r="E176">
        <f>VLOOKUP(A176,Лист2!A:E,4,0)</f>
        <v>2.5</v>
      </c>
      <c r="F176" s="12">
        <f t="shared" si="9"/>
        <v>199000</v>
      </c>
      <c r="G176">
        <f t="shared" si="10"/>
        <v>965600</v>
      </c>
      <c r="H176">
        <f t="shared" si="11"/>
        <v>79600</v>
      </c>
    </row>
    <row r="177" spans="1:8">
      <c r="A177" s="6" t="s">
        <v>18</v>
      </c>
      <c r="B177" s="5">
        <v>41000</v>
      </c>
      <c r="C177" s="5">
        <v>243691000</v>
      </c>
      <c r="D177" t="str">
        <f>VLOOKUP(A177,Лист2!A:E,5,0)</f>
        <v>малые</v>
      </c>
      <c r="E177">
        <f>VLOOKUP(A177,Лист2!A:E,4,0)</f>
        <v>2.5</v>
      </c>
      <c r="F177" s="12">
        <f t="shared" si="9"/>
        <v>-243650000</v>
      </c>
      <c r="G177">
        <f t="shared" si="10"/>
        <v>16400</v>
      </c>
      <c r="H177">
        <f t="shared" si="11"/>
        <v>-97460000</v>
      </c>
    </row>
    <row r="178" spans="1:8">
      <c r="A178" s="6" t="s">
        <v>18</v>
      </c>
      <c r="B178" s="5">
        <v>18928000</v>
      </c>
      <c r="C178" s="5">
        <v>6537000</v>
      </c>
      <c r="D178" t="str">
        <f>VLOOKUP(A178,Лист2!A:E,5,0)</f>
        <v>малые</v>
      </c>
      <c r="E178">
        <f>VLOOKUP(A178,Лист2!A:E,4,0)</f>
        <v>2.5</v>
      </c>
      <c r="F178" s="12">
        <f t="shared" si="9"/>
        <v>12391000</v>
      </c>
      <c r="G178">
        <f t="shared" si="10"/>
        <v>7571200</v>
      </c>
      <c r="H178">
        <f t="shared" si="11"/>
        <v>4956400</v>
      </c>
    </row>
    <row r="179" spans="1:8">
      <c r="A179" s="6" t="s">
        <v>18</v>
      </c>
      <c r="B179" s="5">
        <v>10266000</v>
      </c>
      <c r="C179" s="5">
        <v>10331000</v>
      </c>
      <c r="D179" t="str">
        <f>VLOOKUP(A179,Лист2!A:E,5,0)</f>
        <v>малые</v>
      </c>
      <c r="E179">
        <f>VLOOKUP(A179,Лист2!A:E,4,0)</f>
        <v>2.5</v>
      </c>
      <c r="F179" s="12">
        <f t="shared" si="9"/>
        <v>-65000</v>
      </c>
      <c r="G179">
        <f t="shared" si="10"/>
        <v>4106400</v>
      </c>
      <c r="H179">
        <f t="shared" si="11"/>
        <v>-26000</v>
      </c>
    </row>
    <row r="180" spans="1:8">
      <c r="A180" s="6" t="s">
        <v>18</v>
      </c>
      <c r="B180" s="5">
        <v>7260000</v>
      </c>
      <c r="C180" s="5">
        <v>7079000</v>
      </c>
      <c r="D180" t="str">
        <f>VLOOKUP(A180,Лист2!A:E,5,0)</f>
        <v>малые</v>
      </c>
      <c r="E180">
        <f>VLOOKUP(A180,Лист2!A:E,4,0)</f>
        <v>2.5</v>
      </c>
      <c r="F180" s="12">
        <f t="shared" si="9"/>
        <v>181000</v>
      </c>
      <c r="G180">
        <f t="shared" si="10"/>
        <v>2904000</v>
      </c>
      <c r="H180">
        <f t="shared" si="11"/>
        <v>72400</v>
      </c>
    </row>
    <row r="181" spans="1:8">
      <c r="A181" s="6" t="s">
        <v>18</v>
      </c>
      <c r="B181" s="5">
        <v>41760000</v>
      </c>
      <c r="C181" s="5">
        <v>41373000</v>
      </c>
      <c r="D181" t="str">
        <f>VLOOKUP(A181,Лист2!A:E,5,0)</f>
        <v>малые</v>
      </c>
      <c r="E181">
        <f>VLOOKUP(A181,Лист2!A:E,4,0)</f>
        <v>2.5</v>
      </c>
      <c r="F181" s="12">
        <f t="shared" si="9"/>
        <v>387000</v>
      </c>
      <c r="G181">
        <f t="shared" si="10"/>
        <v>16704000</v>
      </c>
      <c r="H181">
        <f t="shared" si="11"/>
        <v>154800</v>
      </c>
    </row>
    <row r="182" spans="1:8">
      <c r="A182" s="6" t="s">
        <v>18</v>
      </c>
      <c r="B182" s="5">
        <v>2416000</v>
      </c>
      <c r="C182" s="5">
        <v>2804000</v>
      </c>
      <c r="D182" t="str">
        <f>VLOOKUP(A182,Лист2!A:E,5,0)</f>
        <v>малые</v>
      </c>
      <c r="E182">
        <f>VLOOKUP(A182,Лист2!A:E,4,0)</f>
        <v>2.5</v>
      </c>
      <c r="F182" s="12">
        <f t="shared" si="9"/>
        <v>-388000</v>
      </c>
      <c r="G182">
        <f t="shared" si="10"/>
        <v>966400</v>
      </c>
      <c r="H182">
        <f t="shared" si="11"/>
        <v>-155200</v>
      </c>
    </row>
    <row r="183" spans="1:8">
      <c r="A183" s="6" t="s">
        <v>18</v>
      </c>
      <c r="B183" s="5">
        <v>1931000</v>
      </c>
      <c r="C183" s="5">
        <v>1231000</v>
      </c>
      <c r="D183" t="str">
        <f>VLOOKUP(A183,Лист2!A:E,5,0)</f>
        <v>малые</v>
      </c>
      <c r="E183">
        <f>VLOOKUP(A183,Лист2!A:E,4,0)</f>
        <v>2.5</v>
      </c>
      <c r="F183" s="12">
        <f t="shared" si="9"/>
        <v>700000</v>
      </c>
      <c r="G183">
        <f t="shared" si="10"/>
        <v>772400</v>
      </c>
      <c r="H183">
        <f t="shared" si="11"/>
        <v>280000</v>
      </c>
    </row>
    <row r="184" spans="1:8">
      <c r="A184" s="6" t="s">
        <v>18</v>
      </c>
      <c r="B184" s="5">
        <v>3120000</v>
      </c>
      <c r="C184" s="5">
        <v>2236000</v>
      </c>
      <c r="D184" t="str">
        <f>VLOOKUP(A184,Лист2!A:E,5,0)</f>
        <v>малые</v>
      </c>
      <c r="E184">
        <f>VLOOKUP(A184,Лист2!A:E,4,0)</f>
        <v>2.5</v>
      </c>
      <c r="F184" s="12">
        <f t="shared" si="9"/>
        <v>884000</v>
      </c>
      <c r="G184">
        <f t="shared" si="10"/>
        <v>1248000</v>
      </c>
      <c r="H184">
        <f t="shared" si="11"/>
        <v>353600</v>
      </c>
    </row>
    <row r="185" spans="1:8">
      <c r="A185" s="6" t="s">
        <v>18</v>
      </c>
      <c r="B185" s="5">
        <v>15173000</v>
      </c>
      <c r="C185" s="5">
        <v>13469000</v>
      </c>
      <c r="D185" t="str">
        <f>VLOOKUP(A185,Лист2!A:E,5,0)</f>
        <v>малые</v>
      </c>
      <c r="E185">
        <f>VLOOKUP(A185,Лист2!A:E,4,0)</f>
        <v>2.5</v>
      </c>
      <c r="F185" s="12">
        <f t="shared" si="9"/>
        <v>1704000</v>
      </c>
      <c r="G185">
        <f t="shared" si="10"/>
        <v>6069200</v>
      </c>
      <c r="H185">
        <f t="shared" si="11"/>
        <v>681600</v>
      </c>
    </row>
    <row r="186" spans="1:8">
      <c r="A186" s="6" t="s">
        <v>18</v>
      </c>
      <c r="B186" s="5">
        <v>2234000</v>
      </c>
      <c r="C186" s="5">
        <v>2240000</v>
      </c>
      <c r="D186" t="str">
        <f>VLOOKUP(A186,Лист2!A:E,5,0)</f>
        <v>малые</v>
      </c>
      <c r="E186">
        <f>VLOOKUP(A186,Лист2!A:E,4,0)</f>
        <v>2.5</v>
      </c>
      <c r="F186" s="12">
        <f t="shared" si="9"/>
        <v>-6000</v>
      </c>
      <c r="G186">
        <f t="shared" si="10"/>
        <v>893600</v>
      </c>
      <c r="H186">
        <f t="shared" si="11"/>
        <v>-2400</v>
      </c>
    </row>
    <row r="187" spans="1:8">
      <c r="A187" s="6" t="s">
        <v>18</v>
      </c>
      <c r="B187" s="5">
        <v>14367000</v>
      </c>
      <c r="C187" s="5">
        <v>35417000</v>
      </c>
      <c r="D187" t="str">
        <f>VLOOKUP(A187,Лист2!A:E,5,0)</f>
        <v>малые</v>
      </c>
      <c r="E187">
        <f>VLOOKUP(A187,Лист2!A:E,4,0)</f>
        <v>2.5</v>
      </c>
      <c r="F187" s="12">
        <f t="shared" si="9"/>
        <v>-21050000</v>
      </c>
      <c r="G187">
        <f t="shared" si="10"/>
        <v>5746800</v>
      </c>
      <c r="H187">
        <f t="shared" si="11"/>
        <v>-8420000</v>
      </c>
    </row>
    <row r="188" spans="1:8">
      <c r="A188" s="6" t="s">
        <v>18</v>
      </c>
      <c r="B188" s="5">
        <v>8479000</v>
      </c>
      <c r="C188" s="5">
        <v>9593000</v>
      </c>
      <c r="D188" t="str">
        <f>VLOOKUP(A188,Лист2!A:E,5,0)</f>
        <v>малые</v>
      </c>
      <c r="E188">
        <f>VLOOKUP(A188,Лист2!A:E,4,0)</f>
        <v>2.5</v>
      </c>
      <c r="F188" s="12">
        <f t="shared" si="9"/>
        <v>-1114000</v>
      </c>
      <c r="G188">
        <f t="shared" si="10"/>
        <v>3391600</v>
      </c>
      <c r="H188">
        <f t="shared" si="11"/>
        <v>-445600</v>
      </c>
    </row>
    <row r="189" spans="1:8">
      <c r="A189" s="6" t="s">
        <v>22</v>
      </c>
      <c r="B189" s="5">
        <v>258333000</v>
      </c>
      <c r="C189" s="5">
        <v>27443000</v>
      </c>
      <c r="D189" t="str">
        <f>VLOOKUP(A189,Лист2!A:E,5,0)</f>
        <v>малые</v>
      </c>
      <c r="E189">
        <f>VLOOKUP(A189,Лист2!A:E,4,0)</f>
        <v>13</v>
      </c>
      <c r="F189" s="12">
        <f t="shared" si="9"/>
        <v>230890000</v>
      </c>
      <c r="G189">
        <f t="shared" si="10"/>
        <v>19871769.230769232</v>
      </c>
      <c r="H189">
        <f t="shared" si="11"/>
        <v>17760769.230769232</v>
      </c>
    </row>
    <row r="190" spans="1:8">
      <c r="A190" s="6" t="s">
        <v>18</v>
      </c>
      <c r="B190" s="5">
        <v>24910000</v>
      </c>
      <c r="C190" s="5">
        <v>21239000</v>
      </c>
      <c r="D190" t="str">
        <f>VLOOKUP(A190,Лист2!A:E,5,0)</f>
        <v>малые</v>
      </c>
      <c r="E190">
        <f>VLOOKUP(A190,Лист2!A:E,4,0)</f>
        <v>2.5</v>
      </c>
      <c r="F190" s="12">
        <f t="shared" si="9"/>
        <v>3671000</v>
      </c>
      <c r="G190">
        <f t="shared" si="10"/>
        <v>9964000</v>
      </c>
      <c r="H190">
        <f t="shared" si="11"/>
        <v>1468400</v>
      </c>
    </row>
    <row r="191" spans="1:8">
      <c r="A191" s="6" t="s">
        <v>18</v>
      </c>
      <c r="B191" s="5">
        <v>3550000</v>
      </c>
      <c r="C191" s="5">
        <v>3548000</v>
      </c>
      <c r="D191" t="str">
        <f>VLOOKUP(A191,Лист2!A:E,5,0)</f>
        <v>малые</v>
      </c>
      <c r="E191">
        <f>VLOOKUP(A191,Лист2!A:E,4,0)</f>
        <v>2.5</v>
      </c>
      <c r="F191" s="12">
        <f t="shared" si="9"/>
        <v>2000</v>
      </c>
      <c r="G191">
        <f t="shared" si="10"/>
        <v>1420000</v>
      </c>
      <c r="H191">
        <f t="shared" si="11"/>
        <v>800</v>
      </c>
    </row>
    <row r="192" spans="1:8">
      <c r="A192" s="6" t="s">
        <v>18</v>
      </c>
      <c r="B192" s="5">
        <v>4872000</v>
      </c>
      <c r="C192" s="5">
        <v>5280000</v>
      </c>
      <c r="D192" t="str">
        <f>VLOOKUP(A192,Лист2!A:E,5,0)</f>
        <v>малые</v>
      </c>
      <c r="E192">
        <f>VLOOKUP(A192,Лист2!A:E,4,0)</f>
        <v>2.5</v>
      </c>
      <c r="F192" s="12">
        <f t="shared" si="9"/>
        <v>-408000</v>
      </c>
      <c r="G192">
        <f t="shared" si="10"/>
        <v>1948800</v>
      </c>
      <c r="H192">
        <f t="shared" si="11"/>
        <v>-163200</v>
      </c>
    </row>
    <row r="193" spans="1:8">
      <c r="A193" s="6" t="s">
        <v>18</v>
      </c>
      <c r="B193" s="5">
        <v>167910000</v>
      </c>
      <c r="C193" s="5">
        <v>169220000</v>
      </c>
      <c r="D193" t="str">
        <f>VLOOKUP(A193,Лист2!A:E,5,0)</f>
        <v>малые</v>
      </c>
      <c r="E193">
        <f>VLOOKUP(A193,Лист2!A:E,4,0)</f>
        <v>2.5</v>
      </c>
      <c r="F193" s="12">
        <f t="shared" si="9"/>
        <v>-1310000</v>
      </c>
      <c r="G193">
        <f t="shared" si="10"/>
        <v>67164000</v>
      </c>
      <c r="H193">
        <f t="shared" si="11"/>
        <v>-524000</v>
      </c>
    </row>
    <row r="194" spans="1:8">
      <c r="A194" s="6" t="s">
        <v>18</v>
      </c>
      <c r="B194" s="5">
        <v>337000</v>
      </c>
      <c r="C194" s="5">
        <v>375000</v>
      </c>
      <c r="D194" t="str">
        <f>VLOOKUP(A194,Лист2!A:E,5,0)</f>
        <v>малые</v>
      </c>
      <c r="E194">
        <f>VLOOKUP(A194,Лист2!A:E,4,0)</f>
        <v>2.5</v>
      </c>
      <c r="F194" s="12">
        <f t="shared" si="9"/>
        <v>-38000</v>
      </c>
      <c r="G194">
        <f t="shared" si="10"/>
        <v>134800</v>
      </c>
      <c r="H194">
        <f t="shared" si="11"/>
        <v>-15200</v>
      </c>
    </row>
    <row r="195" spans="1:8">
      <c r="A195" s="6" t="s">
        <v>77</v>
      </c>
      <c r="B195" s="5">
        <v>9390000</v>
      </c>
      <c r="C195" s="5">
        <v>7434000</v>
      </c>
      <c r="D195" t="str">
        <f>VLOOKUP(A195,Лист2!A:E,5,0)</f>
        <v>малые</v>
      </c>
      <c r="E195">
        <f>VLOOKUP(A195,Лист2!A:E,4,0)</f>
        <v>8</v>
      </c>
      <c r="F195" s="12">
        <f t="shared" si="9"/>
        <v>1956000</v>
      </c>
      <c r="G195">
        <f t="shared" si="10"/>
        <v>1173750</v>
      </c>
      <c r="H195">
        <f t="shared" si="11"/>
        <v>244500</v>
      </c>
    </row>
    <row r="196" spans="1:8">
      <c r="A196" s="6" t="s">
        <v>23</v>
      </c>
      <c r="B196" s="5">
        <v>76693000</v>
      </c>
      <c r="C196" s="5">
        <v>76390000</v>
      </c>
      <c r="D196" t="str">
        <f>VLOOKUP(A196,Лист2!A:E,5,0)</f>
        <v>средние</v>
      </c>
      <c r="E196">
        <f>VLOOKUP(A196,Лист2!A:E,4,0)</f>
        <v>75.5</v>
      </c>
      <c r="F196" s="12">
        <f t="shared" si="9"/>
        <v>303000</v>
      </c>
      <c r="G196">
        <f t="shared" si="10"/>
        <v>1015801.3245033113</v>
      </c>
      <c r="H196">
        <f t="shared" si="11"/>
        <v>4013.2450331125829</v>
      </c>
    </row>
    <row r="197" spans="1:8">
      <c r="A197" s="6" t="s">
        <v>18</v>
      </c>
      <c r="B197" s="5">
        <v>298000</v>
      </c>
      <c r="C197" s="5">
        <v>558000</v>
      </c>
      <c r="D197" t="str">
        <f>VLOOKUP(A197,Лист2!A:E,5,0)</f>
        <v>малые</v>
      </c>
      <c r="E197">
        <f>VLOOKUP(A197,Лист2!A:E,4,0)</f>
        <v>2.5</v>
      </c>
      <c r="F197" s="12">
        <f t="shared" si="9"/>
        <v>-260000</v>
      </c>
      <c r="G197">
        <f t="shared" si="10"/>
        <v>119200</v>
      </c>
      <c r="H197">
        <f t="shared" si="11"/>
        <v>-104000</v>
      </c>
    </row>
    <row r="198" spans="1:8">
      <c r="A198" s="6" t="s">
        <v>18</v>
      </c>
      <c r="B198" s="5">
        <v>351000</v>
      </c>
      <c r="C198" s="5">
        <v>465000</v>
      </c>
      <c r="D198" t="str">
        <f>VLOOKUP(A198,Лист2!A:E,5,0)</f>
        <v>малые</v>
      </c>
      <c r="E198">
        <f>VLOOKUP(A198,Лист2!A:E,4,0)</f>
        <v>2.5</v>
      </c>
      <c r="F198" s="12">
        <f t="shared" ref="F198:F246" si="12">B198-C198</f>
        <v>-114000</v>
      </c>
      <c r="G198">
        <f t="shared" ref="G198:G246" si="13">B198/E198</f>
        <v>140400</v>
      </c>
      <c r="H198">
        <f t="shared" ref="H198:H246" si="14">F198/E198</f>
        <v>-45600</v>
      </c>
    </row>
    <row r="199" spans="1:8">
      <c r="A199" s="6" t="s">
        <v>18</v>
      </c>
      <c r="B199" s="5">
        <v>10000</v>
      </c>
      <c r="C199" s="5">
        <v>84000</v>
      </c>
      <c r="D199" t="str">
        <f>VLOOKUP(A199,Лист2!A:E,5,0)</f>
        <v>малые</v>
      </c>
      <c r="E199">
        <f>VLOOKUP(A199,Лист2!A:E,4,0)</f>
        <v>2.5</v>
      </c>
      <c r="F199" s="12">
        <f t="shared" si="12"/>
        <v>-74000</v>
      </c>
      <c r="G199">
        <f t="shared" si="13"/>
        <v>4000</v>
      </c>
      <c r="H199">
        <f t="shared" si="14"/>
        <v>-29600</v>
      </c>
    </row>
    <row r="200" spans="1:8">
      <c r="A200" s="6" t="s">
        <v>18</v>
      </c>
      <c r="B200" s="5">
        <v>52585000</v>
      </c>
      <c r="C200" s="5">
        <v>50658000</v>
      </c>
      <c r="D200" t="str">
        <f>VLOOKUP(A200,Лист2!A:E,5,0)</f>
        <v>малые</v>
      </c>
      <c r="E200">
        <f>VLOOKUP(A200,Лист2!A:E,4,0)</f>
        <v>2.5</v>
      </c>
      <c r="F200" s="12">
        <f t="shared" si="12"/>
        <v>1927000</v>
      </c>
      <c r="G200">
        <f t="shared" si="13"/>
        <v>21034000</v>
      </c>
      <c r="H200">
        <f t="shared" si="14"/>
        <v>770800</v>
      </c>
    </row>
    <row r="201" spans="1:8">
      <c r="A201" s="6" t="s">
        <v>22</v>
      </c>
      <c r="B201" s="5">
        <v>134427000</v>
      </c>
      <c r="C201" s="5">
        <v>516511000</v>
      </c>
      <c r="D201" t="str">
        <f>VLOOKUP(A201,Лист2!A:E,5,0)</f>
        <v>малые</v>
      </c>
      <c r="E201">
        <f>VLOOKUP(A201,Лист2!A:E,4,0)</f>
        <v>13</v>
      </c>
      <c r="F201" s="12">
        <f t="shared" si="12"/>
        <v>-382084000</v>
      </c>
      <c r="G201">
        <f t="shared" si="13"/>
        <v>10340538.461538462</v>
      </c>
      <c r="H201">
        <f t="shared" si="14"/>
        <v>-29391076.923076924</v>
      </c>
    </row>
    <row r="202" spans="1:8">
      <c r="A202" s="6" t="s">
        <v>18</v>
      </c>
      <c r="B202" s="5">
        <v>30345000</v>
      </c>
      <c r="C202" s="5">
        <v>29381000</v>
      </c>
      <c r="D202" t="str">
        <f>VLOOKUP(A202,Лист2!A:E,5,0)</f>
        <v>малые</v>
      </c>
      <c r="E202">
        <f>VLOOKUP(A202,Лист2!A:E,4,0)</f>
        <v>2.5</v>
      </c>
      <c r="F202" s="12">
        <f t="shared" si="12"/>
        <v>964000</v>
      </c>
      <c r="G202">
        <f t="shared" si="13"/>
        <v>12138000</v>
      </c>
      <c r="H202">
        <f t="shared" si="14"/>
        <v>385600</v>
      </c>
    </row>
    <row r="203" spans="1:8">
      <c r="A203" s="6" t="s">
        <v>23</v>
      </c>
      <c r="B203" s="5">
        <v>8649000</v>
      </c>
      <c r="C203" s="5">
        <v>8831000</v>
      </c>
      <c r="D203" t="str">
        <f>VLOOKUP(A203,Лист2!A:E,5,0)</f>
        <v>средние</v>
      </c>
      <c r="E203">
        <f>VLOOKUP(A203,Лист2!A:E,4,0)</f>
        <v>75.5</v>
      </c>
      <c r="F203" s="12">
        <f t="shared" si="12"/>
        <v>-182000</v>
      </c>
      <c r="G203">
        <f t="shared" si="13"/>
        <v>114556.29139072848</v>
      </c>
      <c r="H203">
        <f t="shared" si="14"/>
        <v>-2410.5960264900664</v>
      </c>
    </row>
    <row r="204" spans="1:8">
      <c r="A204" s="6" t="s">
        <v>18</v>
      </c>
      <c r="B204" s="5">
        <v>999000</v>
      </c>
      <c r="C204" s="5">
        <v>982000</v>
      </c>
      <c r="D204" t="str">
        <f>VLOOKUP(A204,Лист2!A:E,5,0)</f>
        <v>малые</v>
      </c>
      <c r="E204">
        <f>VLOOKUP(A204,Лист2!A:E,4,0)</f>
        <v>2.5</v>
      </c>
      <c r="F204" s="12">
        <f t="shared" si="12"/>
        <v>17000</v>
      </c>
      <c r="G204">
        <f t="shared" si="13"/>
        <v>399600</v>
      </c>
      <c r="H204">
        <f t="shared" si="14"/>
        <v>6800</v>
      </c>
    </row>
    <row r="205" spans="1:8">
      <c r="A205" s="6" t="s">
        <v>18</v>
      </c>
      <c r="B205" s="5">
        <v>16772000</v>
      </c>
      <c r="C205" s="5">
        <v>16489000</v>
      </c>
      <c r="D205" t="str">
        <f>VLOOKUP(A205,Лист2!A:E,5,0)</f>
        <v>малые</v>
      </c>
      <c r="E205">
        <f>VLOOKUP(A205,Лист2!A:E,4,0)</f>
        <v>2.5</v>
      </c>
      <c r="F205" s="12">
        <f t="shared" si="12"/>
        <v>283000</v>
      </c>
      <c r="G205">
        <f t="shared" si="13"/>
        <v>6708800</v>
      </c>
      <c r="H205">
        <f t="shared" si="14"/>
        <v>113200</v>
      </c>
    </row>
    <row r="206" spans="1:8">
      <c r="A206" s="6" t="s">
        <v>77</v>
      </c>
      <c r="B206" s="5">
        <v>114314000</v>
      </c>
      <c r="C206" s="5">
        <v>70701000</v>
      </c>
      <c r="D206" t="str">
        <f>VLOOKUP(A206,Лист2!A:E,5,0)</f>
        <v>малые</v>
      </c>
      <c r="E206">
        <f>VLOOKUP(A206,Лист2!A:E,4,0)</f>
        <v>8</v>
      </c>
      <c r="F206" s="12">
        <f t="shared" si="12"/>
        <v>43613000</v>
      </c>
      <c r="G206">
        <f t="shared" si="13"/>
        <v>14289250</v>
      </c>
      <c r="H206">
        <f t="shared" si="14"/>
        <v>5451625</v>
      </c>
    </row>
    <row r="207" spans="1:8">
      <c r="A207" s="6" t="s">
        <v>18</v>
      </c>
      <c r="B207" s="5">
        <v>257884000</v>
      </c>
      <c r="C207" s="5">
        <v>300932000</v>
      </c>
      <c r="D207" t="str">
        <f>VLOOKUP(A207,Лист2!A:E,5,0)</f>
        <v>малые</v>
      </c>
      <c r="E207">
        <f>VLOOKUP(A207,Лист2!A:E,4,0)</f>
        <v>2.5</v>
      </c>
      <c r="F207" s="12">
        <f t="shared" si="12"/>
        <v>-43048000</v>
      </c>
      <c r="G207">
        <f t="shared" si="13"/>
        <v>103153600</v>
      </c>
      <c r="H207">
        <f t="shared" si="14"/>
        <v>-17219200</v>
      </c>
    </row>
    <row r="208" spans="1:8">
      <c r="A208" s="6" t="s">
        <v>22</v>
      </c>
      <c r="B208" s="5">
        <v>139399000</v>
      </c>
      <c r="C208" s="5">
        <v>114925000</v>
      </c>
      <c r="D208" t="str">
        <f>VLOOKUP(A208,Лист2!A:E,5,0)</f>
        <v>малые</v>
      </c>
      <c r="E208">
        <f>VLOOKUP(A208,Лист2!A:E,4,0)</f>
        <v>13</v>
      </c>
      <c r="F208" s="12">
        <f t="shared" si="12"/>
        <v>24474000</v>
      </c>
      <c r="G208">
        <f t="shared" si="13"/>
        <v>10723000</v>
      </c>
      <c r="H208">
        <f t="shared" si="14"/>
        <v>1882615.3846153845</v>
      </c>
    </row>
    <row r="209" spans="1:8">
      <c r="A209" s="6" t="s">
        <v>18</v>
      </c>
      <c r="B209" s="5">
        <v>2325000</v>
      </c>
      <c r="C209" s="5">
        <v>2334000</v>
      </c>
      <c r="D209" t="str">
        <f>VLOOKUP(A209,Лист2!A:E,5,0)</f>
        <v>малые</v>
      </c>
      <c r="E209">
        <f>VLOOKUP(A209,Лист2!A:E,4,0)</f>
        <v>2.5</v>
      </c>
      <c r="F209" s="12">
        <f t="shared" si="12"/>
        <v>-9000</v>
      </c>
      <c r="G209">
        <f t="shared" si="13"/>
        <v>930000</v>
      </c>
      <c r="H209">
        <f t="shared" si="14"/>
        <v>-3600</v>
      </c>
    </row>
    <row r="210" spans="1:8">
      <c r="A210" s="6" t="s">
        <v>77</v>
      </c>
      <c r="B210" s="5">
        <v>163483000</v>
      </c>
      <c r="C210" s="5">
        <v>173535000</v>
      </c>
      <c r="D210" t="str">
        <f>VLOOKUP(A210,Лист2!A:E,5,0)</f>
        <v>малые</v>
      </c>
      <c r="E210">
        <f>VLOOKUP(A210,Лист2!A:E,4,0)</f>
        <v>8</v>
      </c>
      <c r="F210" s="12">
        <f t="shared" si="12"/>
        <v>-10052000</v>
      </c>
      <c r="G210">
        <f t="shared" si="13"/>
        <v>20435375</v>
      </c>
      <c r="H210">
        <f t="shared" si="14"/>
        <v>-1256500</v>
      </c>
    </row>
    <row r="211" spans="1:8">
      <c r="A211" s="6" t="s">
        <v>18</v>
      </c>
      <c r="B211" s="5">
        <v>874000</v>
      </c>
      <c r="C211" s="5">
        <v>874000</v>
      </c>
      <c r="D211" t="str">
        <f>VLOOKUP(A211,Лист2!A:E,5,0)</f>
        <v>малые</v>
      </c>
      <c r="E211">
        <f>VLOOKUP(A211,Лист2!A:E,4,0)</f>
        <v>2.5</v>
      </c>
      <c r="F211" s="12">
        <f t="shared" si="12"/>
        <v>0</v>
      </c>
      <c r="G211">
        <f t="shared" si="13"/>
        <v>349600</v>
      </c>
      <c r="H211">
        <f t="shared" si="14"/>
        <v>0</v>
      </c>
    </row>
    <row r="212" spans="1:8">
      <c r="A212" s="6" t="s">
        <v>18</v>
      </c>
      <c r="B212" s="5">
        <v>5644000</v>
      </c>
      <c r="C212" s="5">
        <v>5611000</v>
      </c>
      <c r="D212" t="str">
        <f>VLOOKUP(A212,Лист2!A:E,5,0)</f>
        <v>малые</v>
      </c>
      <c r="E212">
        <f>VLOOKUP(A212,Лист2!A:E,4,0)</f>
        <v>2.5</v>
      </c>
      <c r="F212" s="12">
        <f t="shared" si="12"/>
        <v>33000</v>
      </c>
      <c r="G212">
        <f t="shared" si="13"/>
        <v>2257600</v>
      </c>
      <c r="H212">
        <f t="shared" si="14"/>
        <v>13200</v>
      </c>
    </row>
    <row r="213" spans="1:8">
      <c r="A213" s="6" t="s">
        <v>18</v>
      </c>
      <c r="B213" s="5">
        <v>2850000</v>
      </c>
      <c r="C213" s="5">
        <v>3350000</v>
      </c>
      <c r="D213" t="str">
        <f>VLOOKUP(A213,Лист2!A:E,5,0)</f>
        <v>малые</v>
      </c>
      <c r="E213">
        <f>VLOOKUP(A213,Лист2!A:E,4,0)</f>
        <v>2.5</v>
      </c>
      <c r="F213" s="12">
        <f t="shared" si="12"/>
        <v>-500000</v>
      </c>
      <c r="G213">
        <f t="shared" si="13"/>
        <v>1140000</v>
      </c>
      <c r="H213">
        <f t="shared" si="14"/>
        <v>-200000</v>
      </c>
    </row>
    <row r="214" spans="1:8">
      <c r="A214" s="6" t="s">
        <v>77</v>
      </c>
      <c r="B214" s="5">
        <v>460623000</v>
      </c>
      <c r="C214" s="5">
        <v>628128000</v>
      </c>
      <c r="D214" t="str">
        <f>VLOOKUP(A214,Лист2!A:E,5,0)</f>
        <v>малые</v>
      </c>
      <c r="E214">
        <f>VLOOKUP(A214,Лист2!A:E,4,0)</f>
        <v>8</v>
      </c>
      <c r="F214" s="12">
        <f t="shared" si="12"/>
        <v>-167505000</v>
      </c>
      <c r="G214">
        <f t="shared" si="13"/>
        <v>57577875</v>
      </c>
      <c r="H214">
        <f t="shared" si="14"/>
        <v>-20938125</v>
      </c>
    </row>
    <row r="215" spans="1:8">
      <c r="A215" s="6" t="s">
        <v>18</v>
      </c>
      <c r="B215" s="5">
        <v>1564000</v>
      </c>
      <c r="C215" s="5">
        <v>1653000</v>
      </c>
      <c r="D215" t="str">
        <f>VLOOKUP(A215,Лист2!A:E,5,0)</f>
        <v>малые</v>
      </c>
      <c r="E215">
        <f>VLOOKUP(A215,Лист2!A:E,4,0)</f>
        <v>2.5</v>
      </c>
      <c r="F215" s="12">
        <f t="shared" si="12"/>
        <v>-89000</v>
      </c>
      <c r="G215">
        <f t="shared" si="13"/>
        <v>625600</v>
      </c>
      <c r="H215">
        <f t="shared" si="14"/>
        <v>-35600</v>
      </c>
    </row>
    <row r="216" spans="1:8">
      <c r="A216" s="6" t="s">
        <v>18</v>
      </c>
      <c r="B216" s="5">
        <v>11105000</v>
      </c>
      <c r="C216" s="5">
        <v>11154000</v>
      </c>
      <c r="D216" t="str">
        <f>VLOOKUP(A216,Лист2!A:E,5,0)</f>
        <v>малые</v>
      </c>
      <c r="E216">
        <f>VLOOKUP(A216,Лист2!A:E,4,0)</f>
        <v>2.5</v>
      </c>
      <c r="F216" s="12">
        <f t="shared" si="12"/>
        <v>-49000</v>
      </c>
      <c r="G216">
        <f t="shared" si="13"/>
        <v>4442000</v>
      </c>
      <c r="H216">
        <f t="shared" si="14"/>
        <v>-19600</v>
      </c>
    </row>
    <row r="217" spans="1:8">
      <c r="A217" s="6" t="s">
        <v>18</v>
      </c>
      <c r="B217" s="5">
        <v>3000000</v>
      </c>
      <c r="C217" s="5">
        <v>1456000</v>
      </c>
      <c r="D217" t="str">
        <f>VLOOKUP(A217,Лист2!A:E,5,0)</f>
        <v>малые</v>
      </c>
      <c r="E217">
        <f>VLOOKUP(A217,Лист2!A:E,4,0)</f>
        <v>2.5</v>
      </c>
      <c r="F217" s="12">
        <f t="shared" si="12"/>
        <v>1544000</v>
      </c>
      <c r="G217">
        <f t="shared" si="13"/>
        <v>1200000</v>
      </c>
      <c r="H217">
        <f t="shared" si="14"/>
        <v>617600</v>
      </c>
    </row>
    <row r="218" spans="1:8">
      <c r="A218" s="6" t="s">
        <v>18</v>
      </c>
      <c r="B218" s="5">
        <v>73556000</v>
      </c>
      <c r="C218" s="5">
        <v>74957000</v>
      </c>
      <c r="D218" t="str">
        <f>VLOOKUP(A218,Лист2!A:E,5,0)</f>
        <v>малые</v>
      </c>
      <c r="E218">
        <f>VLOOKUP(A218,Лист2!A:E,4,0)</f>
        <v>2.5</v>
      </c>
      <c r="F218" s="12">
        <f t="shared" si="12"/>
        <v>-1401000</v>
      </c>
      <c r="G218">
        <f t="shared" si="13"/>
        <v>29422400</v>
      </c>
      <c r="H218">
        <f t="shared" si="14"/>
        <v>-560400</v>
      </c>
    </row>
    <row r="219" spans="1:8">
      <c r="A219" s="6" t="s">
        <v>18</v>
      </c>
      <c r="B219" s="5">
        <v>9896000</v>
      </c>
      <c r="C219" s="5">
        <v>13811000</v>
      </c>
      <c r="D219" t="str">
        <f>VLOOKUP(A219,Лист2!A:E,5,0)</f>
        <v>малые</v>
      </c>
      <c r="E219">
        <f>VLOOKUP(A219,Лист2!A:E,4,0)</f>
        <v>2.5</v>
      </c>
      <c r="F219" s="12">
        <f t="shared" si="12"/>
        <v>-3915000</v>
      </c>
      <c r="G219">
        <f t="shared" si="13"/>
        <v>3958400</v>
      </c>
      <c r="H219">
        <f t="shared" si="14"/>
        <v>-1566000</v>
      </c>
    </row>
    <row r="220" spans="1:8">
      <c r="A220" s="6" t="s">
        <v>18</v>
      </c>
      <c r="B220" s="5">
        <v>357000</v>
      </c>
      <c r="C220" s="5">
        <v>393000</v>
      </c>
      <c r="D220" t="str">
        <f>VLOOKUP(A220,Лист2!A:E,5,0)</f>
        <v>малые</v>
      </c>
      <c r="E220">
        <f>VLOOKUP(A220,Лист2!A:E,4,0)</f>
        <v>2.5</v>
      </c>
      <c r="F220" s="12">
        <f t="shared" si="12"/>
        <v>-36000</v>
      </c>
      <c r="G220">
        <f t="shared" si="13"/>
        <v>142800</v>
      </c>
      <c r="H220">
        <f t="shared" si="14"/>
        <v>-14400</v>
      </c>
    </row>
    <row r="221" spans="1:8">
      <c r="A221" s="6" t="s">
        <v>18</v>
      </c>
      <c r="B221" s="5">
        <v>457387000</v>
      </c>
      <c r="C221" s="5">
        <v>456679000</v>
      </c>
      <c r="D221" t="str">
        <f>VLOOKUP(A221,Лист2!A:E,5,0)</f>
        <v>малые</v>
      </c>
      <c r="E221">
        <f>VLOOKUP(A221,Лист2!A:E,4,0)</f>
        <v>2.5</v>
      </c>
      <c r="F221" s="12">
        <f t="shared" si="12"/>
        <v>708000</v>
      </c>
      <c r="G221">
        <f t="shared" si="13"/>
        <v>182954800</v>
      </c>
      <c r="H221">
        <f t="shared" si="14"/>
        <v>283200</v>
      </c>
    </row>
    <row r="222" spans="1:8">
      <c r="A222" s="6" t="s">
        <v>18</v>
      </c>
      <c r="B222" s="5">
        <v>42245000</v>
      </c>
      <c r="C222" s="5">
        <v>28444000</v>
      </c>
      <c r="D222" t="str">
        <f>VLOOKUP(A222,Лист2!A:E,5,0)</f>
        <v>малые</v>
      </c>
      <c r="E222">
        <f>VLOOKUP(A222,Лист2!A:E,4,0)</f>
        <v>2.5</v>
      </c>
      <c r="F222" s="12">
        <f t="shared" si="12"/>
        <v>13801000</v>
      </c>
      <c r="G222">
        <f t="shared" si="13"/>
        <v>16898000</v>
      </c>
      <c r="H222">
        <f t="shared" si="14"/>
        <v>5520400</v>
      </c>
    </row>
    <row r="223" spans="1:8">
      <c r="A223" s="6" t="s">
        <v>18</v>
      </c>
      <c r="B223" s="5">
        <v>21733000</v>
      </c>
      <c r="C223" s="5">
        <v>31568000</v>
      </c>
      <c r="D223" t="str">
        <f>VLOOKUP(A223,Лист2!A:E,5,0)</f>
        <v>малые</v>
      </c>
      <c r="E223">
        <f>VLOOKUP(A223,Лист2!A:E,4,0)</f>
        <v>2.5</v>
      </c>
      <c r="F223" s="12">
        <f t="shared" si="12"/>
        <v>-9835000</v>
      </c>
      <c r="G223">
        <f t="shared" si="13"/>
        <v>8693200</v>
      </c>
      <c r="H223">
        <f t="shared" si="14"/>
        <v>-3934000</v>
      </c>
    </row>
    <row r="224" spans="1:8">
      <c r="A224" s="6" t="s">
        <v>22</v>
      </c>
      <c r="B224" s="5">
        <v>1052143000</v>
      </c>
      <c r="C224" s="5">
        <v>178009000</v>
      </c>
      <c r="D224" t="str">
        <f>VLOOKUP(A224,Лист2!A:E,5,0)</f>
        <v>малые</v>
      </c>
      <c r="E224">
        <f>VLOOKUP(A224,Лист2!A:E,4,0)</f>
        <v>13</v>
      </c>
      <c r="F224" s="12">
        <f t="shared" si="12"/>
        <v>874134000</v>
      </c>
      <c r="G224">
        <f t="shared" si="13"/>
        <v>80934076.923076928</v>
      </c>
      <c r="H224">
        <f t="shared" si="14"/>
        <v>67241076.923076928</v>
      </c>
    </row>
    <row r="225" spans="1:8">
      <c r="A225" s="6" t="s">
        <v>18</v>
      </c>
      <c r="B225" s="5">
        <v>125000000</v>
      </c>
      <c r="C225" s="5">
        <v>123580000</v>
      </c>
      <c r="D225" t="str">
        <f>VLOOKUP(A225,Лист2!A:E,5,0)</f>
        <v>малые</v>
      </c>
      <c r="E225">
        <f>VLOOKUP(A225,Лист2!A:E,4,0)</f>
        <v>2.5</v>
      </c>
      <c r="F225" s="12">
        <f t="shared" si="12"/>
        <v>1420000</v>
      </c>
      <c r="G225">
        <f t="shared" si="13"/>
        <v>50000000</v>
      </c>
      <c r="H225">
        <f t="shared" si="14"/>
        <v>568000</v>
      </c>
    </row>
    <row r="226" spans="1:8">
      <c r="A226" s="6" t="s">
        <v>18</v>
      </c>
      <c r="B226" s="5">
        <v>15015000</v>
      </c>
      <c r="C226" s="5">
        <v>17079000</v>
      </c>
      <c r="D226" t="str">
        <f>VLOOKUP(A226,Лист2!A:E,5,0)</f>
        <v>малые</v>
      </c>
      <c r="E226">
        <f>VLOOKUP(A226,Лист2!A:E,4,0)</f>
        <v>2.5</v>
      </c>
      <c r="F226" s="12">
        <f t="shared" si="12"/>
        <v>-2064000</v>
      </c>
      <c r="G226">
        <f t="shared" si="13"/>
        <v>6006000</v>
      </c>
      <c r="H226">
        <f t="shared" si="14"/>
        <v>-825600</v>
      </c>
    </row>
    <row r="227" spans="1:8">
      <c r="A227" s="6" t="s">
        <v>18</v>
      </c>
      <c r="B227" s="5">
        <v>2554000</v>
      </c>
      <c r="C227" s="5">
        <v>2538000</v>
      </c>
      <c r="D227" t="str">
        <f>VLOOKUP(A227,Лист2!A:E,5,0)</f>
        <v>малые</v>
      </c>
      <c r="E227">
        <f>VLOOKUP(A227,Лист2!A:E,4,0)</f>
        <v>2.5</v>
      </c>
      <c r="F227" s="12">
        <f t="shared" si="12"/>
        <v>16000</v>
      </c>
      <c r="G227">
        <f t="shared" si="13"/>
        <v>1021600</v>
      </c>
      <c r="H227">
        <f t="shared" si="14"/>
        <v>6400</v>
      </c>
    </row>
    <row r="228" spans="1:8">
      <c r="A228" s="6" t="s">
        <v>18</v>
      </c>
      <c r="B228" s="5">
        <v>661000</v>
      </c>
      <c r="C228" s="5">
        <v>1058000</v>
      </c>
      <c r="D228" t="str">
        <f>VLOOKUP(A228,Лист2!A:E,5,0)</f>
        <v>малые</v>
      </c>
      <c r="E228">
        <f>VLOOKUP(A228,Лист2!A:E,4,0)</f>
        <v>2.5</v>
      </c>
      <c r="F228" s="12">
        <f t="shared" si="12"/>
        <v>-397000</v>
      </c>
      <c r="G228">
        <f t="shared" si="13"/>
        <v>264400</v>
      </c>
      <c r="H228">
        <f t="shared" si="14"/>
        <v>-158800</v>
      </c>
    </row>
    <row r="229" spans="1:8">
      <c r="A229" s="6" t="s">
        <v>18</v>
      </c>
      <c r="B229" s="5">
        <v>4687000</v>
      </c>
      <c r="C229" s="5">
        <v>6695000</v>
      </c>
      <c r="D229" t="str">
        <f>VLOOKUP(A229,Лист2!A:E,5,0)</f>
        <v>малые</v>
      </c>
      <c r="E229">
        <f>VLOOKUP(A229,Лист2!A:E,4,0)</f>
        <v>2.5</v>
      </c>
      <c r="F229" s="12">
        <f t="shared" si="12"/>
        <v>-2008000</v>
      </c>
      <c r="G229">
        <f t="shared" si="13"/>
        <v>1874800</v>
      </c>
      <c r="H229">
        <f t="shared" si="14"/>
        <v>-803200</v>
      </c>
    </row>
    <row r="230" spans="1:8">
      <c r="A230" s="6" t="s">
        <v>18</v>
      </c>
      <c r="B230" s="5">
        <v>21438000</v>
      </c>
      <c r="C230" s="5">
        <v>21387000</v>
      </c>
      <c r="D230" t="str">
        <f>VLOOKUP(A230,Лист2!A:E,5,0)</f>
        <v>малые</v>
      </c>
      <c r="E230">
        <f>VLOOKUP(A230,Лист2!A:E,4,0)</f>
        <v>2.5</v>
      </c>
      <c r="F230" s="12">
        <f t="shared" si="12"/>
        <v>51000</v>
      </c>
      <c r="G230">
        <f t="shared" si="13"/>
        <v>8575200</v>
      </c>
      <c r="H230">
        <f t="shared" si="14"/>
        <v>20400</v>
      </c>
    </row>
    <row r="231" spans="1:8">
      <c r="A231" s="6" t="s">
        <v>18</v>
      </c>
      <c r="B231" s="5">
        <v>376000</v>
      </c>
      <c r="C231" s="5">
        <v>446000</v>
      </c>
      <c r="D231" t="str">
        <f>VLOOKUP(A231,Лист2!A:E,5,0)</f>
        <v>малые</v>
      </c>
      <c r="E231">
        <f>VLOOKUP(A231,Лист2!A:E,4,0)</f>
        <v>2.5</v>
      </c>
      <c r="F231" s="12">
        <f t="shared" si="12"/>
        <v>-70000</v>
      </c>
      <c r="G231">
        <f t="shared" si="13"/>
        <v>150400</v>
      </c>
      <c r="H231">
        <f t="shared" si="14"/>
        <v>-28000</v>
      </c>
    </row>
    <row r="232" spans="1:8">
      <c r="A232" s="6" t="s">
        <v>18</v>
      </c>
      <c r="B232" s="5">
        <v>70174000</v>
      </c>
      <c r="C232" s="5">
        <v>111611000</v>
      </c>
      <c r="D232" t="str">
        <f>VLOOKUP(A232,Лист2!A:E,5,0)</f>
        <v>малые</v>
      </c>
      <c r="E232">
        <f>VLOOKUP(A232,Лист2!A:E,4,0)</f>
        <v>2.5</v>
      </c>
      <c r="F232" s="12">
        <f t="shared" si="12"/>
        <v>-41437000</v>
      </c>
      <c r="G232">
        <f t="shared" si="13"/>
        <v>28069600</v>
      </c>
      <c r="H232">
        <f t="shared" si="14"/>
        <v>-16574800</v>
      </c>
    </row>
    <row r="233" spans="1:8">
      <c r="A233" s="6" t="s">
        <v>22</v>
      </c>
      <c r="B233" s="5">
        <v>2084490000</v>
      </c>
      <c r="C233" s="5">
        <v>2305712000</v>
      </c>
      <c r="D233" t="str">
        <f>VLOOKUP(A233,Лист2!A:E,5,0)</f>
        <v>малые</v>
      </c>
      <c r="E233">
        <f>VLOOKUP(A233,Лист2!A:E,4,0)</f>
        <v>13</v>
      </c>
      <c r="F233" s="12">
        <f t="shared" si="12"/>
        <v>-221222000</v>
      </c>
      <c r="G233">
        <f t="shared" si="13"/>
        <v>160345384.61538461</v>
      </c>
      <c r="H233">
        <f t="shared" si="14"/>
        <v>-17017076.923076924</v>
      </c>
    </row>
    <row r="234" spans="1:8">
      <c r="A234" s="6" t="s">
        <v>18</v>
      </c>
      <c r="B234" s="5">
        <v>10571000</v>
      </c>
      <c r="C234" s="5">
        <v>12777000</v>
      </c>
      <c r="D234" t="str">
        <f>VLOOKUP(A234,Лист2!A:E,5,0)</f>
        <v>малые</v>
      </c>
      <c r="E234">
        <f>VLOOKUP(A234,Лист2!A:E,4,0)</f>
        <v>2.5</v>
      </c>
      <c r="F234" s="12">
        <f t="shared" si="12"/>
        <v>-2206000</v>
      </c>
      <c r="G234">
        <f t="shared" si="13"/>
        <v>4228400</v>
      </c>
      <c r="H234">
        <f t="shared" si="14"/>
        <v>-882400</v>
      </c>
    </row>
    <row r="235" spans="1:8">
      <c r="A235" s="6" t="s">
        <v>22</v>
      </c>
      <c r="B235" s="5">
        <v>52199000</v>
      </c>
      <c r="C235" s="5">
        <v>52356000</v>
      </c>
      <c r="D235" t="str">
        <f>VLOOKUP(A235,Лист2!A:E,5,0)</f>
        <v>малые</v>
      </c>
      <c r="E235">
        <f>VLOOKUP(A235,Лист2!A:E,4,0)</f>
        <v>13</v>
      </c>
      <c r="F235" s="12">
        <f t="shared" si="12"/>
        <v>-157000</v>
      </c>
      <c r="G235">
        <f t="shared" si="13"/>
        <v>4015307.6923076925</v>
      </c>
      <c r="H235">
        <f t="shared" si="14"/>
        <v>-12076.923076923076</v>
      </c>
    </row>
    <row r="236" spans="1:8">
      <c r="A236" s="6" t="s">
        <v>18</v>
      </c>
      <c r="B236" s="5">
        <v>99997000</v>
      </c>
      <c r="C236" s="5">
        <v>95431000</v>
      </c>
      <c r="D236" t="str">
        <f>VLOOKUP(A236,Лист2!A:E,5,0)</f>
        <v>малые</v>
      </c>
      <c r="E236">
        <f>VLOOKUP(A236,Лист2!A:E,4,0)</f>
        <v>2.5</v>
      </c>
      <c r="F236" s="12">
        <f t="shared" si="12"/>
        <v>4566000</v>
      </c>
      <c r="G236">
        <f t="shared" si="13"/>
        <v>39998800</v>
      </c>
      <c r="H236">
        <f t="shared" si="14"/>
        <v>1826400</v>
      </c>
    </row>
    <row r="237" spans="1:8">
      <c r="A237" s="6" t="s">
        <v>18</v>
      </c>
      <c r="B237" s="5">
        <v>22655000</v>
      </c>
      <c r="C237" s="5">
        <v>19518000</v>
      </c>
      <c r="D237" t="str">
        <f>VLOOKUP(A237,Лист2!A:E,5,0)</f>
        <v>малые</v>
      </c>
      <c r="E237">
        <f>VLOOKUP(A237,Лист2!A:E,4,0)</f>
        <v>2.5</v>
      </c>
      <c r="F237" s="12">
        <f t="shared" si="12"/>
        <v>3137000</v>
      </c>
      <c r="G237">
        <f t="shared" si="13"/>
        <v>9062000</v>
      </c>
      <c r="H237">
        <f t="shared" si="14"/>
        <v>1254800</v>
      </c>
    </row>
    <row r="238" spans="1:8">
      <c r="A238" s="6" t="s">
        <v>18</v>
      </c>
      <c r="B238" s="5">
        <v>306000</v>
      </c>
      <c r="C238" s="5">
        <v>580000</v>
      </c>
      <c r="D238" t="str">
        <f>VLOOKUP(A238,Лист2!A:E,5,0)</f>
        <v>малые</v>
      </c>
      <c r="E238">
        <f>VLOOKUP(A238,Лист2!A:E,4,0)</f>
        <v>2.5</v>
      </c>
      <c r="F238" s="12">
        <f t="shared" si="12"/>
        <v>-274000</v>
      </c>
      <c r="G238">
        <f t="shared" si="13"/>
        <v>122400</v>
      </c>
      <c r="H238">
        <f t="shared" si="14"/>
        <v>-109600</v>
      </c>
    </row>
    <row r="239" spans="1:8">
      <c r="A239" s="6" t="s">
        <v>302</v>
      </c>
      <c r="B239" s="5">
        <v>220541000</v>
      </c>
      <c r="C239" s="5">
        <v>175444000</v>
      </c>
      <c r="D239" t="str">
        <f>VLOOKUP(A239,Лист2!A:E,5,0)</f>
        <v>средние</v>
      </c>
      <c r="E239">
        <f>VLOOKUP(A239,Лист2!A:E,4,0)</f>
        <v>125.5</v>
      </c>
      <c r="F239" s="12">
        <f t="shared" si="12"/>
        <v>45097000</v>
      </c>
      <c r="G239">
        <f t="shared" si="13"/>
        <v>1757298.8047808765</v>
      </c>
      <c r="H239">
        <f t="shared" si="14"/>
        <v>359338.64541832672</v>
      </c>
    </row>
    <row r="240" spans="1:8">
      <c r="A240" s="6" t="s">
        <v>23</v>
      </c>
      <c r="B240" s="5">
        <v>4304994000</v>
      </c>
      <c r="C240" s="5">
        <v>4337361000</v>
      </c>
      <c r="D240" t="str">
        <f>VLOOKUP(A240,Лист2!A:E,5,0)</f>
        <v>средние</v>
      </c>
      <c r="E240">
        <f>VLOOKUP(A240,Лист2!A:E,4,0)</f>
        <v>75.5</v>
      </c>
      <c r="F240" s="12">
        <f t="shared" si="12"/>
        <v>-32367000</v>
      </c>
      <c r="G240">
        <f t="shared" si="13"/>
        <v>57019788.079470202</v>
      </c>
      <c r="H240">
        <f t="shared" si="14"/>
        <v>-428701.9867549669</v>
      </c>
    </row>
    <row r="241" spans="1:8">
      <c r="A241" s="6" t="s">
        <v>18</v>
      </c>
      <c r="B241" s="5">
        <v>86516000</v>
      </c>
      <c r="C241" s="5">
        <v>73220000</v>
      </c>
      <c r="D241" t="str">
        <f>VLOOKUP(A241,Лист2!A:E,5,0)</f>
        <v>малые</v>
      </c>
      <c r="E241">
        <f>VLOOKUP(A241,Лист2!A:E,4,0)</f>
        <v>2.5</v>
      </c>
      <c r="F241" s="12">
        <f t="shared" si="12"/>
        <v>13296000</v>
      </c>
      <c r="G241">
        <f t="shared" si="13"/>
        <v>34606400</v>
      </c>
      <c r="H241">
        <f t="shared" si="14"/>
        <v>5318400</v>
      </c>
    </row>
    <row r="242" spans="1:8">
      <c r="A242" s="6" t="s">
        <v>18</v>
      </c>
      <c r="B242" s="5">
        <v>9295000</v>
      </c>
      <c r="C242" s="5">
        <v>7935000</v>
      </c>
      <c r="D242" t="str">
        <f>VLOOKUP(A242,Лист2!A:E,5,0)</f>
        <v>малые</v>
      </c>
      <c r="E242">
        <f>VLOOKUP(A242,Лист2!A:E,4,0)</f>
        <v>2.5</v>
      </c>
      <c r="F242" s="12">
        <f t="shared" si="12"/>
        <v>1360000</v>
      </c>
      <c r="G242">
        <f t="shared" si="13"/>
        <v>3718000</v>
      </c>
      <c r="H242">
        <f t="shared" si="14"/>
        <v>544000</v>
      </c>
    </row>
    <row r="243" spans="1:8">
      <c r="A243" s="6" t="s">
        <v>77</v>
      </c>
      <c r="B243" s="5">
        <v>14878000</v>
      </c>
      <c r="C243" s="5">
        <v>14613000</v>
      </c>
      <c r="D243" t="str">
        <f>VLOOKUP(A243,Лист2!A:E,5,0)</f>
        <v>малые</v>
      </c>
      <c r="E243">
        <f>VLOOKUP(A243,Лист2!A:E,4,0)</f>
        <v>8</v>
      </c>
      <c r="F243" s="12">
        <f t="shared" si="12"/>
        <v>265000</v>
      </c>
      <c r="G243">
        <f t="shared" si="13"/>
        <v>1859750</v>
      </c>
      <c r="H243">
        <f t="shared" si="14"/>
        <v>33125</v>
      </c>
    </row>
    <row r="244" spans="1:8">
      <c r="A244" s="6" t="s">
        <v>18</v>
      </c>
      <c r="B244" s="5">
        <v>135000</v>
      </c>
      <c r="C244" s="5">
        <v>128000</v>
      </c>
      <c r="D244" t="str">
        <f>VLOOKUP(A244,Лист2!A:E,5,0)</f>
        <v>малые</v>
      </c>
      <c r="E244">
        <f>VLOOKUP(A244,Лист2!A:E,4,0)</f>
        <v>2.5</v>
      </c>
      <c r="F244" s="12">
        <f t="shared" si="12"/>
        <v>7000</v>
      </c>
      <c r="G244">
        <f t="shared" si="13"/>
        <v>54000</v>
      </c>
      <c r="H244">
        <f t="shared" si="14"/>
        <v>2800</v>
      </c>
    </row>
    <row r="245" spans="1:8">
      <c r="A245" s="6" t="s">
        <v>18</v>
      </c>
      <c r="B245" s="5">
        <v>2947000</v>
      </c>
      <c r="C245" s="5">
        <v>4856000</v>
      </c>
      <c r="D245" t="str">
        <f>VLOOKUP(A245,Лист2!A:E,5,0)</f>
        <v>малые</v>
      </c>
      <c r="E245">
        <f>VLOOKUP(A245,Лист2!A:E,4,0)</f>
        <v>2.5</v>
      </c>
      <c r="F245" s="12">
        <f t="shared" si="12"/>
        <v>-1909000</v>
      </c>
      <c r="G245">
        <f t="shared" si="13"/>
        <v>1178800</v>
      </c>
      <c r="H245">
        <f t="shared" si="14"/>
        <v>-763600</v>
      </c>
    </row>
    <row r="246" spans="1:8">
      <c r="A246" s="6" t="s">
        <v>18</v>
      </c>
      <c r="B246" s="5">
        <v>2077000</v>
      </c>
      <c r="C246" s="5">
        <v>2723000</v>
      </c>
      <c r="D246" t="str">
        <f>VLOOKUP(A246,Лист2!A:E,5,0)</f>
        <v>малые</v>
      </c>
      <c r="E246">
        <f>VLOOKUP(A246,Лист2!A:E,4,0)</f>
        <v>2.5</v>
      </c>
      <c r="F246" s="12">
        <f t="shared" si="12"/>
        <v>-646000</v>
      </c>
      <c r="G246">
        <f t="shared" si="13"/>
        <v>830800</v>
      </c>
      <c r="H246">
        <f t="shared" si="14"/>
        <v>-258400</v>
      </c>
    </row>
    <row r="247" spans="1:8">
      <c r="A247" s="6" t="s">
        <v>22</v>
      </c>
      <c r="B247" s="5">
        <v>76363000</v>
      </c>
      <c r="C247" s="5">
        <v>67744000</v>
      </c>
      <c r="D247" t="str">
        <f>VLOOKUP(A247,Лист2!A:E,5,0)</f>
        <v>малые</v>
      </c>
      <c r="E247">
        <f>VLOOKUP(A247,Лист2!A:E,4,0)</f>
        <v>13</v>
      </c>
      <c r="F247" s="12">
        <f t="shared" ref="F247:F298" si="15">B247-C247</f>
        <v>8619000</v>
      </c>
      <c r="G247">
        <f t="shared" ref="G247:G298" si="16">B247/E247</f>
        <v>5874076.923076923</v>
      </c>
      <c r="H247">
        <f t="shared" ref="H247:H298" si="17">F247/E247</f>
        <v>663000</v>
      </c>
    </row>
    <row r="248" spans="1:8">
      <c r="A248" s="6" t="s">
        <v>18</v>
      </c>
      <c r="B248" s="5">
        <v>764000</v>
      </c>
      <c r="C248" s="5">
        <v>794000</v>
      </c>
      <c r="D248" t="str">
        <f>VLOOKUP(A248,Лист2!A:E,5,0)</f>
        <v>малые</v>
      </c>
      <c r="E248">
        <f>VLOOKUP(A248,Лист2!A:E,4,0)</f>
        <v>2.5</v>
      </c>
      <c r="F248" s="12">
        <f t="shared" si="15"/>
        <v>-30000</v>
      </c>
      <c r="G248">
        <f t="shared" si="16"/>
        <v>305600</v>
      </c>
      <c r="H248">
        <f t="shared" si="17"/>
        <v>-12000</v>
      </c>
    </row>
    <row r="249" spans="1:8">
      <c r="A249" s="6" t="s">
        <v>18</v>
      </c>
      <c r="B249" s="5">
        <v>3120000</v>
      </c>
      <c r="C249" s="5">
        <v>3216000</v>
      </c>
      <c r="D249" t="str">
        <f>VLOOKUP(A249,Лист2!A:E,5,0)</f>
        <v>малые</v>
      </c>
      <c r="E249">
        <f>VLOOKUP(A249,Лист2!A:E,4,0)</f>
        <v>2.5</v>
      </c>
      <c r="F249" s="12">
        <f t="shared" si="15"/>
        <v>-96000</v>
      </c>
      <c r="G249">
        <f t="shared" si="16"/>
        <v>1248000</v>
      </c>
      <c r="H249">
        <f t="shared" si="17"/>
        <v>-38400</v>
      </c>
    </row>
    <row r="250" spans="1:8">
      <c r="A250" s="6" t="s">
        <v>22</v>
      </c>
      <c r="B250" s="5">
        <v>11417000</v>
      </c>
      <c r="C250" s="5">
        <v>18444000</v>
      </c>
      <c r="D250" t="str">
        <f>VLOOKUP(A250,Лист2!A:E,5,0)</f>
        <v>малые</v>
      </c>
      <c r="E250">
        <f>VLOOKUP(A250,Лист2!A:E,4,0)</f>
        <v>13</v>
      </c>
      <c r="F250" s="12">
        <f t="shared" si="15"/>
        <v>-7027000</v>
      </c>
      <c r="G250">
        <f t="shared" si="16"/>
        <v>878230.76923076925</v>
      </c>
      <c r="H250">
        <f t="shared" si="17"/>
        <v>-540538.4615384615</v>
      </c>
    </row>
    <row r="251" spans="1:8">
      <c r="A251" s="6" t="s">
        <v>77</v>
      </c>
      <c r="B251" s="5">
        <v>22650000</v>
      </c>
      <c r="C251" s="5">
        <v>28246000</v>
      </c>
      <c r="D251" t="str">
        <f>VLOOKUP(A251,Лист2!A:E,5,0)</f>
        <v>малые</v>
      </c>
      <c r="E251">
        <f>VLOOKUP(A251,Лист2!A:E,4,0)</f>
        <v>8</v>
      </c>
      <c r="F251" s="12">
        <f t="shared" si="15"/>
        <v>-5596000</v>
      </c>
      <c r="G251">
        <f t="shared" si="16"/>
        <v>2831250</v>
      </c>
      <c r="H251">
        <f t="shared" si="17"/>
        <v>-699500</v>
      </c>
    </row>
    <row r="252" spans="1:8">
      <c r="A252" s="6" t="s">
        <v>18</v>
      </c>
      <c r="B252" s="5">
        <v>23000</v>
      </c>
      <c r="C252" s="5">
        <v>479000</v>
      </c>
      <c r="D252" t="str">
        <f>VLOOKUP(A252,Лист2!A:E,5,0)</f>
        <v>малые</v>
      </c>
      <c r="E252">
        <f>VLOOKUP(A252,Лист2!A:E,4,0)</f>
        <v>2.5</v>
      </c>
      <c r="F252" s="12">
        <f t="shared" si="15"/>
        <v>-456000</v>
      </c>
      <c r="G252">
        <f t="shared" si="16"/>
        <v>9200</v>
      </c>
      <c r="H252">
        <f t="shared" si="17"/>
        <v>-182400</v>
      </c>
    </row>
    <row r="253" spans="1:8">
      <c r="A253" s="6" t="s">
        <v>18</v>
      </c>
      <c r="B253" s="5">
        <v>38772000</v>
      </c>
      <c r="C253" s="5">
        <v>42617000</v>
      </c>
      <c r="D253" t="str">
        <f>VLOOKUP(A253,Лист2!A:E,5,0)</f>
        <v>малые</v>
      </c>
      <c r="E253">
        <f>VLOOKUP(A253,Лист2!A:E,4,0)</f>
        <v>2.5</v>
      </c>
      <c r="F253" s="12">
        <f t="shared" si="15"/>
        <v>-3845000</v>
      </c>
      <c r="G253">
        <f t="shared" si="16"/>
        <v>15508800</v>
      </c>
      <c r="H253">
        <f t="shared" si="17"/>
        <v>-1538000</v>
      </c>
    </row>
    <row r="254" spans="1:8">
      <c r="A254" s="6" t="s">
        <v>18</v>
      </c>
      <c r="B254" s="5">
        <v>291000</v>
      </c>
      <c r="C254" s="5">
        <v>233000</v>
      </c>
      <c r="D254" t="str">
        <f>VLOOKUP(A254,Лист2!A:E,5,0)</f>
        <v>малые</v>
      </c>
      <c r="E254">
        <f>VLOOKUP(A254,Лист2!A:E,4,0)</f>
        <v>2.5</v>
      </c>
      <c r="F254" s="12">
        <f t="shared" si="15"/>
        <v>58000</v>
      </c>
      <c r="G254">
        <f t="shared" si="16"/>
        <v>116400</v>
      </c>
      <c r="H254">
        <f t="shared" si="17"/>
        <v>23200</v>
      </c>
    </row>
    <row r="255" spans="1:8">
      <c r="A255" s="6" t="s">
        <v>18</v>
      </c>
      <c r="B255" s="5">
        <v>11819000</v>
      </c>
      <c r="C255" s="5">
        <v>14110000</v>
      </c>
      <c r="D255" t="str">
        <f>VLOOKUP(A255,Лист2!A:E,5,0)</f>
        <v>малые</v>
      </c>
      <c r="E255">
        <f>VLOOKUP(A255,Лист2!A:E,4,0)</f>
        <v>2.5</v>
      </c>
      <c r="F255" s="12">
        <f t="shared" si="15"/>
        <v>-2291000</v>
      </c>
      <c r="G255">
        <f t="shared" si="16"/>
        <v>4727600</v>
      </c>
      <c r="H255">
        <f t="shared" si="17"/>
        <v>-916400</v>
      </c>
    </row>
    <row r="256" spans="1:8">
      <c r="A256" s="6" t="s">
        <v>18</v>
      </c>
      <c r="B256" s="5">
        <v>7932000</v>
      </c>
      <c r="C256" s="5">
        <v>3806000</v>
      </c>
      <c r="D256" t="str">
        <f>VLOOKUP(A256,Лист2!A:E,5,0)</f>
        <v>малые</v>
      </c>
      <c r="E256">
        <f>VLOOKUP(A256,Лист2!A:E,4,0)</f>
        <v>2.5</v>
      </c>
      <c r="F256" s="12">
        <f t="shared" si="15"/>
        <v>4126000</v>
      </c>
      <c r="G256">
        <f t="shared" si="16"/>
        <v>3172800</v>
      </c>
      <c r="H256">
        <f t="shared" si="17"/>
        <v>1650400</v>
      </c>
    </row>
    <row r="257" spans="1:8">
      <c r="A257" s="6" t="s">
        <v>18</v>
      </c>
      <c r="B257" s="5">
        <v>6008000</v>
      </c>
      <c r="C257" s="5">
        <v>633000</v>
      </c>
      <c r="D257" t="str">
        <f>VLOOKUP(A257,Лист2!A:E,5,0)</f>
        <v>малые</v>
      </c>
      <c r="E257">
        <f>VLOOKUP(A257,Лист2!A:E,4,0)</f>
        <v>2.5</v>
      </c>
      <c r="F257" s="12">
        <f t="shared" si="15"/>
        <v>5375000</v>
      </c>
      <c r="G257">
        <f t="shared" si="16"/>
        <v>2403200</v>
      </c>
      <c r="H257">
        <f t="shared" si="17"/>
        <v>2150000</v>
      </c>
    </row>
    <row r="258" spans="1:8">
      <c r="A258" s="6" t="s">
        <v>18</v>
      </c>
      <c r="B258" s="5">
        <v>117000</v>
      </c>
      <c r="C258" s="5">
        <v>118000</v>
      </c>
      <c r="D258" t="str">
        <f>VLOOKUP(A258,Лист2!A:E,5,0)</f>
        <v>малые</v>
      </c>
      <c r="E258">
        <f>VLOOKUP(A258,Лист2!A:E,4,0)</f>
        <v>2.5</v>
      </c>
      <c r="F258" s="12">
        <f t="shared" si="15"/>
        <v>-1000</v>
      </c>
      <c r="G258">
        <f t="shared" si="16"/>
        <v>46800</v>
      </c>
      <c r="H258">
        <f t="shared" si="17"/>
        <v>-400</v>
      </c>
    </row>
    <row r="259" spans="1:8">
      <c r="A259" s="6" t="s">
        <v>77</v>
      </c>
      <c r="B259" s="5">
        <v>320527000</v>
      </c>
      <c r="C259" s="5">
        <v>198011000</v>
      </c>
      <c r="D259" t="str">
        <f>VLOOKUP(A259,Лист2!A:E,5,0)</f>
        <v>малые</v>
      </c>
      <c r="E259">
        <f>VLOOKUP(A259,Лист2!A:E,4,0)</f>
        <v>8</v>
      </c>
      <c r="F259" s="12">
        <f t="shared" si="15"/>
        <v>122516000</v>
      </c>
      <c r="G259">
        <f t="shared" si="16"/>
        <v>40065875</v>
      </c>
      <c r="H259">
        <f t="shared" si="17"/>
        <v>15314500</v>
      </c>
    </row>
    <row r="260" spans="1:8">
      <c r="A260" s="6" t="s">
        <v>18</v>
      </c>
      <c r="B260" s="5">
        <v>968000</v>
      </c>
      <c r="C260" s="5">
        <v>826000</v>
      </c>
      <c r="D260" t="str">
        <f>VLOOKUP(A260,Лист2!A:E,5,0)</f>
        <v>малые</v>
      </c>
      <c r="E260">
        <f>VLOOKUP(A260,Лист2!A:E,4,0)</f>
        <v>2.5</v>
      </c>
      <c r="F260" s="12">
        <f t="shared" si="15"/>
        <v>142000</v>
      </c>
      <c r="G260">
        <f t="shared" si="16"/>
        <v>387200</v>
      </c>
      <c r="H260">
        <f t="shared" si="17"/>
        <v>56800</v>
      </c>
    </row>
    <row r="261" spans="1:8">
      <c r="A261" s="6" t="s">
        <v>18</v>
      </c>
      <c r="B261" s="5">
        <v>191686000</v>
      </c>
      <c r="C261" s="5">
        <v>144937000</v>
      </c>
      <c r="D261" t="str">
        <f>VLOOKUP(A261,Лист2!A:E,5,0)</f>
        <v>малые</v>
      </c>
      <c r="E261">
        <f>VLOOKUP(A261,Лист2!A:E,4,0)</f>
        <v>2.5</v>
      </c>
      <c r="F261" s="12">
        <f t="shared" si="15"/>
        <v>46749000</v>
      </c>
      <c r="G261">
        <f t="shared" si="16"/>
        <v>76674400</v>
      </c>
      <c r="H261">
        <f t="shared" si="17"/>
        <v>18699600</v>
      </c>
    </row>
    <row r="262" spans="1:8">
      <c r="A262" s="6" t="s">
        <v>18</v>
      </c>
      <c r="B262" s="5">
        <v>38990000</v>
      </c>
      <c r="C262" s="5">
        <v>55460000</v>
      </c>
      <c r="D262" t="str">
        <f>VLOOKUP(A262,Лист2!A:E,5,0)</f>
        <v>малые</v>
      </c>
      <c r="E262">
        <f>VLOOKUP(A262,Лист2!A:E,4,0)</f>
        <v>2.5</v>
      </c>
      <c r="F262" s="12">
        <f t="shared" si="15"/>
        <v>-16470000</v>
      </c>
      <c r="G262">
        <f t="shared" si="16"/>
        <v>15596000</v>
      </c>
      <c r="H262">
        <f t="shared" si="17"/>
        <v>-6588000</v>
      </c>
    </row>
    <row r="263" spans="1:8">
      <c r="A263" s="6" t="s">
        <v>18</v>
      </c>
      <c r="B263" s="5">
        <v>147000</v>
      </c>
      <c r="C263" s="5">
        <v>147000</v>
      </c>
      <c r="D263" t="str">
        <f>VLOOKUP(A263,Лист2!A:E,5,0)</f>
        <v>малые</v>
      </c>
      <c r="E263">
        <f>VLOOKUP(A263,Лист2!A:E,4,0)</f>
        <v>2.5</v>
      </c>
      <c r="F263" s="12">
        <f t="shared" si="15"/>
        <v>0</v>
      </c>
      <c r="G263">
        <f t="shared" si="16"/>
        <v>58800</v>
      </c>
      <c r="H263">
        <f t="shared" si="17"/>
        <v>0</v>
      </c>
    </row>
    <row r="264" spans="1:8">
      <c r="A264" s="6" t="s">
        <v>77</v>
      </c>
      <c r="B264" s="5">
        <v>138185000</v>
      </c>
      <c r="C264" s="5">
        <v>28901000</v>
      </c>
      <c r="D264" t="str">
        <f>VLOOKUP(A264,Лист2!A:E,5,0)</f>
        <v>малые</v>
      </c>
      <c r="E264">
        <f>VLOOKUP(A264,Лист2!A:E,4,0)</f>
        <v>8</v>
      </c>
      <c r="F264" s="12">
        <f t="shared" si="15"/>
        <v>109284000</v>
      </c>
      <c r="G264">
        <f t="shared" si="16"/>
        <v>17273125</v>
      </c>
      <c r="H264">
        <f t="shared" si="17"/>
        <v>13660500</v>
      </c>
    </row>
    <row r="265" spans="1:8">
      <c r="A265" s="6" t="s">
        <v>18</v>
      </c>
      <c r="B265" s="5">
        <v>176000</v>
      </c>
      <c r="C265" s="5">
        <v>187000</v>
      </c>
      <c r="D265" t="str">
        <f>VLOOKUP(A265,Лист2!A:E,5,0)</f>
        <v>малые</v>
      </c>
      <c r="E265">
        <f>VLOOKUP(A265,Лист2!A:E,4,0)</f>
        <v>2.5</v>
      </c>
      <c r="F265" s="12">
        <f t="shared" si="15"/>
        <v>-11000</v>
      </c>
      <c r="G265">
        <f t="shared" si="16"/>
        <v>70400</v>
      </c>
      <c r="H265">
        <f t="shared" si="17"/>
        <v>-4400</v>
      </c>
    </row>
    <row r="266" spans="1:8">
      <c r="A266" s="6" t="s">
        <v>18</v>
      </c>
      <c r="B266" s="5">
        <v>262000</v>
      </c>
      <c r="C266" s="5">
        <v>745000</v>
      </c>
      <c r="D266" t="str">
        <f>VLOOKUP(A266,Лист2!A:E,5,0)</f>
        <v>малые</v>
      </c>
      <c r="E266">
        <f>VLOOKUP(A266,Лист2!A:E,4,0)</f>
        <v>2.5</v>
      </c>
      <c r="F266" s="12">
        <f t="shared" si="15"/>
        <v>-483000</v>
      </c>
      <c r="G266">
        <f t="shared" si="16"/>
        <v>104800</v>
      </c>
      <c r="H266">
        <f t="shared" si="17"/>
        <v>-193200</v>
      </c>
    </row>
    <row r="267" spans="1:8">
      <c r="A267" s="6" t="s">
        <v>18</v>
      </c>
      <c r="B267" s="5">
        <v>1030734000</v>
      </c>
      <c r="C267" s="5">
        <v>713230000</v>
      </c>
      <c r="D267" t="str">
        <f>VLOOKUP(A267,Лист2!A:E,5,0)</f>
        <v>малые</v>
      </c>
      <c r="E267">
        <f>VLOOKUP(A267,Лист2!A:E,4,0)</f>
        <v>2.5</v>
      </c>
      <c r="F267" s="12">
        <f t="shared" si="15"/>
        <v>317504000</v>
      </c>
      <c r="G267">
        <f t="shared" si="16"/>
        <v>412293600</v>
      </c>
      <c r="H267">
        <f t="shared" si="17"/>
        <v>127001600</v>
      </c>
    </row>
    <row r="268" spans="1:8">
      <c r="A268" s="6" t="s">
        <v>18</v>
      </c>
      <c r="B268" s="5">
        <v>600000</v>
      </c>
      <c r="C268" s="5">
        <v>702000</v>
      </c>
      <c r="D268" t="str">
        <f>VLOOKUP(A268,Лист2!A:E,5,0)</f>
        <v>малые</v>
      </c>
      <c r="E268">
        <f>VLOOKUP(A268,Лист2!A:E,4,0)</f>
        <v>2.5</v>
      </c>
      <c r="F268" s="12">
        <f t="shared" si="15"/>
        <v>-102000</v>
      </c>
      <c r="G268">
        <f t="shared" si="16"/>
        <v>240000</v>
      </c>
      <c r="H268">
        <f t="shared" si="17"/>
        <v>-40800</v>
      </c>
    </row>
    <row r="269" spans="1:8">
      <c r="A269" s="6" t="s">
        <v>18</v>
      </c>
      <c r="B269" s="5">
        <v>1086000</v>
      </c>
      <c r="C269" s="5">
        <v>1086000</v>
      </c>
      <c r="D269" t="str">
        <f>VLOOKUP(A269,Лист2!A:E,5,0)</f>
        <v>малые</v>
      </c>
      <c r="E269">
        <f>VLOOKUP(A269,Лист2!A:E,4,0)</f>
        <v>2.5</v>
      </c>
      <c r="F269" s="12">
        <f t="shared" si="15"/>
        <v>0</v>
      </c>
      <c r="G269">
        <f t="shared" si="16"/>
        <v>434400</v>
      </c>
      <c r="H269">
        <f t="shared" si="17"/>
        <v>0</v>
      </c>
    </row>
    <row r="270" spans="1:8">
      <c r="A270" s="6" t="s">
        <v>18</v>
      </c>
      <c r="B270" s="5">
        <v>699587000</v>
      </c>
      <c r="C270" s="5">
        <v>1144761000</v>
      </c>
      <c r="D270" t="str">
        <f>VLOOKUP(A270,Лист2!A:E,5,0)</f>
        <v>малые</v>
      </c>
      <c r="E270">
        <f>VLOOKUP(A270,Лист2!A:E,4,0)</f>
        <v>2.5</v>
      </c>
      <c r="F270" s="12">
        <f t="shared" si="15"/>
        <v>-445174000</v>
      </c>
      <c r="G270">
        <f t="shared" si="16"/>
        <v>279834800</v>
      </c>
      <c r="H270">
        <f t="shared" si="17"/>
        <v>-178069600</v>
      </c>
    </row>
    <row r="271" spans="1:8">
      <c r="A271" s="6" t="s">
        <v>18</v>
      </c>
      <c r="B271" s="5">
        <v>304000</v>
      </c>
      <c r="C271" s="5">
        <v>680000</v>
      </c>
      <c r="D271" t="str">
        <f>VLOOKUP(A271,Лист2!A:E,5,0)</f>
        <v>малые</v>
      </c>
      <c r="E271">
        <f>VLOOKUP(A271,Лист2!A:E,4,0)</f>
        <v>2.5</v>
      </c>
      <c r="F271" s="12">
        <f t="shared" si="15"/>
        <v>-376000</v>
      </c>
      <c r="G271">
        <f t="shared" si="16"/>
        <v>121600</v>
      </c>
      <c r="H271">
        <f t="shared" si="17"/>
        <v>-150400</v>
      </c>
    </row>
    <row r="272" spans="1:8">
      <c r="A272" s="6" t="s">
        <v>18</v>
      </c>
      <c r="B272" s="5">
        <v>6107000</v>
      </c>
      <c r="C272" s="5">
        <v>1983000</v>
      </c>
      <c r="D272" t="str">
        <f>VLOOKUP(A272,Лист2!A:E,5,0)</f>
        <v>малые</v>
      </c>
      <c r="E272">
        <f>VLOOKUP(A272,Лист2!A:E,4,0)</f>
        <v>2.5</v>
      </c>
      <c r="F272" s="12">
        <f t="shared" si="15"/>
        <v>4124000</v>
      </c>
      <c r="G272">
        <f t="shared" si="16"/>
        <v>2442800</v>
      </c>
      <c r="H272">
        <f t="shared" si="17"/>
        <v>1649600</v>
      </c>
    </row>
    <row r="273" spans="1:8">
      <c r="A273" s="6" t="s">
        <v>18</v>
      </c>
      <c r="B273" s="5">
        <v>1167000</v>
      </c>
      <c r="C273" s="5">
        <v>1406000</v>
      </c>
      <c r="D273" t="str">
        <f>VLOOKUP(A273,Лист2!A:E,5,0)</f>
        <v>малые</v>
      </c>
      <c r="E273">
        <f>VLOOKUP(A273,Лист2!A:E,4,0)</f>
        <v>2.5</v>
      </c>
      <c r="F273" s="12">
        <f t="shared" si="15"/>
        <v>-239000</v>
      </c>
      <c r="G273">
        <f t="shared" si="16"/>
        <v>466800</v>
      </c>
      <c r="H273">
        <f t="shared" si="17"/>
        <v>-95600</v>
      </c>
    </row>
    <row r="274" spans="1:8">
      <c r="A274" s="6" t="s">
        <v>18</v>
      </c>
      <c r="B274" s="5">
        <v>4374000</v>
      </c>
      <c r="C274" s="5">
        <v>4392000</v>
      </c>
      <c r="D274" t="str">
        <f>VLOOKUP(A274,Лист2!A:E,5,0)</f>
        <v>малые</v>
      </c>
      <c r="E274">
        <f>VLOOKUP(A274,Лист2!A:E,4,0)</f>
        <v>2.5</v>
      </c>
      <c r="F274" s="12">
        <f t="shared" si="15"/>
        <v>-18000</v>
      </c>
      <c r="G274">
        <f t="shared" si="16"/>
        <v>1749600</v>
      </c>
      <c r="H274">
        <f t="shared" si="17"/>
        <v>-7200</v>
      </c>
    </row>
    <row r="275" spans="1:8">
      <c r="A275" s="6" t="s">
        <v>18</v>
      </c>
      <c r="B275" s="5">
        <v>173000</v>
      </c>
      <c r="C275" s="5">
        <v>717000</v>
      </c>
      <c r="D275" t="str">
        <f>VLOOKUP(A275,Лист2!A:E,5,0)</f>
        <v>малые</v>
      </c>
      <c r="E275">
        <f>VLOOKUP(A275,Лист2!A:E,4,0)</f>
        <v>2.5</v>
      </c>
      <c r="F275" s="12">
        <f t="shared" si="15"/>
        <v>-544000</v>
      </c>
      <c r="G275">
        <f t="shared" si="16"/>
        <v>69200</v>
      </c>
      <c r="H275">
        <f t="shared" si="17"/>
        <v>-217600</v>
      </c>
    </row>
    <row r="276" spans="1:8">
      <c r="A276" s="6" t="s">
        <v>18</v>
      </c>
      <c r="B276" s="5">
        <v>1163000</v>
      </c>
      <c r="C276" s="5">
        <v>1165000</v>
      </c>
      <c r="D276" t="str">
        <f>VLOOKUP(A276,Лист2!A:E,5,0)</f>
        <v>малые</v>
      </c>
      <c r="E276">
        <f>VLOOKUP(A276,Лист2!A:E,4,0)</f>
        <v>2.5</v>
      </c>
      <c r="F276" s="12">
        <f t="shared" si="15"/>
        <v>-2000</v>
      </c>
      <c r="G276">
        <f t="shared" si="16"/>
        <v>465200</v>
      </c>
      <c r="H276">
        <f t="shared" si="17"/>
        <v>-800</v>
      </c>
    </row>
    <row r="277" spans="1:8">
      <c r="A277" s="6" t="s">
        <v>22</v>
      </c>
      <c r="B277" s="5">
        <v>199364000</v>
      </c>
      <c r="C277" s="5">
        <v>204388000</v>
      </c>
      <c r="D277" t="str">
        <f>VLOOKUP(A277,Лист2!A:E,5,0)</f>
        <v>малые</v>
      </c>
      <c r="E277">
        <f>VLOOKUP(A277,Лист2!A:E,4,0)</f>
        <v>13</v>
      </c>
      <c r="F277" s="12">
        <f t="shared" si="15"/>
        <v>-5024000</v>
      </c>
      <c r="G277">
        <f t="shared" si="16"/>
        <v>15335692.307692308</v>
      </c>
      <c r="H277">
        <f t="shared" si="17"/>
        <v>-386461.53846153844</v>
      </c>
    </row>
    <row r="278" spans="1:8">
      <c r="A278" s="6" t="s">
        <v>22</v>
      </c>
      <c r="B278" s="5">
        <v>3342000</v>
      </c>
      <c r="C278" s="5">
        <v>3342000</v>
      </c>
      <c r="D278" t="str">
        <f>VLOOKUP(A278,Лист2!A:E,5,0)</f>
        <v>малые</v>
      </c>
      <c r="E278">
        <f>VLOOKUP(A278,Лист2!A:E,4,0)</f>
        <v>13</v>
      </c>
      <c r="F278" s="12">
        <f t="shared" si="15"/>
        <v>0</v>
      </c>
      <c r="G278">
        <f t="shared" si="16"/>
        <v>257076.92307692306</v>
      </c>
      <c r="H278">
        <f t="shared" si="17"/>
        <v>0</v>
      </c>
    </row>
    <row r="279" spans="1:8">
      <c r="A279" s="6" t="s">
        <v>18</v>
      </c>
      <c r="B279" s="5">
        <v>18201000</v>
      </c>
      <c r="C279" s="5">
        <v>18423000</v>
      </c>
      <c r="D279" t="str">
        <f>VLOOKUP(A279,Лист2!A:E,5,0)</f>
        <v>малые</v>
      </c>
      <c r="E279">
        <f>VLOOKUP(A279,Лист2!A:E,4,0)</f>
        <v>2.5</v>
      </c>
      <c r="F279" s="12">
        <f t="shared" si="15"/>
        <v>-222000</v>
      </c>
      <c r="G279">
        <f t="shared" si="16"/>
        <v>7280400</v>
      </c>
      <c r="H279">
        <f t="shared" si="17"/>
        <v>-88800</v>
      </c>
    </row>
    <row r="280" spans="1:8">
      <c r="A280" s="6" t="s">
        <v>18</v>
      </c>
      <c r="B280" s="5">
        <v>1732000</v>
      </c>
      <c r="C280" s="5">
        <v>1732000</v>
      </c>
      <c r="D280" t="str">
        <f>VLOOKUP(A280,Лист2!A:E,5,0)</f>
        <v>малые</v>
      </c>
      <c r="E280">
        <f>VLOOKUP(A280,Лист2!A:E,4,0)</f>
        <v>2.5</v>
      </c>
      <c r="F280" s="12">
        <f t="shared" si="15"/>
        <v>0</v>
      </c>
      <c r="G280">
        <f t="shared" si="16"/>
        <v>692800</v>
      </c>
      <c r="H280">
        <f t="shared" si="17"/>
        <v>0</v>
      </c>
    </row>
    <row r="281" spans="1:8">
      <c r="A281" s="6" t="s">
        <v>18</v>
      </c>
      <c r="B281" s="5">
        <v>8761000</v>
      </c>
      <c r="C281" s="5">
        <v>2652000</v>
      </c>
      <c r="D281" t="str">
        <f>VLOOKUP(A281,Лист2!A:E,5,0)</f>
        <v>малые</v>
      </c>
      <c r="E281">
        <f>VLOOKUP(A281,Лист2!A:E,4,0)</f>
        <v>2.5</v>
      </c>
      <c r="F281" s="12">
        <f t="shared" si="15"/>
        <v>6109000</v>
      </c>
      <c r="G281">
        <f t="shared" si="16"/>
        <v>3504400</v>
      </c>
      <c r="H281">
        <f t="shared" si="17"/>
        <v>2443600</v>
      </c>
    </row>
    <row r="282" spans="1:8">
      <c r="A282" s="6" t="s">
        <v>77</v>
      </c>
      <c r="B282" s="5">
        <v>1270000</v>
      </c>
      <c r="C282" s="5">
        <v>1270000</v>
      </c>
      <c r="D282" t="str">
        <f>VLOOKUP(A282,Лист2!A:E,5,0)</f>
        <v>малые</v>
      </c>
      <c r="E282">
        <f>VLOOKUP(A282,Лист2!A:E,4,0)</f>
        <v>8</v>
      </c>
      <c r="F282" s="12">
        <f t="shared" si="15"/>
        <v>0</v>
      </c>
      <c r="G282">
        <f t="shared" si="16"/>
        <v>158750</v>
      </c>
      <c r="H282">
        <f t="shared" si="17"/>
        <v>0</v>
      </c>
    </row>
    <row r="283" spans="1:8">
      <c r="A283" s="6" t="s">
        <v>18</v>
      </c>
      <c r="B283" s="5">
        <v>19700000</v>
      </c>
      <c r="C283" s="5">
        <v>94331000</v>
      </c>
      <c r="D283" t="str">
        <f>VLOOKUP(A283,Лист2!A:E,5,0)</f>
        <v>малые</v>
      </c>
      <c r="E283">
        <f>VLOOKUP(A283,Лист2!A:E,4,0)</f>
        <v>2.5</v>
      </c>
      <c r="F283" s="12">
        <f t="shared" si="15"/>
        <v>-74631000</v>
      </c>
      <c r="G283">
        <f t="shared" si="16"/>
        <v>7880000</v>
      </c>
      <c r="H283">
        <f t="shared" si="17"/>
        <v>-29852400</v>
      </c>
    </row>
    <row r="284" spans="1:8">
      <c r="A284" s="6" t="s">
        <v>1135</v>
      </c>
      <c r="B284" s="5">
        <v>250407000</v>
      </c>
      <c r="C284" s="5">
        <v>247062000</v>
      </c>
      <c r="D284" t="str">
        <f>VLOOKUP(A284,Лист2!A:E,5,0)</f>
        <v>крупные</v>
      </c>
      <c r="E284">
        <f>VLOOKUP(A284,Лист2!A:E,4,0)</f>
        <v>375.5</v>
      </c>
      <c r="F284" s="12">
        <f t="shared" si="15"/>
        <v>3345000</v>
      </c>
      <c r="G284">
        <f t="shared" si="16"/>
        <v>666862.84953395475</v>
      </c>
      <c r="H284">
        <f t="shared" si="17"/>
        <v>8908.1225033288956</v>
      </c>
    </row>
    <row r="285" spans="1:8">
      <c r="A285" s="6" t="s">
        <v>22</v>
      </c>
      <c r="B285" s="5">
        <v>15162000</v>
      </c>
      <c r="C285" s="5">
        <v>13671000</v>
      </c>
      <c r="D285" t="str">
        <f>VLOOKUP(A285,Лист2!A:E,5,0)</f>
        <v>малые</v>
      </c>
      <c r="E285">
        <f>VLOOKUP(A285,Лист2!A:E,4,0)</f>
        <v>13</v>
      </c>
      <c r="F285" s="12">
        <f t="shared" si="15"/>
        <v>1491000</v>
      </c>
      <c r="G285">
        <f t="shared" si="16"/>
        <v>1166307.6923076923</v>
      </c>
      <c r="H285">
        <f t="shared" si="17"/>
        <v>114692.30769230769</v>
      </c>
    </row>
    <row r="286" spans="1:8">
      <c r="A286" s="6" t="s">
        <v>18</v>
      </c>
      <c r="B286" s="5">
        <v>13209000</v>
      </c>
      <c r="C286" s="5">
        <v>174000</v>
      </c>
      <c r="D286" t="str">
        <f>VLOOKUP(A286,Лист2!A:E,5,0)</f>
        <v>малые</v>
      </c>
      <c r="E286">
        <f>VLOOKUP(A286,Лист2!A:E,4,0)</f>
        <v>2.5</v>
      </c>
      <c r="F286" s="12">
        <f t="shared" si="15"/>
        <v>13035000</v>
      </c>
      <c r="G286">
        <f t="shared" si="16"/>
        <v>5283600</v>
      </c>
      <c r="H286">
        <f t="shared" si="17"/>
        <v>5214000</v>
      </c>
    </row>
    <row r="287" spans="1:8">
      <c r="A287" s="6" t="s">
        <v>18</v>
      </c>
      <c r="B287" s="5">
        <v>64000</v>
      </c>
      <c r="C287" s="5">
        <v>35000</v>
      </c>
      <c r="D287" t="str">
        <f>VLOOKUP(A287,Лист2!A:E,5,0)</f>
        <v>малые</v>
      </c>
      <c r="E287">
        <f>VLOOKUP(A287,Лист2!A:E,4,0)</f>
        <v>2.5</v>
      </c>
      <c r="F287" s="12">
        <f t="shared" si="15"/>
        <v>29000</v>
      </c>
      <c r="G287">
        <f t="shared" si="16"/>
        <v>25600</v>
      </c>
      <c r="H287">
        <f t="shared" si="17"/>
        <v>11600</v>
      </c>
    </row>
    <row r="288" spans="1:8">
      <c r="A288" s="6" t="s">
        <v>18</v>
      </c>
      <c r="B288" s="5">
        <v>1675000</v>
      </c>
      <c r="C288" s="5">
        <v>1689000</v>
      </c>
      <c r="D288" t="str">
        <f>VLOOKUP(A288,Лист2!A:E,5,0)</f>
        <v>малые</v>
      </c>
      <c r="E288">
        <f>VLOOKUP(A288,Лист2!A:E,4,0)</f>
        <v>2.5</v>
      </c>
      <c r="F288" s="12">
        <f t="shared" si="15"/>
        <v>-14000</v>
      </c>
      <c r="G288">
        <f t="shared" si="16"/>
        <v>670000</v>
      </c>
      <c r="H288">
        <f t="shared" si="17"/>
        <v>-5600</v>
      </c>
    </row>
    <row r="289" spans="1:8">
      <c r="A289" s="6" t="s">
        <v>302</v>
      </c>
      <c r="B289" s="5">
        <v>1585261000</v>
      </c>
      <c r="C289" s="5">
        <v>1561316000</v>
      </c>
      <c r="D289" t="str">
        <f>VLOOKUP(A289,Лист2!A:E,5,0)</f>
        <v>средние</v>
      </c>
      <c r="E289">
        <f>VLOOKUP(A289,Лист2!A:E,4,0)</f>
        <v>125.5</v>
      </c>
      <c r="F289" s="12">
        <f t="shared" si="15"/>
        <v>23945000</v>
      </c>
      <c r="G289">
        <f t="shared" si="16"/>
        <v>12631561.752988048</v>
      </c>
      <c r="H289">
        <f t="shared" si="17"/>
        <v>190796.81274900399</v>
      </c>
    </row>
    <row r="290" spans="1:8">
      <c r="A290" s="6" t="s">
        <v>18</v>
      </c>
      <c r="B290" s="5">
        <v>6945000</v>
      </c>
      <c r="C290" s="5">
        <v>7091000</v>
      </c>
      <c r="D290" t="str">
        <f>VLOOKUP(A290,Лист2!A:E,5,0)</f>
        <v>малые</v>
      </c>
      <c r="E290">
        <f>VLOOKUP(A290,Лист2!A:E,4,0)</f>
        <v>2.5</v>
      </c>
      <c r="F290" s="12">
        <f t="shared" si="15"/>
        <v>-146000</v>
      </c>
      <c r="G290">
        <f t="shared" si="16"/>
        <v>2778000</v>
      </c>
      <c r="H290">
        <f t="shared" si="17"/>
        <v>-58400</v>
      </c>
    </row>
    <row r="291" spans="1:8">
      <c r="A291" s="6" t="s">
        <v>18</v>
      </c>
      <c r="B291" s="5">
        <v>11399000</v>
      </c>
      <c r="C291" s="5">
        <v>10199000</v>
      </c>
      <c r="D291" t="str">
        <f>VLOOKUP(A291,Лист2!A:E,5,0)</f>
        <v>малые</v>
      </c>
      <c r="E291">
        <f>VLOOKUP(A291,Лист2!A:E,4,0)</f>
        <v>2.5</v>
      </c>
      <c r="F291" s="12">
        <f t="shared" si="15"/>
        <v>1200000</v>
      </c>
      <c r="G291">
        <f t="shared" si="16"/>
        <v>4559600</v>
      </c>
      <c r="H291">
        <f t="shared" si="17"/>
        <v>480000</v>
      </c>
    </row>
    <row r="292" spans="1:8">
      <c r="A292" s="6" t="s">
        <v>22</v>
      </c>
      <c r="B292" s="5">
        <v>360000</v>
      </c>
      <c r="C292" s="5">
        <v>360000</v>
      </c>
      <c r="D292" t="str">
        <f>VLOOKUP(A292,Лист2!A:E,5,0)</f>
        <v>малые</v>
      </c>
      <c r="E292">
        <f>VLOOKUP(A292,Лист2!A:E,4,0)</f>
        <v>13</v>
      </c>
      <c r="F292" s="12">
        <f t="shared" si="15"/>
        <v>0</v>
      </c>
      <c r="G292">
        <f t="shared" si="16"/>
        <v>27692.307692307691</v>
      </c>
      <c r="H292">
        <f t="shared" si="17"/>
        <v>0</v>
      </c>
    </row>
    <row r="293" spans="1:8">
      <c r="A293" s="6" t="s">
        <v>18</v>
      </c>
      <c r="B293" s="5">
        <v>1923231000</v>
      </c>
      <c r="C293" s="5">
        <v>1926765000</v>
      </c>
      <c r="D293" t="str">
        <f>VLOOKUP(A293,Лист2!A:E,5,0)</f>
        <v>малые</v>
      </c>
      <c r="E293">
        <f>VLOOKUP(A293,Лист2!A:E,4,0)</f>
        <v>2.5</v>
      </c>
      <c r="F293" s="12">
        <f t="shared" si="15"/>
        <v>-3534000</v>
      </c>
      <c r="G293">
        <f t="shared" si="16"/>
        <v>769292400</v>
      </c>
      <c r="H293">
        <f t="shared" si="17"/>
        <v>-1413600</v>
      </c>
    </row>
    <row r="294" spans="1:8">
      <c r="A294" s="6" t="s">
        <v>77</v>
      </c>
      <c r="B294" s="5">
        <v>14193000</v>
      </c>
      <c r="C294" s="5">
        <v>15366000</v>
      </c>
      <c r="D294" t="str">
        <f>VLOOKUP(A294,Лист2!A:E,5,0)</f>
        <v>малые</v>
      </c>
      <c r="E294">
        <f>VLOOKUP(A294,Лист2!A:E,4,0)</f>
        <v>8</v>
      </c>
      <c r="F294" s="12">
        <f t="shared" si="15"/>
        <v>-1173000</v>
      </c>
      <c r="G294">
        <f t="shared" si="16"/>
        <v>1774125</v>
      </c>
      <c r="H294">
        <f t="shared" si="17"/>
        <v>-146625</v>
      </c>
    </row>
    <row r="295" spans="1:8">
      <c r="A295" s="6" t="s">
        <v>18</v>
      </c>
      <c r="B295" s="5">
        <v>793000</v>
      </c>
      <c r="C295" s="5">
        <v>1348000</v>
      </c>
      <c r="D295" t="str">
        <f>VLOOKUP(A295,Лист2!A:E,5,0)</f>
        <v>малые</v>
      </c>
      <c r="E295">
        <f>VLOOKUP(A295,Лист2!A:E,4,0)</f>
        <v>2.5</v>
      </c>
      <c r="F295" s="12">
        <f t="shared" si="15"/>
        <v>-555000</v>
      </c>
      <c r="G295">
        <f t="shared" si="16"/>
        <v>317200</v>
      </c>
      <c r="H295">
        <f t="shared" si="17"/>
        <v>-222000</v>
      </c>
    </row>
    <row r="296" spans="1:8">
      <c r="A296" s="6" t="s">
        <v>18</v>
      </c>
      <c r="B296" s="5">
        <v>45000</v>
      </c>
      <c r="C296" s="5">
        <v>55000</v>
      </c>
      <c r="D296" t="str">
        <f>VLOOKUP(A296,Лист2!A:E,5,0)</f>
        <v>малые</v>
      </c>
      <c r="E296">
        <f>VLOOKUP(A296,Лист2!A:E,4,0)</f>
        <v>2.5</v>
      </c>
      <c r="F296" s="12">
        <f t="shared" si="15"/>
        <v>-10000</v>
      </c>
      <c r="G296">
        <f t="shared" si="16"/>
        <v>18000</v>
      </c>
      <c r="H296">
        <f t="shared" si="17"/>
        <v>-4000</v>
      </c>
    </row>
    <row r="297" spans="1:8">
      <c r="A297" s="6" t="s">
        <v>18</v>
      </c>
      <c r="B297" s="5">
        <v>9144000</v>
      </c>
      <c r="C297" s="5">
        <v>38536000</v>
      </c>
      <c r="D297" t="str">
        <f>VLOOKUP(A297,Лист2!A:E,5,0)</f>
        <v>малые</v>
      </c>
      <c r="E297">
        <f>VLOOKUP(A297,Лист2!A:E,4,0)</f>
        <v>2.5</v>
      </c>
      <c r="F297" s="12">
        <f t="shared" si="15"/>
        <v>-29392000</v>
      </c>
      <c r="G297">
        <f t="shared" si="16"/>
        <v>3657600</v>
      </c>
      <c r="H297">
        <f t="shared" si="17"/>
        <v>-11756800</v>
      </c>
    </row>
    <row r="298" spans="1:8">
      <c r="A298" s="6" t="s">
        <v>18</v>
      </c>
      <c r="B298" s="5">
        <v>5509000</v>
      </c>
      <c r="C298" s="5">
        <v>5525000</v>
      </c>
      <c r="D298" t="str">
        <f>VLOOKUP(A298,Лист2!A:E,5,0)</f>
        <v>малые</v>
      </c>
      <c r="E298">
        <f>VLOOKUP(A298,Лист2!A:E,4,0)</f>
        <v>2.5</v>
      </c>
      <c r="F298" s="12">
        <f t="shared" si="15"/>
        <v>-16000</v>
      </c>
      <c r="G298">
        <f t="shared" si="16"/>
        <v>2203600</v>
      </c>
      <c r="H298">
        <f t="shared" si="17"/>
        <v>-6400</v>
      </c>
    </row>
    <row r="299" spans="1:8">
      <c r="A299" s="6" t="s">
        <v>18</v>
      </c>
      <c r="B299" s="5">
        <v>130000</v>
      </c>
      <c r="C299" s="5">
        <v>739000</v>
      </c>
      <c r="D299" t="str">
        <f>VLOOKUP(A299,Лист2!A:E,5,0)</f>
        <v>малые</v>
      </c>
      <c r="E299">
        <f>VLOOKUP(A299,Лист2!A:E,4,0)</f>
        <v>2.5</v>
      </c>
      <c r="F299" s="12">
        <f t="shared" ref="F299:F344" si="18">B299-C299</f>
        <v>-609000</v>
      </c>
      <c r="G299">
        <f t="shared" ref="G299:G344" si="19">B299/E299</f>
        <v>52000</v>
      </c>
      <c r="H299">
        <f t="shared" ref="H299:H344" si="20">F299/E299</f>
        <v>-243600</v>
      </c>
    </row>
    <row r="300" spans="1:8">
      <c r="A300" s="6" t="s">
        <v>18</v>
      </c>
      <c r="B300" s="5">
        <v>74438000</v>
      </c>
      <c r="C300" s="5">
        <v>44744000</v>
      </c>
      <c r="D300" t="str">
        <f>VLOOKUP(A300,Лист2!A:E,5,0)</f>
        <v>малые</v>
      </c>
      <c r="E300">
        <f>VLOOKUP(A300,Лист2!A:E,4,0)</f>
        <v>2.5</v>
      </c>
      <c r="F300" s="12">
        <f t="shared" si="18"/>
        <v>29694000</v>
      </c>
      <c r="G300">
        <f t="shared" si="19"/>
        <v>29775200</v>
      </c>
      <c r="H300">
        <f t="shared" si="20"/>
        <v>11877600</v>
      </c>
    </row>
    <row r="301" spans="1:8">
      <c r="A301" s="6" t="s">
        <v>18</v>
      </c>
      <c r="B301" s="5">
        <v>710000</v>
      </c>
      <c r="C301" s="5">
        <v>1792000</v>
      </c>
      <c r="D301" t="str">
        <f>VLOOKUP(A301,Лист2!A:E,5,0)</f>
        <v>малые</v>
      </c>
      <c r="E301">
        <f>VLOOKUP(A301,Лист2!A:E,4,0)</f>
        <v>2.5</v>
      </c>
      <c r="F301" s="12">
        <f t="shared" si="18"/>
        <v>-1082000</v>
      </c>
      <c r="G301">
        <f t="shared" si="19"/>
        <v>284000</v>
      </c>
      <c r="H301">
        <f t="shared" si="20"/>
        <v>-432800</v>
      </c>
    </row>
    <row r="302" spans="1:8">
      <c r="A302" s="6" t="s">
        <v>18</v>
      </c>
      <c r="B302" s="5">
        <v>13416000</v>
      </c>
      <c r="C302" s="5">
        <v>11852000</v>
      </c>
      <c r="D302" t="str">
        <f>VLOOKUP(A302,Лист2!A:E,5,0)</f>
        <v>малые</v>
      </c>
      <c r="E302">
        <f>VLOOKUP(A302,Лист2!A:E,4,0)</f>
        <v>2.5</v>
      </c>
      <c r="F302" s="12">
        <f t="shared" si="18"/>
        <v>1564000</v>
      </c>
      <c r="G302">
        <f t="shared" si="19"/>
        <v>5366400</v>
      </c>
      <c r="H302">
        <f t="shared" si="20"/>
        <v>625600</v>
      </c>
    </row>
    <row r="303" spans="1:8">
      <c r="A303" s="6" t="s">
        <v>18</v>
      </c>
      <c r="B303" s="5">
        <v>2849000</v>
      </c>
      <c r="C303" s="5">
        <v>2903000</v>
      </c>
      <c r="D303" t="str">
        <f>VLOOKUP(A303,Лист2!A:E,5,0)</f>
        <v>малые</v>
      </c>
      <c r="E303">
        <f>VLOOKUP(A303,Лист2!A:E,4,0)</f>
        <v>2.5</v>
      </c>
      <c r="F303" s="12">
        <f t="shared" si="18"/>
        <v>-54000</v>
      </c>
      <c r="G303">
        <f t="shared" si="19"/>
        <v>1139600</v>
      </c>
      <c r="H303">
        <f t="shared" si="20"/>
        <v>-21600</v>
      </c>
    </row>
    <row r="304" spans="1:8">
      <c r="A304" s="6" t="s">
        <v>18</v>
      </c>
      <c r="B304" s="5">
        <v>35401000</v>
      </c>
      <c r="C304" s="5">
        <v>17519000</v>
      </c>
      <c r="D304" t="str">
        <f>VLOOKUP(A304,Лист2!A:E,5,0)</f>
        <v>малые</v>
      </c>
      <c r="E304">
        <f>VLOOKUP(A304,Лист2!A:E,4,0)</f>
        <v>2.5</v>
      </c>
      <c r="F304" s="12">
        <f t="shared" si="18"/>
        <v>17882000</v>
      </c>
      <c r="G304">
        <f t="shared" si="19"/>
        <v>14160400</v>
      </c>
      <c r="H304">
        <f t="shared" si="20"/>
        <v>7152800</v>
      </c>
    </row>
    <row r="305" spans="1:8">
      <c r="A305" s="6" t="s">
        <v>77</v>
      </c>
      <c r="B305" s="5">
        <v>281912000</v>
      </c>
      <c r="C305" s="5">
        <v>415979000</v>
      </c>
      <c r="D305" t="str">
        <f>VLOOKUP(A305,Лист2!A:E,5,0)</f>
        <v>малые</v>
      </c>
      <c r="E305">
        <f>VLOOKUP(A305,Лист2!A:E,4,0)</f>
        <v>8</v>
      </c>
      <c r="F305" s="12">
        <f t="shared" si="18"/>
        <v>-134067000</v>
      </c>
      <c r="G305">
        <f t="shared" si="19"/>
        <v>35239000</v>
      </c>
      <c r="H305">
        <f t="shared" si="20"/>
        <v>-16758375</v>
      </c>
    </row>
    <row r="306" spans="1:8">
      <c r="A306" s="6" t="s">
        <v>18</v>
      </c>
      <c r="B306" s="5">
        <v>20000</v>
      </c>
      <c r="C306" s="5">
        <v>33000</v>
      </c>
      <c r="D306" t="str">
        <f>VLOOKUP(A306,Лист2!A:E,5,0)</f>
        <v>малые</v>
      </c>
      <c r="E306">
        <f>VLOOKUP(A306,Лист2!A:E,4,0)</f>
        <v>2.5</v>
      </c>
      <c r="F306" s="12">
        <f t="shared" si="18"/>
        <v>-13000</v>
      </c>
      <c r="G306">
        <f t="shared" si="19"/>
        <v>8000</v>
      </c>
      <c r="H306">
        <f t="shared" si="20"/>
        <v>-5200</v>
      </c>
    </row>
    <row r="307" spans="1:8">
      <c r="A307" s="6" t="s">
        <v>18</v>
      </c>
      <c r="B307" s="5">
        <v>750000</v>
      </c>
      <c r="C307" s="5">
        <v>724000</v>
      </c>
      <c r="D307" t="str">
        <f>VLOOKUP(A307,Лист2!A:E,5,0)</f>
        <v>малые</v>
      </c>
      <c r="E307">
        <f>VLOOKUP(A307,Лист2!A:E,4,0)</f>
        <v>2.5</v>
      </c>
      <c r="F307" s="12">
        <f t="shared" si="18"/>
        <v>26000</v>
      </c>
      <c r="G307">
        <f t="shared" si="19"/>
        <v>300000</v>
      </c>
      <c r="H307">
        <f t="shared" si="20"/>
        <v>10400</v>
      </c>
    </row>
    <row r="308" spans="1:8">
      <c r="A308" s="6" t="s">
        <v>18</v>
      </c>
      <c r="B308" s="5">
        <v>21000000</v>
      </c>
      <c r="C308" s="5">
        <v>16452000</v>
      </c>
      <c r="D308" t="str">
        <f>VLOOKUP(A308,Лист2!A:E,5,0)</f>
        <v>малые</v>
      </c>
      <c r="E308">
        <f>VLOOKUP(A308,Лист2!A:E,4,0)</f>
        <v>2.5</v>
      </c>
      <c r="F308" s="12">
        <f t="shared" si="18"/>
        <v>4548000</v>
      </c>
      <c r="G308">
        <f t="shared" si="19"/>
        <v>8400000</v>
      </c>
      <c r="H308">
        <f t="shared" si="20"/>
        <v>1819200</v>
      </c>
    </row>
    <row r="309" spans="1:8">
      <c r="A309" s="6" t="s">
        <v>18</v>
      </c>
      <c r="B309" s="5">
        <v>14116000</v>
      </c>
      <c r="C309" s="5">
        <v>20822000</v>
      </c>
      <c r="D309" t="str">
        <f>VLOOKUP(A309,Лист2!A:E,5,0)</f>
        <v>малые</v>
      </c>
      <c r="E309">
        <f>VLOOKUP(A309,Лист2!A:E,4,0)</f>
        <v>2.5</v>
      </c>
      <c r="F309" s="12">
        <f t="shared" si="18"/>
        <v>-6706000</v>
      </c>
      <c r="G309">
        <f t="shared" si="19"/>
        <v>5646400</v>
      </c>
      <c r="H309">
        <f t="shared" si="20"/>
        <v>-2682400</v>
      </c>
    </row>
    <row r="310" spans="1:8">
      <c r="A310" s="6" t="s">
        <v>18</v>
      </c>
      <c r="B310" s="5">
        <v>86000</v>
      </c>
      <c r="C310" s="5">
        <v>86000</v>
      </c>
      <c r="D310" t="str">
        <f>VLOOKUP(A310,Лист2!A:E,5,0)</f>
        <v>малые</v>
      </c>
      <c r="E310">
        <f>VLOOKUP(A310,Лист2!A:E,4,0)</f>
        <v>2.5</v>
      </c>
      <c r="F310" s="12">
        <f t="shared" si="18"/>
        <v>0</v>
      </c>
      <c r="G310">
        <f t="shared" si="19"/>
        <v>34400</v>
      </c>
      <c r="H310">
        <f t="shared" si="20"/>
        <v>0</v>
      </c>
    </row>
    <row r="311" spans="1:8">
      <c r="A311" s="6" t="s">
        <v>18</v>
      </c>
      <c r="B311" s="5">
        <v>113853000</v>
      </c>
      <c r="C311" s="5">
        <v>114136000</v>
      </c>
      <c r="D311" t="str">
        <f>VLOOKUP(A311,Лист2!A:E,5,0)</f>
        <v>малые</v>
      </c>
      <c r="E311">
        <f>VLOOKUP(A311,Лист2!A:E,4,0)</f>
        <v>2.5</v>
      </c>
      <c r="F311" s="12">
        <f t="shared" si="18"/>
        <v>-283000</v>
      </c>
      <c r="G311">
        <f t="shared" si="19"/>
        <v>45541200</v>
      </c>
      <c r="H311">
        <f t="shared" si="20"/>
        <v>-113200</v>
      </c>
    </row>
    <row r="312" spans="1:8">
      <c r="A312" s="6" t="s">
        <v>18</v>
      </c>
      <c r="B312" s="5">
        <v>15469000</v>
      </c>
      <c r="C312" s="5">
        <v>26648000</v>
      </c>
      <c r="D312" t="str">
        <f>VLOOKUP(A312,Лист2!A:E,5,0)</f>
        <v>малые</v>
      </c>
      <c r="E312">
        <f>VLOOKUP(A312,Лист2!A:E,4,0)</f>
        <v>2.5</v>
      </c>
      <c r="F312" s="12">
        <f t="shared" si="18"/>
        <v>-11179000</v>
      </c>
      <c r="G312">
        <f t="shared" si="19"/>
        <v>6187600</v>
      </c>
      <c r="H312">
        <f t="shared" si="20"/>
        <v>-4471600</v>
      </c>
    </row>
    <row r="313" spans="1:8">
      <c r="A313" s="6" t="s">
        <v>18</v>
      </c>
      <c r="B313" s="5">
        <v>79715000</v>
      </c>
      <c r="C313" s="5">
        <v>79806000</v>
      </c>
      <c r="D313" t="str">
        <f>VLOOKUP(A313,Лист2!A:E,5,0)</f>
        <v>малые</v>
      </c>
      <c r="E313">
        <f>VLOOKUP(A313,Лист2!A:E,4,0)</f>
        <v>2.5</v>
      </c>
      <c r="F313" s="12">
        <f t="shared" si="18"/>
        <v>-91000</v>
      </c>
      <c r="G313">
        <f t="shared" si="19"/>
        <v>31886000</v>
      </c>
      <c r="H313">
        <f t="shared" si="20"/>
        <v>-36400</v>
      </c>
    </row>
    <row r="314" spans="1:8">
      <c r="A314" s="6" t="s">
        <v>18</v>
      </c>
      <c r="B314" s="5">
        <v>35483000</v>
      </c>
      <c r="C314" s="5">
        <v>37450000</v>
      </c>
      <c r="D314" t="str">
        <f>VLOOKUP(A314,Лист2!A:E,5,0)</f>
        <v>малые</v>
      </c>
      <c r="E314">
        <f>VLOOKUP(A314,Лист2!A:E,4,0)</f>
        <v>2.5</v>
      </c>
      <c r="F314" s="12">
        <f t="shared" si="18"/>
        <v>-1967000</v>
      </c>
      <c r="G314">
        <f t="shared" si="19"/>
        <v>14193200</v>
      </c>
      <c r="H314">
        <f t="shared" si="20"/>
        <v>-786800</v>
      </c>
    </row>
    <row r="315" spans="1:8">
      <c r="A315" s="6" t="s">
        <v>18</v>
      </c>
      <c r="B315" s="5">
        <v>2735000</v>
      </c>
      <c r="C315" s="5">
        <v>2714000</v>
      </c>
      <c r="D315" t="str">
        <f>VLOOKUP(A315,Лист2!A:E,5,0)</f>
        <v>малые</v>
      </c>
      <c r="E315">
        <f>VLOOKUP(A315,Лист2!A:E,4,0)</f>
        <v>2.5</v>
      </c>
      <c r="F315" s="12">
        <f t="shared" si="18"/>
        <v>21000</v>
      </c>
      <c r="G315">
        <f t="shared" si="19"/>
        <v>1094000</v>
      </c>
      <c r="H315">
        <f t="shared" si="20"/>
        <v>8400</v>
      </c>
    </row>
    <row r="316" spans="1:8">
      <c r="A316" s="6" t="s">
        <v>18</v>
      </c>
      <c r="B316" s="5">
        <v>106050000</v>
      </c>
      <c r="C316" s="5">
        <v>105576000</v>
      </c>
      <c r="D316" t="str">
        <f>VLOOKUP(A316,Лист2!A:E,5,0)</f>
        <v>малые</v>
      </c>
      <c r="E316">
        <f>VLOOKUP(A316,Лист2!A:E,4,0)</f>
        <v>2.5</v>
      </c>
      <c r="F316" s="12">
        <f t="shared" si="18"/>
        <v>474000</v>
      </c>
      <c r="G316">
        <f t="shared" si="19"/>
        <v>42420000</v>
      </c>
      <c r="H316">
        <f t="shared" si="20"/>
        <v>189600</v>
      </c>
    </row>
    <row r="317" spans="1:8">
      <c r="A317" s="6" t="s">
        <v>18</v>
      </c>
      <c r="B317" s="5">
        <v>381796000</v>
      </c>
      <c r="C317" s="5">
        <v>459402000</v>
      </c>
      <c r="D317" t="str">
        <f>VLOOKUP(A317,Лист2!A:E,5,0)</f>
        <v>малые</v>
      </c>
      <c r="E317">
        <f>VLOOKUP(A317,Лист2!A:E,4,0)</f>
        <v>2.5</v>
      </c>
      <c r="F317" s="12">
        <f t="shared" si="18"/>
        <v>-77606000</v>
      </c>
      <c r="G317">
        <f t="shared" si="19"/>
        <v>152718400</v>
      </c>
      <c r="H317">
        <f t="shared" si="20"/>
        <v>-31042400</v>
      </c>
    </row>
    <row r="318" spans="1:8">
      <c r="A318" s="6" t="s">
        <v>77</v>
      </c>
      <c r="B318" s="5">
        <v>636111000</v>
      </c>
      <c r="C318" s="5">
        <v>818631000</v>
      </c>
      <c r="D318" t="str">
        <f>VLOOKUP(A318,Лист2!A:E,5,0)</f>
        <v>малые</v>
      </c>
      <c r="E318">
        <f>VLOOKUP(A318,Лист2!A:E,4,0)</f>
        <v>8</v>
      </c>
      <c r="F318" s="12">
        <f t="shared" si="18"/>
        <v>-182520000</v>
      </c>
      <c r="G318">
        <f t="shared" si="19"/>
        <v>79513875</v>
      </c>
      <c r="H318">
        <f t="shared" si="20"/>
        <v>-22815000</v>
      </c>
    </row>
    <row r="319" spans="1:8">
      <c r="A319" s="6" t="s">
        <v>18</v>
      </c>
      <c r="B319" s="5">
        <v>7061000</v>
      </c>
      <c r="C319" s="5">
        <v>7085000</v>
      </c>
      <c r="D319" t="str">
        <f>VLOOKUP(A319,Лист2!A:E,5,0)</f>
        <v>малые</v>
      </c>
      <c r="E319">
        <f>VLOOKUP(A319,Лист2!A:E,4,0)</f>
        <v>2.5</v>
      </c>
      <c r="F319" s="12">
        <f t="shared" si="18"/>
        <v>-24000</v>
      </c>
      <c r="G319">
        <f t="shared" si="19"/>
        <v>2824400</v>
      </c>
      <c r="H319">
        <f t="shared" si="20"/>
        <v>-9600</v>
      </c>
    </row>
    <row r="320" spans="1:8">
      <c r="A320" s="6" t="s">
        <v>22</v>
      </c>
      <c r="B320" s="5">
        <v>210000</v>
      </c>
      <c r="C320" s="5">
        <v>35000000</v>
      </c>
      <c r="D320" t="str">
        <f>VLOOKUP(A320,Лист2!A:E,5,0)</f>
        <v>малые</v>
      </c>
      <c r="E320">
        <f>VLOOKUP(A320,Лист2!A:E,4,0)</f>
        <v>13</v>
      </c>
      <c r="F320" s="12">
        <f t="shared" si="18"/>
        <v>-34790000</v>
      </c>
      <c r="G320">
        <f t="shared" si="19"/>
        <v>16153.846153846154</v>
      </c>
      <c r="H320">
        <f t="shared" si="20"/>
        <v>-2676153.846153846</v>
      </c>
    </row>
    <row r="321" spans="1:8">
      <c r="A321" s="6" t="s">
        <v>77</v>
      </c>
      <c r="B321" s="5">
        <v>22148000</v>
      </c>
      <c r="C321" s="5">
        <v>11297000</v>
      </c>
      <c r="D321" t="str">
        <f>VLOOKUP(A321,Лист2!A:E,5,0)</f>
        <v>малые</v>
      </c>
      <c r="E321">
        <f>VLOOKUP(A321,Лист2!A:E,4,0)</f>
        <v>8</v>
      </c>
      <c r="F321" s="12">
        <f t="shared" si="18"/>
        <v>10851000</v>
      </c>
      <c r="G321">
        <f t="shared" si="19"/>
        <v>2768500</v>
      </c>
      <c r="H321">
        <f t="shared" si="20"/>
        <v>1356375</v>
      </c>
    </row>
    <row r="322" spans="1:8">
      <c r="A322" s="6" t="s">
        <v>18</v>
      </c>
      <c r="B322" s="5">
        <v>2257000</v>
      </c>
      <c r="C322" s="5">
        <v>2348000</v>
      </c>
      <c r="D322" t="str">
        <f>VLOOKUP(A322,Лист2!A:E,5,0)</f>
        <v>малые</v>
      </c>
      <c r="E322">
        <f>VLOOKUP(A322,Лист2!A:E,4,0)</f>
        <v>2.5</v>
      </c>
      <c r="F322" s="12">
        <f t="shared" si="18"/>
        <v>-91000</v>
      </c>
      <c r="G322">
        <f t="shared" si="19"/>
        <v>902800</v>
      </c>
      <c r="H322">
        <f t="shared" si="20"/>
        <v>-36400</v>
      </c>
    </row>
    <row r="323" spans="1:8">
      <c r="A323" s="6" t="s">
        <v>18</v>
      </c>
      <c r="B323" s="5">
        <v>30985000</v>
      </c>
      <c r="C323" s="5">
        <v>29941000</v>
      </c>
      <c r="D323" t="str">
        <f>VLOOKUP(A323,Лист2!A:E,5,0)</f>
        <v>малые</v>
      </c>
      <c r="E323">
        <f>VLOOKUP(A323,Лист2!A:E,4,0)</f>
        <v>2.5</v>
      </c>
      <c r="F323" s="12">
        <f t="shared" si="18"/>
        <v>1044000</v>
      </c>
      <c r="G323">
        <f t="shared" si="19"/>
        <v>12394000</v>
      </c>
      <c r="H323">
        <f t="shared" si="20"/>
        <v>417600</v>
      </c>
    </row>
    <row r="324" spans="1:8">
      <c r="A324" s="6" t="s">
        <v>18</v>
      </c>
      <c r="B324" s="5">
        <v>50000</v>
      </c>
      <c r="C324" s="5">
        <v>10000</v>
      </c>
      <c r="D324" t="str">
        <f>VLOOKUP(A324,Лист2!A:E,5,0)</f>
        <v>малые</v>
      </c>
      <c r="E324">
        <f>VLOOKUP(A324,Лист2!A:E,4,0)</f>
        <v>2.5</v>
      </c>
      <c r="F324" s="12">
        <f t="shared" si="18"/>
        <v>40000</v>
      </c>
      <c r="G324">
        <f t="shared" si="19"/>
        <v>20000</v>
      </c>
      <c r="H324">
        <f t="shared" si="20"/>
        <v>16000</v>
      </c>
    </row>
    <row r="325" spans="1:8">
      <c r="A325" s="6" t="s">
        <v>23</v>
      </c>
      <c r="B325" s="5">
        <v>149824000</v>
      </c>
      <c r="C325" s="5">
        <v>122410000</v>
      </c>
      <c r="D325" t="str">
        <f>VLOOKUP(A325,Лист2!A:E,5,0)</f>
        <v>средние</v>
      </c>
      <c r="E325">
        <f>VLOOKUP(A325,Лист2!A:E,4,0)</f>
        <v>75.5</v>
      </c>
      <c r="F325" s="12">
        <f t="shared" si="18"/>
        <v>27414000</v>
      </c>
      <c r="G325">
        <f t="shared" si="19"/>
        <v>1984423.8410596026</v>
      </c>
      <c r="H325">
        <f t="shared" si="20"/>
        <v>363099.33774834435</v>
      </c>
    </row>
    <row r="326" spans="1:8">
      <c r="A326" s="6" t="s">
        <v>18</v>
      </c>
      <c r="B326" s="5">
        <v>5863000</v>
      </c>
      <c r="C326" s="5">
        <v>5959000</v>
      </c>
      <c r="D326" t="str">
        <f>VLOOKUP(A326,Лист2!A:E,5,0)</f>
        <v>малые</v>
      </c>
      <c r="E326">
        <f>VLOOKUP(A326,Лист2!A:E,4,0)</f>
        <v>2.5</v>
      </c>
      <c r="F326" s="12">
        <f t="shared" si="18"/>
        <v>-96000</v>
      </c>
      <c r="G326">
        <f t="shared" si="19"/>
        <v>2345200</v>
      </c>
      <c r="H326">
        <f t="shared" si="20"/>
        <v>-38400</v>
      </c>
    </row>
    <row r="327" spans="1:8">
      <c r="A327" s="6" t="s">
        <v>18</v>
      </c>
      <c r="B327" s="5">
        <v>645000</v>
      </c>
      <c r="C327" s="5">
        <v>1042000</v>
      </c>
      <c r="D327" t="str">
        <f>VLOOKUP(A327,Лист2!A:E,5,0)</f>
        <v>малые</v>
      </c>
      <c r="E327">
        <f>VLOOKUP(A327,Лист2!A:E,4,0)</f>
        <v>2.5</v>
      </c>
      <c r="F327" s="12">
        <f t="shared" si="18"/>
        <v>-397000</v>
      </c>
      <c r="G327">
        <f t="shared" si="19"/>
        <v>258000</v>
      </c>
      <c r="H327">
        <f t="shared" si="20"/>
        <v>-158800</v>
      </c>
    </row>
    <row r="328" spans="1:8">
      <c r="A328" s="6" t="s">
        <v>18</v>
      </c>
      <c r="B328" s="5">
        <v>7503000</v>
      </c>
      <c r="C328" s="5">
        <v>10274000</v>
      </c>
      <c r="D328" t="str">
        <f>VLOOKUP(A328,Лист2!A:E,5,0)</f>
        <v>малые</v>
      </c>
      <c r="E328">
        <f>VLOOKUP(A328,Лист2!A:E,4,0)</f>
        <v>2.5</v>
      </c>
      <c r="F328" s="12">
        <f t="shared" si="18"/>
        <v>-2771000</v>
      </c>
      <c r="G328">
        <f t="shared" si="19"/>
        <v>3001200</v>
      </c>
      <c r="H328">
        <f t="shared" si="20"/>
        <v>-1108400</v>
      </c>
    </row>
    <row r="329" spans="1:8">
      <c r="A329" s="6" t="s">
        <v>22</v>
      </c>
      <c r="B329" s="5">
        <v>921553000</v>
      </c>
      <c r="C329" s="5">
        <v>941968000</v>
      </c>
      <c r="D329" t="str">
        <f>VLOOKUP(A329,Лист2!A:E,5,0)</f>
        <v>малые</v>
      </c>
      <c r="E329">
        <f>VLOOKUP(A329,Лист2!A:E,4,0)</f>
        <v>13</v>
      </c>
      <c r="F329" s="12">
        <f t="shared" si="18"/>
        <v>-20415000</v>
      </c>
      <c r="G329">
        <f t="shared" si="19"/>
        <v>70888692.307692304</v>
      </c>
      <c r="H329">
        <f t="shared" si="20"/>
        <v>-1570384.6153846155</v>
      </c>
    </row>
    <row r="330" spans="1:8">
      <c r="A330" s="6" t="s">
        <v>18</v>
      </c>
      <c r="B330" s="5">
        <v>2754000</v>
      </c>
      <c r="C330" s="5">
        <v>2765000</v>
      </c>
      <c r="D330" t="str">
        <f>VLOOKUP(A330,Лист2!A:E,5,0)</f>
        <v>малые</v>
      </c>
      <c r="E330">
        <f>VLOOKUP(A330,Лист2!A:E,4,0)</f>
        <v>2.5</v>
      </c>
      <c r="F330" s="12">
        <f t="shared" si="18"/>
        <v>-11000</v>
      </c>
      <c r="G330">
        <f t="shared" si="19"/>
        <v>1101600</v>
      </c>
      <c r="H330">
        <f t="shared" si="20"/>
        <v>-4400</v>
      </c>
    </row>
    <row r="331" spans="1:8">
      <c r="A331" s="6" t="s">
        <v>18</v>
      </c>
      <c r="B331" s="5">
        <v>1351000</v>
      </c>
      <c r="C331" s="5">
        <v>1494000</v>
      </c>
      <c r="D331" t="str">
        <f>VLOOKUP(A331,Лист2!A:E,5,0)</f>
        <v>малые</v>
      </c>
      <c r="E331">
        <f>VLOOKUP(A331,Лист2!A:E,4,0)</f>
        <v>2.5</v>
      </c>
      <c r="F331" s="12">
        <f t="shared" si="18"/>
        <v>-143000</v>
      </c>
      <c r="G331">
        <f t="shared" si="19"/>
        <v>540400</v>
      </c>
      <c r="H331">
        <f t="shared" si="20"/>
        <v>-57200</v>
      </c>
    </row>
    <row r="332" spans="1:8">
      <c r="A332" s="6" t="s">
        <v>22</v>
      </c>
      <c r="B332" s="5">
        <v>44657000</v>
      </c>
      <c r="C332" s="5">
        <v>44875000</v>
      </c>
      <c r="D332" t="str">
        <f>VLOOKUP(A332,Лист2!A:E,5,0)</f>
        <v>малые</v>
      </c>
      <c r="E332">
        <f>VLOOKUP(A332,Лист2!A:E,4,0)</f>
        <v>13</v>
      </c>
      <c r="F332" s="12">
        <f t="shared" si="18"/>
        <v>-218000</v>
      </c>
      <c r="G332">
        <f t="shared" si="19"/>
        <v>3435153.846153846</v>
      </c>
      <c r="H332">
        <f t="shared" si="20"/>
        <v>-16769.23076923077</v>
      </c>
    </row>
    <row r="333" spans="1:8">
      <c r="A333" s="6" t="s">
        <v>22</v>
      </c>
      <c r="B333" s="5">
        <v>16194000</v>
      </c>
      <c r="C333" s="5">
        <v>15966000</v>
      </c>
      <c r="D333" t="str">
        <f>VLOOKUP(A333,Лист2!A:E,5,0)</f>
        <v>малые</v>
      </c>
      <c r="E333">
        <f>VLOOKUP(A333,Лист2!A:E,4,0)</f>
        <v>13</v>
      </c>
      <c r="F333" s="12">
        <f t="shared" si="18"/>
        <v>228000</v>
      </c>
      <c r="G333">
        <f t="shared" si="19"/>
        <v>1245692.3076923077</v>
      </c>
      <c r="H333">
        <f t="shared" si="20"/>
        <v>17538.461538461539</v>
      </c>
    </row>
    <row r="334" spans="1:8">
      <c r="A334" s="6" t="s">
        <v>23</v>
      </c>
      <c r="B334" s="5">
        <v>36995000</v>
      </c>
      <c r="C334" s="5">
        <v>36880000</v>
      </c>
      <c r="D334" t="str">
        <f>VLOOKUP(A334,Лист2!A:E,5,0)</f>
        <v>средние</v>
      </c>
      <c r="E334">
        <f>VLOOKUP(A334,Лист2!A:E,4,0)</f>
        <v>75.5</v>
      </c>
      <c r="F334" s="12">
        <f t="shared" si="18"/>
        <v>115000</v>
      </c>
      <c r="G334">
        <f t="shared" si="19"/>
        <v>490000</v>
      </c>
      <c r="H334">
        <f t="shared" si="20"/>
        <v>1523.1788079470198</v>
      </c>
    </row>
    <row r="335" spans="1:8">
      <c r="A335" s="6" t="s">
        <v>18</v>
      </c>
      <c r="B335" s="5">
        <v>204203000</v>
      </c>
      <c r="C335" s="5">
        <v>139426000</v>
      </c>
      <c r="D335" t="str">
        <f>VLOOKUP(A335,Лист2!A:E,5,0)</f>
        <v>малые</v>
      </c>
      <c r="E335">
        <f>VLOOKUP(A335,Лист2!A:E,4,0)</f>
        <v>2.5</v>
      </c>
      <c r="F335" s="12">
        <f t="shared" si="18"/>
        <v>64777000</v>
      </c>
      <c r="G335">
        <f t="shared" si="19"/>
        <v>81681200</v>
      </c>
      <c r="H335">
        <f t="shared" si="20"/>
        <v>25910800</v>
      </c>
    </row>
    <row r="336" spans="1:8">
      <c r="A336" s="6" t="s">
        <v>18</v>
      </c>
      <c r="B336" s="5">
        <v>2313000</v>
      </c>
      <c r="C336" s="5">
        <v>2291000</v>
      </c>
      <c r="D336" t="str">
        <f>VLOOKUP(A336,Лист2!A:E,5,0)</f>
        <v>малые</v>
      </c>
      <c r="E336">
        <f>VLOOKUP(A336,Лист2!A:E,4,0)</f>
        <v>2.5</v>
      </c>
      <c r="F336" s="12">
        <f t="shared" si="18"/>
        <v>22000</v>
      </c>
      <c r="G336">
        <f t="shared" si="19"/>
        <v>925200</v>
      </c>
      <c r="H336">
        <f t="shared" si="20"/>
        <v>8800</v>
      </c>
    </row>
    <row r="337" spans="1:8">
      <c r="A337" s="6" t="s">
        <v>23</v>
      </c>
      <c r="B337" s="5">
        <v>10186000</v>
      </c>
      <c r="C337" s="5">
        <v>10727000</v>
      </c>
      <c r="D337" t="str">
        <f>VLOOKUP(A337,Лист2!A:E,5,0)</f>
        <v>средние</v>
      </c>
      <c r="E337">
        <f>VLOOKUP(A337,Лист2!A:E,4,0)</f>
        <v>75.5</v>
      </c>
      <c r="F337" s="12">
        <f t="shared" si="18"/>
        <v>-541000</v>
      </c>
      <c r="G337">
        <f t="shared" si="19"/>
        <v>134913.90728476821</v>
      </c>
      <c r="H337">
        <f t="shared" si="20"/>
        <v>-7165.5629139072844</v>
      </c>
    </row>
    <row r="338" spans="1:8">
      <c r="A338" s="6" t="s">
        <v>22</v>
      </c>
      <c r="B338" s="5">
        <v>114225000</v>
      </c>
      <c r="C338" s="5">
        <v>138495000</v>
      </c>
      <c r="D338" t="str">
        <f>VLOOKUP(A338,Лист2!A:E,5,0)</f>
        <v>малые</v>
      </c>
      <c r="E338">
        <f>VLOOKUP(A338,Лист2!A:E,4,0)</f>
        <v>13</v>
      </c>
      <c r="F338" s="12">
        <f t="shared" si="18"/>
        <v>-24270000</v>
      </c>
      <c r="G338">
        <f t="shared" si="19"/>
        <v>8786538.461538462</v>
      </c>
      <c r="H338">
        <f t="shared" si="20"/>
        <v>-1866923.076923077</v>
      </c>
    </row>
    <row r="339" spans="1:8">
      <c r="A339" s="6" t="s">
        <v>18</v>
      </c>
      <c r="B339" s="5">
        <v>16147000</v>
      </c>
      <c r="C339" s="5">
        <v>16514000</v>
      </c>
      <c r="D339" t="str">
        <f>VLOOKUP(A339,Лист2!A:E,5,0)</f>
        <v>малые</v>
      </c>
      <c r="E339">
        <f>VLOOKUP(A339,Лист2!A:E,4,0)</f>
        <v>2.5</v>
      </c>
      <c r="F339" s="12">
        <f t="shared" si="18"/>
        <v>-367000</v>
      </c>
      <c r="G339">
        <f t="shared" si="19"/>
        <v>6458800</v>
      </c>
      <c r="H339">
        <f t="shared" si="20"/>
        <v>-146800</v>
      </c>
    </row>
    <row r="340" spans="1:8">
      <c r="A340" s="6" t="s">
        <v>18</v>
      </c>
      <c r="B340" s="5">
        <v>25000</v>
      </c>
      <c r="C340" s="5">
        <v>37000</v>
      </c>
      <c r="D340" t="str">
        <f>VLOOKUP(A340,Лист2!A:E,5,0)</f>
        <v>малые</v>
      </c>
      <c r="E340">
        <f>VLOOKUP(A340,Лист2!A:E,4,0)</f>
        <v>2.5</v>
      </c>
      <c r="F340" s="12">
        <f t="shared" si="18"/>
        <v>-12000</v>
      </c>
      <c r="G340">
        <f t="shared" si="19"/>
        <v>10000</v>
      </c>
      <c r="H340">
        <f t="shared" si="20"/>
        <v>-4800</v>
      </c>
    </row>
    <row r="341" spans="1:8">
      <c r="A341" s="6" t="s">
        <v>18</v>
      </c>
      <c r="B341" s="5">
        <v>41050000</v>
      </c>
      <c r="C341" s="5">
        <v>41578000</v>
      </c>
      <c r="D341" t="str">
        <f>VLOOKUP(A341,Лист2!A:E,5,0)</f>
        <v>малые</v>
      </c>
      <c r="E341">
        <f>VLOOKUP(A341,Лист2!A:E,4,0)</f>
        <v>2.5</v>
      </c>
      <c r="F341" s="12">
        <f t="shared" si="18"/>
        <v>-528000</v>
      </c>
      <c r="G341">
        <f t="shared" si="19"/>
        <v>16420000</v>
      </c>
      <c r="H341">
        <f t="shared" si="20"/>
        <v>-211200</v>
      </c>
    </row>
    <row r="342" spans="1:8">
      <c r="A342" s="6" t="s">
        <v>18</v>
      </c>
      <c r="B342" s="5">
        <v>7920000</v>
      </c>
      <c r="C342" s="5">
        <v>3542000</v>
      </c>
      <c r="D342" t="str">
        <f>VLOOKUP(A342,Лист2!A:E,5,0)</f>
        <v>малые</v>
      </c>
      <c r="E342">
        <f>VLOOKUP(A342,Лист2!A:E,4,0)</f>
        <v>2.5</v>
      </c>
      <c r="F342" s="12">
        <f t="shared" si="18"/>
        <v>4378000</v>
      </c>
      <c r="G342">
        <f t="shared" si="19"/>
        <v>3168000</v>
      </c>
      <c r="H342">
        <f t="shared" si="20"/>
        <v>1751200</v>
      </c>
    </row>
    <row r="343" spans="1:8">
      <c r="A343" s="6" t="s">
        <v>18</v>
      </c>
      <c r="B343" s="5">
        <v>11899000</v>
      </c>
      <c r="C343" s="5">
        <v>12127000</v>
      </c>
      <c r="D343" t="str">
        <f>VLOOKUP(A343,Лист2!A:E,5,0)</f>
        <v>малые</v>
      </c>
      <c r="E343">
        <f>VLOOKUP(A343,Лист2!A:E,4,0)</f>
        <v>2.5</v>
      </c>
      <c r="F343" s="12">
        <f t="shared" si="18"/>
        <v>-228000</v>
      </c>
      <c r="G343">
        <f t="shared" si="19"/>
        <v>4759600</v>
      </c>
      <c r="H343">
        <f t="shared" si="20"/>
        <v>-91200</v>
      </c>
    </row>
    <row r="344" spans="1:8">
      <c r="A344" s="6" t="s">
        <v>22</v>
      </c>
      <c r="B344" s="5">
        <v>10544000</v>
      </c>
      <c r="C344" s="5">
        <v>9089000</v>
      </c>
      <c r="D344" t="str">
        <f>VLOOKUP(A344,Лист2!A:E,5,0)</f>
        <v>малые</v>
      </c>
      <c r="E344">
        <f>VLOOKUP(A344,Лист2!A:E,4,0)</f>
        <v>13</v>
      </c>
      <c r="F344" s="12">
        <f t="shared" si="18"/>
        <v>1455000</v>
      </c>
      <c r="G344">
        <f t="shared" si="19"/>
        <v>811076.92307692312</v>
      </c>
      <c r="H344">
        <f t="shared" si="20"/>
        <v>111923.07692307692</v>
      </c>
    </row>
    <row r="345" spans="1:8">
      <c r="A345" s="6" t="s">
        <v>22</v>
      </c>
      <c r="B345" s="5">
        <v>61298000</v>
      </c>
      <c r="C345" s="5">
        <v>58996000</v>
      </c>
      <c r="D345" t="str">
        <f>VLOOKUP(A345,Лист2!A:E,5,0)</f>
        <v>малые</v>
      </c>
      <c r="E345">
        <f>VLOOKUP(A345,Лист2!A:E,4,0)</f>
        <v>13</v>
      </c>
      <c r="F345" s="12">
        <f t="shared" ref="F345:F388" si="21">B345-C345</f>
        <v>2302000</v>
      </c>
      <c r="G345">
        <f t="shared" ref="G345:G388" si="22">B345/E345</f>
        <v>4715230.769230769</v>
      </c>
      <c r="H345">
        <f t="shared" ref="H345:H388" si="23">F345/E345</f>
        <v>177076.92307692306</v>
      </c>
    </row>
    <row r="346" spans="1:8">
      <c r="A346" s="6" t="s">
        <v>18</v>
      </c>
      <c r="B346" s="5">
        <v>19498000</v>
      </c>
      <c r="C346" s="5">
        <v>22071000</v>
      </c>
      <c r="D346" t="str">
        <f>VLOOKUP(A346,Лист2!A:E,5,0)</f>
        <v>малые</v>
      </c>
      <c r="E346">
        <f>VLOOKUP(A346,Лист2!A:E,4,0)</f>
        <v>2.5</v>
      </c>
      <c r="F346" s="12">
        <f t="shared" si="21"/>
        <v>-2573000</v>
      </c>
      <c r="G346">
        <f t="shared" si="22"/>
        <v>7799200</v>
      </c>
      <c r="H346">
        <f t="shared" si="23"/>
        <v>-1029200</v>
      </c>
    </row>
    <row r="347" spans="1:8">
      <c r="A347" s="6" t="s">
        <v>18</v>
      </c>
      <c r="B347" s="5">
        <v>5780000</v>
      </c>
      <c r="C347" s="5">
        <v>6473000</v>
      </c>
      <c r="D347" t="str">
        <f>VLOOKUP(A347,Лист2!A:E,5,0)</f>
        <v>малые</v>
      </c>
      <c r="E347">
        <f>VLOOKUP(A347,Лист2!A:E,4,0)</f>
        <v>2.5</v>
      </c>
      <c r="F347" s="12">
        <f t="shared" si="21"/>
        <v>-693000</v>
      </c>
      <c r="G347">
        <f t="shared" si="22"/>
        <v>2312000</v>
      </c>
      <c r="H347">
        <f t="shared" si="23"/>
        <v>-277200</v>
      </c>
    </row>
    <row r="348" spans="1:8">
      <c r="A348" s="6" t="s">
        <v>18</v>
      </c>
      <c r="B348" s="5">
        <v>664000</v>
      </c>
      <c r="C348" s="5">
        <v>673000</v>
      </c>
      <c r="D348" t="str">
        <f>VLOOKUP(A348,Лист2!A:E,5,0)</f>
        <v>малые</v>
      </c>
      <c r="E348">
        <f>VLOOKUP(A348,Лист2!A:E,4,0)</f>
        <v>2.5</v>
      </c>
      <c r="F348" s="12">
        <f t="shared" si="21"/>
        <v>-9000</v>
      </c>
      <c r="G348">
        <f t="shared" si="22"/>
        <v>265600</v>
      </c>
      <c r="H348">
        <f t="shared" si="23"/>
        <v>-3600</v>
      </c>
    </row>
    <row r="349" spans="1:8">
      <c r="A349" s="6" t="s">
        <v>77</v>
      </c>
      <c r="B349" s="5">
        <v>703793000</v>
      </c>
      <c r="C349" s="5">
        <v>468026000</v>
      </c>
      <c r="D349" t="str">
        <f>VLOOKUP(A349,Лист2!A:E,5,0)</f>
        <v>малые</v>
      </c>
      <c r="E349">
        <f>VLOOKUP(A349,Лист2!A:E,4,0)</f>
        <v>8</v>
      </c>
      <c r="F349" s="12">
        <f t="shared" si="21"/>
        <v>235767000</v>
      </c>
      <c r="G349">
        <f t="shared" si="22"/>
        <v>87974125</v>
      </c>
      <c r="H349">
        <f t="shared" si="23"/>
        <v>29470875</v>
      </c>
    </row>
    <row r="350" spans="1:8">
      <c r="A350" s="6" t="s">
        <v>22</v>
      </c>
      <c r="B350" s="5">
        <v>292451000</v>
      </c>
      <c r="C350" s="5">
        <v>354412000</v>
      </c>
      <c r="D350" t="str">
        <f>VLOOKUP(A350,Лист2!A:E,5,0)</f>
        <v>малые</v>
      </c>
      <c r="E350">
        <f>VLOOKUP(A350,Лист2!A:E,4,0)</f>
        <v>13</v>
      </c>
      <c r="F350" s="12">
        <f t="shared" si="21"/>
        <v>-61961000</v>
      </c>
      <c r="G350">
        <f t="shared" si="22"/>
        <v>22496230.769230768</v>
      </c>
      <c r="H350">
        <f t="shared" si="23"/>
        <v>-4766230.769230769</v>
      </c>
    </row>
    <row r="351" spans="1:8">
      <c r="A351" s="6" t="s">
        <v>22</v>
      </c>
      <c r="B351" s="5">
        <v>6566000</v>
      </c>
      <c r="C351" s="5">
        <v>6668000</v>
      </c>
      <c r="D351" t="str">
        <f>VLOOKUP(A351,Лист2!A:E,5,0)</f>
        <v>малые</v>
      </c>
      <c r="E351">
        <f>VLOOKUP(A351,Лист2!A:E,4,0)</f>
        <v>13</v>
      </c>
      <c r="F351" s="12">
        <f t="shared" si="21"/>
        <v>-102000</v>
      </c>
      <c r="G351">
        <f t="shared" si="22"/>
        <v>505076.92307692306</v>
      </c>
      <c r="H351">
        <f t="shared" si="23"/>
        <v>-7846.1538461538457</v>
      </c>
    </row>
    <row r="352" spans="1:8">
      <c r="A352" s="6" t="s">
        <v>22</v>
      </c>
      <c r="B352" s="5">
        <v>14550000</v>
      </c>
      <c r="C352" s="5">
        <v>15837000</v>
      </c>
      <c r="D352" t="str">
        <f>VLOOKUP(A352,Лист2!A:E,5,0)</f>
        <v>малые</v>
      </c>
      <c r="E352">
        <f>VLOOKUP(A352,Лист2!A:E,4,0)</f>
        <v>13</v>
      </c>
      <c r="F352" s="12">
        <f t="shared" si="21"/>
        <v>-1287000</v>
      </c>
      <c r="G352">
        <f t="shared" si="22"/>
        <v>1119230.7692307692</v>
      </c>
      <c r="H352">
        <f t="shared" si="23"/>
        <v>-99000</v>
      </c>
    </row>
    <row r="353" spans="1:8">
      <c r="A353" s="6" t="s">
        <v>77</v>
      </c>
      <c r="B353" s="5">
        <v>64637000</v>
      </c>
      <c r="C353" s="5">
        <v>85342000</v>
      </c>
      <c r="D353" t="str">
        <f>VLOOKUP(A353,Лист2!A:E,5,0)</f>
        <v>малые</v>
      </c>
      <c r="E353">
        <f>VLOOKUP(A353,Лист2!A:E,4,0)</f>
        <v>8</v>
      </c>
      <c r="F353" s="12">
        <f t="shared" si="21"/>
        <v>-20705000</v>
      </c>
      <c r="G353">
        <f t="shared" si="22"/>
        <v>8079625</v>
      </c>
      <c r="H353">
        <f t="shared" si="23"/>
        <v>-2588125</v>
      </c>
    </row>
    <row r="354" spans="1:8">
      <c r="A354" s="6" t="s">
        <v>22</v>
      </c>
      <c r="B354" s="5">
        <v>38436000</v>
      </c>
      <c r="C354" s="5">
        <v>37666000</v>
      </c>
      <c r="D354" t="str">
        <f>VLOOKUP(A354,Лист2!A:E,5,0)</f>
        <v>малые</v>
      </c>
      <c r="E354">
        <f>VLOOKUP(A354,Лист2!A:E,4,0)</f>
        <v>13</v>
      </c>
      <c r="F354" s="12">
        <f t="shared" si="21"/>
        <v>770000</v>
      </c>
      <c r="G354">
        <f t="shared" si="22"/>
        <v>2956615.3846153845</v>
      </c>
      <c r="H354">
        <f t="shared" si="23"/>
        <v>59230.769230769234</v>
      </c>
    </row>
    <row r="355" spans="1:8">
      <c r="A355" s="6" t="s">
        <v>18</v>
      </c>
      <c r="B355" s="5">
        <v>8110000</v>
      </c>
      <c r="C355" s="5">
        <v>8803000</v>
      </c>
      <c r="D355" t="str">
        <f>VLOOKUP(A355,Лист2!A:E,5,0)</f>
        <v>малые</v>
      </c>
      <c r="E355">
        <f>VLOOKUP(A355,Лист2!A:E,4,0)</f>
        <v>2.5</v>
      </c>
      <c r="F355" s="12">
        <f t="shared" si="21"/>
        <v>-693000</v>
      </c>
      <c r="G355">
        <f t="shared" si="22"/>
        <v>3244000</v>
      </c>
      <c r="H355">
        <f t="shared" si="23"/>
        <v>-277200</v>
      </c>
    </row>
    <row r="356" spans="1:8">
      <c r="A356" s="6" t="s">
        <v>18</v>
      </c>
      <c r="B356" s="5">
        <v>540000</v>
      </c>
      <c r="C356" s="5">
        <v>540000</v>
      </c>
      <c r="D356" t="str">
        <f>VLOOKUP(A356,Лист2!A:E,5,0)</f>
        <v>малые</v>
      </c>
      <c r="E356">
        <f>VLOOKUP(A356,Лист2!A:E,4,0)</f>
        <v>2.5</v>
      </c>
      <c r="F356" s="12">
        <f t="shared" si="21"/>
        <v>0</v>
      </c>
      <c r="G356">
        <f t="shared" si="22"/>
        <v>216000</v>
      </c>
      <c r="H356">
        <f t="shared" si="23"/>
        <v>0</v>
      </c>
    </row>
    <row r="357" spans="1:8">
      <c r="A357" s="6" t="s">
        <v>18</v>
      </c>
      <c r="B357" s="5">
        <v>1351000</v>
      </c>
      <c r="C357" s="5">
        <v>1337000</v>
      </c>
      <c r="D357" t="str">
        <f>VLOOKUP(A357,Лист2!A:E,5,0)</f>
        <v>малые</v>
      </c>
      <c r="E357">
        <f>VLOOKUP(A357,Лист2!A:E,4,0)</f>
        <v>2.5</v>
      </c>
      <c r="F357" s="12">
        <f t="shared" si="21"/>
        <v>14000</v>
      </c>
      <c r="G357">
        <f t="shared" si="22"/>
        <v>540400</v>
      </c>
      <c r="H357">
        <f t="shared" si="23"/>
        <v>5600</v>
      </c>
    </row>
    <row r="358" spans="1:8">
      <c r="A358" s="6" t="s">
        <v>18</v>
      </c>
      <c r="B358" s="5">
        <v>26941000</v>
      </c>
      <c r="C358" s="5">
        <v>11738000</v>
      </c>
      <c r="D358" t="str">
        <f>VLOOKUP(A358,Лист2!A:E,5,0)</f>
        <v>малые</v>
      </c>
      <c r="E358">
        <f>VLOOKUP(A358,Лист2!A:E,4,0)</f>
        <v>2.5</v>
      </c>
      <c r="F358" s="12">
        <f t="shared" si="21"/>
        <v>15203000</v>
      </c>
      <c r="G358">
        <f t="shared" si="22"/>
        <v>10776400</v>
      </c>
      <c r="H358">
        <f t="shared" si="23"/>
        <v>6081200</v>
      </c>
    </row>
    <row r="359" spans="1:8">
      <c r="A359" s="6" t="s">
        <v>18</v>
      </c>
      <c r="B359" s="5">
        <v>1699000</v>
      </c>
      <c r="C359" s="5">
        <v>1914000</v>
      </c>
      <c r="D359" t="str">
        <f>VLOOKUP(A359,Лист2!A:E,5,0)</f>
        <v>малые</v>
      </c>
      <c r="E359">
        <f>VLOOKUP(A359,Лист2!A:E,4,0)</f>
        <v>2.5</v>
      </c>
      <c r="F359" s="12">
        <f t="shared" si="21"/>
        <v>-215000</v>
      </c>
      <c r="G359">
        <f t="shared" si="22"/>
        <v>679600</v>
      </c>
      <c r="H359">
        <f t="shared" si="23"/>
        <v>-86000</v>
      </c>
    </row>
    <row r="360" spans="1:8">
      <c r="A360" s="6" t="s">
        <v>22</v>
      </c>
      <c r="B360" s="5">
        <v>69987000</v>
      </c>
      <c r="C360" s="5">
        <v>71678000</v>
      </c>
      <c r="D360" t="str">
        <f>VLOOKUP(A360,Лист2!A:E,5,0)</f>
        <v>малые</v>
      </c>
      <c r="E360">
        <f>VLOOKUP(A360,Лист2!A:E,4,0)</f>
        <v>13</v>
      </c>
      <c r="F360" s="12">
        <f t="shared" si="21"/>
        <v>-1691000</v>
      </c>
      <c r="G360">
        <f t="shared" si="22"/>
        <v>5383615.384615385</v>
      </c>
      <c r="H360">
        <f t="shared" si="23"/>
        <v>-130076.92307692308</v>
      </c>
    </row>
    <row r="361" spans="1:8">
      <c r="A361" s="6" t="s">
        <v>22</v>
      </c>
      <c r="B361" s="5">
        <v>216523000</v>
      </c>
      <c r="C361" s="5">
        <v>165237000</v>
      </c>
      <c r="D361" t="str">
        <f>VLOOKUP(A361,Лист2!A:E,5,0)</f>
        <v>малые</v>
      </c>
      <c r="E361">
        <f>VLOOKUP(A361,Лист2!A:E,4,0)</f>
        <v>13</v>
      </c>
      <c r="F361" s="12">
        <f t="shared" si="21"/>
        <v>51286000</v>
      </c>
      <c r="G361">
        <f t="shared" si="22"/>
        <v>16655615.384615384</v>
      </c>
      <c r="H361">
        <f t="shared" si="23"/>
        <v>3945076.923076923</v>
      </c>
    </row>
    <row r="362" spans="1:8">
      <c r="A362" s="6" t="s">
        <v>18</v>
      </c>
      <c r="B362" s="5">
        <v>171000</v>
      </c>
      <c r="C362" s="5">
        <v>152000</v>
      </c>
      <c r="D362" t="str">
        <f>VLOOKUP(A362,Лист2!A:E,5,0)</f>
        <v>малые</v>
      </c>
      <c r="E362">
        <f>VLOOKUP(A362,Лист2!A:E,4,0)</f>
        <v>2.5</v>
      </c>
      <c r="F362" s="12">
        <f t="shared" si="21"/>
        <v>19000</v>
      </c>
      <c r="G362">
        <f t="shared" si="22"/>
        <v>68400</v>
      </c>
      <c r="H362">
        <f t="shared" si="23"/>
        <v>7600</v>
      </c>
    </row>
    <row r="363" spans="1:8">
      <c r="A363" s="6" t="s">
        <v>18</v>
      </c>
      <c r="B363" s="5">
        <v>15035000</v>
      </c>
      <c r="C363" s="5">
        <v>23060000</v>
      </c>
      <c r="D363" t="str">
        <f>VLOOKUP(A363,Лист2!A:E,5,0)</f>
        <v>малые</v>
      </c>
      <c r="E363">
        <f>VLOOKUP(A363,Лист2!A:E,4,0)</f>
        <v>2.5</v>
      </c>
      <c r="F363" s="12">
        <f t="shared" si="21"/>
        <v>-8025000</v>
      </c>
      <c r="G363">
        <f t="shared" si="22"/>
        <v>6014000</v>
      </c>
      <c r="H363">
        <f t="shared" si="23"/>
        <v>-3210000</v>
      </c>
    </row>
    <row r="364" spans="1:8">
      <c r="A364" s="6" t="s">
        <v>18</v>
      </c>
      <c r="B364" s="5">
        <v>200000000</v>
      </c>
      <c r="C364" s="5">
        <v>42240000</v>
      </c>
      <c r="D364" t="str">
        <f>VLOOKUP(A364,Лист2!A:E,5,0)</f>
        <v>малые</v>
      </c>
      <c r="E364">
        <f>VLOOKUP(A364,Лист2!A:E,4,0)</f>
        <v>2.5</v>
      </c>
      <c r="F364" s="12">
        <f t="shared" si="21"/>
        <v>157760000</v>
      </c>
      <c r="G364">
        <f t="shared" si="22"/>
        <v>80000000</v>
      </c>
      <c r="H364">
        <f t="shared" si="23"/>
        <v>63104000</v>
      </c>
    </row>
    <row r="365" spans="1:8">
      <c r="A365" s="6" t="s">
        <v>18</v>
      </c>
      <c r="B365" s="5">
        <v>87000</v>
      </c>
      <c r="C365" s="5">
        <v>39000</v>
      </c>
      <c r="D365" t="str">
        <f>VLOOKUP(A365,Лист2!A:E,5,0)</f>
        <v>малые</v>
      </c>
      <c r="E365">
        <f>VLOOKUP(A365,Лист2!A:E,4,0)</f>
        <v>2.5</v>
      </c>
      <c r="F365" s="12">
        <f t="shared" si="21"/>
        <v>48000</v>
      </c>
      <c r="G365">
        <f t="shared" si="22"/>
        <v>34800</v>
      </c>
      <c r="H365">
        <f t="shared" si="23"/>
        <v>19200</v>
      </c>
    </row>
    <row r="366" spans="1:8">
      <c r="A366" s="6" t="s">
        <v>18</v>
      </c>
      <c r="B366" s="5">
        <v>7122000</v>
      </c>
      <c r="C366" s="5">
        <v>7214000</v>
      </c>
      <c r="D366" t="str">
        <f>VLOOKUP(A366,Лист2!A:E,5,0)</f>
        <v>малые</v>
      </c>
      <c r="E366">
        <f>VLOOKUP(A366,Лист2!A:E,4,0)</f>
        <v>2.5</v>
      </c>
      <c r="F366" s="12">
        <f t="shared" si="21"/>
        <v>-92000</v>
      </c>
      <c r="G366">
        <f t="shared" si="22"/>
        <v>2848800</v>
      </c>
      <c r="H366">
        <f t="shared" si="23"/>
        <v>-36800</v>
      </c>
    </row>
    <row r="367" spans="1:8">
      <c r="A367" s="6" t="s">
        <v>18</v>
      </c>
      <c r="B367" s="5">
        <v>2069000</v>
      </c>
      <c r="C367" s="5">
        <v>1662000</v>
      </c>
      <c r="D367" t="str">
        <f>VLOOKUP(A367,Лист2!A:E,5,0)</f>
        <v>малые</v>
      </c>
      <c r="E367">
        <f>VLOOKUP(A367,Лист2!A:E,4,0)</f>
        <v>2.5</v>
      </c>
      <c r="F367" s="12">
        <f t="shared" si="21"/>
        <v>407000</v>
      </c>
      <c r="G367">
        <f t="shared" si="22"/>
        <v>827600</v>
      </c>
      <c r="H367">
        <f t="shared" si="23"/>
        <v>162800</v>
      </c>
    </row>
    <row r="368" spans="1:8">
      <c r="A368" s="6" t="s">
        <v>807</v>
      </c>
      <c r="B368" s="5">
        <v>210174000</v>
      </c>
      <c r="C368" s="5">
        <v>209771000</v>
      </c>
      <c r="D368" t="str">
        <f>VLOOKUP(A368,Лист2!A:E,5,0)</f>
        <v>средние</v>
      </c>
      <c r="E368">
        <f>VLOOKUP(A368,Лист2!A:E,4,0)</f>
        <v>175.5</v>
      </c>
      <c r="F368" s="12">
        <f t="shared" si="21"/>
        <v>403000</v>
      </c>
      <c r="G368">
        <f t="shared" si="22"/>
        <v>1197572.6495726495</v>
      </c>
      <c r="H368">
        <f t="shared" si="23"/>
        <v>2296.2962962962961</v>
      </c>
    </row>
    <row r="369" spans="1:8">
      <c r="A369" s="6" t="s">
        <v>18</v>
      </c>
      <c r="B369" s="5">
        <v>34254000</v>
      </c>
      <c r="C369" s="5">
        <v>30749000</v>
      </c>
      <c r="D369" t="str">
        <f>VLOOKUP(A369,Лист2!A:E,5,0)</f>
        <v>малые</v>
      </c>
      <c r="E369">
        <f>VLOOKUP(A369,Лист2!A:E,4,0)</f>
        <v>2.5</v>
      </c>
      <c r="F369" s="12">
        <f t="shared" si="21"/>
        <v>3505000</v>
      </c>
      <c r="G369">
        <f t="shared" si="22"/>
        <v>13701600</v>
      </c>
      <c r="H369">
        <f t="shared" si="23"/>
        <v>1402000</v>
      </c>
    </row>
    <row r="370" spans="1:8">
      <c r="A370" s="6" t="s">
        <v>18</v>
      </c>
      <c r="B370" s="5">
        <v>1928000</v>
      </c>
      <c r="C370" s="5">
        <v>1983000</v>
      </c>
      <c r="D370" t="str">
        <f>VLOOKUP(A370,Лист2!A:E,5,0)</f>
        <v>малые</v>
      </c>
      <c r="E370">
        <f>VLOOKUP(A370,Лист2!A:E,4,0)</f>
        <v>2.5</v>
      </c>
      <c r="F370" s="12">
        <f t="shared" si="21"/>
        <v>-55000</v>
      </c>
      <c r="G370">
        <f t="shared" si="22"/>
        <v>771200</v>
      </c>
      <c r="H370">
        <f t="shared" si="23"/>
        <v>-22000</v>
      </c>
    </row>
    <row r="371" spans="1:8">
      <c r="A371" s="6" t="s">
        <v>18</v>
      </c>
      <c r="B371" s="5">
        <v>7758000</v>
      </c>
      <c r="C371" s="5">
        <v>6147000</v>
      </c>
      <c r="D371" t="str">
        <f>VLOOKUP(A371,Лист2!A:E,5,0)</f>
        <v>малые</v>
      </c>
      <c r="E371">
        <f>VLOOKUP(A371,Лист2!A:E,4,0)</f>
        <v>2.5</v>
      </c>
      <c r="F371" s="12">
        <f t="shared" si="21"/>
        <v>1611000</v>
      </c>
      <c r="G371">
        <f t="shared" si="22"/>
        <v>3103200</v>
      </c>
      <c r="H371">
        <f t="shared" si="23"/>
        <v>644400</v>
      </c>
    </row>
    <row r="372" spans="1:8">
      <c r="A372" s="6" t="s">
        <v>77</v>
      </c>
      <c r="B372" s="5">
        <v>411626000</v>
      </c>
      <c r="C372" s="5">
        <v>296732000</v>
      </c>
      <c r="D372" t="str">
        <f>VLOOKUP(A372,Лист2!A:E,5,0)</f>
        <v>малые</v>
      </c>
      <c r="E372">
        <f>VLOOKUP(A372,Лист2!A:E,4,0)</f>
        <v>8</v>
      </c>
      <c r="F372" s="12">
        <f t="shared" si="21"/>
        <v>114894000</v>
      </c>
      <c r="G372">
        <f t="shared" si="22"/>
        <v>51453250</v>
      </c>
      <c r="H372">
        <f t="shared" si="23"/>
        <v>14361750</v>
      </c>
    </row>
    <row r="373" spans="1:8">
      <c r="A373" s="6" t="s">
        <v>18</v>
      </c>
      <c r="B373" s="5">
        <v>5230000</v>
      </c>
      <c r="C373" s="5">
        <v>2311000</v>
      </c>
      <c r="D373" t="str">
        <f>VLOOKUP(A373,Лист2!A:E,5,0)</f>
        <v>малые</v>
      </c>
      <c r="E373">
        <f>VLOOKUP(A373,Лист2!A:E,4,0)</f>
        <v>2.5</v>
      </c>
      <c r="F373" s="12">
        <f t="shared" si="21"/>
        <v>2919000</v>
      </c>
      <c r="G373">
        <f t="shared" si="22"/>
        <v>2092000</v>
      </c>
      <c r="H373">
        <f t="shared" si="23"/>
        <v>1167600</v>
      </c>
    </row>
    <row r="374" spans="1:8">
      <c r="A374" s="6" t="s">
        <v>18</v>
      </c>
      <c r="B374" s="5">
        <v>543633000</v>
      </c>
      <c r="C374" s="5">
        <v>606984000</v>
      </c>
      <c r="D374" t="str">
        <f>VLOOKUP(A374,Лист2!A:E,5,0)</f>
        <v>малые</v>
      </c>
      <c r="E374">
        <f>VLOOKUP(A374,Лист2!A:E,4,0)</f>
        <v>2.5</v>
      </c>
      <c r="F374" s="12">
        <f t="shared" si="21"/>
        <v>-63351000</v>
      </c>
      <c r="G374">
        <f t="shared" si="22"/>
        <v>217453200</v>
      </c>
      <c r="H374">
        <f t="shared" si="23"/>
        <v>-25340400</v>
      </c>
    </row>
    <row r="375" spans="1:8">
      <c r="A375" s="6" t="s">
        <v>18</v>
      </c>
      <c r="B375" s="5">
        <v>1143000</v>
      </c>
      <c r="C375" s="5">
        <v>1757000</v>
      </c>
      <c r="D375" t="str">
        <f>VLOOKUP(A375,Лист2!A:E,5,0)</f>
        <v>малые</v>
      </c>
      <c r="E375">
        <f>VLOOKUP(A375,Лист2!A:E,4,0)</f>
        <v>2.5</v>
      </c>
      <c r="F375" s="12">
        <f t="shared" si="21"/>
        <v>-614000</v>
      </c>
      <c r="G375">
        <f t="shared" si="22"/>
        <v>457200</v>
      </c>
      <c r="H375">
        <f t="shared" si="23"/>
        <v>-245600</v>
      </c>
    </row>
    <row r="376" spans="1:8">
      <c r="A376" s="6" t="s">
        <v>18</v>
      </c>
      <c r="B376" s="5">
        <v>12642000</v>
      </c>
      <c r="C376" s="5">
        <v>5474000</v>
      </c>
      <c r="D376" t="str">
        <f>VLOOKUP(A376,Лист2!A:E,5,0)</f>
        <v>малые</v>
      </c>
      <c r="E376">
        <f>VLOOKUP(A376,Лист2!A:E,4,0)</f>
        <v>2.5</v>
      </c>
      <c r="F376" s="12">
        <f t="shared" si="21"/>
        <v>7168000</v>
      </c>
      <c r="G376">
        <f t="shared" si="22"/>
        <v>5056800</v>
      </c>
      <c r="H376">
        <f t="shared" si="23"/>
        <v>2867200</v>
      </c>
    </row>
    <row r="377" spans="1:8">
      <c r="A377" t="s">
        <v>18</v>
      </c>
      <c r="B377">
        <v>1030000</v>
      </c>
      <c r="C377">
        <v>1311000</v>
      </c>
      <c r="D377" t="str">
        <f>VLOOKUP(A377,Лист2!A:E,5,0)</f>
        <v>малые</v>
      </c>
      <c r="E377">
        <f>VLOOKUP(A377,Лист2!A:E,4,0)</f>
        <v>2.5</v>
      </c>
      <c r="F377" s="12">
        <f t="shared" si="21"/>
        <v>-281000</v>
      </c>
      <c r="G377">
        <f t="shared" si="22"/>
        <v>412000</v>
      </c>
      <c r="H377">
        <f t="shared" si="23"/>
        <v>-112400</v>
      </c>
    </row>
    <row r="378" spans="1:8">
      <c r="A378" t="s">
        <v>18</v>
      </c>
      <c r="B378">
        <v>10390000</v>
      </c>
      <c r="C378">
        <v>8681000</v>
      </c>
      <c r="D378" t="str">
        <f>VLOOKUP(A378,Лист2!A:E,5,0)</f>
        <v>малые</v>
      </c>
      <c r="E378">
        <f>VLOOKUP(A378,Лист2!A:E,4,0)</f>
        <v>2.5</v>
      </c>
      <c r="F378" s="12">
        <f t="shared" si="21"/>
        <v>1709000</v>
      </c>
      <c r="G378">
        <f t="shared" si="22"/>
        <v>4156000</v>
      </c>
      <c r="H378">
        <f t="shared" si="23"/>
        <v>683600</v>
      </c>
    </row>
    <row r="379" spans="1:8">
      <c r="A379" t="s">
        <v>18</v>
      </c>
      <c r="B379">
        <v>436000</v>
      </c>
      <c r="C379">
        <v>428000</v>
      </c>
      <c r="D379" t="str">
        <f>VLOOKUP(A379,Лист2!A:E,5,0)</f>
        <v>малые</v>
      </c>
      <c r="E379">
        <f>VLOOKUP(A379,Лист2!A:E,4,0)</f>
        <v>2.5</v>
      </c>
      <c r="F379" s="12">
        <f t="shared" si="21"/>
        <v>8000</v>
      </c>
      <c r="G379">
        <f t="shared" si="22"/>
        <v>174400</v>
      </c>
      <c r="H379">
        <f t="shared" si="23"/>
        <v>3200</v>
      </c>
    </row>
    <row r="380" spans="1:8">
      <c r="A380" t="s">
        <v>22</v>
      </c>
      <c r="B380">
        <v>7245000</v>
      </c>
      <c r="C380">
        <v>6065000</v>
      </c>
      <c r="D380" t="str">
        <f>VLOOKUP(A380,Лист2!A:E,5,0)</f>
        <v>малые</v>
      </c>
      <c r="E380">
        <f>VLOOKUP(A380,Лист2!A:E,4,0)</f>
        <v>13</v>
      </c>
      <c r="F380" s="12">
        <f t="shared" si="21"/>
        <v>1180000</v>
      </c>
      <c r="G380">
        <f t="shared" si="22"/>
        <v>557307.69230769225</v>
      </c>
      <c r="H380">
        <f t="shared" si="23"/>
        <v>90769.230769230766</v>
      </c>
    </row>
    <row r="381" spans="1:8">
      <c r="A381" t="s">
        <v>18</v>
      </c>
      <c r="B381">
        <v>1779000</v>
      </c>
      <c r="C381">
        <v>2017000</v>
      </c>
      <c r="D381" t="str">
        <f>VLOOKUP(A381,Лист2!A:E,5,0)</f>
        <v>малые</v>
      </c>
      <c r="E381">
        <f>VLOOKUP(A381,Лист2!A:E,4,0)</f>
        <v>2.5</v>
      </c>
      <c r="F381" s="12">
        <f t="shared" si="21"/>
        <v>-238000</v>
      </c>
      <c r="G381">
        <f t="shared" si="22"/>
        <v>711600</v>
      </c>
      <c r="H381">
        <f t="shared" si="23"/>
        <v>-95200</v>
      </c>
    </row>
    <row r="382" spans="1:8">
      <c r="A382" t="s">
        <v>22</v>
      </c>
      <c r="B382">
        <v>349895000</v>
      </c>
      <c r="C382">
        <v>352614000</v>
      </c>
      <c r="D382" t="str">
        <f>VLOOKUP(A382,Лист2!A:E,5,0)</f>
        <v>малые</v>
      </c>
      <c r="E382">
        <f>VLOOKUP(A382,Лист2!A:E,4,0)</f>
        <v>13</v>
      </c>
      <c r="F382" s="12">
        <f t="shared" si="21"/>
        <v>-2719000</v>
      </c>
      <c r="G382">
        <f t="shared" si="22"/>
        <v>26915000</v>
      </c>
      <c r="H382">
        <f t="shared" si="23"/>
        <v>-209153.84615384616</v>
      </c>
    </row>
    <row r="383" spans="1:8">
      <c r="A383" t="s">
        <v>18</v>
      </c>
      <c r="B383">
        <v>4000000</v>
      </c>
      <c r="C383">
        <v>4328000</v>
      </c>
      <c r="D383" t="str">
        <f>VLOOKUP(A383,Лист2!A:E,5,0)</f>
        <v>малые</v>
      </c>
      <c r="E383">
        <f>VLOOKUP(A383,Лист2!A:E,4,0)</f>
        <v>2.5</v>
      </c>
      <c r="F383" s="12">
        <f t="shared" si="21"/>
        <v>-328000</v>
      </c>
      <c r="G383">
        <f t="shared" si="22"/>
        <v>1600000</v>
      </c>
      <c r="H383">
        <f t="shared" si="23"/>
        <v>-131200</v>
      </c>
    </row>
    <row r="384" spans="1:8">
      <c r="A384" t="s">
        <v>18</v>
      </c>
      <c r="B384">
        <v>1100000</v>
      </c>
      <c r="C384">
        <v>1100000</v>
      </c>
      <c r="D384" t="str">
        <f>VLOOKUP(A384,Лист2!A:E,5,0)</f>
        <v>малые</v>
      </c>
      <c r="E384">
        <f>VLOOKUP(A384,Лист2!A:E,4,0)</f>
        <v>2.5</v>
      </c>
      <c r="F384" s="12">
        <f t="shared" si="21"/>
        <v>0</v>
      </c>
      <c r="G384">
        <f t="shared" si="22"/>
        <v>440000</v>
      </c>
      <c r="H384">
        <f t="shared" si="23"/>
        <v>0</v>
      </c>
    </row>
    <row r="385" spans="1:8">
      <c r="A385" t="s">
        <v>18</v>
      </c>
      <c r="B385">
        <v>18501000</v>
      </c>
      <c r="C385">
        <v>18453000</v>
      </c>
      <c r="D385" t="str">
        <f>VLOOKUP(A385,Лист2!A:E,5,0)</f>
        <v>малые</v>
      </c>
      <c r="E385">
        <f>VLOOKUP(A385,Лист2!A:E,4,0)</f>
        <v>2.5</v>
      </c>
      <c r="F385" s="12">
        <f t="shared" si="21"/>
        <v>48000</v>
      </c>
      <c r="G385">
        <f t="shared" si="22"/>
        <v>7400400</v>
      </c>
      <c r="H385">
        <f t="shared" si="23"/>
        <v>19200</v>
      </c>
    </row>
    <row r="386" spans="1:8">
      <c r="A386" t="s">
        <v>18</v>
      </c>
      <c r="B386">
        <v>143662000</v>
      </c>
      <c r="C386">
        <v>145571000</v>
      </c>
      <c r="D386" t="str">
        <f>VLOOKUP(A386,Лист2!A:E,5,0)</f>
        <v>малые</v>
      </c>
      <c r="E386">
        <f>VLOOKUP(A386,Лист2!A:E,4,0)</f>
        <v>2.5</v>
      </c>
      <c r="F386" s="12">
        <f t="shared" si="21"/>
        <v>-1909000</v>
      </c>
      <c r="G386">
        <f t="shared" si="22"/>
        <v>57464800</v>
      </c>
      <c r="H386">
        <f t="shared" si="23"/>
        <v>-763600</v>
      </c>
    </row>
    <row r="387" spans="1:8">
      <c r="A387" t="s">
        <v>18</v>
      </c>
      <c r="B387">
        <v>894000</v>
      </c>
      <c r="C387">
        <v>670000</v>
      </c>
      <c r="D387" t="str">
        <f>VLOOKUP(A387,Лист2!A:E,5,0)</f>
        <v>малые</v>
      </c>
      <c r="E387">
        <f>VLOOKUP(A387,Лист2!A:E,4,0)</f>
        <v>2.5</v>
      </c>
      <c r="F387" s="12">
        <f t="shared" si="21"/>
        <v>224000</v>
      </c>
      <c r="G387">
        <f t="shared" si="22"/>
        <v>357600</v>
      </c>
      <c r="H387">
        <f t="shared" si="23"/>
        <v>89600</v>
      </c>
    </row>
    <row r="388" spans="1:8">
      <c r="A388" t="s">
        <v>18</v>
      </c>
      <c r="B388">
        <v>1502000</v>
      </c>
      <c r="C388">
        <v>1441000</v>
      </c>
      <c r="D388" t="str">
        <f>VLOOKUP(A388,Лист2!A:E,5,0)</f>
        <v>малые</v>
      </c>
      <c r="E388">
        <f>VLOOKUP(A388,Лист2!A:E,4,0)</f>
        <v>2.5</v>
      </c>
      <c r="F388" s="12">
        <f t="shared" si="21"/>
        <v>61000</v>
      </c>
      <c r="G388">
        <f t="shared" si="22"/>
        <v>600800</v>
      </c>
      <c r="H388">
        <f t="shared" si="23"/>
        <v>24400</v>
      </c>
    </row>
    <row r="389" spans="1:8">
      <c r="A389" t="s">
        <v>18</v>
      </c>
      <c r="B389">
        <v>17936000</v>
      </c>
      <c r="C389">
        <v>17591000</v>
      </c>
      <c r="D389" t="str">
        <f>VLOOKUP(A389,Лист2!A:E,5,0)</f>
        <v>малые</v>
      </c>
      <c r="E389">
        <f>VLOOKUP(A389,Лист2!A:E,4,0)</f>
        <v>2.5</v>
      </c>
      <c r="F389" s="12">
        <f t="shared" ref="F389:F431" si="24">B389-C389</f>
        <v>345000</v>
      </c>
      <c r="G389">
        <f t="shared" ref="G389:G431" si="25">B389/E389</f>
        <v>7174400</v>
      </c>
      <c r="H389">
        <f t="shared" ref="H389:H431" si="26">F389/E389</f>
        <v>138000</v>
      </c>
    </row>
    <row r="390" spans="1:8">
      <c r="A390" t="s">
        <v>18</v>
      </c>
      <c r="B390">
        <v>130383000</v>
      </c>
      <c r="C390">
        <v>82391000</v>
      </c>
      <c r="D390" t="str">
        <f>VLOOKUP(A390,Лист2!A:E,5,0)</f>
        <v>малые</v>
      </c>
      <c r="E390">
        <f>VLOOKUP(A390,Лист2!A:E,4,0)</f>
        <v>2.5</v>
      </c>
      <c r="F390" s="12">
        <f t="shared" si="24"/>
        <v>47992000</v>
      </c>
      <c r="G390">
        <f t="shared" si="25"/>
        <v>52153200</v>
      </c>
      <c r="H390">
        <f t="shared" si="26"/>
        <v>19196800</v>
      </c>
    </row>
    <row r="391" spans="1:8">
      <c r="A391" t="s">
        <v>18</v>
      </c>
      <c r="B391">
        <v>1645000</v>
      </c>
      <c r="C391">
        <v>1737000</v>
      </c>
      <c r="D391" t="str">
        <f>VLOOKUP(A391,Лист2!A:E,5,0)</f>
        <v>малые</v>
      </c>
      <c r="E391">
        <f>VLOOKUP(A391,Лист2!A:E,4,0)</f>
        <v>2.5</v>
      </c>
      <c r="F391" s="12">
        <f t="shared" si="24"/>
        <v>-92000</v>
      </c>
      <c r="G391">
        <f t="shared" si="25"/>
        <v>658000</v>
      </c>
      <c r="H391">
        <f t="shared" si="26"/>
        <v>-36800</v>
      </c>
    </row>
    <row r="392" spans="1:8">
      <c r="A392" t="s">
        <v>18</v>
      </c>
      <c r="B392">
        <v>1300000</v>
      </c>
      <c r="C392">
        <v>1204000</v>
      </c>
      <c r="D392" t="str">
        <f>VLOOKUP(A392,Лист2!A:E,5,0)</f>
        <v>малые</v>
      </c>
      <c r="E392">
        <f>VLOOKUP(A392,Лист2!A:E,4,0)</f>
        <v>2.5</v>
      </c>
      <c r="F392" s="12">
        <f t="shared" si="24"/>
        <v>96000</v>
      </c>
      <c r="G392">
        <f t="shared" si="25"/>
        <v>520000</v>
      </c>
      <c r="H392">
        <f t="shared" si="26"/>
        <v>38400</v>
      </c>
    </row>
    <row r="393" spans="1:8">
      <c r="A393" t="s">
        <v>18</v>
      </c>
      <c r="B393">
        <v>1603000</v>
      </c>
      <c r="C393">
        <v>1235000</v>
      </c>
      <c r="D393" t="str">
        <f>VLOOKUP(A393,Лист2!A:E,5,0)</f>
        <v>малые</v>
      </c>
      <c r="E393">
        <f>VLOOKUP(A393,Лист2!A:E,4,0)</f>
        <v>2.5</v>
      </c>
      <c r="F393" s="12">
        <f t="shared" si="24"/>
        <v>368000</v>
      </c>
      <c r="G393">
        <f t="shared" si="25"/>
        <v>641200</v>
      </c>
      <c r="H393">
        <f t="shared" si="26"/>
        <v>147200</v>
      </c>
    </row>
    <row r="394" spans="1:8">
      <c r="A394" t="s">
        <v>18</v>
      </c>
      <c r="B394">
        <v>90000</v>
      </c>
      <c r="C394">
        <v>391000</v>
      </c>
      <c r="D394" t="str">
        <f>VLOOKUP(A394,Лист2!A:E,5,0)</f>
        <v>малые</v>
      </c>
      <c r="E394">
        <f>VLOOKUP(A394,Лист2!A:E,4,0)</f>
        <v>2.5</v>
      </c>
      <c r="F394" s="12">
        <f t="shared" si="24"/>
        <v>-301000</v>
      </c>
      <c r="G394">
        <f t="shared" si="25"/>
        <v>36000</v>
      </c>
      <c r="H394">
        <f t="shared" si="26"/>
        <v>-120400</v>
      </c>
    </row>
    <row r="395" spans="1:8">
      <c r="A395" t="s">
        <v>18</v>
      </c>
      <c r="B395">
        <v>3806000</v>
      </c>
      <c r="C395">
        <v>1963000</v>
      </c>
      <c r="D395" t="str">
        <f>VLOOKUP(A395,Лист2!A:E,5,0)</f>
        <v>малые</v>
      </c>
      <c r="E395">
        <f>VLOOKUP(A395,Лист2!A:E,4,0)</f>
        <v>2.5</v>
      </c>
      <c r="F395" s="12">
        <f t="shared" si="24"/>
        <v>1843000</v>
      </c>
      <c r="G395">
        <f t="shared" si="25"/>
        <v>1522400</v>
      </c>
      <c r="H395">
        <f t="shared" si="26"/>
        <v>737200</v>
      </c>
    </row>
    <row r="396" spans="1:8">
      <c r="A396" t="s">
        <v>18</v>
      </c>
      <c r="B396">
        <v>50576000</v>
      </c>
      <c r="C396">
        <v>50353000</v>
      </c>
      <c r="D396" t="str">
        <f>VLOOKUP(A396,Лист2!A:E,5,0)</f>
        <v>малые</v>
      </c>
      <c r="E396">
        <f>VLOOKUP(A396,Лист2!A:E,4,0)</f>
        <v>2.5</v>
      </c>
      <c r="F396" s="12">
        <f t="shared" si="24"/>
        <v>223000</v>
      </c>
      <c r="G396">
        <f t="shared" si="25"/>
        <v>20230400</v>
      </c>
      <c r="H396">
        <f t="shared" si="26"/>
        <v>89200</v>
      </c>
    </row>
    <row r="397" spans="1:8">
      <c r="A397" t="s">
        <v>77</v>
      </c>
      <c r="B397">
        <v>24123000</v>
      </c>
      <c r="C397">
        <v>24927000</v>
      </c>
      <c r="D397" t="str">
        <f>VLOOKUP(A397,Лист2!A:E,5,0)</f>
        <v>малые</v>
      </c>
      <c r="E397">
        <f>VLOOKUP(A397,Лист2!A:E,4,0)</f>
        <v>8</v>
      </c>
      <c r="F397" s="12">
        <f t="shared" si="24"/>
        <v>-804000</v>
      </c>
      <c r="G397">
        <f t="shared" si="25"/>
        <v>3015375</v>
      </c>
      <c r="H397">
        <f t="shared" si="26"/>
        <v>-100500</v>
      </c>
    </row>
    <row r="398" spans="1:8">
      <c r="A398" t="s">
        <v>18</v>
      </c>
      <c r="B398">
        <v>1625000</v>
      </c>
      <c r="C398">
        <v>1266000</v>
      </c>
      <c r="D398" t="str">
        <f>VLOOKUP(A398,Лист2!A:E,5,0)</f>
        <v>малые</v>
      </c>
      <c r="E398">
        <f>VLOOKUP(A398,Лист2!A:E,4,0)</f>
        <v>2.5</v>
      </c>
      <c r="F398" s="12">
        <f t="shared" si="24"/>
        <v>359000</v>
      </c>
      <c r="G398">
        <f t="shared" si="25"/>
        <v>650000</v>
      </c>
      <c r="H398">
        <f t="shared" si="26"/>
        <v>143600</v>
      </c>
    </row>
    <row r="399" spans="1:8">
      <c r="A399" t="s">
        <v>22</v>
      </c>
      <c r="B399">
        <v>14543000</v>
      </c>
      <c r="C399">
        <v>14541000</v>
      </c>
      <c r="D399" t="str">
        <f>VLOOKUP(A399,Лист2!A:E,5,0)</f>
        <v>малые</v>
      </c>
      <c r="E399">
        <f>VLOOKUP(A399,Лист2!A:E,4,0)</f>
        <v>13</v>
      </c>
      <c r="F399" s="12">
        <f t="shared" si="24"/>
        <v>2000</v>
      </c>
      <c r="G399">
        <f t="shared" si="25"/>
        <v>1118692.3076923077</v>
      </c>
      <c r="H399">
        <f t="shared" si="26"/>
        <v>153.84615384615384</v>
      </c>
    </row>
    <row r="400" spans="1:8">
      <c r="A400" t="s">
        <v>18</v>
      </c>
      <c r="B400">
        <v>1322000</v>
      </c>
      <c r="C400">
        <v>1291000</v>
      </c>
      <c r="D400" t="str">
        <f>VLOOKUP(A400,Лист2!A:E,5,0)</f>
        <v>малые</v>
      </c>
      <c r="E400">
        <f>VLOOKUP(A400,Лист2!A:E,4,0)</f>
        <v>2.5</v>
      </c>
      <c r="F400" s="12">
        <f t="shared" si="24"/>
        <v>31000</v>
      </c>
      <c r="G400">
        <f t="shared" si="25"/>
        <v>528800</v>
      </c>
      <c r="H400">
        <f t="shared" si="26"/>
        <v>12400</v>
      </c>
    </row>
    <row r="401" spans="1:8">
      <c r="A401" t="s">
        <v>18</v>
      </c>
      <c r="B401">
        <v>4231000</v>
      </c>
      <c r="C401">
        <v>3668000</v>
      </c>
      <c r="D401" t="str">
        <f>VLOOKUP(A401,Лист2!A:E,5,0)</f>
        <v>малые</v>
      </c>
      <c r="E401">
        <f>VLOOKUP(A401,Лист2!A:E,4,0)</f>
        <v>2.5</v>
      </c>
      <c r="F401" s="12">
        <f t="shared" si="24"/>
        <v>563000</v>
      </c>
      <c r="G401">
        <f t="shared" si="25"/>
        <v>1692400</v>
      </c>
      <c r="H401">
        <f t="shared" si="26"/>
        <v>225200</v>
      </c>
    </row>
    <row r="402" spans="1:8">
      <c r="A402" t="s">
        <v>18</v>
      </c>
      <c r="B402">
        <v>315000</v>
      </c>
      <c r="C402">
        <v>325000</v>
      </c>
      <c r="D402" t="str">
        <f>VLOOKUP(A402,Лист2!A:E,5,0)</f>
        <v>малые</v>
      </c>
      <c r="E402">
        <f>VLOOKUP(A402,Лист2!A:E,4,0)</f>
        <v>2.5</v>
      </c>
      <c r="F402" s="12">
        <f t="shared" si="24"/>
        <v>-10000</v>
      </c>
      <c r="G402">
        <f t="shared" si="25"/>
        <v>126000</v>
      </c>
      <c r="H402">
        <f t="shared" si="26"/>
        <v>-4000</v>
      </c>
    </row>
    <row r="403" spans="1:8">
      <c r="A403" t="s">
        <v>18</v>
      </c>
      <c r="B403">
        <v>95000</v>
      </c>
      <c r="C403">
        <v>95000</v>
      </c>
      <c r="D403" t="str">
        <f>VLOOKUP(A403,Лист2!A:E,5,0)</f>
        <v>малые</v>
      </c>
      <c r="E403">
        <f>VLOOKUP(A403,Лист2!A:E,4,0)</f>
        <v>2.5</v>
      </c>
      <c r="F403" s="12">
        <f t="shared" si="24"/>
        <v>0</v>
      </c>
      <c r="G403">
        <f t="shared" si="25"/>
        <v>38000</v>
      </c>
      <c r="H403">
        <f t="shared" si="26"/>
        <v>0</v>
      </c>
    </row>
    <row r="404" spans="1:8">
      <c r="A404" t="s">
        <v>18</v>
      </c>
      <c r="B404">
        <v>144000</v>
      </c>
      <c r="C404">
        <v>144000</v>
      </c>
      <c r="D404" t="str">
        <f>VLOOKUP(A404,Лист2!A:E,5,0)</f>
        <v>малые</v>
      </c>
      <c r="E404">
        <f>VLOOKUP(A404,Лист2!A:E,4,0)</f>
        <v>2.5</v>
      </c>
      <c r="F404" s="12">
        <f t="shared" si="24"/>
        <v>0</v>
      </c>
      <c r="G404">
        <f t="shared" si="25"/>
        <v>57600</v>
      </c>
      <c r="H404">
        <f t="shared" si="26"/>
        <v>0</v>
      </c>
    </row>
    <row r="405" spans="1:8">
      <c r="A405" t="s">
        <v>18</v>
      </c>
      <c r="B405">
        <v>426000</v>
      </c>
      <c r="C405">
        <v>25000</v>
      </c>
      <c r="D405" t="str">
        <f>VLOOKUP(A405,Лист2!A:E,5,0)</f>
        <v>малые</v>
      </c>
      <c r="E405">
        <f>VLOOKUP(A405,Лист2!A:E,4,0)</f>
        <v>2.5</v>
      </c>
      <c r="F405" s="12">
        <f t="shared" si="24"/>
        <v>401000</v>
      </c>
      <c r="G405">
        <f t="shared" si="25"/>
        <v>170400</v>
      </c>
      <c r="H405">
        <f t="shared" si="26"/>
        <v>160400</v>
      </c>
    </row>
    <row r="406" spans="1:8">
      <c r="A406" t="s">
        <v>18</v>
      </c>
      <c r="B406">
        <v>3713000</v>
      </c>
      <c r="C406">
        <v>3509000</v>
      </c>
      <c r="D406" t="str">
        <f>VLOOKUP(A406,Лист2!A:E,5,0)</f>
        <v>малые</v>
      </c>
      <c r="E406">
        <f>VLOOKUP(A406,Лист2!A:E,4,0)</f>
        <v>2.5</v>
      </c>
      <c r="F406" s="12">
        <f t="shared" si="24"/>
        <v>204000</v>
      </c>
      <c r="G406">
        <f t="shared" si="25"/>
        <v>1485200</v>
      </c>
      <c r="H406">
        <f t="shared" si="26"/>
        <v>81600</v>
      </c>
    </row>
    <row r="407" spans="1:8">
      <c r="A407" t="s">
        <v>18</v>
      </c>
      <c r="B407">
        <v>7378000</v>
      </c>
      <c r="C407">
        <v>8729000</v>
      </c>
      <c r="D407" t="str">
        <f>VLOOKUP(A407,Лист2!A:E,5,0)</f>
        <v>малые</v>
      </c>
      <c r="E407">
        <f>VLOOKUP(A407,Лист2!A:E,4,0)</f>
        <v>2.5</v>
      </c>
      <c r="F407" s="12">
        <f t="shared" si="24"/>
        <v>-1351000</v>
      </c>
      <c r="G407">
        <f t="shared" si="25"/>
        <v>2951200</v>
      </c>
      <c r="H407">
        <f t="shared" si="26"/>
        <v>-540400</v>
      </c>
    </row>
    <row r="408" spans="1:8">
      <c r="A408" t="s">
        <v>18</v>
      </c>
      <c r="B408">
        <v>5007000</v>
      </c>
      <c r="C408">
        <v>4433000</v>
      </c>
      <c r="D408" t="str">
        <f>VLOOKUP(A408,Лист2!A:E,5,0)</f>
        <v>малые</v>
      </c>
      <c r="E408">
        <f>VLOOKUP(A408,Лист2!A:E,4,0)</f>
        <v>2.5</v>
      </c>
      <c r="F408" s="12">
        <f t="shared" si="24"/>
        <v>574000</v>
      </c>
      <c r="G408">
        <f t="shared" si="25"/>
        <v>2002800</v>
      </c>
      <c r="H408">
        <f t="shared" si="26"/>
        <v>229600</v>
      </c>
    </row>
    <row r="409" spans="1:8">
      <c r="A409" t="s">
        <v>18</v>
      </c>
      <c r="B409">
        <v>3980000</v>
      </c>
      <c r="C409">
        <v>3638000</v>
      </c>
      <c r="D409" t="str">
        <f>VLOOKUP(A409,Лист2!A:E,5,0)</f>
        <v>малые</v>
      </c>
      <c r="E409">
        <f>VLOOKUP(A409,Лист2!A:E,4,0)</f>
        <v>2.5</v>
      </c>
      <c r="F409" s="12">
        <f t="shared" si="24"/>
        <v>342000</v>
      </c>
      <c r="G409">
        <f t="shared" si="25"/>
        <v>1592000</v>
      </c>
      <c r="H409">
        <f t="shared" si="26"/>
        <v>136800</v>
      </c>
    </row>
    <row r="410" spans="1:8">
      <c r="A410" t="s">
        <v>18</v>
      </c>
      <c r="B410">
        <v>5141000</v>
      </c>
      <c r="C410">
        <v>5437000</v>
      </c>
      <c r="D410" t="str">
        <f>VLOOKUP(A410,Лист2!A:E,5,0)</f>
        <v>малые</v>
      </c>
      <c r="E410">
        <f>VLOOKUP(A410,Лист2!A:E,4,0)</f>
        <v>2.5</v>
      </c>
      <c r="F410" s="12">
        <f t="shared" si="24"/>
        <v>-296000</v>
      </c>
      <c r="G410">
        <f t="shared" si="25"/>
        <v>2056400</v>
      </c>
      <c r="H410">
        <f t="shared" si="26"/>
        <v>-118400</v>
      </c>
    </row>
    <row r="411" spans="1:8">
      <c r="A411" t="s">
        <v>18</v>
      </c>
      <c r="B411">
        <v>681000</v>
      </c>
      <c r="C411">
        <v>1884000</v>
      </c>
      <c r="D411" t="str">
        <f>VLOOKUP(A411,Лист2!A:E,5,0)</f>
        <v>малые</v>
      </c>
      <c r="E411">
        <f>VLOOKUP(A411,Лист2!A:E,4,0)</f>
        <v>2.5</v>
      </c>
      <c r="F411" s="12">
        <f t="shared" si="24"/>
        <v>-1203000</v>
      </c>
      <c r="G411">
        <f t="shared" si="25"/>
        <v>272400</v>
      </c>
      <c r="H411">
        <f t="shared" si="26"/>
        <v>-481200</v>
      </c>
    </row>
    <row r="412" spans="1:8">
      <c r="A412" t="s">
        <v>18</v>
      </c>
      <c r="B412">
        <v>4412000</v>
      </c>
      <c r="C412">
        <v>5838000</v>
      </c>
      <c r="D412" t="str">
        <f>VLOOKUP(A412,Лист2!A:E,5,0)</f>
        <v>малые</v>
      </c>
      <c r="E412">
        <f>VLOOKUP(A412,Лист2!A:E,4,0)</f>
        <v>2.5</v>
      </c>
      <c r="F412" s="12">
        <f t="shared" si="24"/>
        <v>-1426000</v>
      </c>
      <c r="G412">
        <f t="shared" si="25"/>
        <v>1764800</v>
      </c>
      <c r="H412">
        <f t="shared" si="26"/>
        <v>-570400</v>
      </c>
    </row>
    <row r="413" spans="1:8">
      <c r="A413" t="s">
        <v>18</v>
      </c>
      <c r="B413">
        <v>509000</v>
      </c>
      <c r="C413">
        <v>511000</v>
      </c>
      <c r="D413" t="str">
        <f>VLOOKUP(A413,Лист2!A:E,5,0)</f>
        <v>малые</v>
      </c>
      <c r="E413">
        <f>VLOOKUP(A413,Лист2!A:E,4,0)</f>
        <v>2.5</v>
      </c>
      <c r="F413" s="12">
        <f t="shared" si="24"/>
        <v>-2000</v>
      </c>
      <c r="G413">
        <f t="shared" si="25"/>
        <v>203600</v>
      </c>
      <c r="H413">
        <f t="shared" si="26"/>
        <v>-800</v>
      </c>
    </row>
    <row r="414" spans="1:8">
      <c r="A414" t="s">
        <v>18</v>
      </c>
      <c r="B414">
        <v>87175000</v>
      </c>
      <c r="C414">
        <v>83982000</v>
      </c>
      <c r="D414" t="str">
        <f>VLOOKUP(A414,Лист2!A:E,5,0)</f>
        <v>малые</v>
      </c>
      <c r="E414">
        <f>VLOOKUP(A414,Лист2!A:E,4,0)</f>
        <v>2.5</v>
      </c>
      <c r="F414" s="12">
        <f t="shared" si="24"/>
        <v>3193000</v>
      </c>
      <c r="G414">
        <f t="shared" si="25"/>
        <v>34870000</v>
      </c>
      <c r="H414">
        <f t="shared" si="26"/>
        <v>1277200</v>
      </c>
    </row>
    <row r="415" spans="1:8">
      <c r="A415" t="s">
        <v>23</v>
      </c>
      <c r="B415">
        <v>32744000</v>
      </c>
      <c r="C415">
        <v>48533000</v>
      </c>
      <c r="D415" t="str">
        <f>VLOOKUP(A415,Лист2!A:E,5,0)</f>
        <v>средние</v>
      </c>
      <c r="E415">
        <f>VLOOKUP(A415,Лист2!A:E,4,0)</f>
        <v>75.5</v>
      </c>
      <c r="F415" s="12">
        <f t="shared" si="24"/>
        <v>-15789000</v>
      </c>
      <c r="G415">
        <f t="shared" si="25"/>
        <v>433695.36423841061</v>
      </c>
      <c r="H415">
        <f t="shared" si="26"/>
        <v>-209125.82781456952</v>
      </c>
    </row>
    <row r="416" spans="1:8">
      <c r="A416" t="s">
        <v>22</v>
      </c>
      <c r="B416">
        <v>33149000</v>
      </c>
      <c r="C416">
        <v>33033000</v>
      </c>
      <c r="D416" t="str">
        <f>VLOOKUP(A416,Лист2!A:E,5,0)</f>
        <v>малые</v>
      </c>
      <c r="E416">
        <f>VLOOKUP(A416,Лист2!A:E,4,0)</f>
        <v>13</v>
      </c>
      <c r="F416" s="12">
        <f t="shared" si="24"/>
        <v>116000</v>
      </c>
      <c r="G416">
        <f t="shared" si="25"/>
        <v>2549923.076923077</v>
      </c>
      <c r="H416">
        <f t="shared" si="26"/>
        <v>8923.0769230769238</v>
      </c>
    </row>
    <row r="417" spans="1:8">
      <c r="A417" t="s">
        <v>18</v>
      </c>
      <c r="B417">
        <v>1000000</v>
      </c>
      <c r="C417">
        <v>1000000</v>
      </c>
      <c r="D417" t="str">
        <f>VLOOKUP(A417,Лист2!A:E,5,0)</f>
        <v>малые</v>
      </c>
      <c r="E417">
        <f>VLOOKUP(A417,Лист2!A:E,4,0)</f>
        <v>2.5</v>
      </c>
      <c r="F417" s="12">
        <f t="shared" si="24"/>
        <v>0</v>
      </c>
      <c r="G417">
        <f t="shared" si="25"/>
        <v>400000</v>
      </c>
      <c r="H417">
        <f t="shared" si="26"/>
        <v>0</v>
      </c>
    </row>
    <row r="418" spans="1:8">
      <c r="A418" t="s">
        <v>18</v>
      </c>
      <c r="B418">
        <v>1724000</v>
      </c>
      <c r="C418">
        <v>1989000</v>
      </c>
      <c r="D418" t="str">
        <f>VLOOKUP(A418,Лист2!A:E,5,0)</f>
        <v>малые</v>
      </c>
      <c r="E418">
        <f>VLOOKUP(A418,Лист2!A:E,4,0)</f>
        <v>2.5</v>
      </c>
      <c r="F418" s="12">
        <f t="shared" si="24"/>
        <v>-265000</v>
      </c>
      <c r="G418">
        <f t="shared" si="25"/>
        <v>689600</v>
      </c>
      <c r="H418">
        <f t="shared" si="26"/>
        <v>-106000</v>
      </c>
    </row>
    <row r="419" spans="1:8">
      <c r="A419" t="s">
        <v>18</v>
      </c>
      <c r="B419">
        <v>2250000</v>
      </c>
      <c r="C419">
        <v>2174000</v>
      </c>
      <c r="D419" t="str">
        <f>VLOOKUP(A419,Лист2!A:E,5,0)</f>
        <v>малые</v>
      </c>
      <c r="E419">
        <f>VLOOKUP(A419,Лист2!A:E,4,0)</f>
        <v>2.5</v>
      </c>
      <c r="F419" s="12">
        <f t="shared" si="24"/>
        <v>76000</v>
      </c>
      <c r="G419">
        <f t="shared" si="25"/>
        <v>900000</v>
      </c>
      <c r="H419">
        <f t="shared" si="26"/>
        <v>30400</v>
      </c>
    </row>
    <row r="420" spans="1:8">
      <c r="A420" t="s">
        <v>18</v>
      </c>
      <c r="B420">
        <v>300000</v>
      </c>
      <c r="C420">
        <v>225000</v>
      </c>
      <c r="D420" t="str">
        <f>VLOOKUP(A420,Лист2!A:E,5,0)</f>
        <v>малые</v>
      </c>
      <c r="E420">
        <f>VLOOKUP(A420,Лист2!A:E,4,0)</f>
        <v>2.5</v>
      </c>
      <c r="F420" s="12">
        <f t="shared" si="24"/>
        <v>75000</v>
      </c>
      <c r="G420">
        <f t="shared" si="25"/>
        <v>120000</v>
      </c>
      <c r="H420">
        <f t="shared" si="26"/>
        <v>30000</v>
      </c>
    </row>
    <row r="421" spans="1:8">
      <c r="A421" t="s">
        <v>18</v>
      </c>
      <c r="B421">
        <v>2990000</v>
      </c>
      <c r="C421">
        <v>6231000</v>
      </c>
      <c r="D421" t="str">
        <f>VLOOKUP(A421,Лист2!A:E,5,0)</f>
        <v>малые</v>
      </c>
      <c r="E421">
        <f>VLOOKUP(A421,Лист2!A:E,4,0)</f>
        <v>2.5</v>
      </c>
      <c r="F421" s="12">
        <f t="shared" si="24"/>
        <v>-3241000</v>
      </c>
      <c r="G421">
        <f t="shared" si="25"/>
        <v>1196000</v>
      </c>
      <c r="H421">
        <f t="shared" si="26"/>
        <v>-1296400</v>
      </c>
    </row>
    <row r="422" spans="1:8">
      <c r="A422" t="s">
        <v>22</v>
      </c>
      <c r="B422">
        <v>28256000</v>
      </c>
      <c r="C422">
        <v>28319000</v>
      </c>
      <c r="D422" t="str">
        <f>VLOOKUP(A422,Лист2!A:E,5,0)</f>
        <v>малые</v>
      </c>
      <c r="E422">
        <f>VLOOKUP(A422,Лист2!A:E,4,0)</f>
        <v>13</v>
      </c>
      <c r="F422" s="12">
        <f t="shared" si="24"/>
        <v>-63000</v>
      </c>
      <c r="G422">
        <f t="shared" si="25"/>
        <v>2173538.4615384615</v>
      </c>
      <c r="H422">
        <f t="shared" si="26"/>
        <v>-4846.1538461538457</v>
      </c>
    </row>
    <row r="423" spans="1:8">
      <c r="A423" t="s">
        <v>18</v>
      </c>
      <c r="B423">
        <v>1660000</v>
      </c>
      <c r="C423">
        <v>1836000</v>
      </c>
      <c r="D423" t="str">
        <f>VLOOKUP(A423,Лист2!A:E,5,0)</f>
        <v>малые</v>
      </c>
      <c r="E423">
        <f>VLOOKUP(A423,Лист2!A:E,4,0)</f>
        <v>2.5</v>
      </c>
      <c r="F423" s="12">
        <f t="shared" si="24"/>
        <v>-176000</v>
      </c>
      <c r="G423">
        <f t="shared" si="25"/>
        <v>664000</v>
      </c>
      <c r="H423">
        <f t="shared" si="26"/>
        <v>-70400</v>
      </c>
    </row>
    <row r="424" spans="1:8">
      <c r="A424" t="s">
        <v>18</v>
      </c>
      <c r="B424">
        <v>28000</v>
      </c>
      <c r="C424">
        <v>22000</v>
      </c>
      <c r="D424" t="str">
        <f>VLOOKUP(A424,Лист2!A:E,5,0)</f>
        <v>малые</v>
      </c>
      <c r="E424">
        <f>VLOOKUP(A424,Лист2!A:E,4,0)</f>
        <v>2.5</v>
      </c>
      <c r="F424" s="12">
        <f t="shared" si="24"/>
        <v>6000</v>
      </c>
      <c r="G424">
        <f t="shared" si="25"/>
        <v>11200</v>
      </c>
      <c r="H424">
        <f t="shared" si="26"/>
        <v>2400</v>
      </c>
    </row>
    <row r="425" spans="1:8">
      <c r="A425" t="s">
        <v>18</v>
      </c>
      <c r="B425">
        <v>9771000</v>
      </c>
      <c r="C425">
        <v>5975000</v>
      </c>
      <c r="D425" t="str">
        <f>VLOOKUP(A425,Лист2!A:E,5,0)</f>
        <v>малые</v>
      </c>
      <c r="E425">
        <f>VLOOKUP(A425,Лист2!A:E,4,0)</f>
        <v>2.5</v>
      </c>
      <c r="F425" s="12">
        <f t="shared" si="24"/>
        <v>3796000</v>
      </c>
      <c r="G425">
        <f t="shared" si="25"/>
        <v>3908400</v>
      </c>
      <c r="H425">
        <f t="shared" si="26"/>
        <v>1518400</v>
      </c>
    </row>
    <row r="426" spans="1:8">
      <c r="A426" t="s">
        <v>18</v>
      </c>
      <c r="B426">
        <v>179000</v>
      </c>
      <c r="C426">
        <v>179000</v>
      </c>
      <c r="D426" t="str">
        <f>VLOOKUP(A426,Лист2!A:E,5,0)</f>
        <v>малые</v>
      </c>
      <c r="E426">
        <f>VLOOKUP(A426,Лист2!A:E,4,0)</f>
        <v>2.5</v>
      </c>
      <c r="F426" s="12">
        <f t="shared" si="24"/>
        <v>0</v>
      </c>
      <c r="G426">
        <f t="shared" si="25"/>
        <v>71600</v>
      </c>
      <c r="H426">
        <f t="shared" si="26"/>
        <v>0</v>
      </c>
    </row>
    <row r="427" spans="1:8">
      <c r="A427" t="s">
        <v>18</v>
      </c>
      <c r="B427">
        <v>5890000</v>
      </c>
      <c r="C427">
        <v>6549000</v>
      </c>
      <c r="D427" t="str">
        <f>VLOOKUP(A427,Лист2!A:E,5,0)</f>
        <v>малые</v>
      </c>
      <c r="E427">
        <f>VLOOKUP(A427,Лист2!A:E,4,0)</f>
        <v>2.5</v>
      </c>
      <c r="F427" s="12">
        <f t="shared" si="24"/>
        <v>-659000</v>
      </c>
      <c r="G427">
        <f t="shared" si="25"/>
        <v>2356000</v>
      </c>
      <c r="H427">
        <f t="shared" si="26"/>
        <v>-263600</v>
      </c>
    </row>
    <row r="428" spans="1:8">
      <c r="A428" t="s">
        <v>18</v>
      </c>
      <c r="B428">
        <v>53000</v>
      </c>
      <c r="C428">
        <v>53000</v>
      </c>
      <c r="D428" t="str">
        <f>VLOOKUP(A428,Лист2!A:E,5,0)</f>
        <v>малые</v>
      </c>
      <c r="E428">
        <f>VLOOKUP(A428,Лист2!A:E,4,0)</f>
        <v>2.5</v>
      </c>
      <c r="F428" s="12">
        <f t="shared" si="24"/>
        <v>0</v>
      </c>
      <c r="G428">
        <f t="shared" si="25"/>
        <v>21200</v>
      </c>
      <c r="H428">
        <f t="shared" si="26"/>
        <v>0</v>
      </c>
    </row>
    <row r="429" spans="1:8">
      <c r="A429" t="s">
        <v>18</v>
      </c>
      <c r="B429">
        <v>1553000</v>
      </c>
      <c r="C429">
        <v>1557000</v>
      </c>
      <c r="D429" t="str">
        <f>VLOOKUP(A429,Лист2!A:E,5,0)</f>
        <v>малые</v>
      </c>
      <c r="E429">
        <f>VLOOKUP(A429,Лист2!A:E,4,0)</f>
        <v>2.5</v>
      </c>
      <c r="F429" s="12">
        <f t="shared" si="24"/>
        <v>-4000</v>
      </c>
      <c r="G429">
        <f t="shared" si="25"/>
        <v>621200</v>
      </c>
      <c r="H429">
        <f t="shared" si="26"/>
        <v>-1600</v>
      </c>
    </row>
    <row r="430" spans="1:8">
      <c r="A430" t="s">
        <v>18</v>
      </c>
      <c r="B430">
        <v>13250000</v>
      </c>
      <c r="C430">
        <v>12881000</v>
      </c>
      <c r="D430" t="str">
        <f>VLOOKUP(A430,Лист2!A:E,5,0)</f>
        <v>малые</v>
      </c>
      <c r="E430">
        <f>VLOOKUP(A430,Лист2!A:E,4,0)</f>
        <v>2.5</v>
      </c>
      <c r="F430" s="12">
        <f t="shared" si="24"/>
        <v>369000</v>
      </c>
      <c r="G430">
        <f t="shared" si="25"/>
        <v>5300000</v>
      </c>
      <c r="H430">
        <f t="shared" si="26"/>
        <v>147600</v>
      </c>
    </row>
    <row r="431" spans="1:8">
      <c r="A431" t="s">
        <v>18</v>
      </c>
      <c r="B431">
        <v>274000</v>
      </c>
      <c r="C431">
        <v>274000</v>
      </c>
      <c r="D431" t="str">
        <f>VLOOKUP(A431,Лист2!A:E,5,0)</f>
        <v>малые</v>
      </c>
      <c r="E431">
        <f>VLOOKUP(A431,Лист2!A:E,4,0)</f>
        <v>2.5</v>
      </c>
      <c r="F431" s="12">
        <f t="shared" si="24"/>
        <v>0</v>
      </c>
      <c r="G431">
        <f t="shared" si="25"/>
        <v>109600</v>
      </c>
      <c r="H431">
        <f t="shared" si="26"/>
        <v>0</v>
      </c>
    </row>
    <row r="432" spans="1:8">
      <c r="A432" t="s">
        <v>18</v>
      </c>
      <c r="B432">
        <v>214000</v>
      </c>
      <c r="C432">
        <v>170000</v>
      </c>
      <c r="D432" t="str">
        <f>VLOOKUP(A432,Лист2!A:E,5,0)</f>
        <v>малые</v>
      </c>
      <c r="E432">
        <f>VLOOKUP(A432,Лист2!A:E,4,0)</f>
        <v>2.5</v>
      </c>
      <c r="F432" s="12">
        <f t="shared" ref="F432:F469" si="27">B432-C432</f>
        <v>44000</v>
      </c>
      <c r="G432">
        <f t="shared" ref="G432:G469" si="28">B432/E432</f>
        <v>85600</v>
      </c>
      <c r="H432">
        <f t="shared" ref="H432:H469" si="29">F432/E432</f>
        <v>17600</v>
      </c>
    </row>
    <row r="433" spans="1:8">
      <c r="A433" t="s">
        <v>18</v>
      </c>
      <c r="B433">
        <v>389000</v>
      </c>
      <c r="C433">
        <v>389000</v>
      </c>
      <c r="D433" t="str">
        <f>VLOOKUP(A433,Лист2!A:E,5,0)</f>
        <v>малые</v>
      </c>
      <c r="E433">
        <f>VLOOKUP(A433,Лист2!A:E,4,0)</f>
        <v>2.5</v>
      </c>
      <c r="F433" s="12">
        <f t="shared" si="27"/>
        <v>0</v>
      </c>
      <c r="G433">
        <f t="shared" si="28"/>
        <v>155600</v>
      </c>
      <c r="H433">
        <f t="shared" si="29"/>
        <v>0</v>
      </c>
    </row>
    <row r="434" spans="1:8">
      <c r="A434" t="s">
        <v>18</v>
      </c>
      <c r="B434">
        <v>711000</v>
      </c>
      <c r="C434">
        <v>781000</v>
      </c>
      <c r="D434" t="str">
        <f>VLOOKUP(A434,Лист2!A:E,5,0)</f>
        <v>малые</v>
      </c>
      <c r="E434">
        <f>VLOOKUP(A434,Лист2!A:E,4,0)</f>
        <v>2.5</v>
      </c>
      <c r="F434" s="12">
        <f t="shared" si="27"/>
        <v>-70000</v>
      </c>
      <c r="G434">
        <f t="shared" si="28"/>
        <v>284400</v>
      </c>
      <c r="H434">
        <f t="shared" si="29"/>
        <v>-28000</v>
      </c>
    </row>
    <row r="435" spans="1:8">
      <c r="A435" t="s">
        <v>22</v>
      </c>
      <c r="B435">
        <v>467017000</v>
      </c>
      <c r="C435">
        <v>465426000</v>
      </c>
      <c r="D435" t="str">
        <f>VLOOKUP(A435,Лист2!A:E,5,0)</f>
        <v>малые</v>
      </c>
      <c r="E435">
        <f>VLOOKUP(A435,Лист2!A:E,4,0)</f>
        <v>13</v>
      </c>
      <c r="F435" s="12">
        <f t="shared" si="27"/>
        <v>1591000</v>
      </c>
      <c r="G435">
        <f t="shared" si="28"/>
        <v>35924384.615384616</v>
      </c>
      <c r="H435">
        <f t="shared" si="29"/>
        <v>122384.61538461539</v>
      </c>
    </row>
    <row r="436" spans="1:8">
      <c r="A436" t="s">
        <v>18</v>
      </c>
      <c r="B436">
        <v>2938000</v>
      </c>
      <c r="C436">
        <v>2106000</v>
      </c>
      <c r="D436" t="str">
        <f>VLOOKUP(A436,Лист2!A:E,5,0)</f>
        <v>малые</v>
      </c>
      <c r="E436">
        <f>VLOOKUP(A436,Лист2!A:E,4,0)</f>
        <v>2.5</v>
      </c>
      <c r="F436" s="12">
        <f t="shared" si="27"/>
        <v>832000</v>
      </c>
      <c r="G436">
        <f t="shared" si="28"/>
        <v>1175200</v>
      </c>
      <c r="H436">
        <f t="shared" si="29"/>
        <v>332800</v>
      </c>
    </row>
    <row r="437" spans="1:8">
      <c r="A437" t="s">
        <v>18</v>
      </c>
      <c r="B437">
        <v>778000</v>
      </c>
      <c r="C437">
        <v>393000</v>
      </c>
      <c r="D437" t="str">
        <f>VLOOKUP(A437,Лист2!A:E,5,0)</f>
        <v>малые</v>
      </c>
      <c r="E437">
        <f>VLOOKUP(A437,Лист2!A:E,4,0)</f>
        <v>2.5</v>
      </c>
      <c r="F437" s="12">
        <f t="shared" si="27"/>
        <v>385000</v>
      </c>
      <c r="G437">
        <f t="shared" si="28"/>
        <v>311200</v>
      </c>
      <c r="H437">
        <f t="shared" si="29"/>
        <v>154000</v>
      </c>
    </row>
    <row r="438" spans="1:8">
      <c r="A438" t="s">
        <v>18</v>
      </c>
      <c r="B438">
        <v>15779000</v>
      </c>
      <c r="C438">
        <v>13908000</v>
      </c>
      <c r="D438" t="str">
        <f>VLOOKUP(A438,Лист2!A:E,5,0)</f>
        <v>малые</v>
      </c>
      <c r="E438">
        <f>VLOOKUP(A438,Лист2!A:E,4,0)</f>
        <v>2.5</v>
      </c>
      <c r="F438" s="12">
        <f t="shared" si="27"/>
        <v>1871000</v>
      </c>
      <c r="G438">
        <f t="shared" si="28"/>
        <v>6311600</v>
      </c>
      <c r="H438">
        <f t="shared" si="29"/>
        <v>748400</v>
      </c>
    </row>
    <row r="439" spans="1:8">
      <c r="A439" t="s">
        <v>18</v>
      </c>
      <c r="B439">
        <v>2050000</v>
      </c>
      <c r="C439">
        <v>1849000</v>
      </c>
      <c r="D439" t="str">
        <f>VLOOKUP(A439,Лист2!A:E,5,0)</f>
        <v>малые</v>
      </c>
      <c r="E439">
        <f>VLOOKUP(A439,Лист2!A:E,4,0)</f>
        <v>2.5</v>
      </c>
      <c r="F439" s="12">
        <f t="shared" si="27"/>
        <v>201000</v>
      </c>
      <c r="G439">
        <f t="shared" si="28"/>
        <v>820000</v>
      </c>
      <c r="H439">
        <f t="shared" si="29"/>
        <v>80400</v>
      </c>
    </row>
    <row r="440" spans="1:8">
      <c r="A440" t="s">
        <v>18</v>
      </c>
      <c r="B440">
        <v>25500000</v>
      </c>
      <c r="C440">
        <v>26629000</v>
      </c>
      <c r="D440" t="str">
        <f>VLOOKUP(A440,Лист2!A:E,5,0)</f>
        <v>малые</v>
      </c>
      <c r="E440">
        <f>VLOOKUP(A440,Лист2!A:E,4,0)</f>
        <v>2.5</v>
      </c>
      <c r="F440" s="12">
        <f t="shared" si="27"/>
        <v>-1129000</v>
      </c>
      <c r="G440">
        <f t="shared" si="28"/>
        <v>10200000</v>
      </c>
      <c r="H440">
        <f t="shared" si="29"/>
        <v>-451600</v>
      </c>
    </row>
    <row r="441" spans="1:8">
      <c r="A441" t="s">
        <v>18</v>
      </c>
      <c r="B441">
        <v>300000</v>
      </c>
      <c r="C441">
        <v>344000</v>
      </c>
      <c r="D441" t="str">
        <f>VLOOKUP(A441,Лист2!A:E,5,0)</f>
        <v>малые</v>
      </c>
      <c r="E441">
        <f>VLOOKUP(A441,Лист2!A:E,4,0)</f>
        <v>2.5</v>
      </c>
      <c r="F441" s="12">
        <f t="shared" si="27"/>
        <v>-44000</v>
      </c>
      <c r="G441">
        <f t="shared" si="28"/>
        <v>120000</v>
      </c>
      <c r="H441">
        <f t="shared" si="29"/>
        <v>-17600</v>
      </c>
    </row>
    <row r="442" spans="1:8">
      <c r="A442" t="s">
        <v>22</v>
      </c>
      <c r="B442">
        <v>1518000</v>
      </c>
      <c r="C442">
        <v>1549000</v>
      </c>
      <c r="D442" t="str">
        <f>VLOOKUP(A442,Лист2!A:E,5,0)</f>
        <v>малые</v>
      </c>
      <c r="E442">
        <f>VLOOKUP(A442,Лист2!A:E,4,0)</f>
        <v>13</v>
      </c>
      <c r="F442" s="12">
        <f t="shared" si="27"/>
        <v>-31000</v>
      </c>
      <c r="G442">
        <f t="shared" si="28"/>
        <v>116769.23076923077</v>
      </c>
      <c r="H442">
        <f t="shared" si="29"/>
        <v>-2384.6153846153848</v>
      </c>
    </row>
    <row r="443" spans="1:8">
      <c r="A443" t="s">
        <v>18</v>
      </c>
      <c r="B443">
        <v>16941000</v>
      </c>
      <c r="C443">
        <v>21812000</v>
      </c>
      <c r="D443" t="str">
        <f>VLOOKUP(A443,Лист2!A:E,5,0)</f>
        <v>малые</v>
      </c>
      <c r="E443">
        <f>VLOOKUP(A443,Лист2!A:E,4,0)</f>
        <v>2.5</v>
      </c>
      <c r="F443" s="12">
        <f t="shared" si="27"/>
        <v>-4871000</v>
      </c>
      <c r="G443">
        <f t="shared" si="28"/>
        <v>6776400</v>
      </c>
      <c r="H443">
        <f t="shared" si="29"/>
        <v>-1948400</v>
      </c>
    </row>
    <row r="444" spans="1:8">
      <c r="A444" t="s">
        <v>18</v>
      </c>
      <c r="B444">
        <v>2747000</v>
      </c>
      <c r="C444">
        <v>2608000</v>
      </c>
      <c r="D444" t="str">
        <f>VLOOKUP(A444,Лист2!A:E,5,0)</f>
        <v>малые</v>
      </c>
      <c r="E444">
        <f>VLOOKUP(A444,Лист2!A:E,4,0)</f>
        <v>2.5</v>
      </c>
      <c r="F444" s="12">
        <f t="shared" si="27"/>
        <v>139000</v>
      </c>
      <c r="G444">
        <f t="shared" si="28"/>
        <v>1098800</v>
      </c>
      <c r="H444">
        <f t="shared" si="29"/>
        <v>55600</v>
      </c>
    </row>
    <row r="445" spans="1:8">
      <c r="A445" t="s">
        <v>18</v>
      </c>
      <c r="B445">
        <v>1831000</v>
      </c>
      <c r="C445">
        <v>2785000</v>
      </c>
      <c r="D445" t="str">
        <f>VLOOKUP(A445,Лист2!A:E,5,0)</f>
        <v>малые</v>
      </c>
      <c r="E445">
        <f>VLOOKUP(A445,Лист2!A:E,4,0)</f>
        <v>2.5</v>
      </c>
      <c r="F445" s="12">
        <f t="shared" si="27"/>
        <v>-954000</v>
      </c>
      <c r="G445">
        <f t="shared" si="28"/>
        <v>732400</v>
      </c>
      <c r="H445">
        <f t="shared" si="29"/>
        <v>-381600</v>
      </c>
    </row>
    <row r="446" spans="1:8">
      <c r="A446" t="s">
        <v>18</v>
      </c>
      <c r="B446">
        <v>8042000</v>
      </c>
      <c r="C446">
        <v>7647000</v>
      </c>
      <c r="D446" t="str">
        <f>VLOOKUP(A446,Лист2!A:E,5,0)</f>
        <v>малые</v>
      </c>
      <c r="E446">
        <f>VLOOKUP(A446,Лист2!A:E,4,0)</f>
        <v>2.5</v>
      </c>
      <c r="F446" s="12">
        <f t="shared" si="27"/>
        <v>395000</v>
      </c>
      <c r="G446">
        <f t="shared" si="28"/>
        <v>3216800</v>
      </c>
      <c r="H446">
        <f t="shared" si="29"/>
        <v>158000</v>
      </c>
    </row>
    <row r="447" spans="1:8">
      <c r="A447" t="s">
        <v>18</v>
      </c>
      <c r="B447">
        <v>5666000</v>
      </c>
      <c r="C447">
        <v>5876000</v>
      </c>
      <c r="D447" t="str">
        <f>VLOOKUP(A447,Лист2!A:E,5,0)</f>
        <v>малые</v>
      </c>
      <c r="E447">
        <f>VLOOKUP(A447,Лист2!A:E,4,0)</f>
        <v>2.5</v>
      </c>
      <c r="F447" s="12">
        <f t="shared" si="27"/>
        <v>-210000</v>
      </c>
      <c r="G447">
        <f t="shared" si="28"/>
        <v>2266400</v>
      </c>
      <c r="H447">
        <f t="shared" si="29"/>
        <v>-84000</v>
      </c>
    </row>
    <row r="448" spans="1:8">
      <c r="A448" t="s">
        <v>18</v>
      </c>
      <c r="B448">
        <v>1569000</v>
      </c>
      <c r="C448">
        <v>1572000</v>
      </c>
      <c r="D448" t="str">
        <f>VLOOKUP(A448,Лист2!A:E,5,0)</f>
        <v>малые</v>
      </c>
      <c r="E448">
        <f>VLOOKUP(A448,Лист2!A:E,4,0)</f>
        <v>2.5</v>
      </c>
      <c r="F448" s="12">
        <f t="shared" si="27"/>
        <v>-3000</v>
      </c>
      <c r="G448">
        <f t="shared" si="28"/>
        <v>627600</v>
      </c>
      <c r="H448">
        <f t="shared" si="29"/>
        <v>-1200</v>
      </c>
    </row>
    <row r="449" spans="1:8">
      <c r="A449" t="s">
        <v>18</v>
      </c>
      <c r="B449">
        <v>609000</v>
      </c>
      <c r="C449">
        <v>613000</v>
      </c>
      <c r="D449" t="str">
        <f>VLOOKUP(A449,Лист2!A:E,5,0)</f>
        <v>малые</v>
      </c>
      <c r="E449">
        <f>VLOOKUP(A449,Лист2!A:E,4,0)</f>
        <v>2.5</v>
      </c>
      <c r="F449" s="12">
        <f t="shared" si="27"/>
        <v>-4000</v>
      </c>
      <c r="G449">
        <f t="shared" si="28"/>
        <v>243600</v>
      </c>
      <c r="H449">
        <f t="shared" si="29"/>
        <v>-1600</v>
      </c>
    </row>
    <row r="450" spans="1:8">
      <c r="A450" t="s">
        <v>18</v>
      </c>
      <c r="B450">
        <v>6212000</v>
      </c>
      <c r="C450">
        <v>10111000</v>
      </c>
      <c r="D450" t="str">
        <f>VLOOKUP(A450,Лист2!A:E,5,0)</f>
        <v>малые</v>
      </c>
      <c r="E450">
        <f>VLOOKUP(A450,Лист2!A:E,4,0)</f>
        <v>2.5</v>
      </c>
      <c r="F450" s="12">
        <f t="shared" si="27"/>
        <v>-3899000</v>
      </c>
      <c r="G450">
        <f t="shared" si="28"/>
        <v>2484800</v>
      </c>
      <c r="H450">
        <f t="shared" si="29"/>
        <v>-1559600</v>
      </c>
    </row>
    <row r="451" spans="1:8">
      <c r="A451" t="s">
        <v>18</v>
      </c>
      <c r="B451">
        <v>200000</v>
      </c>
      <c r="C451">
        <v>200000</v>
      </c>
      <c r="D451" t="str">
        <f>VLOOKUP(A451,Лист2!A:E,5,0)</f>
        <v>малые</v>
      </c>
      <c r="E451">
        <f>VLOOKUP(A451,Лист2!A:E,4,0)</f>
        <v>2.5</v>
      </c>
      <c r="F451" s="12">
        <f t="shared" si="27"/>
        <v>0</v>
      </c>
      <c r="G451">
        <f t="shared" si="28"/>
        <v>80000</v>
      </c>
      <c r="H451">
        <f t="shared" si="29"/>
        <v>0</v>
      </c>
    </row>
    <row r="452" spans="1:8">
      <c r="A452" t="s">
        <v>18</v>
      </c>
      <c r="B452">
        <v>2049000</v>
      </c>
      <c r="C452">
        <v>2049000</v>
      </c>
      <c r="D452" t="str">
        <f>VLOOKUP(A452,Лист2!A:E,5,0)</f>
        <v>малые</v>
      </c>
      <c r="E452">
        <f>VLOOKUP(A452,Лист2!A:E,4,0)</f>
        <v>2.5</v>
      </c>
      <c r="F452" s="12">
        <f t="shared" si="27"/>
        <v>0</v>
      </c>
      <c r="G452">
        <f t="shared" si="28"/>
        <v>819600</v>
      </c>
      <c r="H452">
        <f t="shared" si="29"/>
        <v>0</v>
      </c>
    </row>
    <row r="453" spans="1:8">
      <c r="A453" t="s">
        <v>18</v>
      </c>
      <c r="B453">
        <v>884000</v>
      </c>
      <c r="C453">
        <v>865000</v>
      </c>
      <c r="D453" t="str">
        <f>VLOOKUP(A453,Лист2!A:E,5,0)</f>
        <v>малые</v>
      </c>
      <c r="E453">
        <f>VLOOKUP(A453,Лист2!A:E,4,0)</f>
        <v>2.5</v>
      </c>
      <c r="F453" s="12">
        <f t="shared" si="27"/>
        <v>19000</v>
      </c>
      <c r="G453">
        <f t="shared" si="28"/>
        <v>353600</v>
      </c>
      <c r="H453">
        <f t="shared" si="29"/>
        <v>7600</v>
      </c>
    </row>
    <row r="454" spans="1:8">
      <c r="A454" t="s">
        <v>22</v>
      </c>
      <c r="B454">
        <v>37773000</v>
      </c>
      <c r="C454">
        <v>37871000</v>
      </c>
      <c r="D454" t="str">
        <f>VLOOKUP(A454,Лист2!A:E,5,0)</f>
        <v>малые</v>
      </c>
      <c r="E454">
        <f>VLOOKUP(A454,Лист2!A:E,4,0)</f>
        <v>13</v>
      </c>
      <c r="F454" s="12">
        <f t="shared" si="27"/>
        <v>-98000</v>
      </c>
      <c r="G454">
        <f t="shared" si="28"/>
        <v>2905615.3846153845</v>
      </c>
      <c r="H454">
        <f t="shared" si="29"/>
        <v>-7538.4615384615381</v>
      </c>
    </row>
    <row r="455" spans="1:8">
      <c r="A455" t="s">
        <v>18</v>
      </c>
      <c r="B455">
        <v>3594000</v>
      </c>
      <c r="C455">
        <v>4489000</v>
      </c>
      <c r="D455" t="str">
        <f>VLOOKUP(A455,Лист2!A:E,5,0)</f>
        <v>малые</v>
      </c>
      <c r="E455">
        <f>VLOOKUP(A455,Лист2!A:E,4,0)</f>
        <v>2.5</v>
      </c>
      <c r="F455" s="12">
        <f t="shared" si="27"/>
        <v>-895000</v>
      </c>
      <c r="G455">
        <f t="shared" si="28"/>
        <v>1437600</v>
      </c>
      <c r="H455">
        <f t="shared" si="29"/>
        <v>-358000</v>
      </c>
    </row>
    <row r="456" spans="1:8">
      <c r="A456" t="s">
        <v>77</v>
      </c>
      <c r="B456">
        <v>44349000</v>
      </c>
      <c r="C456">
        <v>53518000</v>
      </c>
      <c r="D456" t="str">
        <f>VLOOKUP(A456,Лист2!A:E,5,0)</f>
        <v>малые</v>
      </c>
      <c r="E456">
        <f>VLOOKUP(A456,Лист2!A:E,4,0)</f>
        <v>8</v>
      </c>
      <c r="F456" s="12">
        <f t="shared" si="27"/>
        <v>-9169000</v>
      </c>
      <c r="G456">
        <f t="shared" si="28"/>
        <v>5543625</v>
      </c>
      <c r="H456">
        <f t="shared" si="29"/>
        <v>-1146125</v>
      </c>
    </row>
    <row r="457" spans="1:8">
      <c r="A457" t="s">
        <v>18</v>
      </c>
      <c r="B457">
        <v>2812000</v>
      </c>
      <c r="C457">
        <v>2847000</v>
      </c>
      <c r="D457" t="str">
        <f>VLOOKUP(A457,Лист2!A:E,5,0)</f>
        <v>малые</v>
      </c>
      <c r="E457">
        <f>VLOOKUP(A457,Лист2!A:E,4,0)</f>
        <v>2.5</v>
      </c>
      <c r="F457" s="12">
        <f t="shared" si="27"/>
        <v>-35000</v>
      </c>
      <c r="G457">
        <f t="shared" si="28"/>
        <v>1124800</v>
      </c>
      <c r="H457">
        <f t="shared" si="29"/>
        <v>-14000</v>
      </c>
    </row>
    <row r="458" spans="1:8">
      <c r="A458" t="s">
        <v>18</v>
      </c>
      <c r="B458">
        <v>2356000</v>
      </c>
      <c r="C458">
        <v>1348000</v>
      </c>
      <c r="D458" t="str">
        <f>VLOOKUP(A458,Лист2!A:E,5,0)</f>
        <v>малые</v>
      </c>
      <c r="E458">
        <f>VLOOKUP(A458,Лист2!A:E,4,0)</f>
        <v>2.5</v>
      </c>
      <c r="F458" s="12">
        <f t="shared" si="27"/>
        <v>1008000</v>
      </c>
      <c r="G458">
        <f t="shared" si="28"/>
        <v>942400</v>
      </c>
      <c r="H458">
        <f t="shared" si="29"/>
        <v>403200</v>
      </c>
    </row>
    <row r="459" spans="1:8">
      <c r="A459" t="s">
        <v>18</v>
      </c>
      <c r="B459">
        <v>3953000</v>
      </c>
      <c r="C459">
        <v>4100000</v>
      </c>
      <c r="D459" t="str">
        <f>VLOOKUP(A459,Лист2!A:E,5,0)</f>
        <v>малые</v>
      </c>
      <c r="E459">
        <f>VLOOKUP(A459,Лист2!A:E,4,0)</f>
        <v>2.5</v>
      </c>
      <c r="F459" s="12">
        <f t="shared" si="27"/>
        <v>-147000</v>
      </c>
      <c r="G459">
        <f t="shared" si="28"/>
        <v>1581200</v>
      </c>
      <c r="H459">
        <f t="shared" si="29"/>
        <v>-58800</v>
      </c>
    </row>
    <row r="460" spans="1:8">
      <c r="A460" t="s">
        <v>18</v>
      </c>
      <c r="B460">
        <v>339000</v>
      </c>
      <c r="C460">
        <v>678000</v>
      </c>
      <c r="D460" t="str">
        <f>VLOOKUP(A460,Лист2!A:E,5,0)</f>
        <v>малые</v>
      </c>
      <c r="E460">
        <f>VLOOKUP(A460,Лист2!A:E,4,0)</f>
        <v>2.5</v>
      </c>
      <c r="F460" s="12">
        <f t="shared" si="27"/>
        <v>-339000</v>
      </c>
      <c r="G460">
        <f t="shared" si="28"/>
        <v>135600</v>
      </c>
      <c r="H460">
        <f t="shared" si="29"/>
        <v>-135600</v>
      </c>
    </row>
    <row r="461" spans="1:8">
      <c r="A461" t="s">
        <v>18</v>
      </c>
      <c r="B461">
        <v>1631000</v>
      </c>
      <c r="C461">
        <v>900000</v>
      </c>
      <c r="D461" t="str">
        <f>VLOOKUP(A461,Лист2!A:E,5,0)</f>
        <v>малые</v>
      </c>
      <c r="E461">
        <f>VLOOKUP(A461,Лист2!A:E,4,0)</f>
        <v>2.5</v>
      </c>
      <c r="F461" s="12">
        <f t="shared" si="27"/>
        <v>731000</v>
      </c>
      <c r="G461">
        <f t="shared" si="28"/>
        <v>652400</v>
      </c>
      <c r="H461">
        <f t="shared" si="29"/>
        <v>292400</v>
      </c>
    </row>
    <row r="462" spans="1:8">
      <c r="A462" t="s">
        <v>77</v>
      </c>
      <c r="B462">
        <v>254864000</v>
      </c>
      <c r="C462">
        <v>255590000</v>
      </c>
      <c r="D462" t="str">
        <f>VLOOKUP(A462,Лист2!A:E,5,0)</f>
        <v>малые</v>
      </c>
      <c r="E462">
        <f>VLOOKUP(A462,Лист2!A:E,4,0)</f>
        <v>8</v>
      </c>
      <c r="F462" s="12">
        <f t="shared" si="27"/>
        <v>-726000</v>
      </c>
      <c r="G462">
        <f t="shared" si="28"/>
        <v>31858000</v>
      </c>
      <c r="H462">
        <f t="shared" si="29"/>
        <v>-90750</v>
      </c>
    </row>
    <row r="463" spans="1:8">
      <c r="A463" t="s">
        <v>18</v>
      </c>
      <c r="B463">
        <v>216914000</v>
      </c>
      <c r="C463">
        <v>209119000</v>
      </c>
      <c r="D463" t="str">
        <f>VLOOKUP(A463,Лист2!A:E,5,0)</f>
        <v>малые</v>
      </c>
      <c r="E463">
        <f>VLOOKUP(A463,Лист2!A:E,4,0)</f>
        <v>2.5</v>
      </c>
      <c r="F463" s="12">
        <f t="shared" si="27"/>
        <v>7795000</v>
      </c>
      <c r="G463">
        <f t="shared" si="28"/>
        <v>86765600</v>
      </c>
      <c r="H463">
        <f t="shared" si="29"/>
        <v>3118000</v>
      </c>
    </row>
    <row r="464" spans="1:8">
      <c r="A464" t="s">
        <v>18</v>
      </c>
      <c r="B464">
        <v>90999000</v>
      </c>
      <c r="C464">
        <v>89946000</v>
      </c>
      <c r="D464" t="str">
        <f>VLOOKUP(A464,Лист2!A:E,5,0)</f>
        <v>малые</v>
      </c>
      <c r="E464">
        <f>VLOOKUP(A464,Лист2!A:E,4,0)</f>
        <v>2.5</v>
      </c>
      <c r="F464" s="12">
        <f t="shared" si="27"/>
        <v>1053000</v>
      </c>
      <c r="G464">
        <f t="shared" si="28"/>
        <v>36399600</v>
      </c>
      <c r="H464">
        <f t="shared" si="29"/>
        <v>421200</v>
      </c>
    </row>
    <row r="465" spans="1:8">
      <c r="A465" t="s">
        <v>22</v>
      </c>
      <c r="B465">
        <v>53232000</v>
      </c>
      <c r="C465">
        <v>54305000</v>
      </c>
      <c r="D465" t="str">
        <f>VLOOKUP(A465,Лист2!A:E,5,0)</f>
        <v>малые</v>
      </c>
      <c r="E465">
        <f>VLOOKUP(A465,Лист2!A:E,4,0)</f>
        <v>13</v>
      </c>
      <c r="F465" s="12">
        <f t="shared" si="27"/>
        <v>-1073000</v>
      </c>
      <c r="G465">
        <f t="shared" si="28"/>
        <v>4094769.230769231</v>
      </c>
      <c r="H465">
        <f t="shared" si="29"/>
        <v>-82538.461538461532</v>
      </c>
    </row>
    <row r="466" spans="1:8">
      <c r="A466" t="s">
        <v>22</v>
      </c>
      <c r="B466">
        <v>2371000</v>
      </c>
      <c r="C466">
        <v>3909000</v>
      </c>
      <c r="D466" t="str">
        <f>VLOOKUP(A466,Лист2!A:E,5,0)</f>
        <v>малые</v>
      </c>
      <c r="E466">
        <f>VLOOKUP(A466,Лист2!A:E,4,0)</f>
        <v>13</v>
      </c>
      <c r="F466" s="12">
        <f t="shared" si="27"/>
        <v>-1538000</v>
      </c>
      <c r="G466">
        <f t="shared" si="28"/>
        <v>182384.61538461538</v>
      </c>
      <c r="H466">
        <f t="shared" si="29"/>
        <v>-118307.69230769231</v>
      </c>
    </row>
    <row r="467" spans="1:8">
      <c r="A467" t="s">
        <v>18</v>
      </c>
      <c r="B467">
        <v>1532000</v>
      </c>
      <c r="C467">
        <v>1532000</v>
      </c>
      <c r="D467" t="str">
        <f>VLOOKUP(A467,Лист2!A:E,5,0)</f>
        <v>малые</v>
      </c>
      <c r="E467">
        <f>VLOOKUP(A467,Лист2!A:E,4,0)</f>
        <v>2.5</v>
      </c>
      <c r="F467" s="12">
        <f t="shared" si="27"/>
        <v>0</v>
      </c>
      <c r="G467">
        <f t="shared" si="28"/>
        <v>612800</v>
      </c>
      <c r="H467">
        <f t="shared" si="29"/>
        <v>0</v>
      </c>
    </row>
    <row r="468" spans="1:8">
      <c r="A468" t="s">
        <v>18</v>
      </c>
      <c r="B468">
        <v>576000</v>
      </c>
      <c r="C468">
        <v>555000</v>
      </c>
      <c r="D468" t="str">
        <f>VLOOKUP(A468,Лист2!A:E,5,0)</f>
        <v>малые</v>
      </c>
      <c r="E468">
        <f>VLOOKUP(A468,Лист2!A:E,4,0)</f>
        <v>2.5</v>
      </c>
      <c r="F468" s="12">
        <f t="shared" si="27"/>
        <v>21000</v>
      </c>
      <c r="G468">
        <f t="shared" si="28"/>
        <v>230400</v>
      </c>
      <c r="H468">
        <f t="shared" si="29"/>
        <v>8400</v>
      </c>
    </row>
    <row r="469" spans="1:8">
      <c r="A469" t="s">
        <v>18</v>
      </c>
      <c r="B469">
        <v>8815000</v>
      </c>
      <c r="C469">
        <v>9946000</v>
      </c>
      <c r="D469" t="str">
        <f>VLOOKUP(A469,Лист2!A:E,5,0)</f>
        <v>малые</v>
      </c>
      <c r="E469">
        <f>VLOOKUP(A469,Лист2!A:E,4,0)</f>
        <v>2.5</v>
      </c>
      <c r="F469" s="12">
        <f t="shared" si="27"/>
        <v>-1131000</v>
      </c>
      <c r="G469">
        <f t="shared" si="28"/>
        <v>3526000</v>
      </c>
      <c r="H469">
        <f t="shared" si="29"/>
        <v>-452400</v>
      </c>
    </row>
    <row r="470" spans="1:8">
      <c r="A470" t="s">
        <v>18</v>
      </c>
      <c r="B470">
        <v>200000</v>
      </c>
      <c r="C470">
        <v>200000</v>
      </c>
      <c r="D470" t="str">
        <f>VLOOKUP(A470,Лист2!A:E,5,0)</f>
        <v>малые</v>
      </c>
      <c r="E470">
        <f>VLOOKUP(A470,Лист2!A:E,4,0)</f>
        <v>2.5</v>
      </c>
      <c r="F470" s="12">
        <f t="shared" ref="F470:F506" si="30">B470-C470</f>
        <v>0</v>
      </c>
      <c r="G470">
        <f t="shared" ref="G470:G506" si="31">B470/E470</f>
        <v>80000</v>
      </c>
      <c r="H470">
        <f t="shared" ref="H470:H506" si="32">F470/E470</f>
        <v>0</v>
      </c>
    </row>
    <row r="471" spans="1:8">
      <c r="A471" t="s">
        <v>18</v>
      </c>
      <c r="B471">
        <v>660000</v>
      </c>
      <c r="C471">
        <v>659000</v>
      </c>
      <c r="D471" t="str">
        <f>VLOOKUP(A471,Лист2!A:E,5,0)</f>
        <v>малые</v>
      </c>
      <c r="E471">
        <f>VLOOKUP(A471,Лист2!A:E,4,0)</f>
        <v>2.5</v>
      </c>
      <c r="F471" s="12">
        <f t="shared" si="30"/>
        <v>1000</v>
      </c>
      <c r="G471">
        <f t="shared" si="31"/>
        <v>264000</v>
      </c>
      <c r="H471">
        <f t="shared" si="32"/>
        <v>400</v>
      </c>
    </row>
    <row r="472" spans="1:8">
      <c r="A472" t="s">
        <v>18</v>
      </c>
      <c r="B472">
        <v>7000</v>
      </c>
      <c r="C472">
        <v>6000</v>
      </c>
      <c r="D472" t="str">
        <f>VLOOKUP(A472,Лист2!A:E,5,0)</f>
        <v>малые</v>
      </c>
      <c r="E472">
        <f>VLOOKUP(A472,Лист2!A:E,4,0)</f>
        <v>2.5</v>
      </c>
      <c r="F472" s="12">
        <f t="shared" si="30"/>
        <v>1000</v>
      </c>
      <c r="G472">
        <f t="shared" si="31"/>
        <v>2800</v>
      </c>
      <c r="H472">
        <f t="shared" si="32"/>
        <v>400</v>
      </c>
    </row>
    <row r="473" spans="1:8">
      <c r="A473" t="s">
        <v>18</v>
      </c>
      <c r="B473">
        <v>2557000</v>
      </c>
      <c r="C473">
        <v>3099000</v>
      </c>
      <c r="D473" t="str">
        <f>VLOOKUP(A473,Лист2!A:E,5,0)</f>
        <v>малые</v>
      </c>
      <c r="E473">
        <f>VLOOKUP(A473,Лист2!A:E,4,0)</f>
        <v>2.5</v>
      </c>
      <c r="F473" s="12">
        <f t="shared" si="30"/>
        <v>-542000</v>
      </c>
      <c r="G473">
        <f t="shared" si="31"/>
        <v>1022800</v>
      </c>
      <c r="H473">
        <f t="shared" si="32"/>
        <v>-216800</v>
      </c>
    </row>
    <row r="474" spans="1:8">
      <c r="A474" t="s">
        <v>18</v>
      </c>
      <c r="B474">
        <v>14874000</v>
      </c>
      <c r="C474">
        <v>12846000</v>
      </c>
      <c r="D474" t="str">
        <f>VLOOKUP(A474,Лист2!A:E,5,0)</f>
        <v>малые</v>
      </c>
      <c r="E474">
        <f>VLOOKUP(A474,Лист2!A:E,4,0)</f>
        <v>2.5</v>
      </c>
      <c r="F474" s="12">
        <f t="shared" si="30"/>
        <v>2028000</v>
      </c>
      <c r="G474">
        <f t="shared" si="31"/>
        <v>5949600</v>
      </c>
      <c r="H474">
        <f t="shared" si="32"/>
        <v>811200</v>
      </c>
    </row>
    <row r="475" spans="1:8">
      <c r="A475" t="s">
        <v>18</v>
      </c>
      <c r="B475">
        <v>2846000</v>
      </c>
      <c r="C475">
        <v>641000</v>
      </c>
      <c r="D475" t="str">
        <f>VLOOKUP(A475,Лист2!A:E,5,0)</f>
        <v>малые</v>
      </c>
      <c r="E475">
        <f>VLOOKUP(A475,Лист2!A:E,4,0)</f>
        <v>2.5</v>
      </c>
      <c r="F475" s="12">
        <f t="shared" si="30"/>
        <v>2205000</v>
      </c>
      <c r="G475">
        <f t="shared" si="31"/>
        <v>1138400</v>
      </c>
      <c r="H475">
        <f t="shared" si="32"/>
        <v>882000</v>
      </c>
    </row>
    <row r="476" spans="1:8">
      <c r="A476" t="s">
        <v>18</v>
      </c>
      <c r="B476">
        <v>2754000</v>
      </c>
      <c r="C476">
        <v>2862000</v>
      </c>
      <c r="D476" t="str">
        <f>VLOOKUP(A476,Лист2!A:E,5,0)</f>
        <v>малые</v>
      </c>
      <c r="E476">
        <f>VLOOKUP(A476,Лист2!A:E,4,0)</f>
        <v>2.5</v>
      </c>
      <c r="F476" s="12">
        <f t="shared" si="30"/>
        <v>-108000</v>
      </c>
      <c r="G476">
        <f t="shared" si="31"/>
        <v>1101600</v>
      </c>
      <c r="H476">
        <f t="shared" si="32"/>
        <v>-43200</v>
      </c>
    </row>
    <row r="477" spans="1:8">
      <c r="A477" t="s">
        <v>18</v>
      </c>
      <c r="B477">
        <v>424000</v>
      </c>
      <c r="C477">
        <v>342000</v>
      </c>
      <c r="D477" t="str">
        <f>VLOOKUP(A477,Лист2!A:E,5,0)</f>
        <v>малые</v>
      </c>
      <c r="E477">
        <f>VLOOKUP(A477,Лист2!A:E,4,0)</f>
        <v>2.5</v>
      </c>
      <c r="F477" s="12">
        <f t="shared" si="30"/>
        <v>82000</v>
      </c>
      <c r="G477">
        <f t="shared" si="31"/>
        <v>169600</v>
      </c>
      <c r="H477">
        <f t="shared" si="32"/>
        <v>32800</v>
      </c>
    </row>
    <row r="478" spans="1:8">
      <c r="A478" t="s">
        <v>18</v>
      </c>
      <c r="B478">
        <v>68000</v>
      </c>
      <c r="C478">
        <v>41000</v>
      </c>
      <c r="D478" t="str">
        <f>VLOOKUP(A478,Лист2!A:E,5,0)</f>
        <v>малые</v>
      </c>
      <c r="E478">
        <f>VLOOKUP(A478,Лист2!A:E,4,0)</f>
        <v>2.5</v>
      </c>
      <c r="F478" s="12">
        <f t="shared" si="30"/>
        <v>27000</v>
      </c>
      <c r="G478">
        <f t="shared" si="31"/>
        <v>27200</v>
      </c>
      <c r="H478">
        <f t="shared" si="32"/>
        <v>10800</v>
      </c>
    </row>
    <row r="479" spans="1:8">
      <c r="A479" t="s">
        <v>18</v>
      </c>
      <c r="B479">
        <v>1350000</v>
      </c>
      <c r="C479">
        <v>1344000</v>
      </c>
      <c r="D479" t="str">
        <f>VLOOKUP(A479,Лист2!A:E,5,0)</f>
        <v>малые</v>
      </c>
      <c r="E479">
        <f>VLOOKUP(A479,Лист2!A:E,4,0)</f>
        <v>2.5</v>
      </c>
      <c r="F479" s="12">
        <f t="shared" si="30"/>
        <v>6000</v>
      </c>
      <c r="G479">
        <f t="shared" si="31"/>
        <v>540000</v>
      </c>
      <c r="H479">
        <f t="shared" si="32"/>
        <v>2400</v>
      </c>
    </row>
    <row r="480" spans="1:8">
      <c r="A480" t="s">
        <v>18</v>
      </c>
      <c r="B480">
        <v>52000</v>
      </c>
      <c r="C480">
        <v>158000</v>
      </c>
      <c r="D480" t="str">
        <f>VLOOKUP(A480,Лист2!A:E,5,0)</f>
        <v>малые</v>
      </c>
      <c r="E480">
        <f>VLOOKUP(A480,Лист2!A:E,4,0)</f>
        <v>2.5</v>
      </c>
      <c r="F480" s="12">
        <f t="shared" si="30"/>
        <v>-106000</v>
      </c>
      <c r="G480">
        <f t="shared" si="31"/>
        <v>20800</v>
      </c>
      <c r="H480">
        <f t="shared" si="32"/>
        <v>-42400</v>
      </c>
    </row>
    <row r="481" spans="1:8">
      <c r="A481" t="s">
        <v>18</v>
      </c>
      <c r="B481">
        <v>11431000</v>
      </c>
      <c r="C481">
        <v>11503000</v>
      </c>
      <c r="D481" t="str">
        <f>VLOOKUP(A481,Лист2!A:E,5,0)</f>
        <v>малые</v>
      </c>
      <c r="E481">
        <f>VLOOKUP(A481,Лист2!A:E,4,0)</f>
        <v>2.5</v>
      </c>
      <c r="F481" s="12">
        <f t="shared" si="30"/>
        <v>-72000</v>
      </c>
      <c r="G481">
        <f t="shared" si="31"/>
        <v>4572400</v>
      </c>
      <c r="H481">
        <f t="shared" si="32"/>
        <v>-28800</v>
      </c>
    </row>
    <row r="482" spans="1:8">
      <c r="A482" t="s">
        <v>18</v>
      </c>
      <c r="B482">
        <v>5846000</v>
      </c>
      <c r="C482">
        <v>5939000</v>
      </c>
      <c r="D482" t="str">
        <f>VLOOKUP(A482,Лист2!A:E,5,0)</f>
        <v>малые</v>
      </c>
      <c r="E482">
        <f>VLOOKUP(A482,Лист2!A:E,4,0)</f>
        <v>2.5</v>
      </c>
      <c r="F482" s="12">
        <f t="shared" si="30"/>
        <v>-93000</v>
      </c>
      <c r="G482">
        <f t="shared" si="31"/>
        <v>2338400</v>
      </c>
      <c r="H482">
        <f t="shared" si="32"/>
        <v>-37200</v>
      </c>
    </row>
    <row r="483" spans="1:8">
      <c r="A483" t="s">
        <v>18</v>
      </c>
      <c r="B483">
        <v>1384000</v>
      </c>
      <c r="C483">
        <v>1379000</v>
      </c>
      <c r="D483" t="str">
        <f>VLOOKUP(A483,Лист2!A:E,5,0)</f>
        <v>малые</v>
      </c>
      <c r="E483">
        <f>VLOOKUP(A483,Лист2!A:E,4,0)</f>
        <v>2.5</v>
      </c>
      <c r="F483" s="12">
        <f t="shared" si="30"/>
        <v>5000</v>
      </c>
      <c r="G483">
        <f t="shared" si="31"/>
        <v>553600</v>
      </c>
      <c r="H483">
        <f t="shared" si="32"/>
        <v>2000</v>
      </c>
    </row>
    <row r="484" spans="1:8">
      <c r="A484" t="s">
        <v>18</v>
      </c>
      <c r="B484">
        <v>1238000</v>
      </c>
      <c r="C484">
        <v>1171000</v>
      </c>
      <c r="D484" t="str">
        <f>VLOOKUP(A484,Лист2!A:E,5,0)</f>
        <v>малые</v>
      </c>
      <c r="E484">
        <f>VLOOKUP(A484,Лист2!A:E,4,0)</f>
        <v>2.5</v>
      </c>
      <c r="F484" s="12">
        <f t="shared" si="30"/>
        <v>67000</v>
      </c>
      <c r="G484">
        <f t="shared" si="31"/>
        <v>495200</v>
      </c>
      <c r="H484">
        <f t="shared" si="32"/>
        <v>26800</v>
      </c>
    </row>
    <row r="485" spans="1:8">
      <c r="A485" t="s">
        <v>18</v>
      </c>
      <c r="B485">
        <v>2478000</v>
      </c>
      <c r="C485">
        <v>2326000</v>
      </c>
      <c r="D485" t="str">
        <f>VLOOKUP(A485,Лист2!A:E,5,0)</f>
        <v>малые</v>
      </c>
      <c r="E485">
        <f>VLOOKUP(A485,Лист2!A:E,4,0)</f>
        <v>2.5</v>
      </c>
      <c r="F485" s="12">
        <f t="shared" si="30"/>
        <v>152000</v>
      </c>
      <c r="G485">
        <f t="shared" si="31"/>
        <v>991200</v>
      </c>
      <c r="H485">
        <f t="shared" si="32"/>
        <v>60800</v>
      </c>
    </row>
    <row r="486" spans="1:8">
      <c r="A486" t="s">
        <v>18</v>
      </c>
      <c r="B486">
        <v>2926000</v>
      </c>
      <c r="C486">
        <v>2590000</v>
      </c>
      <c r="D486" t="str">
        <f>VLOOKUP(A486,Лист2!A:E,5,0)</f>
        <v>малые</v>
      </c>
      <c r="E486">
        <f>VLOOKUP(A486,Лист2!A:E,4,0)</f>
        <v>2.5</v>
      </c>
      <c r="F486" s="12">
        <f t="shared" si="30"/>
        <v>336000</v>
      </c>
      <c r="G486">
        <f t="shared" si="31"/>
        <v>1170400</v>
      </c>
      <c r="H486">
        <f t="shared" si="32"/>
        <v>134400</v>
      </c>
    </row>
    <row r="487" spans="1:8">
      <c r="A487" t="s">
        <v>18</v>
      </c>
      <c r="B487">
        <v>180000</v>
      </c>
      <c r="C487">
        <v>1465000</v>
      </c>
      <c r="D487" t="str">
        <f>VLOOKUP(A487,Лист2!A:E,5,0)</f>
        <v>малые</v>
      </c>
      <c r="E487">
        <f>VLOOKUP(A487,Лист2!A:E,4,0)</f>
        <v>2.5</v>
      </c>
      <c r="F487" s="12">
        <f t="shared" si="30"/>
        <v>-1285000</v>
      </c>
      <c r="G487">
        <f t="shared" si="31"/>
        <v>72000</v>
      </c>
      <c r="H487">
        <f t="shared" si="32"/>
        <v>-514000</v>
      </c>
    </row>
    <row r="488" spans="1:8">
      <c r="A488" t="s">
        <v>18</v>
      </c>
      <c r="B488">
        <v>4199000</v>
      </c>
      <c r="C488">
        <v>2151000</v>
      </c>
      <c r="D488" t="str">
        <f>VLOOKUP(A488,Лист2!A:E,5,0)</f>
        <v>малые</v>
      </c>
      <c r="E488">
        <f>VLOOKUP(A488,Лист2!A:E,4,0)</f>
        <v>2.5</v>
      </c>
      <c r="F488" s="12">
        <f t="shared" si="30"/>
        <v>2048000</v>
      </c>
      <c r="G488">
        <f t="shared" si="31"/>
        <v>1679600</v>
      </c>
      <c r="H488">
        <f t="shared" si="32"/>
        <v>819200</v>
      </c>
    </row>
    <row r="489" spans="1:8">
      <c r="A489" t="s">
        <v>18</v>
      </c>
      <c r="B489">
        <v>228000</v>
      </c>
      <c r="C489">
        <v>85000</v>
      </c>
      <c r="D489" t="str">
        <f>VLOOKUP(A489,Лист2!A:E,5,0)</f>
        <v>малые</v>
      </c>
      <c r="E489">
        <f>VLOOKUP(A489,Лист2!A:E,4,0)</f>
        <v>2.5</v>
      </c>
      <c r="F489" s="12">
        <f t="shared" si="30"/>
        <v>143000</v>
      </c>
      <c r="G489">
        <f t="shared" si="31"/>
        <v>91200</v>
      </c>
      <c r="H489">
        <f t="shared" si="32"/>
        <v>57200</v>
      </c>
    </row>
    <row r="490" spans="1:8">
      <c r="A490" t="s">
        <v>22</v>
      </c>
      <c r="B490">
        <v>11048000</v>
      </c>
      <c r="C490">
        <v>13287000</v>
      </c>
      <c r="D490" t="str">
        <f>VLOOKUP(A490,Лист2!A:E,5,0)</f>
        <v>малые</v>
      </c>
      <c r="E490">
        <f>VLOOKUP(A490,Лист2!A:E,4,0)</f>
        <v>13</v>
      </c>
      <c r="F490" s="12">
        <f t="shared" si="30"/>
        <v>-2239000</v>
      </c>
      <c r="G490">
        <f t="shared" si="31"/>
        <v>849846.15384615387</v>
      </c>
      <c r="H490">
        <f t="shared" si="32"/>
        <v>-172230.76923076922</v>
      </c>
    </row>
    <row r="491" spans="1:8">
      <c r="A491" t="s">
        <v>18</v>
      </c>
      <c r="B491">
        <v>280000</v>
      </c>
      <c r="C491">
        <v>34000</v>
      </c>
      <c r="D491" t="str">
        <f>VLOOKUP(A491,Лист2!A:E,5,0)</f>
        <v>малые</v>
      </c>
      <c r="E491">
        <f>VLOOKUP(A491,Лист2!A:E,4,0)</f>
        <v>2.5</v>
      </c>
      <c r="F491" s="12">
        <f t="shared" si="30"/>
        <v>246000</v>
      </c>
      <c r="G491">
        <f t="shared" si="31"/>
        <v>112000</v>
      </c>
      <c r="H491">
        <f t="shared" si="32"/>
        <v>98400</v>
      </c>
    </row>
    <row r="492" spans="1:8">
      <c r="A492" t="s">
        <v>18</v>
      </c>
      <c r="B492">
        <v>50000</v>
      </c>
      <c r="C492">
        <v>62000</v>
      </c>
      <c r="D492" t="str">
        <f>VLOOKUP(A492,Лист2!A:E,5,0)</f>
        <v>малые</v>
      </c>
      <c r="E492">
        <f>VLOOKUP(A492,Лист2!A:E,4,0)</f>
        <v>2.5</v>
      </c>
      <c r="F492" s="12">
        <f t="shared" si="30"/>
        <v>-12000</v>
      </c>
      <c r="G492">
        <f t="shared" si="31"/>
        <v>20000</v>
      </c>
      <c r="H492">
        <f t="shared" si="32"/>
        <v>-4800</v>
      </c>
    </row>
    <row r="493" spans="1:8">
      <c r="A493" t="s">
        <v>18</v>
      </c>
      <c r="B493">
        <v>137321000</v>
      </c>
      <c r="C493">
        <v>119956000</v>
      </c>
      <c r="D493" t="str">
        <f>VLOOKUP(A493,Лист2!A:E,5,0)</f>
        <v>малые</v>
      </c>
      <c r="E493">
        <f>VLOOKUP(A493,Лист2!A:E,4,0)</f>
        <v>2.5</v>
      </c>
      <c r="F493" s="12">
        <f t="shared" si="30"/>
        <v>17365000</v>
      </c>
      <c r="G493">
        <f t="shared" si="31"/>
        <v>54928400</v>
      </c>
      <c r="H493">
        <f t="shared" si="32"/>
        <v>6946000</v>
      </c>
    </row>
    <row r="494" spans="1:8">
      <c r="A494" t="s">
        <v>18</v>
      </c>
      <c r="B494">
        <v>1238000</v>
      </c>
      <c r="C494">
        <v>1264000</v>
      </c>
      <c r="D494" t="str">
        <f>VLOOKUP(A494,Лист2!A:E,5,0)</f>
        <v>малые</v>
      </c>
      <c r="E494">
        <f>VLOOKUP(A494,Лист2!A:E,4,0)</f>
        <v>2.5</v>
      </c>
      <c r="F494" s="12">
        <f t="shared" si="30"/>
        <v>-26000</v>
      </c>
      <c r="G494">
        <f t="shared" si="31"/>
        <v>495200</v>
      </c>
      <c r="H494">
        <f t="shared" si="32"/>
        <v>-10400</v>
      </c>
    </row>
    <row r="495" spans="1:8">
      <c r="A495" t="s">
        <v>18</v>
      </c>
      <c r="B495">
        <v>1204000</v>
      </c>
      <c r="C495">
        <v>1144000</v>
      </c>
      <c r="D495" t="str">
        <f>VLOOKUP(A495,Лист2!A:E,5,0)</f>
        <v>малые</v>
      </c>
      <c r="E495">
        <f>VLOOKUP(A495,Лист2!A:E,4,0)</f>
        <v>2.5</v>
      </c>
      <c r="F495" s="12">
        <f t="shared" si="30"/>
        <v>60000</v>
      </c>
      <c r="G495">
        <f t="shared" si="31"/>
        <v>481600</v>
      </c>
      <c r="H495">
        <f t="shared" si="32"/>
        <v>24000</v>
      </c>
    </row>
    <row r="496" spans="1:8">
      <c r="A496" t="s">
        <v>18</v>
      </c>
      <c r="B496">
        <v>1596000</v>
      </c>
      <c r="C496">
        <v>1599000</v>
      </c>
      <c r="D496" t="str">
        <f>VLOOKUP(A496,Лист2!A:E,5,0)</f>
        <v>малые</v>
      </c>
      <c r="E496">
        <f>VLOOKUP(A496,Лист2!A:E,4,0)</f>
        <v>2.5</v>
      </c>
      <c r="F496" s="12">
        <f t="shared" si="30"/>
        <v>-3000</v>
      </c>
      <c r="G496">
        <f t="shared" si="31"/>
        <v>638400</v>
      </c>
      <c r="H496">
        <f t="shared" si="32"/>
        <v>-1200</v>
      </c>
    </row>
    <row r="497" spans="1:8">
      <c r="A497" t="s">
        <v>18</v>
      </c>
      <c r="B497">
        <v>178028000</v>
      </c>
      <c r="C497">
        <v>170429000</v>
      </c>
      <c r="D497" t="str">
        <f>VLOOKUP(A497,Лист2!A:E,5,0)</f>
        <v>малые</v>
      </c>
      <c r="E497">
        <f>VLOOKUP(A497,Лист2!A:E,4,0)</f>
        <v>2.5</v>
      </c>
      <c r="F497" s="12">
        <f t="shared" si="30"/>
        <v>7599000</v>
      </c>
      <c r="G497">
        <f t="shared" si="31"/>
        <v>71211200</v>
      </c>
      <c r="H497">
        <f t="shared" si="32"/>
        <v>3039600</v>
      </c>
    </row>
    <row r="498" spans="1:8">
      <c r="A498" t="s">
        <v>18</v>
      </c>
      <c r="B498">
        <v>184000</v>
      </c>
      <c r="C498">
        <v>284000</v>
      </c>
      <c r="D498" t="str">
        <f>VLOOKUP(A498,Лист2!A:E,5,0)</f>
        <v>малые</v>
      </c>
      <c r="E498">
        <f>VLOOKUP(A498,Лист2!A:E,4,0)</f>
        <v>2.5</v>
      </c>
      <c r="F498" s="12">
        <f t="shared" si="30"/>
        <v>-100000</v>
      </c>
      <c r="G498">
        <f t="shared" si="31"/>
        <v>73600</v>
      </c>
      <c r="H498">
        <f t="shared" si="32"/>
        <v>-40000</v>
      </c>
    </row>
    <row r="499" spans="1:8">
      <c r="A499" t="s">
        <v>18</v>
      </c>
      <c r="B499">
        <v>192000</v>
      </c>
      <c r="C499">
        <v>10000</v>
      </c>
      <c r="D499" t="str">
        <f>VLOOKUP(A499,Лист2!A:E,5,0)</f>
        <v>малые</v>
      </c>
      <c r="E499">
        <f>VLOOKUP(A499,Лист2!A:E,4,0)</f>
        <v>2.5</v>
      </c>
      <c r="F499" s="12">
        <f t="shared" si="30"/>
        <v>182000</v>
      </c>
      <c r="G499">
        <f t="shared" si="31"/>
        <v>76800</v>
      </c>
      <c r="H499">
        <f t="shared" si="32"/>
        <v>72800</v>
      </c>
    </row>
    <row r="500" spans="1:8">
      <c r="A500" t="s">
        <v>18</v>
      </c>
      <c r="B500">
        <v>2054000</v>
      </c>
      <c r="C500">
        <v>2057000</v>
      </c>
      <c r="D500" t="str">
        <f>VLOOKUP(A500,Лист2!A:E,5,0)</f>
        <v>малые</v>
      </c>
      <c r="E500">
        <f>VLOOKUP(A500,Лист2!A:E,4,0)</f>
        <v>2.5</v>
      </c>
      <c r="F500" s="12">
        <f t="shared" si="30"/>
        <v>-3000</v>
      </c>
      <c r="G500">
        <f t="shared" si="31"/>
        <v>821600</v>
      </c>
      <c r="H500">
        <f t="shared" si="32"/>
        <v>-1200</v>
      </c>
    </row>
    <row r="501" spans="1:8">
      <c r="A501" t="s">
        <v>18</v>
      </c>
      <c r="B501">
        <v>30407000</v>
      </c>
      <c r="C501">
        <v>30407000</v>
      </c>
      <c r="D501" t="str">
        <f>VLOOKUP(A501,Лист2!A:E,5,0)</f>
        <v>малые</v>
      </c>
      <c r="E501">
        <f>VLOOKUP(A501,Лист2!A:E,4,0)</f>
        <v>2.5</v>
      </c>
      <c r="F501" s="12">
        <f t="shared" si="30"/>
        <v>0</v>
      </c>
      <c r="G501">
        <f t="shared" si="31"/>
        <v>12162800</v>
      </c>
      <c r="H501">
        <f t="shared" si="32"/>
        <v>0</v>
      </c>
    </row>
    <row r="502" spans="1:8">
      <c r="A502" t="s">
        <v>18</v>
      </c>
      <c r="B502">
        <v>500000</v>
      </c>
      <c r="C502">
        <v>493000</v>
      </c>
      <c r="D502" t="str">
        <f>VLOOKUP(A502,Лист2!A:E,5,0)</f>
        <v>малые</v>
      </c>
      <c r="E502">
        <f>VLOOKUP(A502,Лист2!A:E,4,0)</f>
        <v>2.5</v>
      </c>
      <c r="F502" s="12">
        <f t="shared" si="30"/>
        <v>7000</v>
      </c>
      <c r="G502">
        <f t="shared" si="31"/>
        <v>200000</v>
      </c>
      <c r="H502">
        <f t="shared" si="32"/>
        <v>2800</v>
      </c>
    </row>
    <row r="503" spans="1:8">
      <c r="A503" t="s">
        <v>18</v>
      </c>
      <c r="B503">
        <v>10000</v>
      </c>
      <c r="C503">
        <v>10000</v>
      </c>
      <c r="D503" t="str">
        <f>VLOOKUP(A503,Лист2!A:E,5,0)</f>
        <v>малые</v>
      </c>
      <c r="E503">
        <f>VLOOKUP(A503,Лист2!A:E,4,0)</f>
        <v>2.5</v>
      </c>
      <c r="F503" s="12">
        <f t="shared" si="30"/>
        <v>0</v>
      </c>
      <c r="G503">
        <f t="shared" si="31"/>
        <v>4000</v>
      </c>
      <c r="H503">
        <f t="shared" si="32"/>
        <v>0</v>
      </c>
    </row>
    <row r="504" spans="1:8">
      <c r="A504" t="s">
        <v>18</v>
      </c>
      <c r="B504">
        <v>3524000</v>
      </c>
      <c r="C504">
        <v>2213000</v>
      </c>
      <c r="D504" t="str">
        <f>VLOOKUP(A504,Лист2!A:E,5,0)</f>
        <v>малые</v>
      </c>
      <c r="E504">
        <f>VLOOKUP(A504,Лист2!A:E,4,0)</f>
        <v>2.5</v>
      </c>
      <c r="F504" s="12">
        <f t="shared" si="30"/>
        <v>1311000</v>
      </c>
      <c r="G504">
        <f t="shared" si="31"/>
        <v>1409600</v>
      </c>
      <c r="H504">
        <f t="shared" si="32"/>
        <v>524400</v>
      </c>
    </row>
    <row r="505" spans="1:8">
      <c r="A505" t="s">
        <v>18</v>
      </c>
      <c r="B505">
        <v>1840000</v>
      </c>
      <c r="C505">
        <v>3747000</v>
      </c>
      <c r="D505" t="str">
        <f>VLOOKUP(A505,Лист2!A:E,5,0)</f>
        <v>малые</v>
      </c>
      <c r="E505">
        <f>VLOOKUP(A505,Лист2!A:E,4,0)</f>
        <v>2.5</v>
      </c>
      <c r="F505" s="12">
        <f t="shared" si="30"/>
        <v>-1907000</v>
      </c>
      <c r="G505">
        <f t="shared" si="31"/>
        <v>736000</v>
      </c>
      <c r="H505">
        <f t="shared" si="32"/>
        <v>-762800</v>
      </c>
    </row>
    <row r="506" spans="1:8">
      <c r="A506" t="s">
        <v>18</v>
      </c>
      <c r="B506">
        <v>2759000</v>
      </c>
      <c r="C506">
        <v>2560000</v>
      </c>
      <c r="D506" t="str">
        <f>VLOOKUP(A506,Лист2!A:E,5,0)</f>
        <v>малые</v>
      </c>
      <c r="E506">
        <f>VLOOKUP(A506,Лист2!A:E,4,0)</f>
        <v>2.5</v>
      </c>
      <c r="F506" s="12">
        <f t="shared" si="30"/>
        <v>199000</v>
      </c>
      <c r="G506">
        <f t="shared" si="31"/>
        <v>1103600</v>
      </c>
      <c r="H506">
        <f t="shared" si="32"/>
        <v>79600</v>
      </c>
    </row>
    <row r="507" spans="1:8">
      <c r="A507" t="s">
        <v>18</v>
      </c>
      <c r="B507">
        <v>2396000</v>
      </c>
      <c r="C507">
        <v>2300000</v>
      </c>
      <c r="D507" t="str">
        <f>VLOOKUP(A507,Лист2!A:E,5,0)</f>
        <v>малые</v>
      </c>
      <c r="E507">
        <f>VLOOKUP(A507,Лист2!A:E,4,0)</f>
        <v>2.5</v>
      </c>
      <c r="F507" s="12">
        <f t="shared" ref="F507:F543" si="33">B507-C507</f>
        <v>96000</v>
      </c>
      <c r="G507">
        <f t="shared" ref="G507:G543" si="34">B507/E507</f>
        <v>958400</v>
      </c>
      <c r="H507">
        <f t="shared" ref="H507:H543" si="35">F507/E507</f>
        <v>38400</v>
      </c>
    </row>
    <row r="508" spans="1:8">
      <c r="A508" t="s">
        <v>18</v>
      </c>
      <c r="B508">
        <v>649000</v>
      </c>
      <c r="C508">
        <v>196000</v>
      </c>
      <c r="D508" t="str">
        <f>VLOOKUP(A508,Лист2!A:E,5,0)</f>
        <v>малые</v>
      </c>
      <c r="E508">
        <f>VLOOKUP(A508,Лист2!A:E,4,0)</f>
        <v>2.5</v>
      </c>
      <c r="F508" s="12">
        <f t="shared" si="33"/>
        <v>453000</v>
      </c>
      <c r="G508">
        <f t="shared" si="34"/>
        <v>259600</v>
      </c>
      <c r="H508">
        <f t="shared" si="35"/>
        <v>181200</v>
      </c>
    </row>
    <row r="509" spans="1:8">
      <c r="A509" t="s">
        <v>18</v>
      </c>
      <c r="B509">
        <v>10194000</v>
      </c>
      <c r="C509">
        <v>3539000</v>
      </c>
      <c r="D509" t="str">
        <f>VLOOKUP(A509,Лист2!A:E,5,0)</f>
        <v>малые</v>
      </c>
      <c r="E509">
        <f>VLOOKUP(A509,Лист2!A:E,4,0)</f>
        <v>2.5</v>
      </c>
      <c r="F509" s="12">
        <f t="shared" si="33"/>
        <v>6655000</v>
      </c>
      <c r="G509">
        <f t="shared" si="34"/>
        <v>4077600</v>
      </c>
      <c r="H509">
        <f t="shared" si="35"/>
        <v>2662000</v>
      </c>
    </row>
    <row r="510" spans="1:8">
      <c r="A510" t="s">
        <v>18</v>
      </c>
      <c r="B510">
        <v>190650000</v>
      </c>
      <c r="C510">
        <v>190666000</v>
      </c>
      <c r="D510" t="str">
        <f>VLOOKUP(A510,Лист2!A:E,5,0)</f>
        <v>малые</v>
      </c>
      <c r="E510">
        <f>VLOOKUP(A510,Лист2!A:E,4,0)</f>
        <v>2.5</v>
      </c>
      <c r="F510" s="12">
        <f t="shared" si="33"/>
        <v>-16000</v>
      </c>
      <c r="G510">
        <f t="shared" si="34"/>
        <v>76260000</v>
      </c>
      <c r="H510">
        <f t="shared" si="35"/>
        <v>-6400</v>
      </c>
    </row>
    <row r="511" spans="1:8">
      <c r="A511" t="s">
        <v>18</v>
      </c>
      <c r="B511">
        <v>750000</v>
      </c>
      <c r="C511">
        <v>300000</v>
      </c>
      <c r="D511" t="str">
        <f>VLOOKUP(A511,Лист2!A:E,5,0)</f>
        <v>малые</v>
      </c>
      <c r="E511">
        <f>VLOOKUP(A511,Лист2!A:E,4,0)</f>
        <v>2.5</v>
      </c>
      <c r="F511" s="12">
        <f t="shared" si="33"/>
        <v>450000</v>
      </c>
      <c r="G511">
        <f t="shared" si="34"/>
        <v>300000</v>
      </c>
      <c r="H511">
        <f t="shared" si="35"/>
        <v>180000</v>
      </c>
    </row>
    <row r="512" spans="1:8">
      <c r="A512" t="s">
        <v>18</v>
      </c>
      <c r="B512">
        <v>276000</v>
      </c>
      <c r="C512">
        <v>172000</v>
      </c>
      <c r="D512" t="str">
        <f>VLOOKUP(A512,Лист2!A:E,5,0)</f>
        <v>малые</v>
      </c>
      <c r="E512">
        <f>VLOOKUP(A512,Лист2!A:E,4,0)</f>
        <v>2.5</v>
      </c>
      <c r="F512" s="12">
        <f t="shared" si="33"/>
        <v>104000</v>
      </c>
      <c r="G512">
        <f t="shared" si="34"/>
        <v>110400</v>
      </c>
      <c r="H512">
        <f t="shared" si="35"/>
        <v>41600</v>
      </c>
    </row>
    <row r="513" spans="1:8">
      <c r="A513" t="s">
        <v>18</v>
      </c>
      <c r="B513">
        <v>153000</v>
      </c>
      <c r="C513">
        <v>10000</v>
      </c>
      <c r="D513" t="str">
        <f>VLOOKUP(A513,Лист2!A:E,5,0)</f>
        <v>малые</v>
      </c>
      <c r="E513">
        <f>VLOOKUP(A513,Лист2!A:E,4,0)</f>
        <v>2.5</v>
      </c>
      <c r="F513" s="12">
        <f t="shared" si="33"/>
        <v>143000</v>
      </c>
      <c r="G513">
        <f t="shared" si="34"/>
        <v>61200</v>
      </c>
      <c r="H513">
        <f t="shared" si="35"/>
        <v>57200</v>
      </c>
    </row>
    <row r="514" spans="1:8">
      <c r="A514" t="s">
        <v>18</v>
      </c>
      <c r="B514">
        <v>50000</v>
      </c>
      <c r="C514">
        <v>232000</v>
      </c>
      <c r="D514" t="str">
        <f>VLOOKUP(A514,Лист2!A:E,5,0)</f>
        <v>малые</v>
      </c>
      <c r="E514">
        <f>VLOOKUP(A514,Лист2!A:E,4,0)</f>
        <v>2.5</v>
      </c>
      <c r="F514" s="12">
        <f t="shared" si="33"/>
        <v>-182000</v>
      </c>
      <c r="G514">
        <f t="shared" si="34"/>
        <v>20000</v>
      </c>
      <c r="H514">
        <f t="shared" si="35"/>
        <v>-72800</v>
      </c>
    </row>
    <row r="515" spans="1:8">
      <c r="A515" t="s">
        <v>18</v>
      </c>
      <c r="B515">
        <v>318000</v>
      </c>
      <c r="C515">
        <v>390000</v>
      </c>
      <c r="D515" t="str">
        <f>VLOOKUP(A515,Лист2!A:E,5,0)</f>
        <v>малые</v>
      </c>
      <c r="E515">
        <f>VLOOKUP(A515,Лист2!A:E,4,0)</f>
        <v>2.5</v>
      </c>
      <c r="F515" s="12">
        <f t="shared" si="33"/>
        <v>-72000</v>
      </c>
      <c r="G515">
        <f t="shared" si="34"/>
        <v>127200</v>
      </c>
      <c r="H515">
        <f t="shared" si="35"/>
        <v>-28800</v>
      </c>
    </row>
    <row r="516" spans="1:8">
      <c r="A516" t="s">
        <v>18</v>
      </c>
      <c r="B516">
        <v>600000</v>
      </c>
      <c r="C516">
        <v>513000</v>
      </c>
      <c r="D516" t="str">
        <f>VLOOKUP(A516,Лист2!A:E,5,0)</f>
        <v>малые</v>
      </c>
      <c r="E516">
        <f>VLOOKUP(A516,Лист2!A:E,4,0)</f>
        <v>2.5</v>
      </c>
      <c r="F516" s="12">
        <f t="shared" si="33"/>
        <v>87000</v>
      </c>
      <c r="G516">
        <f t="shared" si="34"/>
        <v>240000</v>
      </c>
      <c r="H516">
        <f t="shared" si="35"/>
        <v>34800</v>
      </c>
    </row>
    <row r="517" spans="1:8">
      <c r="A517" t="s">
        <v>18</v>
      </c>
      <c r="B517">
        <v>557000</v>
      </c>
      <c r="C517">
        <v>629000</v>
      </c>
      <c r="D517" t="str">
        <f>VLOOKUP(A517,Лист2!A:E,5,0)</f>
        <v>малые</v>
      </c>
      <c r="E517">
        <f>VLOOKUP(A517,Лист2!A:E,4,0)</f>
        <v>2.5</v>
      </c>
      <c r="F517" s="12">
        <f t="shared" si="33"/>
        <v>-72000</v>
      </c>
      <c r="G517">
        <f t="shared" si="34"/>
        <v>222800</v>
      </c>
      <c r="H517">
        <f t="shared" si="35"/>
        <v>-28800</v>
      </c>
    </row>
    <row r="518" spans="1:8">
      <c r="A518" t="s">
        <v>18</v>
      </c>
      <c r="B518">
        <v>4774000</v>
      </c>
      <c r="C518">
        <v>1757000</v>
      </c>
      <c r="D518" t="str">
        <f>VLOOKUP(A518,Лист2!A:E,5,0)</f>
        <v>малые</v>
      </c>
      <c r="E518">
        <f>VLOOKUP(A518,Лист2!A:E,4,0)</f>
        <v>2.5</v>
      </c>
      <c r="F518" s="12">
        <f t="shared" si="33"/>
        <v>3017000</v>
      </c>
      <c r="G518">
        <f t="shared" si="34"/>
        <v>1909600</v>
      </c>
      <c r="H518">
        <f t="shared" si="35"/>
        <v>1206800</v>
      </c>
    </row>
    <row r="519" spans="1:8">
      <c r="A519" t="s">
        <v>22</v>
      </c>
      <c r="B519">
        <v>24215000</v>
      </c>
      <c r="C519">
        <v>24234000</v>
      </c>
      <c r="D519" t="str">
        <f>VLOOKUP(A519,Лист2!A:E,5,0)</f>
        <v>малые</v>
      </c>
      <c r="E519">
        <f>VLOOKUP(A519,Лист2!A:E,4,0)</f>
        <v>13</v>
      </c>
      <c r="F519" s="12">
        <f t="shared" si="33"/>
        <v>-19000</v>
      </c>
      <c r="G519">
        <f t="shared" si="34"/>
        <v>1862692.3076923077</v>
      </c>
      <c r="H519">
        <f t="shared" si="35"/>
        <v>-1461.5384615384614</v>
      </c>
    </row>
    <row r="520" spans="1:8">
      <c r="A520" t="s">
        <v>18</v>
      </c>
      <c r="B520">
        <v>701000</v>
      </c>
      <c r="C520">
        <v>660000</v>
      </c>
      <c r="D520" t="str">
        <f>VLOOKUP(A520,Лист2!A:E,5,0)</f>
        <v>малые</v>
      </c>
      <c r="E520">
        <f>VLOOKUP(A520,Лист2!A:E,4,0)</f>
        <v>2.5</v>
      </c>
      <c r="F520" s="12">
        <f t="shared" si="33"/>
        <v>41000</v>
      </c>
      <c r="G520">
        <f t="shared" si="34"/>
        <v>280400</v>
      </c>
      <c r="H520">
        <f t="shared" si="35"/>
        <v>16400</v>
      </c>
    </row>
    <row r="521" spans="1:8">
      <c r="A521" t="s">
        <v>18</v>
      </c>
      <c r="B521">
        <v>1575000</v>
      </c>
      <c r="C521">
        <v>1854000</v>
      </c>
      <c r="D521" t="str">
        <f>VLOOKUP(A521,Лист2!A:E,5,0)</f>
        <v>малые</v>
      </c>
      <c r="E521">
        <f>VLOOKUP(A521,Лист2!A:E,4,0)</f>
        <v>2.5</v>
      </c>
      <c r="F521" s="12">
        <f t="shared" si="33"/>
        <v>-279000</v>
      </c>
      <c r="G521">
        <f t="shared" si="34"/>
        <v>630000</v>
      </c>
      <c r="H521">
        <f t="shared" si="35"/>
        <v>-111600</v>
      </c>
    </row>
    <row r="522" spans="1:8">
      <c r="A522" t="s">
        <v>18</v>
      </c>
      <c r="B522">
        <v>10072000</v>
      </c>
      <c r="C522">
        <v>4179000</v>
      </c>
      <c r="D522" t="str">
        <f>VLOOKUP(A522,Лист2!A:E,5,0)</f>
        <v>малые</v>
      </c>
      <c r="E522">
        <f>VLOOKUP(A522,Лист2!A:E,4,0)</f>
        <v>2.5</v>
      </c>
      <c r="F522" s="12">
        <f t="shared" si="33"/>
        <v>5893000</v>
      </c>
      <c r="G522">
        <f t="shared" si="34"/>
        <v>4028800</v>
      </c>
      <c r="H522">
        <f t="shared" si="35"/>
        <v>2357200</v>
      </c>
    </row>
    <row r="523" spans="1:8">
      <c r="A523" t="s">
        <v>18</v>
      </c>
      <c r="B523">
        <v>326000</v>
      </c>
      <c r="C523">
        <v>326000</v>
      </c>
      <c r="D523" t="str">
        <f>VLOOKUP(A523,Лист2!A:E,5,0)</f>
        <v>малые</v>
      </c>
      <c r="E523">
        <f>VLOOKUP(A523,Лист2!A:E,4,0)</f>
        <v>2.5</v>
      </c>
      <c r="F523" s="12">
        <f t="shared" si="33"/>
        <v>0</v>
      </c>
      <c r="G523">
        <f t="shared" si="34"/>
        <v>130400</v>
      </c>
      <c r="H523">
        <f t="shared" si="35"/>
        <v>0</v>
      </c>
    </row>
    <row r="524" spans="1:8">
      <c r="A524" t="s">
        <v>18</v>
      </c>
      <c r="B524">
        <v>3456000</v>
      </c>
      <c r="C524">
        <v>2969000</v>
      </c>
      <c r="D524" t="str">
        <f>VLOOKUP(A524,Лист2!A:E,5,0)</f>
        <v>малые</v>
      </c>
      <c r="E524">
        <f>VLOOKUP(A524,Лист2!A:E,4,0)</f>
        <v>2.5</v>
      </c>
      <c r="F524" s="12">
        <f t="shared" si="33"/>
        <v>487000</v>
      </c>
      <c r="G524">
        <f t="shared" si="34"/>
        <v>1382400</v>
      </c>
      <c r="H524">
        <f t="shared" si="35"/>
        <v>194800</v>
      </c>
    </row>
    <row r="525" spans="1:8">
      <c r="A525" t="s">
        <v>18</v>
      </c>
      <c r="B525">
        <v>23694000</v>
      </c>
      <c r="C525">
        <v>29578000</v>
      </c>
      <c r="D525" t="str">
        <f>VLOOKUP(A525,Лист2!A:E,5,0)</f>
        <v>малые</v>
      </c>
      <c r="E525">
        <f>VLOOKUP(A525,Лист2!A:E,4,0)</f>
        <v>2.5</v>
      </c>
      <c r="F525" s="12">
        <f t="shared" si="33"/>
        <v>-5884000</v>
      </c>
      <c r="G525">
        <f t="shared" si="34"/>
        <v>9477600</v>
      </c>
      <c r="H525">
        <f t="shared" si="35"/>
        <v>-2353600</v>
      </c>
    </row>
    <row r="526" spans="1:8">
      <c r="A526" t="s">
        <v>18</v>
      </c>
      <c r="B526">
        <v>305000</v>
      </c>
      <c r="C526">
        <v>293000</v>
      </c>
      <c r="D526" t="str">
        <f>VLOOKUP(A526,Лист2!A:E,5,0)</f>
        <v>малые</v>
      </c>
      <c r="E526">
        <f>VLOOKUP(A526,Лист2!A:E,4,0)</f>
        <v>2.5</v>
      </c>
      <c r="F526" s="12">
        <f t="shared" si="33"/>
        <v>12000</v>
      </c>
      <c r="G526">
        <f t="shared" si="34"/>
        <v>122000</v>
      </c>
      <c r="H526">
        <f t="shared" si="35"/>
        <v>4800</v>
      </c>
    </row>
    <row r="527" spans="1:8">
      <c r="A527" t="s">
        <v>18</v>
      </c>
      <c r="B527">
        <v>5725000</v>
      </c>
      <c r="C527">
        <v>5419000</v>
      </c>
      <c r="D527" t="str">
        <f>VLOOKUP(A527,Лист2!A:E,5,0)</f>
        <v>малые</v>
      </c>
      <c r="E527">
        <f>VLOOKUP(A527,Лист2!A:E,4,0)</f>
        <v>2.5</v>
      </c>
      <c r="F527" s="12">
        <f t="shared" si="33"/>
        <v>306000</v>
      </c>
      <c r="G527">
        <f t="shared" si="34"/>
        <v>2290000</v>
      </c>
      <c r="H527">
        <f t="shared" si="35"/>
        <v>122400</v>
      </c>
    </row>
    <row r="528" spans="1:8">
      <c r="A528" t="s">
        <v>18</v>
      </c>
      <c r="B528">
        <v>574000</v>
      </c>
      <c r="C528">
        <v>579000</v>
      </c>
      <c r="D528" t="str">
        <f>VLOOKUP(A528,Лист2!A:E,5,0)</f>
        <v>малые</v>
      </c>
      <c r="E528">
        <f>VLOOKUP(A528,Лист2!A:E,4,0)</f>
        <v>2.5</v>
      </c>
      <c r="F528" s="12">
        <f t="shared" si="33"/>
        <v>-5000</v>
      </c>
      <c r="G528">
        <f t="shared" si="34"/>
        <v>229600</v>
      </c>
      <c r="H528">
        <f t="shared" si="35"/>
        <v>-2000</v>
      </c>
    </row>
    <row r="529" spans="1:8">
      <c r="A529" t="s">
        <v>18</v>
      </c>
      <c r="B529">
        <v>25000</v>
      </c>
      <c r="C529">
        <v>53000</v>
      </c>
      <c r="D529" t="str">
        <f>VLOOKUP(A529,Лист2!A:E,5,0)</f>
        <v>малые</v>
      </c>
      <c r="E529">
        <f>VLOOKUP(A529,Лист2!A:E,4,0)</f>
        <v>2.5</v>
      </c>
      <c r="F529" s="12">
        <f t="shared" si="33"/>
        <v>-28000</v>
      </c>
      <c r="G529">
        <f t="shared" si="34"/>
        <v>10000</v>
      </c>
      <c r="H529">
        <f t="shared" si="35"/>
        <v>-11200</v>
      </c>
    </row>
    <row r="530" spans="1:8">
      <c r="A530" t="s">
        <v>18</v>
      </c>
      <c r="B530">
        <v>6800000</v>
      </c>
      <c r="C530">
        <v>6839000</v>
      </c>
      <c r="D530" t="str">
        <f>VLOOKUP(A530,Лист2!A:E,5,0)</f>
        <v>малые</v>
      </c>
      <c r="E530">
        <f>VLOOKUP(A530,Лист2!A:E,4,0)</f>
        <v>2.5</v>
      </c>
      <c r="F530" s="12">
        <f t="shared" si="33"/>
        <v>-39000</v>
      </c>
      <c r="G530">
        <f t="shared" si="34"/>
        <v>2720000</v>
      </c>
      <c r="H530">
        <f t="shared" si="35"/>
        <v>-15600</v>
      </c>
    </row>
    <row r="531" spans="1:8">
      <c r="A531" t="s">
        <v>18</v>
      </c>
      <c r="B531">
        <v>160000</v>
      </c>
      <c r="C531">
        <v>149000</v>
      </c>
      <c r="D531" t="str">
        <f>VLOOKUP(A531,Лист2!A:E,5,0)</f>
        <v>малые</v>
      </c>
      <c r="E531">
        <f>VLOOKUP(A531,Лист2!A:E,4,0)</f>
        <v>2.5</v>
      </c>
      <c r="F531" s="12">
        <f t="shared" si="33"/>
        <v>11000</v>
      </c>
      <c r="G531">
        <f t="shared" si="34"/>
        <v>64000</v>
      </c>
      <c r="H531">
        <f t="shared" si="35"/>
        <v>4400</v>
      </c>
    </row>
    <row r="532" spans="1:8">
      <c r="A532" t="s">
        <v>18</v>
      </c>
      <c r="B532">
        <v>900000</v>
      </c>
      <c r="C532">
        <v>898000</v>
      </c>
      <c r="D532" t="str">
        <f>VLOOKUP(A532,Лист2!A:E,5,0)</f>
        <v>малые</v>
      </c>
      <c r="E532">
        <f>VLOOKUP(A532,Лист2!A:E,4,0)</f>
        <v>2.5</v>
      </c>
      <c r="F532" s="12">
        <f t="shared" si="33"/>
        <v>2000</v>
      </c>
      <c r="G532">
        <f t="shared" si="34"/>
        <v>360000</v>
      </c>
      <c r="H532">
        <f t="shared" si="35"/>
        <v>800</v>
      </c>
    </row>
    <row r="533" spans="1:8">
      <c r="A533" t="s">
        <v>18</v>
      </c>
      <c r="B533">
        <v>1730000</v>
      </c>
      <c r="C533">
        <v>1590000</v>
      </c>
      <c r="D533" t="str">
        <f>VLOOKUP(A533,Лист2!A:E,5,0)</f>
        <v>малые</v>
      </c>
      <c r="E533">
        <f>VLOOKUP(A533,Лист2!A:E,4,0)</f>
        <v>2.5</v>
      </c>
      <c r="F533" s="12">
        <f t="shared" si="33"/>
        <v>140000</v>
      </c>
      <c r="G533">
        <f t="shared" si="34"/>
        <v>692000</v>
      </c>
      <c r="H533">
        <f t="shared" si="35"/>
        <v>56000</v>
      </c>
    </row>
    <row r="534" spans="1:8">
      <c r="A534" t="s">
        <v>18</v>
      </c>
      <c r="B534">
        <v>1653000</v>
      </c>
      <c r="C534">
        <v>1676000</v>
      </c>
      <c r="D534" t="str">
        <f>VLOOKUP(A534,Лист2!A:E,5,0)</f>
        <v>малые</v>
      </c>
      <c r="E534">
        <f>VLOOKUP(A534,Лист2!A:E,4,0)</f>
        <v>2.5</v>
      </c>
      <c r="F534" s="12">
        <f t="shared" si="33"/>
        <v>-23000</v>
      </c>
      <c r="G534">
        <f t="shared" si="34"/>
        <v>661200</v>
      </c>
      <c r="H534">
        <f t="shared" si="35"/>
        <v>-9200</v>
      </c>
    </row>
    <row r="535" spans="1:8">
      <c r="A535" t="s">
        <v>18</v>
      </c>
      <c r="B535">
        <v>2165000</v>
      </c>
      <c r="C535">
        <v>2480000</v>
      </c>
      <c r="D535" t="str">
        <f>VLOOKUP(A535,Лист2!A:E,5,0)</f>
        <v>малые</v>
      </c>
      <c r="E535">
        <f>VLOOKUP(A535,Лист2!A:E,4,0)</f>
        <v>2.5</v>
      </c>
      <c r="F535" s="12">
        <f t="shared" si="33"/>
        <v>-315000</v>
      </c>
      <c r="G535">
        <f t="shared" si="34"/>
        <v>866000</v>
      </c>
      <c r="H535">
        <f t="shared" si="35"/>
        <v>-126000</v>
      </c>
    </row>
    <row r="536" spans="1:8">
      <c r="A536" t="s">
        <v>18</v>
      </c>
      <c r="B536">
        <v>1210000</v>
      </c>
      <c r="C536">
        <v>1207000</v>
      </c>
      <c r="D536" t="str">
        <f>VLOOKUP(A536,Лист2!A:E,5,0)</f>
        <v>малые</v>
      </c>
      <c r="E536">
        <f>VLOOKUP(A536,Лист2!A:E,4,0)</f>
        <v>2.5</v>
      </c>
      <c r="F536" s="12">
        <f t="shared" si="33"/>
        <v>3000</v>
      </c>
      <c r="G536">
        <f t="shared" si="34"/>
        <v>484000</v>
      </c>
      <c r="H536">
        <f t="shared" si="35"/>
        <v>1200</v>
      </c>
    </row>
    <row r="537" spans="1:8">
      <c r="A537" t="s">
        <v>18</v>
      </c>
      <c r="B537">
        <v>34000000</v>
      </c>
      <c r="C537">
        <v>34246000</v>
      </c>
      <c r="D537" t="str">
        <f>VLOOKUP(A537,Лист2!A:E,5,0)</f>
        <v>малые</v>
      </c>
      <c r="E537">
        <f>VLOOKUP(A537,Лист2!A:E,4,0)</f>
        <v>2.5</v>
      </c>
      <c r="F537" s="12">
        <f t="shared" si="33"/>
        <v>-246000</v>
      </c>
      <c r="G537">
        <f t="shared" si="34"/>
        <v>13600000</v>
      </c>
      <c r="H537">
        <f t="shared" si="35"/>
        <v>-98400</v>
      </c>
    </row>
    <row r="538" spans="1:8">
      <c r="A538" t="s">
        <v>18</v>
      </c>
      <c r="B538">
        <v>1302000</v>
      </c>
      <c r="C538">
        <v>546000</v>
      </c>
      <c r="D538" t="str">
        <f>VLOOKUP(A538,Лист2!A:E,5,0)</f>
        <v>малые</v>
      </c>
      <c r="E538">
        <f>VLOOKUP(A538,Лист2!A:E,4,0)</f>
        <v>2.5</v>
      </c>
      <c r="F538" s="12">
        <f t="shared" si="33"/>
        <v>756000</v>
      </c>
      <c r="G538">
        <f t="shared" si="34"/>
        <v>520800</v>
      </c>
      <c r="H538">
        <f t="shared" si="35"/>
        <v>302400</v>
      </c>
    </row>
    <row r="539" spans="1:8">
      <c r="A539" t="s">
        <v>18</v>
      </c>
      <c r="B539">
        <v>14205000</v>
      </c>
      <c r="C539">
        <v>13913000</v>
      </c>
      <c r="D539" t="str">
        <f>VLOOKUP(A539,Лист2!A:E,5,0)</f>
        <v>малые</v>
      </c>
      <c r="E539">
        <f>VLOOKUP(A539,Лист2!A:E,4,0)</f>
        <v>2.5</v>
      </c>
      <c r="F539" s="12">
        <f t="shared" si="33"/>
        <v>292000</v>
      </c>
      <c r="G539">
        <f t="shared" si="34"/>
        <v>5682000</v>
      </c>
      <c r="H539">
        <f t="shared" si="35"/>
        <v>116800</v>
      </c>
    </row>
    <row r="540" spans="1:8">
      <c r="A540" t="s">
        <v>18</v>
      </c>
      <c r="B540">
        <v>163000</v>
      </c>
      <c r="C540">
        <v>518000</v>
      </c>
      <c r="D540" t="str">
        <f>VLOOKUP(A540,Лист2!A:E,5,0)</f>
        <v>малые</v>
      </c>
      <c r="E540">
        <f>VLOOKUP(A540,Лист2!A:E,4,0)</f>
        <v>2.5</v>
      </c>
      <c r="F540" s="12">
        <f t="shared" si="33"/>
        <v>-355000</v>
      </c>
      <c r="G540">
        <f t="shared" si="34"/>
        <v>65200</v>
      </c>
      <c r="H540">
        <f t="shared" si="35"/>
        <v>-142000</v>
      </c>
    </row>
    <row r="541" spans="1:8">
      <c r="A541" t="s">
        <v>18</v>
      </c>
      <c r="B541">
        <v>35000</v>
      </c>
      <c r="C541">
        <v>28000</v>
      </c>
      <c r="D541" t="str">
        <f>VLOOKUP(A541,Лист2!A:E,5,0)</f>
        <v>малые</v>
      </c>
      <c r="E541">
        <f>VLOOKUP(A541,Лист2!A:E,4,0)</f>
        <v>2.5</v>
      </c>
      <c r="F541" s="12">
        <f t="shared" si="33"/>
        <v>7000</v>
      </c>
      <c r="G541">
        <f t="shared" si="34"/>
        <v>14000</v>
      </c>
      <c r="H541">
        <f t="shared" si="35"/>
        <v>2800</v>
      </c>
    </row>
    <row r="542" spans="1:8">
      <c r="A542" t="s">
        <v>18</v>
      </c>
      <c r="B542">
        <v>3560000</v>
      </c>
      <c r="C542">
        <v>3560000</v>
      </c>
      <c r="D542" t="str">
        <f>VLOOKUP(A542,Лист2!A:E,5,0)</f>
        <v>малые</v>
      </c>
      <c r="E542">
        <f>VLOOKUP(A542,Лист2!A:E,4,0)</f>
        <v>2.5</v>
      </c>
      <c r="F542" s="12">
        <f t="shared" si="33"/>
        <v>0</v>
      </c>
      <c r="G542">
        <f t="shared" si="34"/>
        <v>1424000</v>
      </c>
      <c r="H542">
        <f t="shared" si="35"/>
        <v>0</v>
      </c>
    </row>
    <row r="543" spans="1:8">
      <c r="A543" t="s">
        <v>18</v>
      </c>
      <c r="B543">
        <v>178000</v>
      </c>
      <c r="C543">
        <v>155000</v>
      </c>
      <c r="D543" t="str">
        <f>VLOOKUP(A543,Лист2!A:E,5,0)</f>
        <v>малые</v>
      </c>
      <c r="E543">
        <f>VLOOKUP(A543,Лист2!A:E,4,0)</f>
        <v>2.5</v>
      </c>
      <c r="F543" s="12">
        <f t="shared" si="33"/>
        <v>23000</v>
      </c>
      <c r="G543">
        <f t="shared" si="34"/>
        <v>71200</v>
      </c>
      <c r="H543">
        <f t="shared" si="35"/>
        <v>9200</v>
      </c>
    </row>
    <row r="544" spans="1:8">
      <c r="A544" t="s">
        <v>18</v>
      </c>
      <c r="B544">
        <v>2453000</v>
      </c>
      <c r="C544">
        <v>2702000</v>
      </c>
      <c r="D544" t="str">
        <f>VLOOKUP(A544,Лист2!A:E,5,0)</f>
        <v>малые</v>
      </c>
      <c r="E544">
        <f>VLOOKUP(A544,Лист2!A:E,4,0)</f>
        <v>2.5</v>
      </c>
      <c r="F544" s="12">
        <f t="shared" ref="F544:F585" si="36">B544-C544</f>
        <v>-249000</v>
      </c>
      <c r="G544">
        <f t="shared" ref="G544:G585" si="37">B544/E544</f>
        <v>981200</v>
      </c>
      <c r="H544">
        <f t="shared" ref="H544:H585" si="38">F544/E544</f>
        <v>-99600</v>
      </c>
    </row>
    <row r="545" spans="1:8">
      <c r="A545" t="s">
        <v>18</v>
      </c>
      <c r="B545">
        <v>370000</v>
      </c>
      <c r="C545">
        <v>391000</v>
      </c>
      <c r="D545" t="str">
        <f>VLOOKUP(A545,Лист2!A:E,5,0)</f>
        <v>малые</v>
      </c>
      <c r="E545">
        <f>VLOOKUP(A545,Лист2!A:E,4,0)</f>
        <v>2.5</v>
      </c>
      <c r="F545" s="12">
        <f t="shared" si="36"/>
        <v>-21000</v>
      </c>
      <c r="G545">
        <f t="shared" si="37"/>
        <v>148000</v>
      </c>
      <c r="H545">
        <f t="shared" si="38"/>
        <v>-8400</v>
      </c>
    </row>
    <row r="546" spans="1:8">
      <c r="A546" t="s">
        <v>18</v>
      </c>
      <c r="B546">
        <v>799000</v>
      </c>
      <c r="C546">
        <v>789000</v>
      </c>
      <c r="D546" t="str">
        <f>VLOOKUP(A546,Лист2!A:E,5,0)</f>
        <v>малые</v>
      </c>
      <c r="E546">
        <f>VLOOKUP(A546,Лист2!A:E,4,0)</f>
        <v>2.5</v>
      </c>
      <c r="F546" s="12">
        <f t="shared" si="36"/>
        <v>10000</v>
      </c>
      <c r="G546">
        <f t="shared" si="37"/>
        <v>319600</v>
      </c>
      <c r="H546">
        <f t="shared" si="38"/>
        <v>4000</v>
      </c>
    </row>
    <row r="547" spans="1:8">
      <c r="A547" t="s">
        <v>18</v>
      </c>
      <c r="B547">
        <v>2797000</v>
      </c>
      <c r="C547">
        <v>3224000</v>
      </c>
      <c r="D547" t="str">
        <f>VLOOKUP(A547,Лист2!A:E,5,0)</f>
        <v>малые</v>
      </c>
      <c r="E547">
        <f>VLOOKUP(A547,Лист2!A:E,4,0)</f>
        <v>2.5</v>
      </c>
      <c r="F547" s="12">
        <f t="shared" si="36"/>
        <v>-427000</v>
      </c>
      <c r="G547">
        <f t="shared" si="37"/>
        <v>1118800</v>
      </c>
      <c r="H547">
        <f t="shared" si="38"/>
        <v>-170800</v>
      </c>
    </row>
    <row r="548" spans="1:8">
      <c r="A548" t="s">
        <v>18</v>
      </c>
      <c r="B548">
        <v>384000</v>
      </c>
      <c r="C548">
        <v>455000</v>
      </c>
      <c r="D548" t="str">
        <f>VLOOKUP(A548,Лист2!A:E,5,0)</f>
        <v>малые</v>
      </c>
      <c r="E548">
        <f>VLOOKUP(A548,Лист2!A:E,4,0)</f>
        <v>2.5</v>
      </c>
      <c r="F548" s="12">
        <f t="shared" si="36"/>
        <v>-71000</v>
      </c>
      <c r="G548">
        <f t="shared" si="37"/>
        <v>153600</v>
      </c>
      <c r="H548">
        <f t="shared" si="38"/>
        <v>-28400</v>
      </c>
    </row>
    <row r="549" spans="1:8">
      <c r="A549" t="s">
        <v>18</v>
      </c>
      <c r="B549">
        <v>6541000</v>
      </c>
      <c r="C549">
        <v>5865000</v>
      </c>
      <c r="D549" t="str">
        <f>VLOOKUP(A549,Лист2!A:E,5,0)</f>
        <v>малые</v>
      </c>
      <c r="E549">
        <f>VLOOKUP(A549,Лист2!A:E,4,0)</f>
        <v>2.5</v>
      </c>
      <c r="F549" s="12">
        <f t="shared" si="36"/>
        <v>676000</v>
      </c>
      <c r="G549">
        <f t="shared" si="37"/>
        <v>2616400</v>
      </c>
      <c r="H549">
        <f t="shared" si="38"/>
        <v>270400</v>
      </c>
    </row>
    <row r="550" spans="1:8">
      <c r="A550" t="s">
        <v>18</v>
      </c>
      <c r="B550">
        <v>431000</v>
      </c>
      <c r="C550">
        <v>440000</v>
      </c>
      <c r="D550" t="str">
        <f>VLOOKUP(A550,Лист2!A:E,5,0)</f>
        <v>малые</v>
      </c>
      <c r="E550">
        <f>VLOOKUP(A550,Лист2!A:E,4,0)</f>
        <v>2.5</v>
      </c>
      <c r="F550" s="12">
        <f t="shared" si="36"/>
        <v>-9000</v>
      </c>
      <c r="G550">
        <f t="shared" si="37"/>
        <v>172400</v>
      </c>
      <c r="H550">
        <f t="shared" si="38"/>
        <v>-3600</v>
      </c>
    </row>
    <row r="551" spans="1:8">
      <c r="A551" t="s">
        <v>18</v>
      </c>
      <c r="B551">
        <v>1731000</v>
      </c>
      <c r="C551">
        <v>1705000</v>
      </c>
      <c r="D551" t="str">
        <f>VLOOKUP(A551,Лист2!A:E,5,0)</f>
        <v>малые</v>
      </c>
      <c r="E551">
        <f>VLOOKUP(A551,Лист2!A:E,4,0)</f>
        <v>2.5</v>
      </c>
      <c r="F551" s="12">
        <f t="shared" si="36"/>
        <v>26000</v>
      </c>
      <c r="G551">
        <f t="shared" si="37"/>
        <v>692400</v>
      </c>
      <c r="H551">
        <f t="shared" si="38"/>
        <v>10400</v>
      </c>
    </row>
    <row r="552" spans="1:8">
      <c r="A552" t="s">
        <v>18</v>
      </c>
      <c r="B552">
        <v>1213000</v>
      </c>
      <c r="C552">
        <v>385000</v>
      </c>
      <c r="D552" t="str">
        <f>VLOOKUP(A552,Лист2!A:E,5,0)</f>
        <v>малые</v>
      </c>
      <c r="E552">
        <f>VLOOKUP(A552,Лист2!A:E,4,0)</f>
        <v>2.5</v>
      </c>
      <c r="F552" s="12">
        <f t="shared" si="36"/>
        <v>828000</v>
      </c>
      <c r="G552">
        <f t="shared" si="37"/>
        <v>485200</v>
      </c>
      <c r="H552">
        <f t="shared" si="38"/>
        <v>331200</v>
      </c>
    </row>
    <row r="553" spans="1:8">
      <c r="A553" t="s">
        <v>18</v>
      </c>
      <c r="B553">
        <v>442000</v>
      </c>
      <c r="C553">
        <v>625000</v>
      </c>
      <c r="D553" t="str">
        <f>VLOOKUP(A553,Лист2!A:E,5,0)</f>
        <v>малые</v>
      </c>
      <c r="E553">
        <f>VLOOKUP(A553,Лист2!A:E,4,0)</f>
        <v>2.5</v>
      </c>
      <c r="F553" s="12">
        <f t="shared" si="36"/>
        <v>-183000</v>
      </c>
      <c r="G553">
        <f t="shared" si="37"/>
        <v>176800</v>
      </c>
      <c r="H553">
        <f t="shared" si="38"/>
        <v>-73200</v>
      </c>
    </row>
    <row r="554" spans="1:8">
      <c r="A554" t="s">
        <v>18</v>
      </c>
      <c r="B554">
        <v>2035000</v>
      </c>
      <c r="C554">
        <v>2078000</v>
      </c>
      <c r="D554" t="str">
        <f>VLOOKUP(A554,Лист2!A:E,5,0)</f>
        <v>малые</v>
      </c>
      <c r="E554">
        <f>VLOOKUP(A554,Лист2!A:E,4,0)</f>
        <v>2.5</v>
      </c>
      <c r="F554" s="12">
        <f t="shared" si="36"/>
        <v>-43000</v>
      </c>
      <c r="G554">
        <f t="shared" si="37"/>
        <v>814000</v>
      </c>
      <c r="H554">
        <f t="shared" si="38"/>
        <v>-17200</v>
      </c>
    </row>
    <row r="555" spans="1:8">
      <c r="A555" t="s">
        <v>18</v>
      </c>
      <c r="B555">
        <v>366179000</v>
      </c>
      <c r="C555">
        <v>236970000</v>
      </c>
      <c r="D555" t="str">
        <f>VLOOKUP(A555,Лист2!A:E,5,0)</f>
        <v>малые</v>
      </c>
      <c r="E555">
        <f>VLOOKUP(A555,Лист2!A:E,4,0)</f>
        <v>2.5</v>
      </c>
      <c r="F555" s="12">
        <f t="shared" si="36"/>
        <v>129209000</v>
      </c>
      <c r="G555">
        <f t="shared" si="37"/>
        <v>146471600</v>
      </c>
      <c r="H555">
        <f t="shared" si="38"/>
        <v>51683600</v>
      </c>
    </row>
    <row r="556" spans="1:8">
      <c r="A556" t="s">
        <v>18</v>
      </c>
      <c r="B556">
        <v>523669000</v>
      </c>
      <c r="C556">
        <v>341295000</v>
      </c>
      <c r="D556" t="str">
        <f>VLOOKUP(A556,Лист2!A:E,5,0)</f>
        <v>малые</v>
      </c>
      <c r="E556">
        <f>VLOOKUP(A556,Лист2!A:E,4,0)</f>
        <v>2.5</v>
      </c>
      <c r="F556" s="12">
        <f t="shared" si="36"/>
        <v>182374000</v>
      </c>
      <c r="G556">
        <f t="shared" si="37"/>
        <v>209467600</v>
      </c>
      <c r="H556">
        <f t="shared" si="38"/>
        <v>72949600</v>
      </c>
    </row>
    <row r="557" spans="1:8">
      <c r="A557" t="s">
        <v>18</v>
      </c>
      <c r="B557">
        <v>2650000</v>
      </c>
      <c r="C557">
        <v>2588000</v>
      </c>
      <c r="D557" t="str">
        <f>VLOOKUP(A557,Лист2!A:E,5,0)</f>
        <v>малые</v>
      </c>
      <c r="E557">
        <f>VLOOKUP(A557,Лист2!A:E,4,0)</f>
        <v>2.5</v>
      </c>
      <c r="F557" s="12">
        <f t="shared" si="36"/>
        <v>62000</v>
      </c>
      <c r="G557">
        <f t="shared" si="37"/>
        <v>1060000</v>
      </c>
      <c r="H557">
        <f t="shared" si="38"/>
        <v>24800</v>
      </c>
    </row>
    <row r="558" spans="1:8">
      <c r="A558" t="s">
        <v>18</v>
      </c>
      <c r="B558">
        <v>573000</v>
      </c>
      <c r="C558">
        <v>573000</v>
      </c>
      <c r="D558" t="str">
        <f>VLOOKUP(A558,Лист2!A:E,5,0)</f>
        <v>малые</v>
      </c>
      <c r="E558">
        <f>VLOOKUP(A558,Лист2!A:E,4,0)</f>
        <v>2.5</v>
      </c>
      <c r="F558" s="12">
        <f t="shared" si="36"/>
        <v>0</v>
      </c>
      <c r="G558">
        <f t="shared" si="37"/>
        <v>229200</v>
      </c>
      <c r="H558">
        <f t="shared" si="38"/>
        <v>0</v>
      </c>
    </row>
    <row r="559" spans="1:8">
      <c r="A559" t="s">
        <v>18</v>
      </c>
      <c r="B559">
        <v>3017000</v>
      </c>
      <c r="C559">
        <v>2609000</v>
      </c>
      <c r="D559" t="str">
        <f>VLOOKUP(A559,Лист2!A:E,5,0)</f>
        <v>малые</v>
      </c>
      <c r="E559">
        <f>VLOOKUP(A559,Лист2!A:E,4,0)</f>
        <v>2.5</v>
      </c>
      <c r="F559" s="12">
        <f t="shared" si="36"/>
        <v>408000</v>
      </c>
      <c r="G559">
        <f t="shared" si="37"/>
        <v>1206800</v>
      </c>
      <c r="H559">
        <f t="shared" si="38"/>
        <v>163200</v>
      </c>
    </row>
    <row r="560" spans="1:8">
      <c r="A560" t="s">
        <v>18</v>
      </c>
      <c r="B560">
        <v>1340000</v>
      </c>
      <c r="C560">
        <v>3230000</v>
      </c>
      <c r="D560" t="str">
        <f>VLOOKUP(A560,Лист2!A:E,5,0)</f>
        <v>малые</v>
      </c>
      <c r="E560">
        <f>VLOOKUP(A560,Лист2!A:E,4,0)</f>
        <v>2.5</v>
      </c>
      <c r="F560" s="12">
        <f t="shared" si="36"/>
        <v>-1890000</v>
      </c>
      <c r="G560">
        <f t="shared" si="37"/>
        <v>536000</v>
      </c>
      <c r="H560">
        <f t="shared" si="38"/>
        <v>-756000</v>
      </c>
    </row>
    <row r="561" spans="1:8">
      <c r="A561" t="s">
        <v>18</v>
      </c>
      <c r="B561">
        <v>1101000</v>
      </c>
      <c r="C561">
        <v>1041000</v>
      </c>
      <c r="D561" t="str">
        <f>VLOOKUP(A561,Лист2!A:E,5,0)</f>
        <v>малые</v>
      </c>
      <c r="E561">
        <f>VLOOKUP(A561,Лист2!A:E,4,0)</f>
        <v>2.5</v>
      </c>
      <c r="F561" s="12">
        <f t="shared" si="36"/>
        <v>60000</v>
      </c>
      <c r="G561">
        <f t="shared" si="37"/>
        <v>440400</v>
      </c>
      <c r="H561">
        <f t="shared" si="38"/>
        <v>24000</v>
      </c>
    </row>
    <row r="562" spans="1:8">
      <c r="A562" t="s">
        <v>18</v>
      </c>
      <c r="B562">
        <v>1984000</v>
      </c>
      <c r="C562">
        <v>1750000</v>
      </c>
      <c r="D562" t="str">
        <f>VLOOKUP(A562,Лист2!A:E,5,0)</f>
        <v>малые</v>
      </c>
      <c r="E562">
        <f>VLOOKUP(A562,Лист2!A:E,4,0)</f>
        <v>2.5</v>
      </c>
      <c r="F562" s="12">
        <f t="shared" si="36"/>
        <v>234000</v>
      </c>
      <c r="G562">
        <f t="shared" si="37"/>
        <v>793600</v>
      </c>
      <c r="H562">
        <f t="shared" si="38"/>
        <v>93600</v>
      </c>
    </row>
    <row r="563" spans="1:8">
      <c r="A563" t="s">
        <v>18</v>
      </c>
      <c r="B563">
        <v>795000</v>
      </c>
      <c r="C563">
        <v>44000</v>
      </c>
      <c r="D563" t="str">
        <f>VLOOKUP(A563,Лист2!A:E,5,0)</f>
        <v>малые</v>
      </c>
      <c r="E563">
        <f>VLOOKUP(A563,Лист2!A:E,4,0)</f>
        <v>2.5</v>
      </c>
      <c r="F563" s="12">
        <f t="shared" si="36"/>
        <v>751000</v>
      </c>
      <c r="G563">
        <f t="shared" si="37"/>
        <v>318000</v>
      </c>
      <c r="H563">
        <f t="shared" si="38"/>
        <v>300400</v>
      </c>
    </row>
    <row r="564" spans="1:8">
      <c r="A564" t="s">
        <v>18</v>
      </c>
      <c r="B564">
        <v>6594000</v>
      </c>
      <c r="C564">
        <v>5735000</v>
      </c>
      <c r="D564" t="str">
        <f>VLOOKUP(A564,Лист2!A:E,5,0)</f>
        <v>малые</v>
      </c>
      <c r="E564">
        <f>VLOOKUP(A564,Лист2!A:E,4,0)</f>
        <v>2.5</v>
      </c>
      <c r="F564" s="12">
        <f t="shared" si="36"/>
        <v>859000</v>
      </c>
      <c r="G564">
        <f t="shared" si="37"/>
        <v>2637600</v>
      </c>
      <c r="H564">
        <f t="shared" si="38"/>
        <v>343600</v>
      </c>
    </row>
    <row r="565" spans="1:8">
      <c r="A565" t="s">
        <v>18</v>
      </c>
      <c r="B565">
        <v>34008000</v>
      </c>
      <c r="C565">
        <v>12000</v>
      </c>
      <c r="D565" t="str">
        <f>VLOOKUP(A565,Лист2!A:E,5,0)</f>
        <v>малые</v>
      </c>
      <c r="E565">
        <f>VLOOKUP(A565,Лист2!A:E,4,0)</f>
        <v>2.5</v>
      </c>
      <c r="F565" s="12">
        <f t="shared" si="36"/>
        <v>33996000</v>
      </c>
      <c r="G565">
        <f t="shared" si="37"/>
        <v>13603200</v>
      </c>
      <c r="H565">
        <f t="shared" si="38"/>
        <v>13598400</v>
      </c>
    </row>
    <row r="566" spans="1:8">
      <c r="A566" t="s">
        <v>18</v>
      </c>
      <c r="B566">
        <v>7600000</v>
      </c>
      <c r="C566">
        <v>7579000</v>
      </c>
      <c r="D566" t="str">
        <f>VLOOKUP(A566,Лист2!A:E,5,0)</f>
        <v>малые</v>
      </c>
      <c r="E566">
        <f>VLOOKUP(A566,Лист2!A:E,4,0)</f>
        <v>2.5</v>
      </c>
      <c r="F566" s="12">
        <f t="shared" si="36"/>
        <v>21000</v>
      </c>
      <c r="G566">
        <f t="shared" si="37"/>
        <v>3040000</v>
      </c>
      <c r="H566">
        <f t="shared" si="38"/>
        <v>8400</v>
      </c>
    </row>
    <row r="567" spans="1:8">
      <c r="A567" t="s">
        <v>18</v>
      </c>
      <c r="B567">
        <v>1097581000</v>
      </c>
      <c r="C567">
        <v>1028487000</v>
      </c>
      <c r="D567" t="str">
        <f>VLOOKUP(A567,Лист2!A:E,5,0)</f>
        <v>малые</v>
      </c>
      <c r="E567">
        <f>VLOOKUP(A567,Лист2!A:E,4,0)</f>
        <v>2.5</v>
      </c>
      <c r="F567" s="12">
        <f t="shared" si="36"/>
        <v>69094000</v>
      </c>
      <c r="G567">
        <f t="shared" si="37"/>
        <v>439032400</v>
      </c>
      <c r="H567">
        <f t="shared" si="38"/>
        <v>27637600</v>
      </c>
    </row>
    <row r="568" spans="1:8">
      <c r="A568" t="s">
        <v>18</v>
      </c>
      <c r="B568">
        <v>1166000</v>
      </c>
      <c r="C568">
        <v>1379000</v>
      </c>
      <c r="D568" t="str">
        <f>VLOOKUP(A568,Лист2!A:E,5,0)</f>
        <v>малые</v>
      </c>
      <c r="E568">
        <f>VLOOKUP(A568,Лист2!A:E,4,0)</f>
        <v>2.5</v>
      </c>
      <c r="F568" s="12">
        <f t="shared" si="36"/>
        <v>-213000</v>
      </c>
      <c r="G568">
        <f t="shared" si="37"/>
        <v>466400</v>
      </c>
      <c r="H568">
        <f t="shared" si="38"/>
        <v>-85200</v>
      </c>
    </row>
    <row r="569" spans="1:8">
      <c r="A569" t="s">
        <v>18</v>
      </c>
      <c r="B569">
        <v>7762000</v>
      </c>
      <c r="C569">
        <v>7682000</v>
      </c>
      <c r="D569" t="str">
        <f>VLOOKUP(A569,Лист2!A:E,5,0)</f>
        <v>малые</v>
      </c>
      <c r="E569">
        <f>VLOOKUP(A569,Лист2!A:E,4,0)</f>
        <v>2.5</v>
      </c>
      <c r="F569" s="12">
        <f t="shared" si="36"/>
        <v>80000</v>
      </c>
      <c r="G569">
        <f t="shared" si="37"/>
        <v>3104800</v>
      </c>
      <c r="H569">
        <f t="shared" si="38"/>
        <v>32000</v>
      </c>
    </row>
    <row r="570" spans="1:8">
      <c r="A570" t="s">
        <v>18</v>
      </c>
      <c r="B570">
        <v>8863000</v>
      </c>
      <c r="C570">
        <v>7529000</v>
      </c>
      <c r="D570" t="str">
        <f>VLOOKUP(A570,Лист2!A:E,5,0)</f>
        <v>малые</v>
      </c>
      <c r="E570">
        <f>VLOOKUP(A570,Лист2!A:E,4,0)</f>
        <v>2.5</v>
      </c>
      <c r="F570" s="12">
        <f t="shared" si="36"/>
        <v>1334000</v>
      </c>
      <c r="G570">
        <f t="shared" si="37"/>
        <v>3545200</v>
      </c>
      <c r="H570">
        <f t="shared" si="38"/>
        <v>533600</v>
      </c>
    </row>
    <row r="571" spans="1:8">
      <c r="A571" t="s">
        <v>77</v>
      </c>
      <c r="B571">
        <v>42098000</v>
      </c>
      <c r="C571">
        <v>41683000</v>
      </c>
      <c r="D571" t="str">
        <f>VLOOKUP(A571,Лист2!A:E,5,0)</f>
        <v>малые</v>
      </c>
      <c r="E571">
        <f>VLOOKUP(A571,Лист2!A:E,4,0)</f>
        <v>8</v>
      </c>
      <c r="F571" s="12">
        <f t="shared" si="36"/>
        <v>415000</v>
      </c>
      <c r="G571">
        <f t="shared" si="37"/>
        <v>5262250</v>
      </c>
      <c r="H571">
        <f t="shared" si="38"/>
        <v>51875</v>
      </c>
    </row>
    <row r="572" spans="1:8">
      <c r="A572" t="s">
        <v>18</v>
      </c>
      <c r="B572">
        <v>4153000</v>
      </c>
      <c r="C572">
        <v>4088000</v>
      </c>
      <c r="D572" t="str">
        <f>VLOOKUP(A572,Лист2!A:E,5,0)</f>
        <v>малые</v>
      </c>
      <c r="E572">
        <f>VLOOKUP(A572,Лист2!A:E,4,0)</f>
        <v>2.5</v>
      </c>
      <c r="F572" s="12">
        <f t="shared" si="36"/>
        <v>65000</v>
      </c>
      <c r="G572">
        <f t="shared" si="37"/>
        <v>1661200</v>
      </c>
      <c r="H572">
        <f t="shared" si="38"/>
        <v>26000</v>
      </c>
    </row>
    <row r="573" spans="1:8">
      <c r="A573" t="s">
        <v>18</v>
      </c>
      <c r="B573">
        <v>1350000</v>
      </c>
      <c r="C573">
        <v>1341000</v>
      </c>
      <c r="D573" t="str">
        <f>VLOOKUP(A573,Лист2!A:E,5,0)</f>
        <v>малые</v>
      </c>
      <c r="E573">
        <f>VLOOKUP(A573,Лист2!A:E,4,0)</f>
        <v>2.5</v>
      </c>
      <c r="F573" s="12">
        <f t="shared" si="36"/>
        <v>9000</v>
      </c>
      <c r="G573">
        <f t="shared" si="37"/>
        <v>540000</v>
      </c>
      <c r="H573">
        <f t="shared" si="38"/>
        <v>3600</v>
      </c>
    </row>
    <row r="574" spans="1:8">
      <c r="A574" t="s">
        <v>23</v>
      </c>
      <c r="B574">
        <v>27828000</v>
      </c>
      <c r="C574">
        <v>28976000</v>
      </c>
      <c r="D574" t="str">
        <f>VLOOKUP(A574,Лист2!A:E,5,0)</f>
        <v>средние</v>
      </c>
      <c r="E574">
        <f>VLOOKUP(A574,Лист2!A:E,4,0)</f>
        <v>75.5</v>
      </c>
      <c r="F574" s="12">
        <f t="shared" si="36"/>
        <v>-1148000</v>
      </c>
      <c r="G574">
        <f t="shared" si="37"/>
        <v>368582.78145695367</v>
      </c>
      <c r="H574">
        <f t="shared" si="38"/>
        <v>-15205.298013245034</v>
      </c>
    </row>
    <row r="575" spans="1:8">
      <c r="A575" t="s">
        <v>18</v>
      </c>
      <c r="B575">
        <v>9260000</v>
      </c>
      <c r="C575">
        <v>9735000</v>
      </c>
      <c r="D575" t="str">
        <f>VLOOKUP(A575,Лист2!A:E,5,0)</f>
        <v>малые</v>
      </c>
      <c r="E575">
        <f>VLOOKUP(A575,Лист2!A:E,4,0)</f>
        <v>2.5</v>
      </c>
      <c r="F575" s="12">
        <f t="shared" si="36"/>
        <v>-475000</v>
      </c>
      <c r="G575">
        <f t="shared" si="37"/>
        <v>3704000</v>
      </c>
      <c r="H575">
        <f t="shared" si="38"/>
        <v>-190000</v>
      </c>
    </row>
    <row r="576" spans="1:8">
      <c r="A576" t="s">
        <v>18</v>
      </c>
      <c r="B576">
        <v>24196000</v>
      </c>
      <c r="C576">
        <v>13883000</v>
      </c>
      <c r="D576" t="str">
        <f>VLOOKUP(A576,Лист2!A:E,5,0)</f>
        <v>малые</v>
      </c>
      <c r="E576">
        <f>VLOOKUP(A576,Лист2!A:E,4,0)</f>
        <v>2.5</v>
      </c>
      <c r="F576" s="12">
        <f t="shared" si="36"/>
        <v>10313000</v>
      </c>
      <c r="G576">
        <f t="shared" si="37"/>
        <v>9678400</v>
      </c>
      <c r="H576">
        <f t="shared" si="38"/>
        <v>4125200</v>
      </c>
    </row>
    <row r="577" spans="1:8">
      <c r="A577" t="s">
        <v>18</v>
      </c>
      <c r="B577">
        <v>284000</v>
      </c>
      <c r="C577">
        <v>284000</v>
      </c>
      <c r="D577" t="str">
        <f>VLOOKUP(A577,Лист2!A:E,5,0)</f>
        <v>малые</v>
      </c>
      <c r="E577">
        <f>VLOOKUP(A577,Лист2!A:E,4,0)</f>
        <v>2.5</v>
      </c>
      <c r="F577" s="12">
        <f t="shared" si="36"/>
        <v>0</v>
      </c>
      <c r="G577">
        <f t="shared" si="37"/>
        <v>113600</v>
      </c>
      <c r="H577">
        <f t="shared" si="38"/>
        <v>0</v>
      </c>
    </row>
    <row r="578" spans="1:8">
      <c r="A578" t="s">
        <v>18</v>
      </c>
      <c r="B578">
        <v>1817000</v>
      </c>
      <c r="C578">
        <v>1874000</v>
      </c>
      <c r="D578" t="str">
        <f>VLOOKUP(A578,Лист2!A:E,5,0)</f>
        <v>малые</v>
      </c>
      <c r="E578">
        <f>VLOOKUP(A578,Лист2!A:E,4,0)</f>
        <v>2.5</v>
      </c>
      <c r="F578" s="12">
        <f t="shared" si="36"/>
        <v>-57000</v>
      </c>
      <c r="G578">
        <f t="shared" si="37"/>
        <v>726800</v>
      </c>
      <c r="H578">
        <f t="shared" si="38"/>
        <v>-22800</v>
      </c>
    </row>
    <row r="579" spans="1:8">
      <c r="A579" t="s">
        <v>18</v>
      </c>
      <c r="B579">
        <v>511000</v>
      </c>
      <c r="C579">
        <v>437000</v>
      </c>
      <c r="D579" t="str">
        <f>VLOOKUP(A579,Лист2!A:E,5,0)</f>
        <v>малые</v>
      </c>
      <c r="E579">
        <f>VLOOKUP(A579,Лист2!A:E,4,0)</f>
        <v>2.5</v>
      </c>
      <c r="F579" s="12">
        <f t="shared" si="36"/>
        <v>74000</v>
      </c>
      <c r="G579">
        <f t="shared" si="37"/>
        <v>204400</v>
      </c>
      <c r="H579">
        <f t="shared" si="38"/>
        <v>29600</v>
      </c>
    </row>
    <row r="580" spans="1:8">
      <c r="A580" t="s">
        <v>18</v>
      </c>
      <c r="B580">
        <v>5841000</v>
      </c>
      <c r="C580">
        <v>5793000</v>
      </c>
      <c r="D580" t="str">
        <f>VLOOKUP(A580,Лист2!A:E,5,0)</f>
        <v>малые</v>
      </c>
      <c r="E580">
        <f>VLOOKUP(A580,Лист2!A:E,4,0)</f>
        <v>2.5</v>
      </c>
      <c r="F580" s="12">
        <f t="shared" si="36"/>
        <v>48000</v>
      </c>
      <c r="G580">
        <f t="shared" si="37"/>
        <v>2336400</v>
      </c>
      <c r="H580">
        <f t="shared" si="38"/>
        <v>19200</v>
      </c>
    </row>
    <row r="581" spans="1:8">
      <c r="A581" t="s">
        <v>18</v>
      </c>
      <c r="B581">
        <v>714000</v>
      </c>
      <c r="C581">
        <v>798000</v>
      </c>
      <c r="D581" t="str">
        <f>VLOOKUP(A581,Лист2!A:E,5,0)</f>
        <v>малые</v>
      </c>
      <c r="E581">
        <f>VLOOKUP(A581,Лист2!A:E,4,0)</f>
        <v>2.5</v>
      </c>
      <c r="F581" s="12">
        <f t="shared" si="36"/>
        <v>-84000</v>
      </c>
      <c r="G581">
        <f t="shared" si="37"/>
        <v>285600</v>
      </c>
      <c r="H581">
        <f t="shared" si="38"/>
        <v>-33600</v>
      </c>
    </row>
    <row r="582" spans="1:8">
      <c r="A582" t="s">
        <v>18</v>
      </c>
      <c r="B582">
        <v>21540000</v>
      </c>
      <c r="C582">
        <v>24909000</v>
      </c>
      <c r="D582" t="str">
        <f>VLOOKUP(A582,Лист2!A:E,5,0)</f>
        <v>малые</v>
      </c>
      <c r="E582">
        <f>VLOOKUP(A582,Лист2!A:E,4,0)</f>
        <v>2.5</v>
      </c>
      <c r="F582" s="12">
        <f t="shared" si="36"/>
        <v>-3369000</v>
      </c>
      <c r="G582">
        <f t="shared" si="37"/>
        <v>8616000</v>
      </c>
      <c r="H582">
        <f t="shared" si="38"/>
        <v>-1347600</v>
      </c>
    </row>
    <row r="583" spans="1:8">
      <c r="A583" t="s">
        <v>18</v>
      </c>
      <c r="B583">
        <v>8596000</v>
      </c>
      <c r="C583">
        <v>9220000</v>
      </c>
      <c r="D583" t="str">
        <f>VLOOKUP(A583,Лист2!A:E,5,0)</f>
        <v>малые</v>
      </c>
      <c r="E583">
        <f>VLOOKUP(A583,Лист2!A:E,4,0)</f>
        <v>2.5</v>
      </c>
      <c r="F583" s="12">
        <f t="shared" si="36"/>
        <v>-624000</v>
      </c>
      <c r="G583">
        <f t="shared" si="37"/>
        <v>3438400</v>
      </c>
      <c r="H583">
        <f t="shared" si="38"/>
        <v>-249600</v>
      </c>
    </row>
    <row r="584" spans="1:8">
      <c r="A584" t="s">
        <v>18</v>
      </c>
      <c r="B584">
        <v>177000</v>
      </c>
      <c r="C584">
        <v>234000</v>
      </c>
      <c r="D584" t="str">
        <f>VLOOKUP(A584,Лист2!A:E,5,0)</f>
        <v>малые</v>
      </c>
      <c r="E584">
        <f>VLOOKUP(A584,Лист2!A:E,4,0)</f>
        <v>2.5</v>
      </c>
      <c r="F584" s="12">
        <f t="shared" si="36"/>
        <v>-57000</v>
      </c>
      <c r="G584">
        <f t="shared" si="37"/>
        <v>70800</v>
      </c>
      <c r="H584">
        <f t="shared" si="38"/>
        <v>-22800</v>
      </c>
    </row>
    <row r="585" spans="1:8">
      <c r="A585" t="s">
        <v>18</v>
      </c>
      <c r="B585">
        <v>4888000</v>
      </c>
      <c r="C585">
        <v>3836000</v>
      </c>
      <c r="D585" t="str">
        <f>VLOOKUP(A585,Лист2!A:E,5,0)</f>
        <v>малые</v>
      </c>
      <c r="E585">
        <f>VLOOKUP(A585,Лист2!A:E,4,0)</f>
        <v>2.5</v>
      </c>
      <c r="F585" s="12">
        <f t="shared" si="36"/>
        <v>1052000</v>
      </c>
      <c r="G585">
        <f t="shared" si="37"/>
        <v>1955200</v>
      </c>
      <c r="H585">
        <f t="shared" si="38"/>
        <v>420800</v>
      </c>
    </row>
    <row r="586" spans="1:8">
      <c r="A586" t="s">
        <v>18</v>
      </c>
      <c r="B586">
        <v>5777000</v>
      </c>
      <c r="C586">
        <v>5621000</v>
      </c>
      <c r="D586" t="str">
        <f>VLOOKUP(A586,Лист2!A:E,5,0)</f>
        <v>малые</v>
      </c>
      <c r="E586">
        <f>VLOOKUP(A586,Лист2!A:E,4,0)</f>
        <v>2.5</v>
      </c>
      <c r="F586" s="12">
        <f t="shared" ref="F586:F625" si="39">B586-C586</f>
        <v>156000</v>
      </c>
      <c r="G586">
        <f t="shared" ref="G586:G625" si="40">B586/E586</f>
        <v>2310800</v>
      </c>
      <c r="H586">
        <f t="shared" ref="H586:H625" si="41">F586/E586</f>
        <v>62400</v>
      </c>
    </row>
    <row r="587" spans="1:8">
      <c r="A587" t="s">
        <v>18</v>
      </c>
      <c r="B587">
        <v>1126000</v>
      </c>
      <c r="C587">
        <v>1139000</v>
      </c>
      <c r="D587" t="str">
        <f>VLOOKUP(A587,Лист2!A:E,5,0)</f>
        <v>малые</v>
      </c>
      <c r="E587">
        <f>VLOOKUP(A587,Лист2!A:E,4,0)</f>
        <v>2.5</v>
      </c>
      <c r="F587" s="12">
        <f t="shared" si="39"/>
        <v>-13000</v>
      </c>
      <c r="G587">
        <f t="shared" si="40"/>
        <v>450400</v>
      </c>
      <c r="H587">
        <f t="shared" si="41"/>
        <v>-5200</v>
      </c>
    </row>
    <row r="588" spans="1:8">
      <c r="A588" t="s">
        <v>18</v>
      </c>
      <c r="B588">
        <v>725000</v>
      </c>
      <c r="C588">
        <v>978000</v>
      </c>
      <c r="D588" t="str">
        <f>VLOOKUP(A588,Лист2!A:E,5,0)</f>
        <v>малые</v>
      </c>
      <c r="E588">
        <f>VLOOKUP(A588,Лист2!A:E,4,0)</f>
        <v>2.5</v>
      </c>
      <c r="F588" s="12">
        <f t="shared" si="39"/>
        <v>-253000</v>
      </c>
      <c r="G588">
        <f t="shared" si="40"/>
        <v>290000</v>
      </c>
      <c r="H588">
        <f t="shared" si="41"/>
        <v>-101200</v>
      </c>
    </row>
    <row r="589" spans="1:8">
      <c r="A589" t="s">
        <v>18</v>
      </c>
      <c r="B589">
        <v>643000</v>
      </c>
      <c r="C589">
        <v>625000</v>
      </c>
      <c r="D589" t="str">
        <f>VLOOKUP(A589,Лист2!A:E,5,0)</f>
        <v>малые</v>
      </c>
      <c r="E589">
        <f>VLOOKUP(A589,Лист2!A:E,4,0)</f>
        <v>2.5</v>
      </c>
      <c r="F589" s="12">
        <f t="shared" si="39"/>
        <v>18000</v>
      </c>
      <c r="G589">
        <f t="shared" si="40"/>
        <v>257200</v>
      </c>
      <c r="H589">
        <f t="shared" si="41"/>
        <v>7200</v>
      </c>
    </row>
    <row r="590" spans="1:8">
      <c r="A590" t="s">
        <v>22</v>
      </c>
      <c r="B590">
        <v>6435000</v>
      </c>
      <c r="C590">
        <v>6469000</v>
      </c>
      <c r="D590" t="str">
        <f>VLOOKUP(A590,Лист2!A:E,5,0)</f>
        <v>малые</v>
      </c>
      <c r="E590">
        <f>VLOOKUP(A590,Лист2!A:E,4,0)</f>
        <v>13</v>
      </c>
      <c r="F590" s="12">
        <f t="shared" si="39"/>
        <v>-34000</v>
      </c>
      <c r="G590">
        <f t="shared" si="40"/>
        <v>495000</v>
      </c>
      <c r="H590">
        <f t="shared" si="41"/>
        <v>-2615.3846153846152</v>
      </c>
    </row>
    <row r="591" spans="1:8">
      <c r="A591" t="s">
        <v>18</v>
      </c>
      <c r="B591">
        <v>702000</v>
      </c>
      <c r="C591">
        <v>702000</v>
      </c>
      <c r="D591" t="str">
        <f>VLOOKUP(A591,Лист2!A:E,5,0)</f>
        <v>малые</v>
      </c>
      <c r="E591">
        <f>VLOOKUP(A591,Лист2!A:E,4,0)</f>
        <v>2.5</v>
      </c>
      <c r="F591" s="12">
        <f t="shared" si="39"/>
        <v>0</v>
      </c>
      <c r="G591">
        <f t="shared" si="40"/>
        <v>280800</v>
      </c>
      <c r="H591">
        <f t="shared" si="41"/>
        <v>0</v>
      </c>
    </row>
    <row r="592" spans="1:8">
      <c r="A592" t="s">
        <v>18</v>
      </c>
      <c r="B592">
        <v>2248000</v>
      </c>
      <c r="C592">
        <v>2417000</v>
      </c>
      <c r="D592" t="str">
        <f>VLOOKUP(A592,Лист2!A:E,5,0)</f>
        <v>малые</v>
      </c>
      <c r="E592">
        <f>VLOOKUP(A592,Лист2!A:E,4,0)</f>
        <v>2.5</v>
      </c>
      <c r="F592" s="12">
        <f t="shared" si="39"/>
        <v>-169000</v>
      </c>
      <c r="G592">
        <f t="shared" si="40"/>
        <v>899200</v>
      </c>
      <c r="H592">
        <f t="shared" si="41"/>
        <v>-67600</v>
      </c>
    </row>
    <row r="593" spans="1:8">
      <c r="A593" t="s">
        <v>18</v>
      </c>
      <c r="B593">
        <v>70120000</v>
      </c>
      <c r="C593">
        <v>36942000</v>
      </c>
      <c r="D593" t="str">
        <f>VLOOKUP(A593,Лист2!A:E,5,0)</f>
        <v>малые</v>
      </c>
      <c r="E593">
        <f>VLOOKUP(A593,Лист2!A:E,4,0)</f>
        <v>2.5</v>
      </c>
      <c r="F593" s="12">
        <f t="shared" si="39"/>
        <v>33178000</v>
      </c>
      <c r="G593">
        <f t="shared" si="40"/>
        <v>28048000</v>
      </c>
      <c r="H593">
        <f t="shared" si="41"/>
        <v>13271200</v>
      </c>
    </row>
    <row r="594" spans="1:8">
      <c r="A594" t="s">
        <v>18</v>
      </c>
      <c r="B594">
        <v>155000</v>
      </c>
      <c r="C594">
        <v>29000</v>
      </c>
      <c r="D594" t="str">
        <f>VLOOKUP(A594,Лист2!A:E,5,0)</f>
        <v>малые</v>
      </c>
      <c r="E594">
        <f>VLOOKUP(A594,Лист2!A:E,4,0)</f>
        <v>2.5</v>
      </c>
      <c r="F594" s="12">
        <f t="shared" si="39"/>
        <v>126000</v>
      </c>
      <c r="G594">
        <f t="shared" si="40"/>
        <v>62000</v>
      </c>
      <c r="H594">
        <f t="shared" si="41"/>
        <v>50400</v>
      </c>
    </row>
    <row r="595" spans="1:8">
      <c r="A595" t="s">
        <v>18</v>
      </c>
      <c r="B595">
        <v>60000</v>
      </c>
      <c r="C595">
        <v>113000</v>
      </c>
      <c r="D595" t="str">
        <f>VLOOKUP(A595,Лист2!A:E,5,0)</f>
        <v>малые</v>
      </c>
      <c r="E595">
        <f>VLOOKUP(A595,Лист2!A:E,4,0)</f>
        <v>2.5</v>
      </c>
      <c r="F595" s="12">
        <f t="shared" si="39"/>
        <v>-53000</v>
      </c>
      <c r="G595">
        <f t="shared" si="40"/>
        <v>24000</v>
      </c>
      <c r="H595">
        <f t="shared" si="41"/>
        <v>-21200</v>
      </c>
    </row>
    <row r="596" spans="1:8">
      <c r="A596" t="s">
        <v>18</v>
      </c>
      <c r="B596">
        <v>6958000</v>
      </c>
      <c r="C596">
        <v>8025000</v>
      </c>
      <c r="D596" t="str">
        <f>VLOOKUP(A596,Лист2!A:E,5,0)</f>
        <v>малые</v>
      </c>
      <c r="E596">
        <f>VLOOKUP(A596,Лист2!A:E,4,0)</f>
        <v>2.5</v>
      </c>
      <c r="F596" s="12">
        <f t="shared" si="39"/>
        <v>-1067000</v>
      </c>
      <c r="G596">
        <f t="shared" si="40"/>
        <v>2783200</v>
      </c>
      <c r="H596">
        <f t="shared" si="41"/>
        <v>-426800</v>
      </c>
    </row>
    <row r="597" spans="1:8">
      <c r="A597" t="s">
        <v>18</v>
      </c>
      <c r="B597">
        <v>424000</v>
      </c>
      <c r="C597">
        <v>424000</v>
      </c>
      <c r="D597" t="str">
        <f>VLOOKUP(A597,Лист2!A:E,5,0)</f>
        <v>малые</v>
      </c>
      <c r="E597">
        <f>VLOOKUP(A597,Лист2!A:E,4,0)</f>
        <v>2.5</v>
      </c>
      <c r="F597" s="12">
        <f t="shared" si="39"/>
        <v>0</v>
      </c>
      <c r="G597">
        <f t="shared" si="40"/>
        <v>169600</v>
      </c>
      <c r="H597">
        <f t="shared" si="41"/>
        <v>0</v>
      </c>
    </row>
    <row r="598" spans="1:8">
      <c r="A598" t="s">
        <v>18</v>
      </c>
      <c r="B598">
        <v>984000</v>
      </c>
      <c r="C598">
        <v>1824000</v>
      </c>
      <c r="D598" t="str">
        <f>VLOOKUP(A598,Лист2!A:E,5,0)</f>
        <v>малые</v>
      </c>
      <c r="E598">
        <f>VLOOKUP(A598,Лист2!A:E,4,0)</f>
        <v>2.5</v>
      </c>
      <c r="F598" s="12">
        <f t="shared" si="39"/>
        <v>-840000</v>
      </c>
      <c r="G598">
        <f t="shared" si="40"/>
        <v>393600</v>
      </c>
      <c r="H598">
        <f t="shared" si="41"/>
        <v>-336000</v>
      </c>
    </row>
    <row r="599" spans="1:8">
      <c r="A599" t="s">
        <v>18</v>
      </c>
      <c r="B599">
        <v>3301000</v>
      </c>
      <c r="C599">
        <v>3049000</v>
      </c>
      <c r="D599" t="str">
        <f>VLOOKUP(A599,Лист2!A:E,5,0)</f>
        <v>малые</v>
      </c>
      <c r="E599">
        <f>VLOOKUP(A599,Лист2!A:E,4,0)</f>
        <v>2.5</v>
      </c>
      <c r="F599" s="12">
        <f t="shared" si="39"/>
        <v>252000</v>
      </c>
      <c r="G599">
        <f t="shared" si="40"/>
        <v>1320400</v>
      </c>
      <c r="H599">
        <f t="shared" si="41"/>
        <v>100800</v>
      </c>
    </row>
    <row r="600" spans="1:8">
      <c r="A600" t="s">
        <v>18</v>
      </c>
      <c r="B600">
        <v>785000</v>
      </c>
      <c r="C600">
        <v>891000</v>
      </c>
      <c r="D600" t="str">
        <f>VLOOKUP(A600,Лист2!A:E,5,0)</f>
        <v>малые</v>
      </c>
      <c r="E600">
        <f>VLOOKUP(A600,Лист2!A:E,4,0)</f>
        <v>2.5</v>
      </c>
      <c r="F600" s="12">
        <f t="shared" si="39"/>
        <v>-106000</v>
      </c>
      <c r="G600">
        <f t="shared" si="40"/>
        <v>314000</v>
      </c>
      <c r="H600">
        <f t="shared" si="41"/>
        <v>-42400</v>
      </c>
    </row>
    <row r="601" spans="1:8">
      <c r="A601" t="s">
        <v>18</v>
      </c>
      <c r="B601">
        <v>2794000</v>
      </c>
      <c r="C601">
        <v>3872000</v>
      </c>
      <c r="D601" t="str">
        <f>VLOOKUP(A601,Лист2!A:E,5,0)</f>
        <v>малые</v>
      </c>
      <c r="E601">
        <f>VLOOKUP(A601,Лист2!A:E,4,0)</f>
        <v>2.5</v>
      </c>
      <c r="F601" s="12">
        <f t="shared" si="39"/>
        <v>-1078000</v>
      </c>
      <c r="G601">
        <f t="shared" si="40"/>
        <v>1117600</v>
      </c>
      <c r="H601">
        <f t="shared" si="41"/>
        <v>-431200</v>
      </c>
    </row>
    <row r="602" spans="1:8">
      <c r="A602" t="s">
        <v>18</v>
      </c>
      <c r="B602">
        <v>264000</v>
      </c>
      <c r="C602">
        <v>245000</v>
      </c>
      <c r="D602" t="str">
        <f>VLOOKUP(A602,Лист2!A:E,5,0)</f>
        <v>малые</v>
      </c>
      <c r="E602">
        <f>VLOOKUP(A602,Лист2!A:E,4,0)</f>
        <v>2.5</v>
      </c>
      <c r="F602" s="12">
        <f t="shared" si="39"/>
        <v>19000</v>
      </c>
      <c r="G602">
        <f t="shared" si="40"/>
        <v>105600</v>
      </c>
      <c r="H602">
        <f t="shared" si="41"/>
        <v>7600</v>
      </c>
    </row>
    <row r="603" spans="1:8">
      <c r="A603" t="s">
        <v>18</v>
      </c>
      <c r="B603">
        <v>1133000</v>
      </c>
      <c r="C603">
        <v>1131000</v>
      </c>
      <c r="D603" t="str">
        <f>VLOOKUP(A603,Лист2!A:E,5,0)</f>
        <v>малые</v>
      </c>
      <c r="E603">
        <f>VLOOKUP(A603,Лист2!A:E,4,0)</f>
        <v>2.5</v>
      </c>
      <c r="F603" s="12">
        <f t="shared" si="39"/>
        <v>2000</v>
      </c>
      <c r="G603">
        <f t="shared" si="40"/>
        <v>453200</v>
      </c>
      <c r="H603">
        <f t="shared" si="41"/>
        <v>800</v>
      </c>
    </row>
    <row r="604" spans="1:8">
      <c r="A604" t="s">
        <v>18</v>
      </c>
      <c r="B604">
        <v>300000</v>
      </c>
      <c r="C604">
        <v>239000</v>
      </c>
      <c r="D604" t="str">
        <f>VLOOKUP(A604,Лист2!A:E,5,0)</f>
        <v>малые</v>
      </c>
      <c r="E604">
        <f>VLOOKUP(A604,Лист2!A:E,4,0)</f>
        <v>2.5</v>
      </c>
      <c r="F604" s="12">
        <f t="shared" si="39"/>
        <v>61000</v>
      </c>
      <c r="G604">
        <f t="shared" si="40"/>
        <v>120000</v>
      </c>
      <c r="H604">
        <f t="shared" si="41"/>
        <v>24400</v>
      </c>
    </row>
    <row r="605" spans="1:8">
      <c r="A605" t="s">
        <v>18</v>
      </c>
      <c r="B605">
        <v>22194000</v>
      </c>
      <c r="C605">
        <v>17488000</v>
      </c>
      <c r="D605" t="str">
        <f>VLOOKUP(A605,Лист2!A:E,5,0)</f>
        <v>малые</v>
      </c>
      <c r="E605">
        <f>VLOOKUP(A605,Лист2!A:E,4,0)</f>
        <v>2.5</v>
      </c>
      <c r="F605" s="12">
        <f t="shared" si="39"/>
        <v>4706000</v>
      </c>
      <c r="G605">
        <f t="shared" si="40"/>
        <v>8877600</v>
      </c>
      <c r="H605">
        <f t="shared" si="41"/>
        <v>1882400</v>
      </c>
    </row>
    <row r="606" spans="1:8">
      <c r="A606" t="s">
        <v>18</v>
      </c>
      <c r="B606">
        <v>887000</v>
      </c>
      <c r="C606">
        <v>963000</v>
      </c>
      <c r="D606" t="str">
        <f>VLOOKUP(A606,Лист2!A:E,5,0)</f>
        <v>малые</v>
      </c>
      <c r="E606">
        <f>VLOOKUP(A606,Лист2!A:E,4,0)</f>
        <v>2.5</v>
      </c>
      <c r="F606" s="12">
        <f t="shared" si="39"/>
        <v>-76000</v>
      </c>
      <c r="G606">
        <f t="shared" si="40"/>
        <v>354800</v>
      </c>
      <c r="H606">
        <f t="shared" si="41"/>
        <v>-30400</v>
      </c>
    </row>
    <row r="607" spans="1:8">
      <c r="A607" t="s">
        <v>18</v>
      </c>
      <c r="B607">
        <v>790000</v>
      </c>
      <c r="C607">
        <v>790000</v>
      </c>
      <c r="D607" t="str">
        <f>VLOOKUP(A607,Лист2!A:E,5,0)</f>
        <v>малые</v>
      </c>
      <c r="E607">
        <f>VLOOKUP(A607,Лист2!A:E,4,0)</f>
        <v>2.5</v>
      </c>
      <c r="F607" s="12">
        <f t="shared" si="39"/>
        <v>0</v>
      </c>
      <c r="G607">
        <f t="shared" si="40"/>
        <v>316000</v>
      </c>
      <c r="H607">
        <f t="shared" si="41"/>
        <v>0</v>
      </c>
    </row>
    <row r="608" spans="1:8">
      <c r="A608" t="s">
        <v>18</v>
      </c>
      <c r="B608">
        <v>2530000</v>
      </c>
      <c r="C608">
        <v>3064000</v>
      </c>
      <c r="D608" t="str">
        <f>VLOOKUP(A608,Лист2!A:E,5,0)</f>
        <v>малые</v>
      </c>
      <c r="E608">
        <f>VLOOKUP(A608,Лист2!A:E,4,0)</f>
        <v>2.5</v>
      </c>
      <c r="F608" s="12">
        <f t="shared" si="39"/>
        <v>-534000</v>
      </c>
      <c r="G608">
        <f t="shared" si="40"/>
        <v>1012000</v>
      </c>
      <c r="H608">
        <f t="shared" si="41"/>
        <v>-213600</v>
      </c>
    </row>
    <row r="609" spans="1:8">
      <c r="A609" t="s">
        <v>18</v>
      </c>
      <c r="B609">
        <v>14400000</v>
      </c>
      <c r="C609">
        <v>15661000</v>
      </c>
      <c r="D609" t="str">
        <f>VLOOKUP(A609,Лист2!A:E,5,0)</f>
        <v>малые</v>
      </c>
      <c r="E609">
        <f>VLOOKUP(A609,Лист2!A:E,4,0)</f>
        <v>2.5</v>
      </c>
      <c r="F609" s="12">
        <f t="shared" si="39"/>
        <v>-1261000</v>
      </c>
      <c r="G609">
        <f t="shared" si="40"/>
        <v>5760000</v>
      </c>
      <c r="H609">
        <f t="shared" si="41"/>
        <v>-504400</v>
      </c>
    </row>
    <row r="610" spans="1:8">
      <c r="A610" t="s">
        <v>18</v>
      </c>
      <c r="B610">
        <v>1170000</v>
      </c>
      <c r="C610">
        <v>968000</v>
      </c>
      <c r="D610" t="str">
        <f>VLOOKUP(A610,Лист2!A:E,5,0)</f>
        <v>малые</v>
      </c>
      <c r="E610">
        <f>VLOOKUP(A610,Лист2!A:E,4,0)</f>
        <v>2.5</v>
      </c>
      <c r="F610" s="12">
        <f t="shared" si="39"/>
        <v>202000</v>
      </c>
      <c r="G610">
        <f t="shared" si="40"/>
        <v>468000</v>
      </c>
      <c r="H610">
        <f t="shared" si="41"/>
        <v>80800</v>
      </c>
    </row>
    <row r="611" spans="1:8">
      <c r="A611" t="s">
        <v>18</v>
      </c>
      <c r="B611">
        <v>34000</v>
      </c>
      <c r="C611">
        <v>56000</v>
      </c>
      <c r="D611" t="str">
        <f>VLOOKUP(A611,Лист2!A:E,5,0)</f>
        <v>малые</v>
      </c>
      <c r="E611">
        <f>VLOOKUP(A611,Лист2!A:E,4,0)</f>
        <v>2.5</v>
      </c>
      <c r="F611" s="12">
        <f t="shared" si="39"/>
        <v>-22000</v>
      </c>
      <c r="G611">
        <f t="shared" si="40"/>
        <v>13600</v>
      </c>
      <c r="H611">
        <f t="shared" si="41"/>
        <v>-8800</v>
      </c>
    </row>
    <row r="612" spans="1:8">
      <c r="A612" t="s">
        <v>18</v>
      </c>
      <c r="B612">
        <v>55202000</v>
      </c>
      <c r="C612">
        <v>44774000</v>
      </c>
      <c r="D612" t="str">
        <f>VLOOKUP(A612,Лист2!A:E,5,0)</f>
        <v>малые</v>
      </c>
      <c r="E612">
        <f>VLOOKUP(A612,Лист2!A:E,4,0)</f>
        <v>2.5</v>
      </c>
      <c r="F612" s="12">
        <f t="shared" si="39"/>
        <v>10428000</v>
      </c>
      <c r="G612">
        <f t="shared" si="40"/>
        <v>22080800</v>
      </c>
      <c r="H612">
        <f t="shared" si="41"/>
        <v>4171200</v>
      </c>
    </row>
    <row r="613" spans="1:8">
      <c r="A613" t="s">
        <v>18</v>
      </c>
      <c r="B613">
        <v>58000</v>
      </c>
      <c r="C613">
        <v>58000</v>
      </c>
      <c r="D613" t="str">
        <f>VLOOKUP(A613,Лист2!A:E,5,0)</f>
        <v>малые</v>
      </c>
      <c r="E613">
        <f>VLOOKUP(A613,Лист2!A:E,4,0)</f>
        <v>2.5</v>
      </c>
      <c r="F613" s="12">
        <f t="shared" si="39"/>
        <v>0</v>
      </c>
      <c r="G613">
        <f t="shared" si="40"/>
        <v>23200</v>
      </c>
      <c r="H613">
        <f t="shared" si="41"/>
        <v>0</v>
      </c>
    </row>
    <row r="614" spans="1:8">
      <c r="A614" t="s">
        <v>18</v>
      </c>
      <c r="B614">
        <v>534000</v>
      </c>
      <c r="C614">
        <v>581000</v>
      </c>
      <c r="D614" t="str">
        <f>VLOOKUP(A614,Лист2!A:E,5,0)</f>
        <v>малые</v>
      </c>
      <c r="E614">
        <f>VLOOKUP(A614,Лист2!A:E,4,0)</f>
        <v>2.5</v>
      </c>
      <c r="F614" s="12">
        <f t="shared" si="39"/>
        <v>-47000</v>
      </c>
      <c r="G614">
        <f t="shared" si="40"/>
        <v>213600</v>
      </c>
      <c r="H614">
        <f t="shared" si="41"/>
        <v>-18800</v>
      </c>
    </row>
    <row r="615" spans="1:8">
      <c r="A615" t="s">
        <v>18</v>
      </c>
      <c r="B615">
        <v>1350000</v>
      </c>
      <c r="C615">
        <v>1959000</v>
      </c>
      <c r="D615" t="str">
        <f>VLOOKUP(A615,Лист2!A:E,5,0)</f>
        <v>малые</v>
      </c>
      <c r="E615">
        <f>VLOOKUP(A615,Лист2!A:E,4,0)</f>
        <v>2.5</v>
      </c>
      <c r="F615" s="12">
        <f t="shared" si="39"/>
        <v>-609000</v>
      </c>
      <c r="G615">
        <f t="shared" si="40"/>
        <v>540000</v>
      </c>
      <c r="H615">
        <f t="shared" si="41"/>
        <v>-243600</v>
      </c>
    </row>
    <row r="616" spans="1:8">
      <c r="A616" t="s">
        <v>18</v>
      </c>
      <c r="B616">
        <v>277000</v>
      </c>
      <c r="C616">
        <v>311000</v>
      </c>
      <c r="D616" t="str">
        <f>VLOOKUP(A616,Лист2!A:E,5,0)</f>
        <v>малые</v>
      </c>
      <c r="E616">
        <f>VLOOKUP(A616,Лист2!A:E,4,0)</f>
        <v>2.5</v>
      </c>
      <c r="F616" s="12">
        <f t="shared" si="39"/>
        <v>-34000</v>
      </c>
      <c r="G616">
        <f t="shared" si="40"/>
        <v>110800</v>
      </c>
      <c r="H616">
        <f t="shared" si="41"/>
        <v>-13600</v>
      </c>
    </row>
    <row r="617" spans="1:8">
      <c r="A617" t="s">
        <v>18</v>
      </c>
      <c r="B617">
        <v>20000</v>
      </c>
      <c r="C617">
        <v>33000</v>
      </c>
      <c r="D617" t="str">
        <f>VLOOKUP(A617,Лист2!A:E,5,0)</f>
        <v>малые</v>
      </c>
      <c r="E617">
        <f>VLOOKUP(A617,Лист2!A:E,4,0)</f>
        <v>2.5</v>
      </c>
      <c r="F617" s="12">
        <f t="shared" si="39"/>
        <v>-13000</v>
      </c>
      <c r="G617">
        <f t="shared" si="40"/>
        <v>8000</v>
      </c>
      <c r="H617">
        <f t="shared" si="41"/>
        <v>-5200</v>
      </c>
    </row>
    <row r="618" spans="1:8">
      <c r="A618" t="s">
        <v>18</v>
      </c>
      <c r="B618">
        <v>2458000</v>
      </c>
      <c r="C618">
        <v>4937000</v>
      </c>
      <c r="D618" t="str">
        <f>VLOOKUP(A618,Лист2!A:E,5,0)</f>
        <v>малые</v>
      </c>
      <c r="E618">
        <f>VLOOKUP(A618,Лист2!A:E,4,0)</f>
        <v>2.5</v>
      </c>
      <c r="F618" s="12">
        <f t="shared" si="39"/>
        <v>-2479000</v>
      </c>
      <c r="G618">
        <f t="shared" si="40"/>
        <v>983200</v>
      </c>
      <c r="H618">
        <f t="shared" si="41"/>
        <v>-991600</v>
      </c>
    </row>
    <row r="619" spans="1:8">
      <c r="A619" t="s">
        <v>18</v>
      </c>
      <c r="B619">
        <v>15359000</v>
      </c>
      <c r="C619">
        <v>17273000</v>
      </c>
      <c r="D619" t="str">
        <f>VLOOKUP(A619,Лист2!A:E,5,0)</f>
        <v>малые</v>
      </c>
      <c r="E619">
        <f>VLOOKUP(A619,Лист2!A:E,4,0)</f>
        <v>2.5</v>
      </c>
      <c r="F619" s="12">
        <f t="shared" si="39"/>
        <v>-1914000</v>
      </c>
      <c r="G619">
        <f t="shared" si="40"/>
        <v>6143600</v>
      </c>
      <c r="H619">
        <f t="shared" si="41"/>
        <v>-765600</v>
      </c>
    </row>
    <row r="620" spans="1:8">
      <c r="A620" t="s">
        <v>18</v>
      </c>
      <c r="B620">
        <v>288000</v>
      </c>
      <c r="C620">
        <v>267000</v>
      </c>
      <c r="D620" t="str">
        <f>VLOOKUP(A620,Лист2!A:E,5,0)</f>
        <v>малые</v>
      </c>
      <c r="E620">
        <f>VLOOKUP(A620,Лист2!A:E,4,0)</f>
        <v>2.5</v>
      </c>
      <c r="F620" s="12">
        <f t="shared" si="39"/>
        <v>21000</v>
      </c>
      <c r="G620">
        <f t="shared" si="40"/>
        <v>115200</v>
      </c>
      <c r="H620">
        <f t="shared" si="41"/>
        <v>8400</v>
      </c>
    </row>
    <row r="621" spans="1:8">
      <c r="A621" t="s">
        <v>18</v>
      </c>
      <c r="B621">
        <v>2288000</v>
      </c>
      <c r="C621">
        <v>2230000</v>
      </c>
      <c r="D621" t="str">
        <f>VLOOKUP(A621,Лист2!A:E,5,0)</f>
        <v>малые</v>
      </c>
      <c r="E621">
        <f>VLOOKUP(A621,Лист2!A:E,4,0)</f>
        <v>2.5</v>
      </c>
      <c r="F621" s="12">
        <f t="shared" si="39"/>
        <v>58000</v>
      </c>
      <c r="G621">
        <f t="shared" si="40"/>
        <v>915200</v>
      </c>
      <c r="H621">
        <f t="shared" si="41"/>
        <v>23200</v>
      </c>
    </row>
    <row r="622" spans="1:8">
      <c r="A622" t="s">
        <v>18</v>
      </c>
      <c r="B622">
        <v>957000</v>
      </c>
      <c r="C622">
        <v>957000</v>
      </c>
      <c r="D622" t="str">
        <f>VLOOKUP(A622,Лист2!A:E,5,0)</f>
        <v>малые</v>
      </c>
      <c r="E622">
        <f>VLOOKUP(A622,Лист2!A:E,4,0)</f>
        <v>2.5</v>
      </c>
      <c r="F622" s="12">
        <f t="shared" si="39"/>
        <v>0</v>
      </c>
      <c r="G622">
        <f t="shared" si="40"/>
        <v>382800</v>
      </c>
      <c r="H622">
        <f t="shared" si="41"/>
        <v>0</v>
      </c>
    </row>
    <row r="623" spans="1:8">
      <c r="A623" t="s">
        <v>18</v>
      </c>
      <c r="B623">
        <v>583000</v>
      </c>
      <c r="C623">
        <v>404000</v>
      </c>
      <c r="D623" t="str">
        <f>VLOOKUP(A623,Лист2!A:E,5,0)</f>
        <v>малые</v>
      </c>
      <c r="E623">
        <f>VLOOKUP(A623,Лист2!A:E,4,0)</f>
        <v>2.5</v>
      </c>
      <c r="F623" s="12">
        <f t="shared" si="39"/>
        <v>179000</v>
      </c>
      <c r="G623">
        <f t="shared" si="40"/>
        <v>233200</v>
      </c>
      <c r="H623">
        <f t="shared" si="41"/>
        <v>71600</v>
      </c>
    </row>
    <row r="624" spans="1:8">
      <c r="A624" t="s">
        <v>18</v>
      </c>
      <c r="B624">
        <v>45222000</v>
      </c>
      <c r="C624">
        <v>14013000</v>
      </c>
      <c r="D624" t="str">
        <f>VLOOKUP(A624,Лист2!A:E,5,0)</f>
        <v>малые</v>
      </c>
      <c r="E624">
        <f>VLOOKUP(A624,Лист2!A:E,4,0)</f>
        <v>2.5</v>
      </c>
      <c r="F624" s="12">
        <f t="shared" si="39"/>
        <v>31209000</v>
      </c>
      <c r="G624">
        <f t="shared" si="40"/>
        <v>18088800</v>
      </c>
      <c r="H624">
        <f t="shared" si="41"/>
        <v>12483600</v>
      </c>
    </row>
    <row r="625" spans="1:8">
      <c r="A625" t="s">
        <v>18</v>
      </c>
      <c r="B625">
        <v>5158000</v>
      </c>
      <c r="C625">
        <v>3029000</v>
      </c>
      <c r="D625" t="str">
        <f>VLOOKUP(A625,Лист2!A:E,5,0)</f>
        <v>малые</v>
      </c>
      <c r="E625">
        <f>VLOOKUP(A625,Лист2!A:E,4,0)</f>
        <v>2.5</v>
      </c>
      <c r="F625" s="12">
        <f t="shared" si="39"/>
        <v>2129000</v>
      </c>
      <c r="G625">
        <f t="shared" si="40"/>
        <v>2063200</v>
      </c>
      <c r="H625">
        <f t="shared" si="41"/>
        <v>851600</v>
      </c>
    </row>
    <row r="626" spans="1:8">
      <c r="A626" t="s">
        <v>18</v>
      </c>
      <c r="B626">
        <v>328000</v>
      </c>
      <c r="C626">
        <v>328000</v>
      </c>
      <c r="D626" t="str">
        <f>VLOOKUP(A626,Лист2!A:E,5,0)</f>
        <v>малые</v>
      </c>
      <c r="E626">
        <f>VLOOKUP(A626,Лист2!A:E,4,0)</f>
        <v>2.5</v>
      </c>
      <c r="F626" s="12">
        <f t="shared" ref="F626:F659" si="42">B626-C626</f>
        <v>0</v>
      </c>
      <c r="G626">
        <f t="shared" ref="G626:G659" si="43">B626/E626</f>
        <v>131200</v>
      </c>
      <c r="H626">
        <f t="shared" ref="H626:H659" si="44">F626/E626</f>
        <v>0</v>
      </c>
    </row>
    <row r="627" spans="1:8">
      <c r="A627" t="s">
        <v>77</v>
      </c>
      <c r="B627">
        <v>4475000</v>
      </c>
      <c r="C627">
        <v>3830000</v>
      </c>
      <c r="D627" t="str">
        <f>VLOOKUP(A627,Лист2!A:E,5,0)</f>
        <v>малые</v>
      </c>
      <c r="E627">
        <f>VLOOKUP(A627,Лист2!A:E,4,0)</f>
        <v>8</v>
      </c>
      <c r="F627" s="12">
        <f t="shared" si="42"/>
        <v>645000</v>
      </c>
      <c r="G627">
        <f t="shared" si="43"/>
        <v>559375</v>
      </c>
      <c r="H627">
        <f t="shared" si="44"/>
        <v>80625</v>
      </c>
    </row>
    <row r="628" spans="1:8">
      <c r="A628" t="s">
        <v>18</v>
      </c>
      <c r="B628">
        <v>397000</v>
      </c>
      <c r="C628">
        <v>399000</v>
      </c>
      <c r="D628" t="str">
        <f>VLOOKUP(A628,Лист2!A:E,5,0)</f>
        <v>малые</v>
      </c>
      <c r="E628">
        <f>VLOOKUP(A628,Лист2!A:E,4,0)</f>
        <v>2.5</v>
      </c>
      <c r="F628" s="12">
        <f t="shared" si="42"/>
        <v>-2000</v>
      </c>
      <c r="G628">
        <f t="shared" si="43"/>
        <v>158800</v>
      </c>
      <c r="H628">
        <f t="shared" si="44"/>
        <v>-800</v>
      </c>
    </row>
    <row r="629" spans="1:8">
      <c r="A629" t="s">
        <v>18</v>
      </c>
      <c r="B629">
        <v>2391000</v>
      </c>
      <c r="C629">
        <v>2218000</v>
      </c>
      <c r="D629" t="str">
        <f>VLOOKUP(A629,Лист2!A:E,5,0)</f>
        <v>малые</v>
      </c>
      <c r="E629">
        <f>VLOOKUP(A629,Лист2!A:E,4,0)</f>
        <v>2.5</v>
      </c>
      <c r="F629" s="12">
        <f t="shared" si="42"/>
        <v>173000</v>
      </c>
      <c r="G629">
        <f t="shared" si="43"/>
        <v>956400</v>
      </c>
      <c r="H629">
        <f t="shared" si="44"/>
        <v>69200</v>
      </c>
    </row>
    <row r="630" spans="1:8">
      <c r="A630" t="s">
        <v>18</v>
      </c>
      <c r="B630">
        <v>5400000</v>
      </c>
      <c r="C630">
        <v>4779000</v>
      </c>
      <c r="D630" t="str">
        <f>VLOOKUP(A630,Лист2!A:E,5,0)</f>
        <v>малые</v>
      </c>
      <c r="E630">
        <f>VLOOKUP(A630,Лист2!A:E,4,0)</f>
        <v>2.5</v>
      </c>
      <c r="F630" s="12">
        <f t="shared" si="42"/>
        <v>621000</v>
      </c>
      <c r="G630">
        <f t="shared" si="43"/>
        <v>2160000</v>
      </c>
      <c r="H630">
        <f t="shared" si="44"/>
        <v>248400</v>
      </c>
    </row>
    <row r="631" spans="1:8">
      <c r="A631" t="s">
        <v>18</v>
      </c>
      <c r="B631">
        <v>7460000</v>
      </c>
      <c r="C631">
        <v>9790000</v>
      </c>
      <c r="D631" t="str">
        <f>VLOOKUP(A631,Лист2!A:E,5,0)</f>
        <v>малые</v>
      </c>
      <c r="E631">
        <f>VLOOKUP(A631,Лист2!A:E,4,0)</f>
        <v>2.5</v>
      </c>
      <c r="F631" s="12">
        <f t="shared" si="42"/>
        <v>-2330000</v>
      </c>
      <c r="G631">
        <f t="shared" si="43"/>
        <v>2984000</v>
      </c>
      <c r="H631">
        <f t="shared" si="44"/>
        <v>-932000</v>
      </c>
    </row>
    <row r="632" spans="1:8">
      <c r="A632" t="s">
        <v>18</v>
      </c>
      <c r="B632">
        <v>946000</v>
      </c>
      <c r="C632">
        <v>673000</v>
      </c>
      <c r="D632" t="str">
        <f>VLOOKUP(A632,Лист2!A:E,5,0)</f>
        <v>малые</v>
      </c>
      <c r="E632">
        <f>VLOOKUP(A632,Лист2!A:E,4,0)</f>
        <v>2.5</v>
      </c>
      <c r="F632" s="12">
        <f t="shared" si="42"/>
        <v>273000</v>
      </c>
      <c r="G632">
        <f t="shared" si="43"/>
        <v>378400</v>
      </c>
      <c r="H632">
        <f t="shared" si="44"/>
        <v>109200</v>
      </c>
    </row>
    <row r="633" spans="1:8">
      <c r="A633" t="s">
        <v>77</v>
      </c>
      <c r="B633">
        <v>49236000</v>
      </c>
      <c r="C633">
        <v>48717000</v>
      </c>
      <c r="D633" t="str">
        <f>VLOOKUP(A633,Лист2!A:E,5,0)</f>
        <v>малые</v>
      </c>
      <c r="E633">
        <f>VLOOKUP(A633,Лист2!A:E,4,0)</f>
        <v>8</v>
      </c>
      <c r="F633" s="12">
        <f t="shared" si="42"/>
        <v>519000</v>
      </c>
      <c r="G633">
        <f t="shared" si="43"/>
        <v>6154500</v>
      </c>
      <c r="H633">
        <f t="shared" si="44"/>
        <v>64875</v>
      </c>
    </row>
    <row r="634" spans="1:8">
      <c r="A634" t="s">
        <v>18</v>
      </c>
      <c r="B634">
        <v>19879000</v>
      </c>
      <c r="C634">
        <v>7816000</v>
      </c>
      <c r="D634" t="str">
        <f>VLOOKUP(A634,Лист2!A:E,5,0)</f>
        <v>малые</v>
      </c>
      <c r="E634">
        <f>VLOOKUP(A634,Лист2!A:E,4,0)</f>
        <v>2.5</v>
      </c>
      <c r="F634" s="12">
        <f t="shared" si="42"/>
        <v>12063000</v>
      </c>
      <c r="G634">
        <f t="shared" si="43"/>
        <v>7951600</v>
      </c>
      <c r="H634">
        <f t="shared" si="44"/>
        <v>4825200</v>
      </c>
    </row>
    <row r="635" spans="1:8">
      <c r="A635" t="s">
        <v>18</v>
      </c>
      <c r="B635">
        <v>82080000</v>
      </c>
      <c r="C635">
        <v>79246000</v>
      </c>
      <c r="D635" t="str">
        <f>VLOOKUP(A635,Лист2!A:E,5,0)</f>
        <v>малые</v>
      </c>
      <c r="E635">
        <f>VLOOKUP(A635,Лист2!A:E,4,0)</f>
        <v>2.5</v>
      </c>
      <c r="F635" s="12">
        <f t="shared" si="42"/>
        <v>2834000</v>
      </c>
      <c r="G635">
        <f t="shared" si="43"/>
        <v>32832000</v>
      </c>
      <c r="H635">
        <f t="shared" si="44"/>
        <v>1133600</v>
      </c>
    </row>
    <row r="636" spans="1:8">
      <c r="A636" t="s">
        <v>18</v>
      </c>
      <c r="B636">
        <v>4378000</v>
      </c>
      <c r="C636">
        <v>4272000</v>
      </c>
      <c r="D636" t="str">
        <f>VLOOKUP(A636,Лист2!A:E,5,0)</f>
        <v>малые</v>
      </c>
      <c r="E636">
        <f>VLOOKUP(A636,Лист2!A:E,4,0)</f>
        <v>2.5</v>
      </c>
      <c r="F636" s="12">
        <f t="shared" si="42"/>
        <v>106000</v>
      </c>
      <c r="G636">
        <f t="shared" si="43"/>
        <v>1751200</v>
      </c>
      <c r="H636">
        <f t="shared" si="44"/>
        <v>42400</v>
      </c>
    </row>
    <row r="637" spans="1:8">
      <c r="A637" t="s">
        <v>18</v>
      </c>
      <c r="B637">
        <v>754000</v>
      </c>
      <c r="C637">
        <v>754000</v>
      </c>
      <c r="D637" t="str">
        <f>VLOOKUP(A637,Лист2!A:E,5,0)</f>
        <v>малые</v>
      </c>
      <c r="E637">
        <f>VLOOKUP(A637,Лист2!A:E,4,0)</f>
        <v>2.5</v>
      </c>
      <c r="F637" s="12">
        <f t="shared" si="42"/>
        <v>0</v>
      </c>
      <c r="G637">
        <f t="shared" si="43"/>
        <v>301600</v>
      </c>
      <c r="H637">
        <f t="shared" si="44"/>
        <v>0</v>
      </c>
    </row>
    <row r="638" spans="1:8">
      <c r="A638" t="s">
        <v>18</v>
      </c>
      <c r="B638">
        <v>64000</v>
      </c>
      <c r="C638">
        <v>94000</v>
      </c>
      <c r="D638" t="str">
        <f>VLOOKUP(A638,Лист2!A:E,5,0)</f>
        <v>малые</v>
      </c>
      <c r="E638">
        <f>VLOOKUP(A638,Лист2!A:E,4,0)</f>
        <v>2.5</v>
      </c>
      <c r="F638" s="12">
        <f t="shared" si="42"/>
        <v>-30000</v>
      </c>
      <c r="G638">
        <f t="shared" si="43"/>
        <v>25600</v>
      </c>
      <c r="H638">
        <f t="shared" si="44"/>
        <v>-12000</v>
      </c>
    </row>
    <row r="639" spans="1:8">
      <c r="A639" t="s">
        <v>18</v>
      </c>
      <c r="B639">
        <v>449000</v>
      </c>
      <c r="C639">
        <v>528000</v>
      </c>
      <c r="D639" t="str">
        <f>VLOOKUP(A639,Лист2!A:E,5,0)</f>
        <v>малые</v>
      </c>
      <c r="E639">
        <f>VLOOKUP(A639,Лист2!A:E,4,0)</f>
        <v>2.5</v>
      </c>
      <c r="F639" s="12">
        <f t="shared" si="42"/>
        <v>-79000</v>
      </c>
      <c r="G639">
        <f t="shared" si="43"/>
        <v>179600</v>
      </c>
      <c r="H639">
        <f t="shared" si="44"/>
        <v>-31600</v>
      </c>
    </row>
    <row r="640" spans="1:8">
      <c r="A640" t="s">
        <v>18</v>
      </c>
      <c r="B640">
        <v>2672000</v>
      </c>
      <c r="C640">
        <v>2793000</v>
      </c>
      <c r="D640" t="str">
        <f>VLOOKUP(A640,Лист2!A:E,5,0)</f>
        <v>малые</v>
      </c>
      <c r="E640">
        <f>VLOOKUP(A640,Лист2!A:E,4,0)</f>
        <v>2.5</v>
      </c>
      <c r="F640" s="12">
        <f t="shared" si="42"/>
        <v>-121000</v>
      </c>
      <c r="G640">
        <f t="shared" si="43"/>
        <v>1068800</v>
      </c>
      <c r="H640">
        <f t="shared" si="44"/>
        <v>-48400</v>
      </c>
    </row>
    <row r="641" spans="1:8">
      <c r="A641" t="s">
        <v>77</v>
      </c>
      <c r="B641">
        <v>23000</v>
      </c>
      <c r="C641">
        <v>223000</v>
      </c>
      <c r="D641" t="str">
        <f>VLOOKUP(A641,Лист2!A:E,5,0)</f>
        <v>малые</v>
      </c>
      <c r="E641">
        <f>VLOOKUP(A641,Лист2!A:E,4,0)</f>
        <v>8</v>
      </c>
      <c r="F641" s="12">
        <f t="shared" si="42"/>
        <v>-200000</v>
      </c>
      <c r="G641">
        <f t="shared" si="43"/>
        <v>2875</v>
      </c>
      <c r="H641">
        <f t="shared" si="44"/>
        <v>-25000</v>
      </c>
    </row>
    <row r="642" spans="1:8">
      <c r="A642" t="s">
        <v>18</v>
      </c>
      <c r="B642">
        <v>2975000</v>
      </c>
      <c r="C642">
        <v>2975000</v>
      </c>
      <c r="D642" t="str">
        <f>VLOOKUP(A642,Лист2!A:E,5,0)</f>
        <v>малые</v>
      </c>
      <c r="E642">
        <f>VLOOKUP(A642,Лист2!A:E,4,0)</f>
        <v>2.5</v>
      </c>
      <c r="F642" s="12">
        <f t="shared" si="42"/>
        <v>0</v>
      </c>
      <c r="G642">
        <f t="shared" si="43"/>
        <v>1190000</v>
      </c>
      <c r="H642">
        <f t="shared" si="44"/>
        <v>0</v>
      </c>
    </row>
    <row r="643" spans="1:8">
      <c r="A643" t="s">
        <v>18</v>
      </c>
      <c r="B643">
        <v>65000</v>
      </c>
      <c r="C643">
        <v>104000</v>
      </c>
      <c r="D643" t="str">
        <f>VLOOKUP(A643,Лист2!A:E,5,0)</f>
        <v>малые</v>
      </c>
      <c r="E643">
        <f>VLOOKUP(A643,Лист2!A:E,4,0)</f>
        <v>2.5</v>
      </c>
      <c r="F643" s="12">
        <f t="shared" si="42"/>
        <v>-39000</v>
      </c>
      <c r="G643">
        <f t="shared" si="43"/>
        <v>26000</v>
      </c>
      <c r="H643">
        <f t="shared" si="44"/>
        <v>-15600</v>
      </c>
    </row>
    <row r="644" spans="1:8">
      <c r="A644" t="s">
        <v>18</v>
      </c>
      <c r="B644">
        <v>12116000</v>
      </c>
      <c r="C644">
        <v>12334000</v>
      </c>
      <c r="D644" t="str">
        <f>VLOOKUP(A644,Лист2!A:E,5,0)</f>
        <v>малые</v>
      </c>
      <c r="E644">
        <f>VLOOKUP(A644,Лист2!A:E,4,0)</f>
        <v>2.5</v>
      </c>
      <c r="F644" s="12">
        <f t="shared" si="42"/>
        <v>-218000</v>
      </c>
      <c r="G644">
        <f t="shared" si="43"/>
        <v>4846400</v>
      </c>
      <c r="H644">
        <f t="shared" si="44"/>
        <v>-87200</v>
      </c>
    </row>
    <row r="645" spans="1:8">
      <c r="A645" t="s">
        <v>77</v>
      </c>
      <c r="B645">
        <v>5336000</v>
      </c>
      <c r="C645">
        <v>5179000</v>
      </c>
      <c r="D645" t="str">
        <f>VLOOKUP(A645,Лист2!A:E,5,0)</f>
        <v>малые</v>
      </c>
      <c r="E645">
        <f>VLOOKUP(A645,Лист2!A:E,4,0)</f>
        <v>8</v>
      </c>
      <c r="F645" s="12">
        <f t="shared" si="42"/>
        <v>157000</v>
      </c>
      <c r="G645">
        <f t="shared" si="43"/>
        <v>667000</v>
      </c>
      <c r="H645">
        <f t="shared" si="44"/>
        <v>19625</v>
      </c>
    </row>
    <row r="646" spans="1:8">
      <c r="A646" t="s">
        <v>18</v>
      </c>
      <c r="B646">
        <v>110000</v>
      </c>
      <c r="C646">
        <v>111000</v>
      </c>
      <c r="D646" t="str">
        <f>VLOOKUP(A646,Лист2!A:E,5,0)</f>
        <v>малые</v>
      </c>
      <c r="E646">
        <f>VLOOKUP(A646,Лист2!A:E,4,0)</f>
        <v>2.5</v>
      </c>
      <c r="F646" s="12">
        <f t="shared" si="42"/>
        <v>-1000</v>
      </c>
      <c r="G646">
        <f t="shared" si="43"/>
        <v>44000</v>
      </c>
      <c r="H646">
        <f t="shared" si="44"/>
        <v>-400</v>
      </c>
    </row>
    <row r="647" spans="1:8">
      <c r="A647" t="s">
        <v>18</v>
      </c>
      <c r="B647">
        <v>921000</v>
      </c>
      <c r="C647">
        <v>921000</v>
      </c>
      <c r="D647" t="str">
        <f>VLOOKUP(A647,Лист2!A:E,5,0)</f>
        <v>малые</v>
      </c>
      <c r="E647">
        <f>VLOOKUP(A647,Лист2!A:E,4,0)</f>
        <v>2.5</v>
      </c>
      <c r="F647" s="12">
        <f t="shared" si="42"/>
        <v>0</v>
      </c>
      <c r="G647">
        <f t="shared" si="43"/>
        <v>368400</v>
      </c>
      <c r="H647">
        <f t="shared" si="44"/>
        <v>0</v>
      </c>
    </row>
    <row r="648" spans="1:8">
      <c r="A648" t="s">
        <v>18</v>
      </c>
      <c r="B648">
        <v>5000</v>
      </c>
      <c r="C648">
        <v>5000</v>
      </c>
      <c r="D648" t="str">
        <f>VLOOKUP(A648,Лист2!A:E,5,0)</f>
        <v>малые</v>
      </c>
      <c r="E648">
        <f>VLOOKUP(A648,Лист2!A:E,4,0)</f>
        <v>2.5</v>
      </c>
      <c r="F648" s="12">
        <f t="shared" si="42"/>
        <v>0</v>
      </c>
      <c r="G648">
        <f t="shared" si="43"/>
        <v>2000</v>
      </c>
      <c r="H648">
        <f t="shared" si="44"/>
        <v>0</v>
      </c>
    </row>
    <row r="649" spans="1:8">
      <c r="A649" t="s">
        <v>18</v>
      </c>
      <c r="B649">
        <v>758000</v>
      </c>
      <c r="C649">
        <v>1682000</v>
      </c>
      <c r="D649" t="str">
        <f>VLOOKUP(A649,Лист2!A:E,5,0)</f>
        <v>малые</v>
      </c>
      <c r="E649">
        <f>VLOOKUP(A649,Лист2!A:E,4,0)</f>
        <v>2.5</v>
      </c>
      <c r="F649" s="12">
        <f t="shared" si="42"/>
        <v>-924000</v>
      </c>
      <c r="G649">
        <f t="shared" si="43"/>
        <v>303200</v>
      </c>
      <c r="H649">
        <f t="shared" si="44"/>
        <v>-369600</v>
      </c>
    </row>
    <row r="650" spans="1:8">
      <c r="A650" t="s">
        <v>18</v>
      </c>
      <c r="B650">
        <v>3176000</v>
      </c>
      <c r="C650">
        <v>3277000</v>
      </c>
      <c r="D650" t="str">
        <f>VLOOKUP(A650,Лист2!A:E,5,0)</f>
        <v>малые</v>
      </c>
      <c r="E650">
        <f>VLOOKUP(A650,Лист2!A:E,4,0)</f>
        <v>2.5</v>
      </c>
      <c r="F650" s="12">
        <f t="shared" si="42"/>
        <v>-101000</v>
      </c>
      <c r="G650">
        <f t="shared" si="43"/>
        <v>1270400</v>
      </c>
      <c r="H650">
        <f t="shared" si="44"/>
        <v>-40400</v>
      </c>
    </row>
    <row r="651" spans="1:8">
      <c r="A651" t="s">
        <v>18</v>
      </c>
      <c r="B651">
        <v>4040000</v>
      </c>
      <c r="C651">
        <v>3670000</v>
      </c>
      <c r="D651" t="str">
        <f>VLOOKUP(A651,Лист2!A:E,5,0)</f>
        <v>малые</v>
      </c>
      <c r="E651">
        <f>VLOOKUP(A651,Лист2!A:E,4,0)</f>
        <v>2.5</v>
      </c>
      <c r="F651" s="12">
        <f t="shared" si="42"/>
        <v>370000</v>
      </c>
      <c r="G651">
        <f t="shared" si="43"/>
        <v>1616000</v>
      </c>
      <c r="H651">
        <f t="shared" si="44"/>
        <v>148000</v>
      </c>
    </row>
    <row r="652" spans="1:8">
      <c r="A652" t="s">
        <v>18</v>
      </c>
      <c r="B652">
        <v>3959000</v>
      </c>
      <c r="C652">
        <v>2994000</v>
      </c>
      <c r="D652" t="str">
        <f>VLOOKUP(A652,Лист2!A:E,5,0)</f>
        <v>малые</v>
      </c>
      <c r="E652">
        <f>VLOOKUP(A652,Лист2!A:E,4,0)</f>
        <v>2.5</v>
      </c>
      <c r="F652" s="12">
        <f t="shared" si="42"/>
        <v>965000</v>
      </c>
      <c r="G652">
        <f t="shared" si="43"/>
        <v>1583600</v>
      </c>
      <c r="H652">
        <f t="shared" si="44"/>
        <v>386000</v>
      </c>
    </row>
    <row r="653" spans="1:8">
      <c r="A653" t="s">
        <v>18</v>
      </c>
      <c r="B653">
        <v>33000</v>
      </c>
      <c r="C653">
        <v>45000</v>
      </c>
      <c r="D653" t="str">
        <f>VLOOKUP(A653,Лист2!A:E,5,0)</f>
        <v>малые</v>
      </c>
      <c r="E653">
        <f>VLOOKUP(A653,Лист2!A:E,4,0)</f>
        <v>2.5</v>
      </c>
      <c r="F653" s="12">
        <f t="shared" si="42"/>
        <v>-12000</v>
      </c>
      <c r="G653">
        <f t="shared" si="43"/>
        <v>13200</v>
      </c>
      <c r="H653">
        <f t="shared" si="44"/>
        <v>-4800</v>
      </c>
    </row>
    <row r="654" spans="1:8">
      <c r="A654" t="s">
        <v>18</v>
      </c>
      <c r="B654">
        <v>2015000</v>
      </c>
      <c r="C654">
        <v>2002000</v>
      </c>
      <c r="D654" t="str">
        <f>VLOOKUP(A654,Лист2!A:E,5,0)</f>
        <v>малые</v>
      </c>
      <c r="E654">
        <f>VLOOKUP(A654,Лист2!A:E,4,0)</f>
        <v>2.5</v>
      </c>
      <c r="F654" s="12">
        <f t="shared" si="42"/>
        <v>13000</v>
      </c>
      <c r="G654">
        <f t="shared" si="43"/>
        <v>806000</v>
      </c>
      <c r="H654">
        <f t="shared" si="44"/>
        <v>5200</v>
      </c>
    </row>
    <row r="655" spans="1:8">
      <c r="A655" t="s">
        <v>22</v>
      </c>
      <c r="B655">
        <v>146677000</v>
      </c>
      <c r="C655">
        <v>152301000</v>
      </c>
      <c r="D655" t="str">
        <f>VLOOKUP(A655,Лист2!A:E,5,0)</f>
        <v>малые</v>
      </c>
      <c r="E655">
        <f>VLOOKUP(A655,Лист2!A:E,4,0)</f>
        <v>13</v>
      </c>
      <c r="F655" s="12">
        <f t="shared" si="42"/>
        <v>-5624000</v>
      </c>
      <c r="G655">
        <f t="shared" si="43"/>
        <v>11282846.153846154</v>
      </c>
      <c r="H655">
        <f t="shared" si="44"/>
        <v>-432615.38461538462</v>
      </c>
    </row>
    <row r="656" spans="1:8">
      <c r="A656" t="s">
        <v>22</v>
      </c>
      <c r="B656">
        <v>83455000</v>
      </c>
      <c r="C656">
        <v>28706000</v>
      </c>
      <c r="D656" t="str">
        <f>VLOOKUP(A656,Лист2!A:E,5,0)</f>
        <v>малые</v>
      </c>
      <c r="E656">
        <f>VLOOKUP(A656,Лист2!A:E,4,0)</f>
        <v>13</v>
      </c>
      <c r="F656" s="12">
        <f t="shared" si="42"/>
        <v>54749000</v>
      </c>
      <c r="G656">
        <f t="shared" si="43"/>
        <v>6419615.384615385</v>
      </c>
      <c r="H656">
        <f t="shared" si="44"/>
        <v>4211461.538461538</v>
      </c>
    </row>
    <row r="657" spans="1:8">
      <c r="A657" t="s">
        <v>18</v>
      </c>
      <c r="B657">
        <v>47338000</v>
      </c>
      <c r="C657">
        <v>40000000</v>
      </c>
      <c r="D657" t="str">
        <f>VLOOKUP(A657,Лист2!A:E,5,0)</f>
        <v>малые</v>
      </c>
      <c r="E657">
        <f>VLOOKUP(A657,Лист2!A:E,4,0)</f>
        <v>2.5</v>
      </c>
      <c r="F657" s="12">
        <f t="shared" si="42"/>
        <v>7338000</v>
      </c>
      <c r="G657">
        <f t="shared" si="43"/>
        <v>18935200</v>
      </c>
      <c r="H657">
        <f t="shared" si="44"/>
        <v>2935200</v>
      </c>
    </row>
    <row r="658" spans="1:8">
      <c r="A658" t="s">
        <v>18</v>
      </c>
      <c r="B658">
        <v>499000</v>
      </c>
      <c r="C658">
        <v>220000</v>
      </c>
      <c r="D658" t="str">
        <f>VLOOKUP(A658,Лист2!A:E,5,0)</f>
        <v>малые</v>
      </c>
      <c r="E658">
        <f>VLOOKUP(A658,Лист2!A:E,4,0)</f>
        <v>2.5</v>
      </c>
      <c r="F658" s="12">
        <f t="shared" si="42"/>
        <v>279000</v>
      </c>
      <c r="G658">
        <f t="shared" si="43"/>
        <v>199600</v>
      </c>
      <c r="H658">
        <f t="shared" si="44"/>
        <v>111600</v>
      </c>
    </row>
    <row r="659" spans="1:8">
      <c r="A659" t="s">
        <v>18</v>
      </c>
      <c r="B659">
        <v>3691000</v>
      </c>
      <c r="C659">
        <v>3979000</v>
      </c>
      <c r="D659" t="str">
        <f>VLOOKUP(A659,Лист2!A:E,5,0)</f>
        <v>малые</v>
      </c>
      <c r="E659">
        <f>VLOOKUP(A659,Лист2!A:E,4,0)</f>
        <v>2.5</v>
      </c>
      <c r="F659" s="12">
        <f t="shared" si="42"/>
        <v>-288000</v>
      </c>
      <c r="G659">
        <f t="shared" si="43"/>
        <v>1476400</v>
      </c>
      <c r="H659">
        <f t="shared" si="44"/>
        <v>-115200</v>
      </c>
    </row>
    <row r="660" spans="1:8">
      <c r="A660" t="s">
        <v>77</v>
      </c>
      <c r="B660">
        <v>19565000</v>
      </c>
      <c r="C660">
        <v>16964000</v>
      </c>
      <c r="D660" t="str">
        <f>VLOOKUP(A660,Лист2!A:E,5,0)</f>
        <v>малые</v>
      </c>
      <c r="E660">
        <f>VLOOKUP(A660,Лист2!A:E,4,0)</f>
        <v>8</v>
      </c>
      <c r="F660" s="12">
        <f t="shared" ref="F660:F701" si="45">B660-C660</f>
        <v>2601000</v>
      </c>
      <c r="G660">
        <f t="shared" ref="G660:G701" si="46">B660/E660</f>
        <v>2445625</v>
      </c>
      <c r="H660">
        <f t="shared" ref="H660:H701" si="47">F660/E660</f>
        <v>325125</v>
      </c>
    </row>
    <row r="661" spans="1:8">
      <c r="A661" t="s">
        <v>18</v>
      </c>
      <c r="B661">
        <v>729000</v>
      </c>
      <c r="C661">
        <v>678000</v>
      </c>
      <c r="D661" t="str">
        <f>VLOOKUP(A661,Лист2!A:E,5,0)</f>
        <v>малые</v>
      </c>
      <c r="E661">
        <f>VLOOKUP(A661,Лист2!A:E,4,0)</f>
        <v>2.5</v>
      </c>
      <c r="F661" s="12">
        <f t="shared" si="45"/>
        <v>51000</v>
      </c>
      <c r="G661">
        <f t="shared" si="46"/>
        <v>291600</v>
      </c>
      <c r="H661">
        <f t="shared" si="47"/>
        <v>20400</v>
      </c>
    </row>
    <row r="662" spans="1:8">
      <c r="A662" t="s">
        <v>18</v>
      </c>
      <c r="B662">
        <v>1030000</v>
      </c>
      <c r="C662">
        <v>1027000</v>
      </c>
      <c r="D662" t="str">
        <f>VLOOKUP(A662,Лист2!A:E,5,0)</f>
        <v>малые</v>
      </c>
      <c r="E662">
        <f>VLOOKUP(A662,Лист2!A:E,4,0)</f>
        <v>2.5</v>
      </c>
      <c r="F662" s="12">
        <f t="shared" si="45"/>
        <v>3000</v>
      </c>
      <c r="G662">
        <f t="shared" si="46"/>
        <v>412000</v>
      </c>
      <c r="H662">
        <f t="shared" si="47"/>
        <v>1200</v>
      </c>
    </row>
    <row r="663" spans="1:8">
      <c r="A663" t="s">
        <v>18</v>
      </c>
      <c r="B663">
        <v>6309000</v>
      </c>
      <c r="C663">
        <v>5563000</v>
      </c>
      <c r="D663" t="str">
        <f>VLOOKUP(A663,Лист2!A:E,5,0)</f>
        <v>малые</v>
      </c>
      <c r="E663">
        <f>VLOOKUP(A663,Лист2!A:E,4,0)</f>
        <v>2.5</v>
      </c>
      <c r="F663" s="12">
        <f t="shared" si="45"/>
        <v>746000</v>
      </c>
      <c r="G663">
        <f t="shared" si="46"/>
        <v>2523600</v>
      </c>
      <c r="H663">
        <f t="shared" si="47"/>
        <v>298400</v>
      </c>
    </row>
    <row r="664" spans="1:8">
      <c r="A664" t="s">
        <v>18</v>
      </c>
      <c r="B664">
        <v>5293000</v>
      </c>
      <c r="C664">
        <v>3967000</v>
      </c>
      <c r="D664" t="str">
        <f>VLOOKUP(A664,Лист2!A:E,5,0)</f>
        <v>малые</v>
      </c>
      <c r="E664">
        <f>VLOOKUP(A664,Лист2!A:E,4,0)</f>
        <v>2.5</v>
      </c>
      <c r="F664" s="12">
        <f t="shared" si="45"/>
        <v>1326000</v>
      </c>
      <c r="G664">
        <f t="shared" si="46"/>
        <v>2117200</v>
      </c>
      <c r="H664">
        <f t="shared" si="47"/>
        <v>530400</v>
      </c>
    </row>
    <row r="665" spans="1:8">
      <c r="A665" t="s">
        <v>18</v>
      </c>
      <c r="B665">
        <v>48000</v>
      </c>
      <c r="C665">
        <v>48000</v>
      </c>
      <c r="D665" t="str">
        <f>VLOOKUP(A665,Лист2!A:E,5,0)</f>
        <v>малые</v>
      </c>
      <c r="E665">
        <f>VLOOKUP(A665,Лист2!A:E,4,0)</f>
        <v>2.5</v>
      </c>
      <c r="F665" s="12">
        <f t="shared" si="45"/>
        <v>0</v>
      </c>
      <c r="G665">
        <f t="shared" si="46"/>
        <v>19200</v>
      </c>
      <c r="H665">
        <f t="shared" si="47"/>
        <v>0</v>
      </c>
    </row>
    <row r="666" spans="1:8">
      <c r="A666" t="s">
        <v>18</v>
      </c>
      <c r="B666">
        <v>2911000</v>
      </c>
      <c r="C666">
        <v>4321000</v>
      </c>
      <c r="D666" t="str">
        <f>VLOOKUP(A666,Лист2!A:E,5,0)</f>
        <v>малые</v>
      </c>
      <c r="E666">
        <f>VLOOKUP(A666,Лист2!A:E,4,0)</f>
        <v>2.5</v>
      </c>
      <c r="F666" s="12">
        <f t="shared" si="45"/>
        <v>-1410000</v>
      </c>
      <c r="G666">
        <f t="shared" si="46"/>
        <v>1164400</v>
      </c>
      <c r="H666">
        <f t="shared" si="47"/>
        <v>-564000</v>
      </c>
    </row>
    <row r="667" spans="1:8">
      <c r="A667" t="s">
        <v>18</v>
      </c>
      <c r="B667">
        <v>7962000</v>
      </c>
      <c r="C667">
        <v>7962000</v>
      </c>
      <c r="D667" t="str">
        <f>VLOOKUP(A667,Лист2!A:E,5,0)</f>
        <v>малые</v>
      </c>
      <c r="E667">
        <f>VLOOKUP(A667,Лист2!A:E,4,0)</f>
        <v>2.5</v>
      </c>
      <c r="F667" s="12">
        <f t="shared" si="45"/>
        <v>0</v>
      </c>
      <c r="G667">
        <f t="shared" si="46"/>
        <v>3184800</v>
      </c>
      <c r="H667">
        <f t="shared" si="47"/>
        <v>0</v>
      </c>
    </row>
    <row r="668" spans="1:8">
      <c r="A668" t="s">
        <v>18</v>
      </c>
      <c r="B668">
        <v>19168000</v>
      </c>
      <c r="C668">
        <v>17272000</v>
      </c>
      <c r="D668" t="str">
        <f>VLOOKUP(A668,Лист2!A:E,5,0)</f>
        <v>малые</v>
      </c>
      <c r="E668">
        <f>VLOOKUP(A668,Лист2!A:E,4,0)</f>
        <v>2.5</v>
      </c>
      <c r="F668" s="12">
        <f t="shared" si="45"/>
        <v>1896000</v>
      </c>
      <c r="G668">
        <f t="shared" si="46"/>
        <v>7667200</v>
      </c>
      <c r="H668">
        <f t="shared" si="47"/>
        <v>758400</v>
      </c>
    </row>
    <row r="669" spans="1:8">
      <c r="A669" t="s">
        <v>18</v>
      </c>
      <c r="B669">
        <v>82000</v>
      </c>
      <c r="C669">
        <v>50000</v>
      </c>
      <c r="D669" t="str">
        <f>VLOOKUP(A669,Лист2!A:E,5,0)</f>
        <v>малые</v>
      </c>
      <c r="E669">
        <f>VLOOKUP(A669,Лист2!A:E,4,0)</f>
        <v>2.5</v>
      </c>
      <c r="F669" s="12">
        <f t="shared" si="45"/>
        <v>32000</v>
      </c>
      <c r="G669">
        <f t="shared" si="46"/>
        <v>32800</v>
      </c>
      <c r="H669">
        <f t="shared" si="47"/>
        <v>12800</v>
      </c>
    </row>
    <row r="670" spans="1:8">
      <c r="A670" t="s">
        <v>18</v>
      </c>
      <c r="B670">
        <v>2250000</v>
      </c>
      <c r="C670">
        <v>2336000</v>
      </c>
      <c r="D670" t="str">
        <f>VLOOKUP(A670,Лист2!A:E,5,0)</f>
        <v>малые</v>
      </c>
      <c r="E670">
        <f>VLOOKUP(A670,Лист2!A:E,4,0)</f>
        <v>2.5</v>
      </c>
      <c r="F670" s="12">
        <f t="shared" si="45"/>
        <v>-86000</v>
      </c>
      <c r="G670">
        <f t="shared" si="46"/>
        <v>900000</v>
      </c>
      <c r="H670">
        <f t="shared" si="47"/>
        <v>-34400</v>
      </c>
    </row>
    <row r="671" spans="1:8">
      <c r="A671" t="s">
        <v>18</v>
      </c>
      <c r="B671">
        <v>356000</v>
      </c>
      <c r="C671">
        <v>349000</v>
      </c>
      <c r="D671" t="str">
        <f>VLOOKUP(A671,Лист2!A:E,5,0)</f>
        <v>малые</v>
      </c>
      <c r="E671">
        <f>VLOOKUP(A671,Лист2!A:E,4,0)</f>
        <v>2.5</v>
      </c>
      <c r="F671" s="12">
        <f t="shared" si="45"/>
        <v>7000</v>
      </c>
      <c r="G671">
        <f t="shared" si="46"/>
        <v>142400</v>
      </c>
      <c r="H671">
        <f t="shared" si="47"/>
        <v>2800</v>
      </c>
    </row>
    <row r="672" spans="1:8">
      <c r="A672" t="s">
        <v>18</v>
      </c>
      <c r="B672">
        <v>2384000</v>
      </c>
      <c r="C672">
        <v>1808000</v>
      </c>
      <c r="D672" t="str">
        <f>VLOOKUP(A672,Лист2!A:E,5,0)</f>
        <v>малые</v>
      </c>
      <c r="E672">
        <f>VLOOKUP(A672,Лист2!A:E,4,0)</f>
        <v>2.5</v>
      </c>
      <c r="F672" s="12">
        <f t="shared" si="45"/>
        <v>576000</v>
      </c>
      <c r="G672">
        <f t="shared" si="46"/>
        <v>953600</v>
      </c>
      <c r="H672">
        <f t="shared" si="47"/>
        <v>230400</v>
      </c>
    </row>
    <row r="673" spans="1:8">
      <c r="A673" t="s">
        <v>18</v>
      </c>
      <c r="B673">
        <v>1167000</v>
      </c>
      <c r="C673">
        <v>1095000</v>
      </c>
      <c r="D673" t="str">
        <f>VLOOKUP(A673,Лист2!A:E,5,0)</f>
        <v>малые</v>
      </c>
      <c r="E673">
        <f>VLOOKUP(A673,Лист2!A:E,4,0)</f>
        <v>2.5</v>
      </c>
      <c r="F673" s="12">
        <f t="shared" si="45"/>
        <v>72000</v>
      </c>
      <c r="G673">
        <f t="shared" si="46"/>
        <v>466800</v>
      </c>
      <c r="H673">
        <f t="shared" si="47"/>
        <v>28800</v>
      </c>
    </row>
    <row r="674" spans="1:8">
      <c r="A674" t="s">
        <v>77</v>
      </c>
      <c r="B674">
        <v>1636000</v>
      </c>
      <c r="C674">
        <v>1549000</v>
      </c>
      <c r="D674" t="str">
        <f>VLOOKUP(A674,Лист2!A:E,5,0)</f>
        <v>малые</v>
      </c>
      <c r="E674">
        <f>VLOOKUP(A674,Лист2!A:E,4,0)</f>
        <v>8</v>
      </c>
      <c r="F674" s="12">
        <f t="shared" si="45"/>
        <v>87000</v>
      </c>
      <c r="G674">
        <f t="shared" si="46"/>
        <v>204500</v>
      </c>
      <c r="H674">
        <f t="shared" si="47"/>
        <v>10875</v>
      </c>
    </row>
    <row r="675" spans="1:8">
      <c r="A675" t="s">
        <v>18</v>
      </c>
      <c r="B675">
        <v>615000</v>
      </c>
      <c r="C675">
        <v>563000</v>
      </c>
      <c r="D675" t="str">
        <f>VLOOKUP(A675,Лист2!A:E,5,0)</f>
        <v>малые</v>
      </c>
      <c r="E675">
        <f>VLOOKUP(A675,Лист2!A:E,4,0)</f>
        <v>2.5</v>
      </c>
      <c r="F675" s="12">
        <f t="shared" si="45"/>
        <v>52000</v>
      </c>
      <c r="G675">
        <f t="shared" si="46"/>
        <v>246000</v>
      </c>
      <c r="H675">
        <f t="shared" si="47"/>
        <v>20800</v>
      </c>
    </row>
    <row r="676" spans="1:8">
      <c r="A676" t="s">
        <v>18</v>
      </c>
      <c r="B676">
        <v>1871000</v>
      </c>
      <c r="C676">
        <v>1840000</v>
      </c>
      <c r="D676" t="str">
        <f>VLOOKUP(A676,Лист2!A:E,5,0)</f>
        <v>малые</v>
      </c>
      <c r="E676">
        <f>VLOOKUP(A676,Лист2!A:E,4,0)</f>
        <v>2.5</v>
      </c>
      <c r="F676" s="12">
        <f t="shared" si="45"/>
        <v>31000</v>
      </c>
      <c r="G676">
        <f t="shared" si="46"/>
        <v>748400</v>
      </c>
      <c r="H676">
        <f t="shared" si="47"/>
        <v>12400</v>
      </c>
    </row>
    <row r="677" spans="1:8">
      <c r="A677" t="s">
        <v>18</v>
      </c>
      <c r="B677">
        <v>627000</v>
      </c>
      <c r="C677">
        <v>647000</v>
      </c>
      <c r="D677" t="str">
        <f>VLOOKUP(A677,Лист2!A:E,5,0)</f>
        <v>малые</v>
      </c>
      <c r="E677">
        <f>VLOOKUP(A677,Лист2!A:E,4,0)</f>
        <v>2.5</v>
      </c>
      <c r="F677" s="12">
        <f t="shared" si="45"/>
        <v>-20000</v>
      </c>
      <c r="G677">
        <f t="shared" si="46"/>
        <v>250800</v>
      </c>
      <c r="H677">
        <f t="shared" si="47"/>
        <v>-8000</v>
      </c>
    </row>
    <row r="678" spans="1:8">
      <c r="A678" t="s">
        <v>18</v>
      </c>
      <c r="B678">
        <v>1369000</v>
      </c>
      <c r="C678">
        <v>1571000</v>
      </c>
      <c r="D678" t="str">
        <f>VLOOKUP(A678,Лист2!A:E,5,0)</f>
        <v>малые</v>
      </c>
      <c r="E678">
        <f>VLOOKUP(A678,Лист2!A:E,4,0)</f>
        <v>2.5</v>
      </c>
      <c r="F678" s="12">
        <f t="shared" si="45"/>
        <v>-202000</v>
      </c>
      <c r="G678">
        <f t="shared" si="46"/>
        <v>547600</v>
      </c>
      <c r="H678">
        <f t="shared" si="47"/>
        <v>-80800</v>
      </c>
    </row>
    <row r="679" spans="1:8">
      <c r="A679" t="s">
        <v>18</v>
      </c>
      <c r="B679">
        <v>1410000</v>
      </c>
      <c r="C679">
        <v>1396000</v>
      </c>
      <c r="D679" t="str">
        <f>VLOOKUP(A679,Лист2!A:E,5,0)</f>
        <v>малые</v>
      </c>
      <c r="E679">
        <f>VLOOKUP(A679,Лист2!A:E,4,0)</f>
        <v>2.5</v>
      </c>
      <c r="F679" s="12">
        <f t="shared" si="45"/>
        <v>14000</v>
      </c>
      <c r="G679">
        <f t="shared" si="46"/>
        <v>564000</v>
      </c>
      <c r="H679">
        <f t="shared" si="47"/>
        <v>5600</v>
      </c>
    </row>
    <row r="680" spans="1:8">
      <c r="A680" t="s">
        <v>18</v>
      </c>
      <c r="B680">
        <v>3434000</v>
      </c>
      <c r="C680">
        <v>3432000</v>
      </c>
      <c r="D680" t="str">
        <f>VLOOKUP(A680,Лист2!A:E,5,0)</f>
        <v>малые</v>
      </c>
      <c r="E680">
        <f>VLOOKUP(A680,Лист2!A:E,4,0)</f>
        <v>2.5</v>
      </c>
      <c r="F680" s="12">
        <f t="shared" si="45"/>
        <v>2000</v>
      </c>
      <c r="G680">
        <f t="shared" si="46"/>
        <v>1373600</v>
      </c>
      <c r="H680">
        <f t="shared" si="47"/>
        <v>800</v>
      </c>
    </row>
    <row r="681" spans="1:8">
      <c r="A681" t="s">
        <v>18</v>
      </c>
      <c r="B681">
        <v>5256000</v>
      </c>
      <c r="C681">
        <v>4883000</v>
      </c>
      <c r="D681" t="str">
        <f>VLOOKUP(A681,Лист2!A:E,5,0)</f>
        <v>малые</v>
      </c>
      <c r="E681">
        <f>VLOOKUP(A681,Лист2!A:E,4,0)</f>
        <v>2.5</v>
      </c>
      <c r="F681" s="12">
        <f t="shared" si="45"/>
        <v>373000</v>
      </c>
      <c r="G681">
        <f t="shared" si="46"/>
        <v>2102400</v>
      </c>
      <c r="H681">
        <f t="shared" si="47"/>
        <v>149200</v>
      </c>
    </row>
    <row r="682" spans="1:8">
      <c r="A682" t="s">
        <v>18</v>
      </c>
      <c r="B682">
        <v>206000</v>
      </c>
      <c r="C682">
        <v>206000</v>
      </c>
      <c r="D682" t="str">
        <f>VLOOKUP(A682,Лист2!A:E,5,0)</f>
        <v>малые</v>
      </c>
      <c r="E682">
        <f>VLOOKUP(A682,Лист2!A:E,4,0)</f>
        <v>2.5</v>
      </c>
      <c r="F682" s="12">
        <f t="shared" si="45"/>
        <v>0</v>
      </c>
      <c r="G682">
        <f t="shared" si="46"/>
        <v>82400</v>
      </c>
      <c r="H682">
        <f t="shared" si="47"/>
        <v>0</v>
      </c>
    </row>
    <row r="683" spans="1:8">
      <c r="A683" t="s">
        <v>18</v>
      </c>
      <c r="B683">
        <v>195000</v>
      </c>
      <c r="C683">
        <v>489000</v>
      </c>
      <c r="D683" t="str">
        <f>VLOOKUP(A683,Лист2!A:E,5,0)</f>
        <v>малые</v>
      </c>
      <c r="E683">
        <f>VLOOKUP(A683,Лист2!A:E,4,0)</f>
        <v>2.5</v>
      </c>
      <c r="F683" s="12">
        <f t="shared" si="45"/>
        <v>-294000</v>
      </c>
      <c r="G683">
        <f t="shared" si="46"/>
        <v>78000</v>
      </c>
      <c r="H683">
        <f t="shared" si="47"/>
        <v>-117600</v>
      </c>
    </row>
    <row r="684" spans="1:8">
      <c r="A684" t="s">
        <v>77</v>
      </c>
      <c r="B684">
        <v>11807000</v>
      </c>
      <c r="C684">
        <v>13545000</v>
      </c>
      <c r="D684" t="str">
        <f>VLOOKUP(A684,Лист2!A:E,5,0)</f>
        <v>малые</v>
      </c>
      <c r="E684">
        <f>VLOOKUP(A684,Лист2!A:E,4,0)</f>
        <v>8</v>
      </c>
      <c r="F684" s="12">
        <f t="shared" si="45"/>
        <v>-1738000</v>
      </c>
      <c r="G684">
        <f t="shared" si="46"/>
        <v>1475875</v>
      </c>
      <c r="H684">
        <f t="shared" si="47"/>
        <v>-217250</v>
      </c>
    </row>
    <row r="685" spans="1:8">
      <c r="A685" t="s">
        <v>18</v>
      </c>
      <c r="B685">
        <v>2020000</v>
      </c>
      <c r="C685">
        <v>2027000</v>
      </c>
      <c r="D685" t="str">
        <f>VLOOKUP(A685,Лист2!A:E,5,0)</f>
        <v>малые</v>
      </c>
      <c r="E685">
        <f>VLOOKUP(A685,Лист2!A:E,4,0)</f>
        <v>2.5</v>
      </c>
      <c r="F685" s="12">
        <f t="shared" si="45"/>
        <v>-7000</v>
      </c>
      <c r="G685">
        <f t="shared" si="46"/>
        <v>808000</v>
      </c>
      <c r="H685">
        <f t="shared" si="47"/>
        <v>-2800</v>
      </c>
    </row>
    <row r="686" spans="1:8">
      <c r="A686" t="s">
        <v>18</v>
      </c>
      <c r="B686">
        <v>2080000</v>
      </c>
      <c r="C686">
        <v>2088000</v>
      </c>
      <c r="D686" t="str">
        <f>VLOOKUP(A686,Лист2!A:E,5,0)</f>
        <v>малые</v>
      </c>
      <c r="E686">
        <f>VLOOKUP(A686,Лист2!A:E,4,0)</f>
        <v>2.5</v>
      </c>
      <c r="F686" s="12">
        <f t="shared" si="45"/>
        <v>-8000</v>
      </c>
      <c r="G686">
        <f t="shared" si="46"/>
        <v>832000</v>
      </c>
      <c r="H686">
        <f t="shared" si="47"/>
        <v>-3200</v>
      </c>
    </row>
    <row r="687" spans="1:8">
      <c r="A687" t="s">
        <v>18</v>
      </c>
      <c r="B687">
        <v>10312000</v>
      </c>
      <c r="C687">
        <v>10572000</v>
      </c>
      <c r="D687" t="str">
        <f>VLOOKUP(A687,Лист2!A:E,5,0)</f>
        <v>малые</v>
      </c>
      <c r="E687">
        <f>VLOOKUP(A687,Лист2!A:E,4,0)</f>
        <v>2.5</v>
      </c>
      <c r="F687" s="12">
        <f t="shared" si="45"/>
        <v>-260000</v>
      </c>
      <c r="G687">
        <f t="shared" si="46"/>
        <v>4124800</v>
      </c>
      <c r="H687">
        <f t="shared" si="47"/>
        <v>-104000</v>
      </c>
    </row>
    <row r="688" spans="1:8">
      <c r="A688" t="s">
        <v>18</v>
      </c>
      <c r="B688">
        <v>125000</v>
      </c>
      <c r="C688">
        <v>123000</v>
      </c>
      <c r="D688" t="str">
        <f>VLOOKUP(A688,Лист2!A:E,5,0)</f>
        <v>малые</v>
      </c>
      <c r="E688">
        <f>VLOOKUP(A688,Лист2!A:E,4,0)</f>
        <v>2.5</v>
      </c>
      <c r="F688" s="12">
        <f t="shared" si="45"/>
        <v>2000</v>
      </c>
      <c r="G688">
        <f t="shared" si="46"/>
        <v>50000</v>
      </c>
      <c r="H688">
        <f t="shared" si="47"/>
        <v>800</v>
      </c>
    </row>
    <row r="689" spans="1:8">
      <c r="A689" t="s">
        <v>18</v>
      </c>
      <c r="B689">
        <v>12367000</v>
      </c>
      <c r="C689">
        <v>19194000</v>
      </c>
      <c r="D689" t="str">
        <f>VLOOKUP(A689,Лист2!A:E,5,0)</f>
        <v>малые</v>
      </c>
      <c r="E689">
        <f>VLOOKUP(A689,Лист2!A:E,4,0)</f>
        <v>2.5</v>
      </c>
      <c r="F689" s="12">
        <f t="shared" si="45"/>
        <v>-6827000</v>
      </c>
      <c r="G689">
        <f t="shared" si="46"/>
        <v>4946800</v>
      </c>
      <c r="H689">
        <f t="shared" si="47"/>
        <v>-2730800</v>
      </c>
    </row>
    <row r="690" spans="1:8">
      <c r="A690" t="s">
        <v>18</v>
      </c>
      <c r="B690">
        <v>1736000</v>
      </c>
      <c r="C690">
        <v>1047000</v>
      </c>
      <c r="D690" t="str">
        <f>VLOOKUP(A690,Лист2!A:E,5,0)</f>
        <v>малые</v>
      </c>
      <c r="E690">
        <f>VLOOKUP(A690,Лист2!A:E,4,0)</f>
        <v>2.5</v>
      </c>
      <c r="F690" s="12">
        <f t="shared" si="45"/>
        <v>689000</v>
      </c>
      <c r="G690">
        <f t="shared" si="46"/>
        <v>694400</v>
      </c>
      <c r="H690">
        <f t="shared" si="47"/>
        <v>275600</v>
      </c>
    </row>
    <row r="691" spans="1:8">
      <c r="A691" t="s">
        <v>18</v>
      </c>
      <c r="B691">
        <v>1013000</v>
      </c>
      <c r="C691">
        <v>1550000</v>
      </c>
      <c r="D691" t="str">
        <f>VLOOKUP(A691,Лист2!A:E,5,0)</f>
        <v>малые</v>
      </c>
      <c r="E691">
        <f>VLOOKUP(A691,Лист2!A:E,4,0)</f>
        <v>2.5</v>
      </c>
      <c r="F691" s="12">
        <f t="shared" si="45"/>
        <v>-537000</v>
      </c>
      <c r="G691">
        <f t="shared" si="46"/>
        <v>405200</v>
      </c>
      <c r="H691">
        <f t="shared" si="47"/>
        <v>-214800</v>
      </c>
    </row>
    <row r="692" spans="1:8">
      <c r="A692" t="s">
        <v>18</v>
      </c>
      <c r="B692">
        <v>1162000</v>
      </c>
      <c r="C692">
        <v>1210000</v>
      </c>
      <c r="D692" t="str">
        <f>VLOOKUP(A692,Лист2!A:E,5,0)</f>
        <v>малые</v>
      </c>
      <c r="E692">
        <f>VLOOKUP(A692,Лист2!A:E,4,0)</f>
        <v>2.5</v>
      </c>
      <c r="F692" s="12">
        <f t="shared" si="45"/>
        <v>-48000</v>
      </c>
      <c r="G692">
        <f t="shared" si="46"/>
        <v>464800</v>
      </c>
      <c r="H692">
        <f t="shared" si="47"/>
        <v>-19200</v>
      </c>
    </row>
    <row r="693" spans="1:8">
      <c r="A693" t="s">
        <v>18</v>
      </c>
      <c r="B693">
        <v>35000</v>
      </c>
      <c r="C693">
        <v>36000</v>
      </c>
      <c r="D693" t="str">
        <f>VLOOKUP(A693,Лист2!A:E,5,0)</f>
        <v>малые</v>
      </c>
      <c r="E693">
        <f>VLOOKUP(A693,Лист2!A:E,4,0)</f>
        <v>2.5</v>
      </c>
      <c r="F693" s="12">
        <f t="shared" si="45"/>
        <v>-1000</v>
      </c>
      <c r="G693">
        <f t="shared" si="46"/>
        <v>14000</v>
      </c>
      <c r="H693">
        <f t="shared" si="47"/>
        <v>-400</v>
      </c>
    </row>
    <row r="694" spans="1:8">
      <c r="A694" t="s">
        <v>18</v>
      </c>
      <c r="B694">
        <v>31000</v>
      </c>
      <c r="C694">
        <v>22000</v>
      </c>
      <c r="D694" t="str">
        <f>VLOOKUP(A694,Лист2!A:E,5,0)</f>
        <v>малые</v>
      </c>
      <c r="E694">
        <f>VLOOKUP(A694,Лист2!A:E,4,0)</f>
        <v>2.5</v>
      </c>
      <c r="F694" s="12">
        <f t="shared" si="45"/>
        <v>9000</v>
      </c>
      <c r="G694">
        <f t="shared" si="46"/>
        <v>12400</v>
      </c>
      <c r="H694">
        <f t="shared" si="47"/>
        <v>3600</v>
      </c>
    </row>
    <row r="695" spans="1:8">
      <c r="A695" t="s">
        <v>18</v>
      </c>
      <c r="B695">
        <v>19479000</v>
      </c>
      <c r="C695">
        <v>18106000</v>
      </c>
      <c r="D695" t="str">
        <f>VLOOKUP(A695,Лист2!A:E,5,0)</f>
        <v>малые</v>
      </c>
      <c r="E695">
        <f>VLOOKUP(A695,Лист2!A:E,4,0)</f>
        <v>2.5</v>
      </c>
      <c r="F695" s="12">
        <f t="shared" si="45"/>
        <v>1373000</v>
      </c>
      <c r="G695">
        <f t="shared" si="46"/>
        <v>7791600</v>
      </c>
      <c r="H695">
        <f t="shared" si="47"/>
        <v>549200</v>
      </c>
    </row>
    <row r="696" spans="1:8">
      <c r="A696" t="s">
        <v>22</v>
      </c>
      <c r="B696">
        <v>1346000</v>
      </c>
      <c r="C696">
        <v>1677000</v>
      </c>
      <c r="D696" t="str">
        <f>VLOOKUP(A696,Лист2!A:E,5,0)</f>
        <v>малые</v>
      </c>
      <c r="E696">
        <f>VLOOKUP(A696,Лист2!A:E,4,0)</f>
        <v>13</v>
      </c>
      <c r="F696" s="12">
        <f t="shared" si="45"/>
        <v>-331000</v>
      </c>
      <c r="G696">
        <f t="shared" si="46"/>
        <v>103538.46153846153</v>
      </c>
      <c r="H696">
        <f t="shared" si="47"/>
        <v>-25461.538461538461</v>
      </c>
    </row>
    <row r="697" spans="1:8">
      <c r="A697" t="s">
        <v>18</v>
      </c>
      <c r="B697">
        <v>540000</v>
      </c>
      <c r="C697">
        <v>540000</v>
      </c>
      <c r="D697" t="str">
        <f>VLOOKUP(A697,Лист2!A:E,5,0)</f>
        <v>малые</v>
      </c>
      <c r="E697">
        <f>VLOOKUP(A697,Лист2!A:E,4,0)</f>
        <v>2.5</v>
      </c>
      <c r="F697" s="12">
        <f t="shared" si="45"/>
        <v>0</v>
      </c>
      <c r="G697">
        <f t="shared" si="46"/>
        <v>216000</v>
      </c>
      <c r="H697">
        <f t="shared" si="47"/>
        <v>0</v>
      </c>
    </row>
    <row r="698" spans="1:8">
      <c r="A698" t="s">
        <v>18</v>
      </c>
      <c r="B698">
        <v>500000</v>
      </c>
      <c r="C698">
        <v>884000</v>
      </c>
      <c r="D698" t="str">
        <f>VLOOKUP(A698,Лист2!A:E,5,0)</f>
        <v>малые</v>
      </c>
      <c r="E698">
        <f>VLOOKUP(A698,Лист2!A:E,4,0)</f>
        <v>2.5</v>
      </c>
      <c r="F698" s="12">
        <f t="shared" si="45"/>
        <v>-384000</v>
      </c>
      <c r="G698">
        <f t="shared" si="46"/>
        <v>200000</v>
      </c>
      <c r="H698">
        <f t="shared" si="47"/>
        <v>-153600</v>
      </c>
    </row>
    <row r="699" spans="1:8">
      <c r="A699" t="s">
        <v>18</v>
      </c>
      <c r="B699">
        <v>26508000</v>
      </c>
      <c r="C699">
        <v>26577000</v>
      </c>
      <c r="D699" t="str">
        <f>VLOOKUP(A699,Лист2!A:E,5,0)</f>
        <v>малые</v>
      </c>
      <c r="E699">
        <f>VLOOKUP(A699,Лист2!A:E,4,0)</f>
        <v>2.5</v>
      </c>
      <c r="F699" s="12">
        <f t="shared" si="45"/>
        <v>-69000</v>
      </c>
      <c r="G699">
        <f t="shared" si="46"/>
        <v>10603200</v>
      </c>
      <c r="H699">
        <f t="shared" si="47"/>
        <v>-27600</v>
      </c>
    </row>
    <row r="700" spans="1:8">
      <c r="A700" t="s">
        <v>18</v>
      </c>
      <c r="B700">
        <v>1104000</v>
      </c>
      <c r="C700">
        <v>1097000</v>
      </c>
      <c r="D700" t="str">
        <f>VLOOKUP(A700,Лист2!A:E,5,0)</f>
        <v>малые</v>
      </c>
      <c r="E700">
        <f>VLOOKUP(A700,Лист2!A:E,4,0)</f>
        <v>2.5</v>
      </c>
      <c r="F700" s="12">
        <f t="shared" si="45"/>
        <v>7000</v>
      </c>
      <c r="G700">
        <f t="shared" si="46"/>
        <v>441600</v>
      </c>
      <c r="H700">
        <f t="shared" si="47"/>
        <v>2800</v>
      </c>
    </row>
    <row r="701" spans="1:8">
      <c r="A701" t="s">
        <v>77</v>
      </c>
      <c r="B701">
        <v>22727000</v>
      </c>
      <c r="C701">
        <v>25299000</v>
      </c>
      <c r="D701" t="str">
        <f>VLOOKUP(A701,Лист2!A:E,5,0)</f>
        <v>малые</v>
      </c>
      <c r="E701">
        <f>VLOOKUP(A701,Лист2!A:E,4,0)</f>
        <v>8</v>
      </c>
      <c r="F701" s="12">
        <f t="shared" si="45"/>
        <v>-2572000</v>
      </c>
      <c r="G701">
        <f t="shared" si="46"/>
        <v>2840875</v>
      </c>
      <c r="H701">
        <f t="shared" si="47"/>
        <v>-321500</v>
      </c>
    </row>
    <row r="702" spans="1:8">
      <c r="A702" t="s">
        <v>18</v>
      </c>
      <c r="B702">
        <v>3533000</v>
      </c>
      <c r="C702">
        <v>3559000</v>
      </c>
      <c r="D702" t="str">
        <f>VLOOKUP(A702,Лист2!A:E,5,0)</f>
        <v>малые</v>
      </c>
      <c r="E702">
        <f>VLOOKUP(A702,Лист2!A:E,4,0)</f>
        <v>2.5</v>
      </c>
      <c r="F702" s="12">
        <f t="shared" ref="F702:F748" si="48">B702-C702</f>
        <v>-26000</v>
      </c>
      <c r="G702">
        <f t="shared" ref="G702:G748" si="49">B702/E702</f>
        <v>1413200</v>
      </c>
      <c r="H702">
        <f t="shared" ref="H702:H748" si="50">F702/E702</f>
        <v>-10400</v>
      </c>
    </row>
    <row r="703" spans="1:8">
      <c r="A703" t="s">
        <v>18</v>
      </c>
      <c r="B703">
        <v>1542000</v>
      </c>
      <c r="C703">
        <v>1355000</v>
      </c>
      <c r="D703" t="str">
        <f>VLOOKUP(A703,Лист2!A:E,5,0)</f>
        <v>малые</v>
      </c>
      <c r="E703">
        <f>VLOOKUP(A703,Лист2!A:E,4,0)</f>
        <v>2.5</v>
      </c>
      <c r="F703" s="12">
        <f t="shared" si="48"/>
        <v>187000</v>
      </c>
      <c r="G703">
        <f t="shared" si="49"/>
        <v>616800</v>
      </c>
      <c r="H703">
        <f t="shared" si="50"/>
        <v>74800</v>
      </c>
    </row>
    <row r="704" spans="1:8">
      <c r="A704" t="s">
        <v>18</v>
      </c>
      <c r="B704">
        <v>621000</v>
      </c>
      <c r="C704">
        <v>762000</v>
      </c>
      <c r="D704" t="str">
        <f>VLOOKUP(A704,Лист2!A:E,5,0)</f>
        <v>малые</v>
      </c>
      <c r="E704">
        <f>VLOOKUP(A704,Лист2!A:E,4,0)</f>
        <v>2.5</v>
      </c>
      <c r="F704" s="12">
        <f t="shared" si="48"/>
        <v>-141000</v>
      </c>
      <c r="G704">
        <f t="shared" si="49"/>
        <v>248400</v>
      </c>
      <c r="H704">
        <f t="shared" si="50"/>
        <v>-56400</v>
      </c>
    </row>
    <row r="705" spans="1:8">
      <c r="A705" t="s">
        <v>18</v>
      </c>
      <c r="B705">
        <v>296000</v>
      </c>
      <c r="C705">
        <v>296000</v>
      </c>
      <c r="D705" t="str">
        <f>VLOOKUP(A705,Лист2!A:E,5,0)</f>
        <v>малые</v>
      </c>
      <c r="E705">
        <f>VLOOKUP(A705,Лист2!A:E,4,0)</f>
        <v>2.5</v>
      </c>
      <c r="F705" s="12">
        <f t="shared" si="48"/>
        <v>0</v>
      </c>
      <c r="G705">
        <f t="shared" si="49"/>
        <v>118400</v>
      </c>
      <c r="H705">
        <f t="shared" si="50"/>
        <v>0</v>
      </c>
    </row>
    <row r="706" spans="1:8">
      <c r="A706" t="s">
        <v>18</v>
      </c>
      <c r="B706">
        <v>3747000</v>
      </c>
      <c r="C706">
        <v>3287000</v>
      </c>
      <c r="D706" t="str">
        <f>VLOOKUP(A706,Лист2!A:E,5,0)</f>
        <v>малые</v>
      </c>
      <c r="E706">
        <f>VLOOKUP(A706,Лист2!A:E,4,0)</f>
        <v>2.5</v>
      </c>
      <c r="F706" s="12">
        <f t="shared" si="48"/>
        <v>460000</v>
      </c>
      <c r="G706">
        <f t="shared" si="49"/>
        <v>1498800</v>
      </c>
      <c r="H706">
        <f t="shared" si="50"/>
        <v>184000</v>
      </c>
    </row>
    <row r="707" spans="1:8">
      <c r="A707" t="s">
        <v>22</v>
      </c>
      <c r="B707">
        <v>6860000</v>
      </c>
      <c r="C707">
        <v>7129000</v>
      </c>
      <c r="D707" t="str">
        <f>VLOOKUP(A707,Лист2!A:E,5,0)</f>
        <v>малые</v>
      </c>
      <c r="E707">
        <f>VLOOKUP(A707,Лист2!A:E,4,0)</f>
        <v>13</v>
      </c>
      <c r="F707" s="12">
        <f t="shared" si="48"/>
        <v>-269000</v>
      </c>
      <c r="G707">
        <f t="shared" si="49"/>
        <v>527692.30769230775</v>
      </c>
      <c r="H707">
        <f t="shared" si="50"/>
        <v>-20692.307692307691</v>
      </c>
    </row>
    <row r="708" spans="1:8">
      <c r="A708" t="s">
        <v>18</v>
      </c>
      <c r="B708">
        <v>5928000</v>
      </c>
      <c r="C708">
        <v>6244000</v>
      </c>
      <c r="D708" t="str">
        <f>VLOOKUP(A708,Лист2!A:E,5,0)</f>
        <v>малые</v>
      </c>
      <c r="E708">
        <f>VLOOKUP(A708,Лист2!A:E,4,0)</f>
        <v>2.5</v>
      </c>
      <c r="F708" s="12">
        <f t="shared" si="48"/>
        <v>-316000</v>
      </c>
      <c r="G708">
        <f t="shared" si="49"/>
        <v>2371200</v>
      </c>
      <c r="H708">
        <f t="shared" si="50"/>
        <v>-126400</v>
      </c>
    </row>
    <row r="709" spans="1:8">
      <c r="A709" t="s">
        <v>18</v>
      </c>
      <c r="B709">
        <v>2000</v>
      </c>
      <c r="C709">
        <v>2000</v>
      </c>
      <c r="D709" t="str">
        <f>VLOOKUP(A709,Лист2!A:E,5,0)</f>
        <v>малые</v>
      </c>
      <c r="E709">
        <f>VLOOKUP(A709,Лист2!A:E,4,0)</f>
        <v>2.5</v>
      </c>
      <c r="F709" s="12">
        <f t="shared" si="48"/>
        <v>0</v>
      </c>
      <c r="G709">
        <f t="shared" si="49"/>
        <v>800</v>
      </c>
      <c r="H709">
        <f t="shared" si="50"/>
        <v>0</v>
      </c>
    </row>
    <row r="710" spans="1:8">
      <c r="A710" t="s">
        <v>18</v>
      </c>
      <c r="B710">
        <v>1254000</v>
      </c>
      <c r="C710">
        <v>1998000</v>
      </c>
      <c r="D710" t="str">
        <f>VLOOKUP(A710,Лист2!A:E,5,0)</f>
        <v>малые</v>
      </c>
      <c r="E710">
        <f>VLOOKUP(A710,Лист2!A:E,4,0)</f>
        <v>2.5</v>
      </c>
      <c r="F710" s="12">
        <f t="shared" si="48"/>
        <v>-744000</v>
      </c>
      <c r="G710">
        <f t="shared" si="49"/>
        <v>501600</v>
      </c>
      <c r="H710">
        <f t="shared" si="50"/>
        <v>-297600</v>
      </c>
    </row>
    <row r="711" spans="1:8">
      <c r="A711" t="s">
        <v>18</v>
      </c>
      <c r="B711">
        <v>1092000</v>
      </c>
      <c r="C711">
        <v>1180000</v>
      </c>
      <c r="D711" t="str">
        <f>VLOOKUP(A711,Лист2!A:E,5,0)</f>
        <v>малые</v>
      </c>
      <c r="E711">
        <f>VLOOKUP(A711,Лист2!A:E,4,0)</f>
        <v>2.5</v>
      </c>
      <c r="F711" s="12">
        <f t="shared" si="48"/>
        <v>-88000</v>
      </c>
      <c r="G711">
        <f t="shared" si="49"/>
        <v>436800</v>
      </c>
      <c r="H711">
        <f t="shared" si="50"/>
        <v>-35200</v>
      </c>
    </row>
    <row r="712" spans="1:8">
      <c r="A712" t="s">
        <v>22</v>
      </c>
      <c r="B712">
        <v>25085000</v>
      </c>
      <c r="C712">
        <v>21943000</v>
      </c>
      <c r="D712" t="str">
        <f>VLOOKUP(A712,Лист2!A:E,5,0)</f>
        <v>малые</v>
      </c>
      <c r="E712">
        <f>VLOOKUP(A712,Лист2!A:E,4,0)</f>
        <v>13</v>
      </c>
      <c r="F712" s="12">
        <f t="shared" si="48"/>
        <v>3142000</v>
      </c>
      <c r="G712">
        <f t="shared" si="49"/>
        <v>1929615.3846153845</v>
      </c>
      <c r="H712">
        <f t="shared" si="50"/>
        <v>241692.30769230769</v>
      </c>
    </row>
    <row r="713" spans="1:8">
      <c r="A713" t="s">
        <v>77</v>
      </c>
      <c r="B713">
        <v>17813000</v>
      </c>
      <c r="C713">
        <v>17620000</v>
      </c>
      <c r="D713" t="str">
        <f>VLOOKUP(A713,Лист2!A:E,5,0)</f>
        <v>малые</v>
      </c>
      <c r="E713">
        <f>VLOOKUP(A713,Лист2!A:E,4,0)</f>
        <v>8</v>
      </c>
      <c r="F713" s="12">
        <f t="shared" si="48"/>
        <v>193000</v>
      </c>
      <c r="G713">
        <f t="shared" si="49"/>
        <v>2226625</v>
      </c>
      <c r="H713">
        <f t="shared" si="50"/>
        <v>24125</v>
      </c>
    </row>
    <row r="714" spans="1:8">
      <c r="A714" t="s">
        <v>18</v>
      </c>
      <c r="B714">
        <v>928000</v>
      </c>
      <c r="C714">
        <v>928000</v>
      </c>
      <c r="D714" t="str">
        <f>VLOOKUP(A714,Лист2!A:E,5,0)</f>
        <v>малые</v>
      </c>
      <c r="E714">
        <f>VLOOKUP(A714,Лист2!A:E,4,0)</f>
        <v>2.5</v>
      </c>
      <c r="F714" s="12">
        <f t="shared" si="48"/>
        <v>0</v>
      </c>
      <c r="G714">
        <f t="shared" si="49"/>
        <v>371200</v>
      </c>
      <c r="H714">
        <f t="shared" si="50"/>
        <v>0</v>
      </c>
    </row>
    <row r="715" spans="1:8">
      <c r="A715" t="s">
        <v>22</v>
      </c>
      <c r="B715">
        <v>130875000</v>
      </c>
      <c r="C715">
        <v>129010000</v>
      </c>
      <c r="D715" t="str">
        <f>VLOOKUP(A715,Лист2!A:E,5,0)</f>
        <v>малые</v>
      </c>
      <c r="E715">
        <f>VLOOKUP(A715,Лист2!A:E,4,0)</f>
        <v>13</v>
      </c>
      <c r="F715" s="12">
        <f t="shared" si="48"/>
        <v>1865000</v>
      </c>
      <c r="G715">
        <f t="shared" si="49"/>
        <v>10067307.692307692</v>
      </c>
      <c r="H715">
        <f t="shared" si="50"/>
        <v>143461.53846153847</v>
      </c>
    </row>
    <row r="716" spans="1:8">
      <c r="A716" t="s">
        <v>18</v>
      </c>
      <c r="B716">
        <v>97000</v>
      </c>
      <c r="C716">
        <v>94000</v>
      </c>
      <c r="D716" t="str">
        <f>VLOOKUP(A716,Лист2!A:E,5,0)</f>
        <v>малые</v>
      </c>
      <c r="E716">
        <f>VLOOKUP(A716,Лист2!A:E,4,0)</f>
        <v>2.5</v>
      </c>
      <c r="F716" s="12">
        <f t="shared" si="48"/>
        <v>3000</v>
      </c>
      <c r="G716">
        <f t="shared" si="49"/>
        <v>38800</v>
      </c>
      <c r="H716">
        <f t="shared" si="50"/>
        <v>1200</v>
      </c>
    </row>
    <row r="717" spans="1:8">
      <c r="A717" t="s">
        <v>22</v>
      </c>
      <c r="B717">
        <v>4347000</v>
      </c>
      <c r="C717">
        <v>3772000</v>
      </c>
      <c r="D717" t="str">
        <f>VLOOKUP(A717,Лист2!A:E,5,0)</f>
        <v>малые</v>
      </c>
      <c r="E717">
        <f>VLOOKUP(A717,Лист2!A:E,4,0)</f>
        <v>13</v>
      </c>
      <c r="F717" s="12">
        <f t="shared" si="48"/>
        <v>575000</v>
      </c>
      <c r="G717">
        <f t="shared" si="49"/>
        <v>334384.61538461538</v>
      </c>
      <c r="H717">
        <f t="shared" si="50"/>
        <v>44230.769230769234</v>
      </c>
    </row>
    <row r="718" spans="1:8">
      <c r="A718" t="s">
        <v>18</v>
      </c>
      <c r="B718">
        <v>1308000</v>
      </c>
      <c r="C718">
        <v>1091000</v>
      </c>
      <c r="D718" t="str">
        <f>VLOOKUP(A718,Лист2!A:E,5,0)</f>
        <v>малые</v>
      </c>
      <c r="E718">
        <f>VLOOKUP(A718,Лист2!A:E,4,0)</f>
        <v>2.5</v>
      </c>
      <c r="F718" s="12">
        <f t="shared" si="48"/>
        <v>217000</v>
      </c>
      <c r="G718">
        <f t="shared" si="49"/>
        <v>523200</v>
      </c>
      <c r="H718">
        <f t="shared" si="50"/>
        <v>86800</v>
      </c>
    </row>
    <row r="719" spans="1:8">
      <c r="A719" t="s">
        <v>18</v>
      </c>
      <c r="B719">
        <v>1140000</v>
      </c>
      <c r="C719">
        <v>1091000</v>
      </c>
      <c r="D719" t="str">
        <f>VLOOKUP(A719,Лист2!A:E,5,0)</f>
        <v>малые</v>
      </c>
      <c r="E719">
        <f>VLOOKUP(A719,Лист2!A:E,4,0)</f>
        <v>2.5</v>
      </c>
      <c r="F719" s="12">
        <f t="shared" si="48"/>
        <v>49000</v>
      </c>
      <c r="G719">
        <f t="shared" si="49"/>
        <v>456000</v>
      </c>
      <c r="H719">
        <f t="shared" si="50"/>
        <v>19600</v>
      </c>
    </row>
    <row r="720" spans="1:8">
      <c r="A720" t="s">
        <v>18</v>
      </c>
      <c r="B720">
        <v>9429000</v>
      </c>
      <c r="C720">
        <v>5431000</v>
      </c>
      <c r="D720" t="str">
        <f>VLOOKUP(A720,Лист2!A:E,5,0)</f>
        <v>малые</v>
      </c>
      <c r="E720">
        <f>VLOOKUP(A720,Лист2!A:E,4,0)</f>
        <v>2.5</v>
      </c>
      <c r="F720" s="12">
        <f t="shared" si="48"/>
        <v>3998000</v>
      </c>
      <c r="G720">
        <f t="shared" si="49"/>
        <v>3771600</v>
      </c>
      <c r="H720">
        <f t="shared" si="50"/>
        <v>1599200</v>
      </c>
    </row>
    <row r="721" spans="1:8">
      <c r="A721" t="s">
        <v>18</v>
      </c>
      <c r="B721">
        <v>679000</v>
      </c>
      <c r="C721">
        <v>599000</v>
      </c>
      <c r="D721" t="str">
        <f>VLOOKUP(A721,Лист2!A:E,5,0)</f>
        <v>малые</v>
      </c>
      <c r="E721">
        <f>VLOOKUP(A721,Лист2!A:E,4,0)</f>
        <v>2.5</v>
      </c>
      <c r="F721" s="12">
        <f t="shared" si="48"/>
        <v>80000</v>
      </c>
      <c r="G721">
        <f t="shared" si="49"/>
        <v>271600</v>
      </c>
      <c r="H721">
        <f t="shared" si="50"/>
        <v>32000</v>
      </c>
    </row>
    <row r="722" spans="1:8">
      <c r="A722" t="s">
        <v>18</v>
      </c>
      <c r="B722">
        <v>20450000</v>
      </c>
      <c r="C722">
        <v>36058000</v>
      </c>
      <c r="D722" t="str">
        <f>VLOOKUP(A722,Лист2!A:E,5,0)</f>
        <v>малые</v>
      </c>
      <c r="E722">
        <f>VLOOKUP(A722,Лист2!A:E,4,0)</f>
        <v>2.5</v>
      </c>
      <c r="F722" s="12">
        <f t="shared" si="48"/>
        <v>-15608000</v>
      </c>
      <c r="G722">
        <f t="shared" si="49"/>
        <v>8180000</v>
      </c>
      <c r="H722">
        <f t="shared" si="50"/>
        <v>-6243200</v>
      </c>
    </row>
    <row r="723" spans="1:8">
      <c r="A723" t="s">
        <v>18</v>
      </c>
      <c r="B723">
        <v>1928000</v>
      </c>
      <c r="C723">
        <v>1905000</v>
      </c>
      <c r="D723" t="str">
        <f>VLOOKUP(A723,Лист2!A:E,5,0)</f>
        <v>малые</v>
      </c>
      <c r="E723">
        <f>VLOOKUP(A723,Лист2!A:E,4,0)</f>
        <v>2.5</v>
      </c>
      <c r="F723" s="12">
        <f t="shared" si="48"/>
        <v>23000</v>
      </c>
      <c r="G723">
        <f t="shared" si="49"/>
        <v>771200</v>
      </c>
      <c r="H723">
        <f t="shared" si="50"/>
        <v>9200</v>
      </c>
    </row>
    <row r="724" spans="1:8">
      <c r="A724" t="s">
        <v>18</v>
      </c>
      <c r="B724">
        <v>414000</v>
      </c>
      <c r="C724">
        <v>373000</v>
      </c>
      <c r="D724" t="str">
        <f>VLOOKUP(A724,Лист2!A:E,5,0)</f>
        <v>малые</v>
      </c>
      <c r="E724">
        <f>VLOOKUP(A724,Лист2!A:E,4,0)</f>
        <v>2.5</v>
      </c>
      <c r="F724" s="12">
        <f t="shared" si="48"/>
        <v>41000</v>
      </c>
      <c r="G724">
        <f t="shared" si="49"/>
        <v>165600</v>
      </c>
      <c r="H724">
        <f t="shared" si="50"/>
        <v>16400</v>
      </c>
    </row>
    <row r="725" spans="1:8">
      <c r="A725" t="s">
        <v>22</v>
      </c>
      <c r="B725">
        <v>4861000</v>
      </c>
      <c r="C725">
        <v>4715000</v>
      </c>
      <c r="D725" t="str">
        <f>VLOOKUP(A725,Лист2!A:E,5,0)</f>
        <v>малые</v>
      </c>
      <c r="E725">
        <f>VLOOKUP(A725,Лист2!A:E,4,0)</f>
        <v>13</v>
      </c>
      <c r="F725" s="12">
        <f t="shared" si="48"/>
        <v>146000</v>
      </c>
      <c r="G725">
        <f t="shared" si="49"/>
        <v>373923.07692307694</v>
      </c>
      <c r="H725">
        <f t="shared" si="50"/>
        <v>11230.76923076923</v>
      </c>
    </row>
    <row r="726" spans="1:8">
      <c r="A726" t="s">
        <v>18</v>
      </c>
      <c r="B726">
        <v>10376000</v>
      </c>
      <c r="C726">
        <v>11277000</v>
      </c>
      <c r="D726" t="str">
        <f>VLOOKUP(A726,Лист2!A:E,5,0)</f>
        <v>малые</v>
      </c>
      <c r="E726">
        <f>VLOOKUP(A726,Лист2!A:E,4,0)</f>
        <v>2.5</v>
      </c>
      <c r="F726" s="12">
        <f t="shared" si="48"/>
        <v>-901000</v>
      </c>
      <c r="G726">
        <f t="shared" si="49"/>
        <v>4150400</v>
      </c>
      <c r="H726">
        <f t="shared" si="50"/>
        <v>-360400</v>
      </c>
    </row>
    <row r="727" spans="1:8">
      <c r="A727" t="s">
        <v>18</v>
      </c>
      <c r="B727">
        <v>344000</v>
      </c>
      <c r="C727">
        <v>344000</v>
      </c>
      <c r="D727" t="str">
        <f>VLOOKUP(A727,Лист2!A:E,5,0)</f>
        <v>малые</v>
      </c>
      <c r="E727">
        <f>VLOOKUP(A727,Лист2!A:E,4,0)</f>
        <v>2.5</v>
      </c>
      <c r="F727" s="12">
        <f t="shared" si="48"/>
        <v>0</v>
      </c>
      <c r="G727">
        <f t="shared" si="49"/>
        <v>137600</v>
      </c>
      <c r="H727">
        <f t="shared" si="50"/>
        <v>0</v>
      </c>
    </row>
    <row r="728" spans="1:8">
      <c r="A728" t="s">
        <v>18</v>
      </c>
      <c r="B728">
        <v>4264000</v>
      </c>
      <c r="C728">
        <v>4287000</v>
      </c>
      <c r="D728" t="str">
        <f>VLOOKUP(A728,Лист2!A:E,5,0)</f>
        <v>малые</v>
      </c>
      <c r="E728">
        <f>VLOOKUP(A728,Лист2!A:E,4,0)</f>
        <v>2.5</v>
      </c>
      <c r="F728" s="12">
        <f t="shared" si="48"/>
        <v>-23000</v>
      </c>
      <c r="G728">
        <f t="shared" si="49"/>
        <v>1705600</v>
      </c>
      <c r="H728">
        <f t="shared" si="50"/>
        <v>-9200</v>
      </c>
    </row>
    <row r="729" spans="1:8">
      <c r="A729" t="s">
        <v>18</v>
      </c>
      <c r="B729">
        <v>396000</v>
      </c>
      <c r="C729">
        <v>382000</v>
      </c>
      <c r="D729" t="str">
        <f>VLOOKUP(A729,Лист2!A:E,5,0)</f>
        <v>малые</v>
      </c>
      <c r="E729">
        <f>VLOOKUP(A729,Лист2!A:E,4,0)</f>
        <v>2.5</v>
      </c>
      <c r="F729" s="12">
        <f t="shared" si="48"/>
        <v>14000</v>
      </c>
      <c r="G729">
        <f t="shared" si="49"/>
        <v>158400</v>
      </c>
      <c r="H729">
        <f t="shared" si="50"/>
        <v>5600</v>
      </c>
    </row>
    <row r="730" spans="1:8">
      <c r="A730" t="s">
        <v>18</v>
      </c>
      <c r="B730">
        <v>733000</v>
      </c>
      <c r="C730">
        <v>699000</v>
      </c>
      <c r="D730" t="str">
        <f>VLOOKUP(A730,Лист2!A:E,5,0)</f>
        <v>малые</v>
      </c>
      <c r="E730">
        <f>VLOOKUP(A730,Лист2!A:E,4,0)</f>
        <v>2.5</v>
      </c>
      <c r="F730" s="12">
        <f t="shared" si="48"/>
        <v>34000</v>
      </c>
      <c r="G730">
        <f t="shared" si="49"/>
        <v>293200</v>
      </c>
      <c r="H730">
        <f t="shared" si="50"/>
        <v>13600</v>
      </c>
    </row>
    <row r="731" spans="1:8">
      <c r="A731" t="s">
        <v>18</v>
      </c>
      <c r="B731">
        <v>7215000</v>
      </c>
      <c r="C731">
        <v>7030000</v>
      </c>
      <c r="D731" t="str">
        <f>VLOOKUP(A731,Лист2!A:E,5,0)</f>
        <v>малые</v>
      </c>
      <c r="E731">
        <f>VLOOKUP(A731,Лист2!A:E,4,0)</f>
        <v>2.5</v>
      </c>
      <c r="F731" s="12">
        <f t="shared" si="48"/>
        <v>185000</v>
      </c>
      <c r="G731">
        <f t="shared" si="49"/>
        <v>2886000</v>
      </c>
      <c r="H731">
        <f t="shared" si="50"/>
        <v>74000</v>
      </c>
    </row>
    <row r="732" spans="1:8">
      <c r="A732" t="s">
        <v>22</v>
      </c>
      <c r="B732">
        <v>22047000</v>
      </c>
      <c r="C732">
        <v>21313000</v>
      </c>
      <c r="D732" t="str">
        <f>VLOOKUP(A732,Лист2!A:E,5,0)</f>
        <v>малые</v>
      </c>
      <c r="E732">
        <f>VLOOKUP(A732,Лист2!A:E,4,0)</f>
        <v>13</v>
      </c>
      <c r="F732" s="12">
        <f t="shared" si="48"/>
        <v>734000</v>
      </c>
      <c r="G732">
        <f t="shared" si="49"/>
        <v>1695923.076923077</v>
      </c>
      <c r="H732">
        <f t="shared" si="50"/>
        <v>56461.538461538461</v>
      </c>
    </row>
    <row r="733" spans="1:8">
      <c r="A733" t="s">
        <v>18</v>
      </c>
      <c r="B733">
        <v>828000</v>
      </c>
      <c r="C733">
        <v>820000</v>
      </c>
      <c r="D733" t="str">
        <f>VLOOKUP(A733,Лист2!A:E,5,0)</f>
        <v>малые</v>
      </c>
      <c r="E733">
        <f>VLOOKUP(A733,Лист2!A:E,4,0)</f>
        <v>2.5</v>
      </c>
      <c r="F733" s="12">
        <f t="shared" si="48"/>
        <v>8000</v>
      </c>
      <c r="G733">
        <f t="shared" si="49"/>
        <v>331200</v>
      </c>
      <c r="H733">
        <f t="shared" si="50"/>
        <v>3200</v>
      </c>
    </row>
    <row r="734" spans="1:8">
      <c r="A734" t="s">
        <v>18</v>
      </c>
      <c r="B734">
        <v>2390000</v>
      </c>
      <c r="C734">
        <v>2232000</v>
      </c>
      <c r="D734" t="str">
        <f>VLOOKUP(A734,Лист2!A:E,5,0)</f>
        <v>малые</v>
      </c>
      <c r="E734">
        <f>VLOOKUP(A734,Лист2!A:E,4,0)</f>
        <v>2.5</v>
      </c>
      <c r="F734" s="12">
        <f t="shared" si="48"/>
        <v>158000</v>
      </c>
      <c r="G734">
        <f t="shared" si="49"/>
        <v>956000</v>
      </c>
      <c r="H734">
        <f t="shared" si="50"/>
        <v>63200</v>
      </c>
    </row>
    <row r="735" spans="1:8">
      <c r="A735" t="s">
        <v>18</v>
      </c>
      <c r="B735">
        <v>9245000</v>
      </c>
      <c r="C735">
        <v>8916000</v>
      </c>
      <c r="D735" t="str">
        <f>VLOOKUP(A735,Лист2!A:E,5,0)</f>
        <v>малые</v>
      </c>
      <c r="E735">
        <f>VLOOKUP(A735,Лист2!A:E,4,0)</f>
        <v>2.5</v>
      </c>
      <c r="F735" s="12">
        <f t="shared" si="48"/>
        <v>329000</v>
      </c>
      <c r="G735">
        <f t="shared" si="49"/>
        <v>3698000</v>
      </c>
      <c r="H735">
        <f t="shared" si="50"/>
        <v>131600</v>
      </c>
    </row>
    <row r="736" spans="1:8">
      <c r="A736" t="s">
        <v>18</v>
      </c>
      <c r="B736">
        <v>514000</v>
      </c>
      <c r="C736">
        <v>523000</v>
      </c>
      <c r="D736" t="str">
        <f>VLOOKUP(A736,Лист2!A:E,5,0)</f>
        <v>малые</v>
      </c>
      <c r="E736">
        <f>VLOOKUP(A736,Лист2!A:E,4,0)</f>
        <v>2.5</v>
      </c>
      <c r="F736" s="12">
        <f t="shared" si="48"/>
        <v>-9000</v>
      </c>
      <c r="G736">
        <f t="shared" si="49"/>
        <v>205600</v>
      </c>
      <c r="H736">
        <f t="shared" si="50"/>
        <v>-3600</v>
      </c>
    </row>
    <row r="737" spans="1:8">
      <c r="A737" t="s">
        <v>18</v>
      </c>
      <c r="B737">
        <v>1541000</v>
      </c>
      <c r="C737">
        <v>1531000</v>
      </c>
      <c r="D737" t="str">
        <f>VLOOKUP(A737,Лист2!A:E,5,0)</f>
        <v>малые</v>
      </c>
      <c r="E737">
        <f>VLOOKUP(A737,Лист2!A:E,4,0)</f>
        <v>2.5</v>
      </c>
      <c r="F737" s="12">
        <f t="shared" si="48"/>
        <v>10000</v>
      </c>
      <c r="G737">
        <f t="shared" si="49"/>
        <v>616400</v>
      </c>
      <c r="H737">
        <f t="shared" si="50"/>
        <v>4000</v>
      </c>
    </row>
    <row r="738" spans="1:8">
      <c r="A738" t="s">
        <v>18</v>
      </c>
      <c r="B738">
        <v>2610000</v>
      </c>
      <c r="C738">
        <v>2117000</v>
      </c>
      <c r="D738" t="str">
        <f>VLOOKUP(A738,Лист2!A:E,5,0)</f>
        <v>малые</v>
      </c>
      <c r="E738">
        <f>VLOOKUP(A738,Лист2!A:E,4,0)</f>
        <v>2.5</v>
      </c>
      <c r="F738" s="12">
        <f t="shared" si="48"/>
        <v>493000</v>
      </c>
      <c r="G738">
        <f t="shared" si="49"/>
        <v>1044000</v>
      </c>
      <c r="H738">
        <f t="shared" si="50"/>
        <v>197200</v>
      </c>
    </row>
    <row r="739" spans="1:8">
      <c r="A739" t="s">
        <v>18</v>
      </c>
      <c r="B739">
        <v>2291000</v>
      </c>
      <c r="C739">
        <v>1355000</v>
      </c>
      <c r="D739" t="str">
        <f>VLOOKUP(A739,Лист2!A:E,5,0)</f>
        <v>малые</v>
      </c>
      <c r="E739">
        <f>VLOOKUP(A739,Лист2!A:E,4,0)</f>
        <v>2.5</v>
      </c>
      <c r="F739" s="12">
        <f t="shared" si="48"/>
        <v>936000</v>
      </c>
      <c r="G739">
        <f t="shared" si="49"/>
        <v>916400</v>
      </c>
      <c r="H739">
        <f t="shared" si="50"/>
        <v>374400</v>
      </c>
    </row>
    <row r="740" spans="1:8">
      <c r="A740" t="s">
        <v>18</v>
      </c>
      <c r="B740">
        <v>1370000</v>
      </c>
      <c r="C740">
        <v>958000</v>
      </c>
      <c r="D740" t="str">
        <f>VLOOKUP(A740,Лист2!A:E,5,0)</f>
        <v>малые</v>
      </c>
      <c r="E740">
        <f>VLOOKUP(A740,Лист2!A:E,4,0)</f>
        <v>2.5</v>
      </c>
      <c r="F740" s="12">
        <f t="shared" si="48"/>
        <v>412000</v>
      </c>
      <c r="G740">
        <f t="shared" si="49"/>
        <v>548000</v>
      </c>
      <c r="H740">
        <f t="shared" si="50"/>
        <v>164800</v>
      </c>
    </row>
    <row r="741" spans="1:8">
      <c r="A741" t="s">
        <v>18</v>
      </c>
      <c r="B741">
        <v>182000</v>
      </c>
      <c r="C741">
        <v>15000</v>
      </c>
      <c r="D741" t="str">
        <f>VLOOKUP(A741,Лист2!A:E,5,0)</f>
        <v>малые</v>
      </c>
      <c r="E741">
        <f>VLOOKUP(A741,Лист2!A:E,4,0)</f>
        <v>2.5</v>
      </c>
      <c r="F741" s="12">
        <f t="shared" si="48"/>
        <v>167000</v>
      </c>
      <c r="G741">
        <f t="shared" si="49"/>
        <v>72800</v>
      </c>
      <c r="H741">
        <f t="shared" si="50"/>
        <v>66800</v>
      </c>
    </row>
    <row r="742" spans="1:8">
      <c r="A742" t="s">
        <v>18</v>
      </c>
      <c r="B742">
        <v>8824000</v>
      </c>
      <c r="C742">
        <v>7500000</v>
      </c>
      <c r="D742" t="str">
        <f>VLOOKUP(A742,Лист2!A:E,5,0)</f>
        <v>малые</v>
      </c>
      <c r="E742">
        <f>VLOOKUP(A742,Лист2!A:E,4,0)</f>
        <v>2.5</v>
      </c>
      <c r="F742" s="12">
        <f t="shared" si="48"/>
        <v>1324000</v>
      </c>
      <c r="G742">
        <f t="shared" si="49"/>
        <v>3529600</v>
      </c>
      <c r="H742">
        <f t="shared" si="50"/>
        <v>529600</v>
      </c>
    </row>
    <row r="743" spans="1:8">
      <c r="A743" t="s">
        <v>18</v>
      </c>
      <c r="B743">
        <v>285000</v>
      </c>
      <c r="C743">
        <v>292000</v>
      </c>
      <c r="D743" t="str">
        <f>VLOOKUP(A743,Лист2!A:E,5,0)</f>
        <v>малые</v>
      </c>
      <c r="E743">
        <f>VLOOKUP(A743,Лист2!A:E,4,0)</f>
        <v>2.5</v>
      </c>
      <c r="F743" s="12">
        <f t="shared" si="48"/>
        <v>-7000</v>
      </c>
      <c r="G743">
        <f t="shared" si="49"/>
        <v>114000</v>
      </c>
      <c r="H743">
        <f t="shared" si="50"/>
        <v>-2800</v>
      </c>
    </row>
    <row r="744" spans="1:8">
      <c r="A744" t="s">
        <v>18</v>
      </c>
      <c r="B744">
        <v>367000</v>
      </c>
      <c r="C744">
        <v>382000</v>
      </c>
      <c r="D744" t="str">
        <f>VLOOKUP(A744,Лист2!A:E,5,0)</f>
        <v>малые</v>
      </c>
      <c r="E744">
        <f>VLOOKUP(A744,Лист2!A:E,4,0)</f>
        <v>2.5</v>
      </c>
      <c r="F744" s="12">
        <f t="shared" si="48"/>
        <v>-15000</v>
      </c>
      <c r="G744">
        <f t="shared" si="49"/>
        <v>146800</v>
      </c>
      <c r="H744">
        <f t="shared" si="50"/>
        <v>-6000</v>
      </c>
    </row>
    <row r="745" spans="1:8">
      <c r="A745" t="s">
        <v>18</v>
      </c>
      <c r="B745">
        <v>1588000</v>
      </c>
      <c r="C745">
        <v>2573000</v>
      </c>
      <c r="D745" t="str">
        <f>VLOOKUP(A745,Лист2!A:E,5,0)</f>
        <v>малые</v>
      </c>
      <c r="E745">
        <f>VLOOKUP(A745,Лист2!A:E,4,0)</f>
        <v>2.5</v>
      </c>
      <c r="F745" s="12">
        <f t="shared" si="48"/>
        <v>-985000</v>
      </c>
      <c r="G745">
        <f t="shared" si="49"/>
        <v>635200</v>
      </c>
      <c r="H745">
        <f t="shared" si="50"/>
        <v>-394000</v>
      </c>
    </row>
    <row r="746" spans="1:8">
      <c r="A746" t="s">
        <v>18</v>
      </c>
      <c r="B746">
        <v>11000</v>
      </c>
      <c r="C746">
        <v>32000</v>
      </c>
      <c r="D746" t="str">
        <f>VLOOKUP(A746,Лист2!A:E,5,0)</f>
        <v>малые</v>
      </c>
      <c r="E746">
        <f>VLOOKUP(A746,Лист2!A:E,4,0)</f>
        <v>2.5</v>
      </c>
      <c r="F746" s="12">
        <f t="shared" si="48"/>
        <v>-21000</v>
      </c>
      <c r="G746">
        <f t="shared" si="49"/>
        <v>4400</v>
      </c>
      <c r="H746">
        <f t="shared" si="50"/>
        <v>-8400</v>
      </c>
    </row>
    <row r="747" spans="1:8">
      <c r="A747" t="s">
        <v>18</v>
      </c>
      <c r="B747">
        <v>922000</v>
      </c>
      <c r="C747">
        <v>1086000</v>
      </c>
      <c r="D747" t="str">
        <f>VLOOKUP(A747,Лист2!A:E,5,0)</f>
        <v>малые</v>
      </c>
      <c r="E747">
        <f>VLOOKUP(A747,Лист2!A:E,4,0)</f>
        <v>2.5</v>
      </c>
      <c r="F747" s="12">
        <f t="shared" si="48"/>
        <v>-164000</v>
      </c>
      <c r="G747">
        <f t="shared" si="49"/>
        <v>368800</v>
      </c>
      <c r="H747">
        <f t="shared" si="50"/>
        <v>-65600</v>
      </c>
    </row>
    <row r="748" spans="1:8">
      <c r="A748" t="s">
        <v>18</v>
      </c>
      <c r="B748">
        <v>485000</v>
      </c>
      <c r="C748">
        <v>387000</v>
      </c>
      <c r="D748" t="str">
        <f>VLOOKUP(A748,Лист2!A:E,5,0)</f>
        <v>малые</v>
      </c>
      <c r="E748">
        <f>VLOOKUP(A748,Лист2!A:E,4,0)</f>
        <v>2.5</v>
      </c>
      <c r="F748" s="12">
        <f t="shared" si="48"/>
        <v>98000</v>
      </c>
      <c r="G748">
        <f t="shared" si="49"/>
        <v>194000</v>
      </c>
      <c r="H748">
        <f t="shared" si="50"/>
        <v>39200</v>
      </c>
    </row>
    <row r="749" spans="1:8">
      <c r="A749" t="s">
        <v>18</v>
      </c>
      <c r="B749">
        <v>16605000</v>
      </c>
      <c r="C749">
        <v>18092000</v>
      </c>
      <c r="D749" t="str">
        <f>VLOOKUP(A749,Лист2!A:E,5,0)</f>
        <v>малые</v>
      </c>
      <c r="E749">
        <f>VLOOKUP(A749,Лист2!A:E,4,0)</f>
        <v>2.5</v>
      </c>
      <c r="F749" s="12">
        <f t="shared" ref="F749:F794" si="51">B749-C749</f>
        <v>-1487000</v>
      </c>
      <c r="G749">
        <f t="shared" ref="G749:G794" si="52">B749/E749</f>
        <v>6642000</v>
      </c>
      <c r="H749">
        <f t="shared" ref="H749:H794" si="53">F749/E749</f>
        <v>-594800</v>
      </c>
    </row>
    <row r="750" spans="1:8">
      <c r="A750" t="s">
        <v>18</v>
      </c>
      <c r="B750">
        <v>444000</v>
      </c>
      <c r="C750">
        <v>670000</v>
      </c>
      <c r="D750" t="str">
        <f>VLOOKUP(A750,Лист2!A:E,5,0)</f>
        <v>малые</v>
      </c>
      <c r="E750">
        <f>VLOOKUP(A750,Лист2!A:E,4,0)</f>
        <v>2.5</v>
      </c>
      <c r="F750" s="12">
        <f t="shared" si="51"/>
        <v>-226000</v>
      </c>
      <c r="G750">
        <f t="shared" si="52"/>
        <v>177600</v>
      </c>
      <c r="H750">
        <f t="shared" si="53"/>
        <v>-90400</v>
      </c>
    </row>
    <row r="751" spans="1:8">
      <c r="A751" t="s">
        <v>18</v>
      </c>
      <c r="B751">
        <v>292000</v>
      </c>
      <c r="C751">
        <v>274000</v>
      </c>
      <c r="D751" t="str">
        <f>VLOOKUP(A751,Лист2!A:E,5,0)</f>
        <v>малые</v>
      </c>
      <c r="E751">
        <f>VLOOKUP(A751,Лист2!A:E,4,0)</f>
        <v>2.5</v>
      </c>
      <c r="F751" s="12">
        <f t="shared" si="51"/>
        <v>18000</v>
      </c>
      <c r="G751">
        <f t="shared" si="52"/>
        <v>116800</v>
      </c>
      <c r="H751">
        <f t="shared" si="53"/>
        <v>7200</v>
      </c>
    </row>
    <row r="752" spans="1:8">
      <c r="A752" t="s">
        <v>18</v>
      </c>
      <c r="B752">
        <v>2358000</v>
      </c>
      <c r="C752">
        <v>2486000</v>
      </c>
      <c r="D752" t="str">
        <f>VLOOKUP(A752,Лист2!A:E,5,0)</f>
        <v>малые</v>
      </c>
      <c r="E752">
        <f>VLOOKUP(A752,Лист2!A:E,4,0)</f>
        <v>2.5</v>
      </c>
      <c r="F752" s="12">
        <f t="shared" si="51"/>
        <v>-128000</v>
      </c>
      <c r="G752">
        <f t="shared" si="52"/>
        <v>943200</v>
      </c>
      <c r="H752">
        <f t="shared" si="53"/>
        <v>-51200</v>
      </c>
    </row>
    <row r="753" spans="1:8">
      <c r="A753" t="s">
        <v>18</v>
      </c>
      <c r="B753">
        <v>611000</v>
      </c>
      <c r="C753">
        <v>611000</v>
      </c>
      <c r="D753" t="str">
        <f>VLOOKUP(A753,Лист2!A:E,5,0)</f>
        <v>малые</v>
      </c>
      <c r="E753">
        <f>VLOOKUP(A753,Лист2!A:E,4,0)</f>
        <v>2.5</v>
      </c>
      <c r="F753" s="12">
        <f t="shared" si="51"/>
        <v>0</v>
      </c>
      <c r="G753">
        <f t="shared" si="52"/>
        <v>244400</v>
      </c>
      <c r="H753">
        <f t="shared" si="53"/>
        <v>0</v>
      </c>
    </row>
    <row r="754" spans="1:8">
      <c r="A754" t="s">
        <v>18</v>
      </c>
      <c r="B754">
        <v>1294000</v>
      </c>
      <c r="C754">
        <v>1234000</v>
      </c>
      <c r="D754" t="str">
        <f>VLOOKUP(A754,Лист2!A:E,5,0)</f>
        <v>малые</v>
      </c>
      <c r="E754">
        <f>VLOOKUP(A754,Лист2!A:E,4,0)</f>
        <v>2.5</v>
      </c>
      <c r="F754" s="12">
        <f t="shared" si="51"/>
        <v>60000</v>
      </c>
      <c r="G754">
        <f t="shared" si="52"/>
        <v>517600</v>
      </c>
      <c r="H754">
        <f t="shared" si="53"/>
        <v>24000</v>
      </c>
    </row>
    <row r="755" spans="1:8">
      <c r="A755" t="s">
        <v>18</v>
      </c>
      <c r="B755">
        <v>266000</v>
      </c>
      <c r="C755">
        <v>214000</v>
      </c>
      <c r="D755" t="str">
        <f>VLOOKUP(A755,Лист2!A:E,5,0)</f>
        <v>малые</v>
      </c>
      <c r="E755">
        <f>VLOOKUP(A755,Лист2!A:E,4,0)</f>
        <v>2.5</v>
      </c>
      <c r="F755" s="12">
        <f t="shared" si="51"/>
        <v>52000</v>
      </c>
      <c r="G755">
        <f t="shared" si="52"/>
        <v>106400</v>
      </c>
      <c r="H755">
        <f t="shared" si="53"/>
        <v>20800</v>
      </c>
    </row>
    <row r="756" spans="1:8">
      <c r="A756" t="s">
        <v>18</v>
      </c>
      <c r="B756">
        <v>766000</v>
      </c>
      <c r="C756">
        <v>122000</v>
      </c>
      <c r="D756" t="str">
        <f>VLOOKUP(A756,Лист2!A:E,5,0)</f>
        <v>малые</v>
      </c>
      <c r="E756">
        <f>VLOOKUP(A756,Лист2!A:E,4,0)</f>
        <v>2.5</v>
      </c>
      <c r="F756" s="12">
        <f t="shared" si="51"/>
        <v>644000</v>
      </c>
      <c r="G756">
        <f t="shared" si="52"/>
        <v>306400</v>
      </c>
      <c r="H756">
        <f t="shared" si="53"/>
        <v>257600</v>
      </c>
    </row>
    <row r="757" spans="1:8">
      <c r="A757" t="s">
        <v>18</v>
      </c>
      <c r="B757">
        <v>3284000</v>
      </c>
      <c r="C757">
        <v>4281000</v>
      </c>
      <c r="D757" t="str">
        <f>VLOOKUP(A757,Лист2!A:E,5,0)</f>
        <v>малые</v>
      </c>
      <c r="E757">
        <f>VLOOKUP(A757,Лист2!A:E,4,0)</f>
        <v>2.5</v>
      </c>
      <c r="F757" s="12">
        <f t="shared" si="51"/>
        <v>-997000</v>
      </c>
      <c r="G757">
        <f t="shared" si="52"/>
        <v>1313600</v>
      </c>
      <c r="H757">
        <f t="shared" si="53"/>
        <v>-398800</v>
      </c>
    </row>
    <row r="758" spans="1:8">
      <c r="A758" t="s">
        <v>77</v>
      </c>
      <c r="B758">
        <v>43154000</v>
      </c>
      <c r="C758">
        <v>51871000</v>
      </c>
      <c r="D758" t="str">
        <f>VLOOKUP(A758,Лист2!A:E,5,0)</f>
        <v>малые</v>
      </c>
      <c r="E758">
        <f>VLOOKUP(A758,Лист2!A:E,4,0)</f>
        <v>8</v>
      </c>
      <c r="F758" s="12">
        <f t="shared" si="51"/>
        <v>-8717000</v>
      </c>
      <c r="G758">
        <f t="shared" si="52"/>
        <v>5394250</v>
      </c>
      <c r="H758">
        <f t="shared" si="53"/>
        <v>-1089625</v>
      </c>
    </row>
    <row r="759" spans="1:8">
      <c r="A759" t="s">
        <v>18</v>
      </c>
      <c r="B759">
        <v>662000</v>
      </c>
      <c r="C759">
        <v>1110000</v>
      </c>
      <c r="D759" t="str">
        <f>VLOOKUP(A759,Лист2!A:E,5,0)</f>
        <v>малые</v>
      </c>
      <c r="E759">
        <f>VLOOKUP(A759,Лист2!A:E,4,0)</f>
        <v>2.5</v>
      </c>
      <c r="F759" s="12">
        <f t="shared" si="51"/>
        <v>-448000</v>
      </c>
      <c r="G759">
        <f t="shared" si="52"/>
        <v>264800</v>
      </c>
      <c r="H759">
        <f t="shared" si="53"/>
        <v>-179200</v>
      </c>
    </row>
    <row r="760" spans="1:8">
      <c r="A760" t="s">
        <v>18</v>
      </c>
      <c r="B760">
        <v>2700000</v>
      </c>
      <c r="C760">
        <v>2699000</v>
      </c>
      <c r="D760" t="str">
        <f>VLOOKUP(A760,Лист2!A:E,5,0)</f>
        <v>малые</v>
      </c>
      <c r="E760">
        <f>VLOOKUP(A760,Лист2!A:E,4,0)</f>
        <v>2.5</v>
      </c>
      <c r="F760" s="12">
        <f t="shared" si="51"/>
        <v>1000</v>
      </c>
      <c r="G760">
        <f t="shared" si="52"/>
        <v>1080000</v>
      </c>
      <c r="H760">
        <f t="shared" si="53"/>
        <v>400</v>
      </c>
    </row>
    <row r="761" spans="1:8">
      <c r="A761" t="s">
        <v>18</v>
      </c>
      <c r="B761">
        <v>647000</v>
      </c>
      <c r="C761">
        <v>567000</v>
      </c>
      <c r="D761" t="str">
        <f>VLOOKUP(A761,Лист2!A:E,5,0)</f>
        <v>малые</v>
      </c>
      <c r="E761">
        <f>VLOOKUP(A761,Лист2!A:E,4,0)</f>
        <v>2.5</v>
      </c>
      <c r="F761" s="12">
        <f t="shared" si="51"/>
        <v>80000</v>
      </c>
      <c r="G761">
        <f t="shared" si="52"/>
        <v>258800</v>
      </c>
      <c r="H761">
        <f t="shared" si="53"/>
        <v>32000</v>
      </c>
    </row>
    <row r="762" spans="1:8">
      <c r="A762" t="s">
        <v>18</v>
      </c>
      <c r="B762">
        <v>5576000</v>
      </c>
      <c r="C762">
        <v>4571000</v>
      </c>
      <c r="D762" t="str">
        <f>VLOOKUP(A762,Лист2!A:E,5,0)</f>
        <v>малые</v>
      </c>
      <c r="E762">
        <f>VLOOKUP(A762,Лист2!A:E,4,0)</f>
        <v>2.5</v>
      </c>
      <c r="F762" s="12">
        <f t="shared" si="51"/>
        <v>1005000</v>
      </c>
      <c r="G762">
        <f t="shared" si="52"/>
        <v>2230400</v>
      </c>
      <c r="H762">
        <f t="shared" si="53"/>
        <v>402000</v>
      </c>
    </row>
    <row r="763" spans="1:8">
      <c r="A763" t="s">
        <v>18</v>
      </c>
      <c r="B763">
        <v>3904000</v>
      </c>
      <c r="C763">
        <v>3336000</v>
      </c>
      <c r="D763" t="str">
        <f>VLOOKUP(A763,Лист2!A:E,5,0)</f>
        <v>малые</v>
      </c>
      <c r="E763">
        <f>VLOOKUP(A763,Лист2!A:E,4,0)</f>
        <v>2.5</v>
      </c>
      <c r="F763" s="12">
        <f t="shared" si="51"/>
        <v>568000</v>
      </c>
      <c r="G763">
        <f t="shared" si="52"/>
        <v>1561600</v>
      </c>
      <c r="H763">
        <f t="shared" si="53"/>
        <v>227200</v>
      </c>
    </row>
    <row r="764" spans="1:8">
      <c r="A764" t="s">
        <v>18</v>
      </c>
      <c r="B764">
        <v>1122000</v>
      </c>
      <c r="C764">
        <v>1230000</v>
      </c>
      <c r="D764" t="str">
        <f>VLOOKUP(A764,Лист2!A:E,5,0)</f>
        <v>малые</v>
      </c>
      <c r="E764">
        <f>VLOOKUP(A764,Лист2!A:E,4,0)</f>
        <v>2.5</v>
      </c>
      <c r="F764" s="12">
        <f t="shared" si="51"/>
        <v>-108000</v>
      </c>
      <c r="G764">
        <f t="shared" si="52"/>
        <v>448800</v>
      </c>
      <c r="H764">
        <f t="shared" si="53"/>
        <v>-43200</v>
      </c>
    </row>
    <row r="765" spans="1:8">
      <c r="A765" t="s">
        <v>18</v>
      </c>
      <c r="B765">
        <v>76000</v>
      </c>
      <c r="C765">
        <v>44000</v>
      </c>
      <c r="D765" t="str">
        <f>VLOOKUP(A765,Лист2!A:E,5,0)</f>
        <v>малые</v>
      </c>
      <c r="E765">
        <f>VLOOKUP(A765,Лист2!A:E,4,0)</f>
        <v>2.5</v>
      </c>
      <c r="F765" s="12">
        <f t="shared" si="51"/>
        <v>32000</v>
      </c>
      <c r="G765">
        <f t="shared" si="52"/>
        <v>30400</v>
      </c>
      <c r="H765">
        <f t="shared" si="53"/>
        <v>12800</v>
      </c>
    </row>
    <row r="766" spans="1:8">
      <c r="A766" t="s">
        <v>18</v>
      </c>
      <c r="B766">
        <v>320000</v>
      </c>
      <c r="C766">
        <v>320000</v>
      </c>
      <c r="D766" t="str">
        <f>VLOOKUP(A766,Лист2!A:E,5,0)</f>
        <v>малые</v>
      </c>
      <c r="E766">
        <f>VLOOKUP(A766,Лист2!A:E,4,0)</f>
        <v>2.5</v>
      </c>
      <c r="F766" s="12">
        <f t="shared" si="51"/>
        <v>0</v>
      </c>
      <c r="G766">
        <f t="shared" si="52"/>
        <v>128000</v>
      </c>
      <c r="H766">
        <f t="shared" si="53"/>
        <v>0</v>
      </c>
    </row>
    <row r="767" spans="1:8">
      <c r="A767" t="s">
        <v>18</v>
      </c>
      <c r="B767">
        <v>49000</v>
      </c>
      <c r="C767">
        <v>289000</v>
      </c>
      <c r="D767" t="str">
        <f>VLOOKUP(A767,Лист2!A:E,5,0)</f>
        <v>малые</v>
      </c>
      <c r="E767">
        <f>VLOOKUP(A767,Лист2!A:E,4,0)</f>
        <v>2.5</v>
      </c>
      <c r="F767" s="12">
        <f t="shared" si="51"/>
        <v>-240000</v>
      </c>
      <c r="G767">
        <f t="shared" si="52"/>
        <v>19600</v>
      </c>
      <c r="H767">
        <f t="shared" si="53"/>
        <v>-96000</v>
      </c>
    </row>
    <row r="768" spans="1:8">
      <c r="A768" t="s">
        <v>18</v>
      </c>
      <c r="B768">
        <v>17457000</v>
      </c>
      <c r="C768">
        <v>15191000</v>
      </c>
      <c r="D768" t="str">
        <f>VLOOKUP(A768,Лист2!A:E,5,0)</f>
        <v>малые</v>
      </c>
      <c r="E768">
        <f>VLOOKUP(A768,Лист2!A:E,4,0)</f>
        <v>2.5</v>
      </c>
      <c r="F768" s="12">
        <f t="shared" si="51"/>
        <v>2266000</v>
      </c>
      <c r="G768">
        <f t="shared" si="52"/>
        <v>6982800</v>
      </c>
      <c r="H768">
        <f t="shared" si="53"/>
        <v>906400</v>
      </c>
    </row>
    <row r="769" spans="1:8">
      <c r="A769" t="s">
        <v>18</v>
      </c>
      <c r="B769">
        <v>23000</v>
      </c>
      <c r="C769">
        <v>27000</v>
      </c>
      <c r="D769" t="str">
        <f>VLOOKUP(A769,Лист2!A:E,5,0)</f>
        <v>малые</v>
      </c>
      <c r="E769">
        <f>VLOOKUP(A769,Лист2!A:E,4,0)</f>
        <v>2.5</v>
      </c>
      <c r="F769" s="12">
        <f t="shared" si="51"/>
        <v>-4000</v>
      </c>
      <c r="G769">
        <f t="shared" si="52"/>
        <v>9200</v>
      </c>
      <c r="H769">
        <f t="shared" si="53"/>
        <v>-1600</v>
      </c>
    </row>
    <row r="770" spans="1:8">
      <c r="A770" t="s">
        <v>18</v>
      </c>
      <c r="B770">
        <v>14718000</v>
      </c>
      <c r="C770">
        <v>13676000</v>
      </c>
      <c r="D770" t="str">
        <f>VLOOKUP(A770,Лист2!A:E,5,0)</f>
        <v>малые</v>
      </c>
      <c r="E770">
        <f>VLOOKUP(A770,Лист2!A:E,4,0)</f>
        <v>2.5</v>
      </c>
      <c r="F770" s="12">
        <f t="shared" si="51"/>
        <v>1042000</v>
      </c>
      <c r="G770">
        <f t="shared" si="52"/>
        <v>5887200</v>
      </c>
      <c r="H770">
        <f t="shared" si="53"/>
        <v>416800</v>
      </c>
    </row>
    <row r="771" spans="1:8">
      <c r="A771" t="s">
        <v>18</v>
      </c>
      <c r="B771">
        <v>77000</v>
      </c>
      <c r="C771">
        <v>78000</v>
      </c>
      <c r="D771" t="str">
        <f>VLOOKUP(A771,Лист2!A:E,5,0)</f>
        <v>малые</v>
      </c>
      <c r="E771">
        <f>VLOOKUP(A771,Лист2!A:E,4,0)</f>
        <v>2.5</v>
      </c>
      <c r="F771" s="12">
        <f t="shared" si="51"/>
        <v>-1000</v>
      </c>
      <c r="G771">
        <f t="shared" si="52"/>
        <v>30800</v>
      </c>
      <c r="H771">
        <f t="shared" si="53"/>
        <v>-400</v>
      </c>
    </row>
    <row r="772" spans="1:8">
      <c r="A772" t="s">
        <v>18</v>
      </c>
      <c r="B772">
        <v>192000</v>
      </c>
      <c r="C772">
        <v>192000</v>
      </c>
      <c r="D772" t="str">
        <f>VLOOKUP(A772,Лист2!A:E,5,0)</f>
        <v>малые</v>
      </c>
      <c r="E772">
        <f>VLOOKUP(A772,Лист2!A:E,4,0)</f>
        <v>2.5</v>
      </c>
      <c r="F772" s="12">
        <f t="shared" si="51"/>
        <v>0</v>
      </c>
      <c r="G772">
        <f t="shared" si="52"/>
        <v>76800</v>
      </c>
      <c r="H772">
        <f t="shared" si="53"/>
        <v>0</v>
      </c>
    </row>
    <row r="773" spans="1:8">
      <c r="A773" t="s">
        <v>18</v>
      </c>
      <c r="B773">
        <v>1680000</v>
      </c>
      <c r="C773">
        <v>1911000</v>
      </c>
      <c r="D773" t="str">
        <f>VLOOKUP(A773,Лист2!A:E,5,0)</f>
        <v>малые</v>
      </c>
      <c r="E773">
        <f>VLOOKUP(A773,Лист2!A:E,4,0)</f>
        <v>2.5</v>
      </c>
      <c r="F773" s="12">
        <f t="shared" si="51"/>
        <v>-231000</v>
      </c>
      <c r="G773">
        <f t="shared" si="52"/>
        <v>672000</v>
      </c>
      <c r="H773">
        <f t="shared" si="53"/>
        <v>-92400</v>
      </c>
    </row>
    <row r="774" spans="1:8">
      <c r="A774" t="s">
        <v>18</v>
      </c>
      <c r="B774">
        <v>800000</v>
      </c>
      <c r="C774">
        <v>804000</v>
      </c>
      <c r="D774" t="str">
        <f>VLOOKUP(A774,Лист2!A:E,5,0)</f>
        <v>малые</v>
      </c>
      <c r="E774">
        <f>VLOOKUP(A774,Лист2!A:E,4,0)</f>
        <v>2.5</v>
      </c>
      <c r="F774" s="12">
        <f t="shared" si="51"/>
        <v>-4000</v>
      </c>
      <c r="G774">
        <f t="shared" si="52"/>
        <v>320000</v>
      </c>
      <c r="H774">
        <f t="shared" si="53"/>
        <v>-1600</v>
      </c>
    </row>
    <row r="775" spans="1:8">
      <c r="A775" t="s">
        <v>18</v>
      </c>
      <c r="B775">
        <v>1410000</v>
      </c>
      <c r="C775">
        <v>1420000</v>
      </c>
      <c r="D775" t="str">
        <f>VLOOKUP(A775,Лист2!A:E,5,0)</f>
        <v>малые</v>
      </c>
      <c r="E775">
        <f>VLOOKUP(A775,Лист2!A:E,4,0)</f>
        <v>2.5</v>
      </c>
      <c r="F775" s="12">
        <f t="shared" si="51"/>
        <v>-10000</v>
      </c>
      <c r="G775">
        <f t="shared" si="52"/>
        <v>564000</v>
      </c>
      <c r="H775">
        <f t="shared" si="53"/>
        <v>-4000</v>
      </c>
    </row>
    <row r="776" spans="1:8">
      <c r="A776" t="s">
        <v>18</v>
      </c>
      <c r="B776">
        <v>4625000</v>
      </c>
      <c r="C776">
        <v>2946000</v>
      </c>
      <c r="D776" t="str">
        <f>VLOOKUP(A776,Лист2!A:E,5,0)</f>
        <v>малые</v>
      </c>
      <c r="E776">
        <f>VLOOKUP(A776,Лист2!A:E,4,0)</f>
        <v>2.5</v>
      </c>
      <c r="F776" s="12">
        <f t="shared" si="51"/>
        <v>1679000</v>
      </c>
      <c r="G776">
        <f t="shared" si="52"/>
        <v>1850000</v>
      </c>
      <c r="H776">
        <f t="shared" si="53"/>
        <v>671600</v>
      </c>
    </row>
    <row r="777" spans="1:8">
      <c r="A777" t="s">
        <v>18</v>
      </c>
      <c r="B777">
        <v>3500000</v>
      </c>
      <c r="C777">
        <v>3571000</v>
      </c>
      <c r="D777" t="str">
        <f>VLOOKUP(A777,Лист2!A:E,5,0)</f>
        <v>малые</v>
      </c>
      <c r="E777">
        <f>VLOOKUP(A777,Лист2!A:E,4,0)</f>
        <v>2.5</v>
      </c>
      <c r="F777" s="12">
        <f t="shared" si="51"/>
        <v>-71000</v>
      </c>
      <c r="G777">
        <f t="shared" si="52"/>
        <v>1400000</v>
      </c>
      <c r="H777">
        <f t="shared" si="53"/>
        <v>-28400</v>
      </c>
    </row>
    <row r="778" spans="1:8">
      <c r="A778" t="s">
        <v>807</v>
      </c>
      <c r="B778">
        <v>71350000</v>
      </c>
      <c r="C778">
        <v>71271000</v>
      </c>
      <c r="D778" t="str">
        <f>VLOOKUP(A778,Лист2!A:E,5,0)</f>
        <v>средние</v>
      </c>
      <c r="E778">
        <f>VLOOKUP(A778,Лист2!A:E,4,0)</f>
        <v>175.5</v>
      </c>
      <c r="F778" s="12">
        <f t="shared" si="51"/>
        <v>79000</v>
      </c>
      <c r="G778">
        <f t="shared" si="52"/>
        <v>406552.70655270654</v>
      </c>
      <c r="H778">
        <f t="shared" si="53"/>
        <v>450.14245014245012</v>
      </c>
    </row>
    <row r="779" spans="1:8">
      <c r="A779" t="s">
        <v>18</v>
      </c>
      <c r="B779">
        <v>3983000</v>
      </c>
      <c r="C779">
        <v>3983000</v>
      </c>
      <c r="D779" t="str">
        <f>VLOOKUP(A779,Лист2!A:E,5,0)</f>
        <v>малые</v>
      </c>
      <c r="E779">
        <f>VLOOKUP(A779,Лист2!A:E,4,0)</f>
        <v>2.5</v>
      </c>
      <c r="F779" s="12">
        <f t="shared" si="51"/>
        <v>0</v>
      </c>
      <c r="G779">
        <f t="shared" si="52"/>
        <v>1593200</v>
      </c>
      <c r="H779">
        <f t="shared" si="53"/>
        <v>0</v>
      </c>
    </row>
    <row r="780" spans="1:8">
      <c r="A780" t="s">
        <v>18</v>
      </c>
      <c r="B780">
        <v>2721000</v>
      </c>
      <c r="C780">
        <v>2835000</v>
      </c>
      <c r="D780" t="str">
        <f>VLOOKUP(A780,Лист2!A:E,5,0)</f>
        <v>малые</v>
      </c>
      <c r="E780">
        <f>VLOOKUP(A780,Лист2!A:E,4,0)</f>
        <v>2.5</v>
      </c>
      <c r="F780" s="12">
        <f t="shared" si="51"/>
        <v>-114000</v>
      </c>
      <c r="G780">
        <f t="shared" si="52"/>
        <v>1088400</v>
      </c>
      <c r="H780">
        <f t="shared" si="53"/>
        <v>-45600</v>
      </c>
    </row>
    <row r="781" spans="1:8">
      <c r="A781" t="s">
        <v>18</v>
      </c>
      <c r="B781">
        <v>7647000</v>
      </c>
      <c r="C781">
        <v>7152000</v>
      </c>
      <c r="D781" t="str">
        <f>VLOOKUP(A781,Лист2!A:E,5,0)</f>
        <v>малые</v>
      </c>
      <c r="E781">
        <f>VLOOKUP(A781,Лист2!A:E,4,0)</f>
        <v>2.5</v>
      </c>
      <c r="F781" s="12">
        <f t="shared" si="51"/>
        <v>495000</v>
      </c>
      <c r="G781">
        <f t="shared" si="52"/>
        <v>3058800</v>
      </c>
      <c r="H781">
        <f t="shared" si="53"/>
        <v>198000</v>
      </c>
    </row>
    <row r="782" spans="1:8">
      <c r="A782" t="s">
        <v>18</v>
      </c>
      <c r="B782">
        <v>120228000</v>
      </c>
      <c r="C782">
        <v>16390000</v>
      </c>
      <c r="D782" t="str">
        <f>VLOOKUP(A782,Лист2!A:E,5,0)</f>
        <v>малые</v>
      </c>
      <c r="E782">
        <f>VLOOKUP(A782,Лист2!A:E,4,0)</f>
        <v>2.5</v>
      </c>
      <c r="F782" s="12">
        <f t="shared" si="51"/>
        <v>103838000</v>
      </c>
      <c r="G782">
        <f t="shared" si="52"/>
        <v>48091200</v>
      </c>
      <c r="H782">
        <f t="shared" si="53"/>
        <v>41535200</v>
      </c>
    </row>
    <row r="783" spans="1:8">
      <c r="A783" t="s">
        <v>18</v>
      </c>
      <c r="B783">
        <v>190000</v>
      </c>
      <c r="C783">
        <v>91000</v>
      </c>
      <c r="D783" t="str">
        <f>VLOOKUP(A783,Лист2!A:E,5,0)</f>
        <v>малые</v>
      </c>
      <c r="E783">
        <f>VLOOKUP(A783,Лист2!A:E,4,0)</f>
        <v>2.5</v>
      </c>
      <c r="F783" s="12">
        <f t="shared" si="51"/>
        <v>99000</v>
      </c>
      <c r="G783">
        <f t="shared" si="52"/>
        <v>76000</v>
      </c>
      <c r="H783">
        <f t="shared" si="53"/>
        <v>39600</v>
      </c>
    </row>
    <row r="784" spans="1:8">
      <c r="A784" t="s">
        <v>18</v>
      </c>
      <c r="B784">
        <v>1100000</v>
      </c>
      <c r="C784">
        <v>1111000</v>
      </c>
      <c r="D784" t="str">
        <f>VLOOKUP(A784,Лист2!A:E,5,0)</f>
        <v>малые</v>
      </c>
      <c r="E784">
        <f>VLOOKUP(A784,Лист2!A:E,4,0)</f>
        <v>2.5</v>
      </c>
      <c r="F784" s="12">
        <f t="shared" si="51"/>
        <v>-11000</v>
      </c>
      <c r="G784">
        <f t="shared" si="52"/>
        <v>440000</v>
      </c>
      <c r="H784">
        <f t="shared" si="53"/>
        <v>-4400</v>
      </c>
    </row>
    <row r="785" spans="1:8">
      <c r="A785" t="s">
        <v>18</v>
      </c>
      <c r="B785">
        <v>4612000</v>
      </c>
      <c r="C785">
        <v>5016000</v>
      </c>
      <c r="D785" t="str">
        <f>VLOOKUP(A785,Лист2!A:E,5,0)</f>
        <v>малые</v>
      </c>
      <c r="E785">
        <f>VLOOKUP(A785,Лист2!A:E,4,0)</f>
        <v>2.5</v>
      </c>
      <c r="F785" s="12">
        <f t="shared" si="51"/>
        <v>-404000</v>
      </c>
      <c r="G785">
        <f t="shared" si="52"/>
        <v>1844800</v>
      </c>
      <c r="H785">
        <f t="shared" si="53"/>
        <v>-161600</v>
      </c>
    </row>
    <row r="786" spans="1:8">
      <c r="A786" t="s">
        <v>22</v>
      </c>
      <c r="B786">
        <v>62765000</v>
      </c>
      <c r="C786">
        <v>73680000</v>
      </c>
      <c r="D786" t="str">
        <f>VLOOKUP(A786,Лист2!A:E,5,0)</f>
        <v>малые</v>
      </c>
      <c r="E786">
        <f>VLOOKUP(A786,Лист2!A:E,4,0)</f>
        <v>13</v>
      </c>
      <c r="F786" s="12">
        <f t="shared" si="51"/>
        <v>-10915000</v>
      </c>
      <c r="G786">
        <f t="shared" si="52"/>
        <v>4828076.923076923</v>
      </c>
      <c r="H786">
        <f t="shared" si="53"/>
        <v>-839615.38461538462</v>
      </c>
    </row>
    <row r="787" spans="1:8">
      <c r="A787" t="s">
        <v>18</v>
      </c>
      <c r="B787">
        <v>2500000</v>
      </c>
      <c r="C787">
        <v>2512000</v>
      </c>
      <c r="D787" t="str">
        <f>VLOOKUP(A787,Лист2!A:E,5,0)</f>
        <v>малые</v>
      </c>
      <c r="E787">
        <f>VLOOKUP(A787,Лист2!A:E,4,0)</f>
        <v>2.5</v>
      </c>
      <c r="F787" s="12">
        <f t="shared" si="51"/>
        <v>-12000</v>
      </c>
      <c r="G787">
        <f t="shared" si="52"/>
        <v>1000000</v>
      </c>
      <c r="H787">
        <f t="shared" si="53"/>
        <v>-4800</v>
      </c>
    </row>
    <row r="788" spans="1:8">
      <c r="A788" t="s">
        <v>18</v>
      </c>
      <c r="B788">
        <v>1027000</v>
      </c>
      <c r="C788">
        <v>1035000</v>
      </c>
      <c r="D788" t="str">
        <f>VLOOKUP(A788,Лист2!A:E,5,0)</f>
        <v>малые</v>
      </c>
      <c r="E788">
        <f>VLOOKUP(A788,Лист2!A:E,4,0)</f>
        <v>2.5</v>
      </c>
      <c r="F788" s="12">
        <f t="shared" si="51"/>
        <v>-8000</v>
      </c>
      <c r="G788">
        <f t="shared" si="52"/>
        <v>410800</v>
      </c>
      <c r="H788">
        <f t="shared" si="53"/>
        <v>-3200</v>
      </c>
    </row>
    <row r="789" spans="1:8">
      <c r="A789" t="s">
        <v>18</v>
      </c>
      <c r="B789">
        <v>75000</v>
      </c>
      <c r="C789">
        <v>71000</v>
      </c>
      <c r="D789" t="str">
        <f>VLOOKUP(A789,Лист2!A:E,5,0)</f>
        <v>малые</v>
      </c>
      <c r="E789">
        <f>VLOOKUP(A789,Лист2!A:E,4,0)</f>
        <v>2.5</v>
      </c>
      <c r="F789" s="12">
        <f t="shared" si="51"/>
        <v>4000</v>
      </c>
      <c r="G789">
        <f t="shared" si="52"/>
        <v>30000</v>
      </c>
      <c r="H789">
        <f t="shared" si="53"/>
        <v>1600</v>
      </c>
    </row>
    <row r="790" spans="1:8">
      <c r="A790" t="s">
        <v>18</v>
      </c>
      <c r="B790">
        <v>28346000</v>
      </c>
      <c r="C790">
        <v>24187000</v>
      </c>
      <c r="D790" t="str">
        <f>VLOOKUP(A790,Лист2!A:E,5,0)</f>
        <v>малые</v>
      </c>
      <c r="E790">
        <f>VLOOKUP(A790,Лист2!A:E,4,0)</f>
        <v>2.5</v>
      </c>
      <c r="F790" s="12">
        <f t="shared" si="51"/>
        <v>4159000</v>
      </c>
      <c r="G790">
        <f t="shared" si="52"/>
        <v>11338400</v>
      </c>
      <c r="H790">
        <f t="shared" si="53"/>
        <v>1663600</v>
      </c>
    </row>
    <row r="791" spans="1:8">
      <c r="A791" t="s">
        <v>18</v>
      </c>
      <c r="B791">
        <v>5415000</v>
      </c>
      <c r="C791">
        <v>4818000</v>
      </c>
      <c r="D791" t="str">
        <f>VLOOKUP(A791,Лист2!A:E,5,0)</f>
        <v>малые</v>
      </c>
      <c r="E791">
        <f>VLOOKUP(A791,Лист2!A:E,4,0)</f>
        <v>2.5</v>
      </c>
      <c r="F791" s="12">
        <f t="shared" si="51"/>
        <v>597000</v>
      </c>
      <c r="G791">
        <f t="shared" si="52"/>
        <v>2166000</v>
      </c>
      <c r="H791">
        <f t="shared" si="53"/>
        <v>238800</v>
      </c>
    </row>
    <row r="792" spans="1:8">
      <c r="A792" t="s">
        <v>18</v>
      </c>
      <c r="B792">
        <v>5311000</v>
      </c>
      <c r="C792">
        <v>5144000</v>
      </c>
      <c r="D792" t="str">
        <f>VLOOKUP(A792,Лист2!A:E,5,0)</f>
        <v>малые</v>
      </c>
      <c r="E792">
        <f>VLOOKUP(A792,Лист2!A:E,4,0)</f>
        <v>2.5</v>
      </c>
      <c r="F792" s="12">
        <f t="shared" si="51"/>
        <v>167000</v>
      </c>
      <c r="G792">
        <f t="shared" si="52"/>
        <v>2124400</v>
      </c>
      <c r="H792">
        <f t="shared" si="53"/>
        <v>66800</v>
      </c>
    </row>
    <row r="793" spans="1:8">
      <c r="A793" t="s">
        <v>18</v>
      </c>
      <c r="B793">
        <v>38000</v>
      </c>
      <c r="C793">
        <v>44000</v>
      </c>
      <c r="D793" t="str">
        <f>VLOOKUP(A793,Лист2!A:E,5,0)</f>
        <v>малые</v>
      </c>
      <c r="E793">
        <f>VLOOKUP(A793,Лист2!A:E,4,0)</f>
        <v>2.5</v>
      </c>
      <c r="F793" s="12">
        <f t="shared" si="51"/>
        <v>-6000</v>
      </c>
      <c r="G793">
        <f t="shared" si="52"/>
        <v>15200</v>
      </c>
      <c r="H793">
        <f t="shared" si="53"/>
        <v>-2400</v>
      </c>
    </row>
    <row r="794" spans="1:8">
      <c r="A794" t="s">
        <v>18</v>
      </c>
      <c r="B794">
        <v>3103000</v>
      </c>
      <c r="C794">
        <v>2867000</v>
      </c>
      <c r="D794" t="str">
        <f>VLOOKUP(A794,Лист2!A:E,5,0)</f>
        <v>малые</v>
      </c>
      <c r="E794">
        <f>VLOOKUP(A794,Лист2!A:E,4,0)</f>
        <v>2.5</v>
      </c>
      <c r="F794" s="12">
        <f t="shared" si="51"/>
        <v>236000</v>
      </c>
      <c r="G794">
        <f t="shared" si="52"/>
        <v>1241200</v>
      </c>
      <c r="H794">
        <f t="shared" si="53"/>
        <v>94400</v>
      </c>
    </row>
    <row r="795" spans="1:8">
      <c r="A795" t="s">
        <v>18</v>
      </c>
      <c r="B795">
        <v>595000</v>
      </c>
      <c r="C795">
        <v>159000</v>
      </c>
      <c r="D795" t="str">
        <f>VLOOKUP(A795,Лист2!A:E,5,0)</f>
        <v>малые</v>
      </c>
      <c r="E795">
        <f>VLOOKUP(A795,Лист2!A:E,4,0)</f>
        <v>2.5</v>
      </c>
      <c r="F795" s="12">
        <f t="shared" ref="F795:F828" si="54">B795-C795</f>
        <v>436000</v>
      </c>
      <c r="G795">
        <f t="shared" ref="G795:G828" si="55">B795/E795</f>
        <v>238000</v>
      </c>
      <c r="H795">
        <f t="shared" ref="H795:H828" si="56">F795/E795</f>
        <v>174400</v>
      </c>
    </row>
    <row r="796" spans="1:8">
      <c r="A796" t="s">
        <v>18</v>
      </c>
      <c r="B796">
        <v>109000</v>
      </c>
      <c r="C796">
        <v>113000</v>
      </c>
      <c r="D796" t="str">
        <f>VLOOKUP(A796,Лист2!A:E,5,0)</f>
        <v>малые</v>
      </c>
      <c r="E796">
        <f>VLOOKUP(A796,Лист2!A:E,4,0)</f>
        <v>2.5</v>
      </c>
      <c r="F796" s="12">
        <f t="shared" si="54"/>
        <v>-4000</v>
      </c>
      <c r="G796">
        <f t="shared" si="55"/>
        <v>43600</v>
      </c>
      <c r="H796">
        <f t="shared" si="56"/>
        <v>-1600</v>
      </c>
    </row>
    <row r="797" spans="1:8">
      <c r="A797" t="s">
        <v>23</v>
      </c>
      <c r="B797">
        <v>39620000</v>
      </c>
      <c r="C797">
        <v>40134000</v>
      </c>
      <c r="D797" t="str">
        <f>VLOOKUP(A797,Лист2!A:E,5,0)</f>
        <v>средние</v>
      </c>
      <c r="E797">
        <f>VLOOKUP(A797,Лист2!A:E,4,0)</f>
        <v>75.5</v>
      </c>
      <c r="F797" s="12">
        <f t="shared" si="54"/>
        <v>-514000</v>
      </c>
      <c r="G797">
        <f t="shared" si="55"/>
        <v>524768.21192052984</v>
      </c>
      <c r="H797">
        <f t="shared" si="56"/>
        <v>-6807.9470198675499</v>
      </c>
    </row>
    <row r="798" spans="1:8">
      <c r="A798" t="s">
        <v>18</v>
      </c>
      <c r="B798">
        <v>1685000</v>
      </c>
      <c r="C798">
        <v>1663000</v>
      </c>
      <c r="D798" t="str">
        <f>VLOOKUP(A798,Лист2!A:E,5,0)</f>
        <v>малые</v>
      </c>
      <c r="E798">
        <f>VLOOKUP(A798,Лист2!A:E,4,0)</f>
        <v>2.5</v>
      </c>
      <c r="F798" s="12">
        <f t="shared" si="54"/>
        <v>22000</v>
      </c>
      <c r="G798">
        <f t="shared" si="55"/>
        <v>674000</v>
      </c>
      <c r="H798">
        <f t="shared" si="56"/>
        <v>8800</v>
      </c>
    </row>
    <row r="799" spans="1:8">
      <c r="A799" t="s">
        <v>18</v>
      </c>
      <c r="B799">
        <v>768000</v>
      </c>
      <c r="C799">
        <v>802000</v>
      </c>
      <c r="D799" t="str">
        <f>VLOOKUP(A799,Лист2!A:E,5,0)</f>
        <v>малые</v>
      </c>
      <c r="E799">
        <f>VLOOKUP(A799,Лист2!A:E,4,0)</f>
        <v>2.5</v>
      </c>
      <c r="F799" s="12">
        <f t="shared" si="54"/>
        <v>-34000</v>
      </c>
      <c r="G799">
        <f t="shared" si="55"/>
        <v>307200</v>
      </c>
      <c r="H799">
        <f t="shared" si="56"/>
        <v>-13600</v>
      </c>
    </row>
    <row r="800" spans="1:8">
      <c r="A800" t="s">
        <v>77</v>
      </c>
      <c r="B800">
        <v>1369000</v>
      </c>
      <c r="C800">
        <v>1661000</v>
      </c>
      <c r="D800" t="str">
        <f>VLOOKUP(A800,Лист2!A:E,5,0)</f>
        <v>малые</v>
      </c>
      <c r="E800">
        <f>VLOOKUP(A800,Лист2!A:E,4,0)</f>
        <v>8</v>
      </c>
      <c r="F800" s="12">
        <f t="shared" si="54"/>
        <v>-292000</v>
      </c>
      <c r="G800">
        <f t="shared" si="55"/>
        <v>171125</v>
      </c>
      <c r="H800">
        <f t="shared" si="56"/>
        <v>-36500</v>
      </c>
    </row>
    <row r="801" spans="1:8">
      <c r="A801" t="s">
        <v>18</v>
      </c>
      <c r="B801">
        <v>90000</v>
      </c>
      <c r="C801">
        <v>90000</v>
      </c>
      <c r="D801" t="str">
        <f>VLOOKUP(A801,Лист2!A:E,5,0)</f>
        <v>малые</v>
      </c>
      <c r="E801">
        <f>VLOOKUP(A801,Лист2!A:E,4,0)</f>
        <v>2.5</v>
      </c>
      <c r="F801" s="12">
        <f t="shared" si="54"/>
        <v>0</v>
      </c>
      <c r="G801">
        <f t="shared" si="55"/>
        <v>36000</v>
      </c>
      <c r="H801">
        <f t="shared" si="56"/>
        <v>0</v>
      </c>
    </row>
    <row r="802" spans="1:8">
      <c r="A802" t="s">
        <v>18</v>
      </c>
      <c r="B802">
        <v>425000</v>
      </c>
      <c r="C802">
        <v>372000</v>
      </c>
      <c r="D802" t="str">
        <f>VLOOKUP(A802,Лист2!A:E,5,0)</f>
        <v>малые</v>
      </c>
      <c r="E802">
        <f>VLOOKUP(A802,Лист2!A:E,4,0)</f>
        <v>2.5</v>
      </c>
      <c r="F802" s="12">
        <f t="shared" si="54"/>
        <v>53000</v>
      </c>
      <c r="G802">
        <f t="shared" si="55"/>
        <v>170000</v>
      </c>
      <c r="H802">
        <f t="shared" si="56"/>
        <v>21200</v>
      </c>
    </row>
    <row r="803" spans="1:8">
      <c r="A803" t="s">
        <v>18</v>
      </c>
      <c r="B803">
        <v>16570000</v>
      </c>
      <c r="C803">
        <v>14303000</v>
      </c>
      <c r="D803" t="str">
        <f>VLOOKUP(A803,Лист2!A:E,5,0)</f>
        <v>малые</v>
      </c>
      <c r="E803">
        <f>VLOOKUP(A803,Лист2!A:E,4,0)</f>
        <v>2.5</v>
      </c>
      <c r="F803" s="12">
        <f t="shared" si="54"/>
        <v>2267000</v>
      </c>
      <c r="G803">
        <f t="shared" si="55"/>
        <v>6628000</v>
      </c>
      <c r="H803">
        <f t="shared" si="56"/>
        <v>906800</v>
      </c>
    </row>
    <row r="804" spans="1:8">
      <c r="A804" t="s">
        <v>18</v>
      </c>
      <c r="B804">
        <v>20000000</v>
      </c>
      <c r="C804">
        <v>20000000</v>
      </c>
      <c r="D804" t="str">
        <f>VLOOKUP(A804,Лист2!A:E,5,0)</f>
        <v>малые</v>
      </c>
      <c r="E804">
        <f>VLOOKUP(A804,Лист2!A:E,4,0)</f>
        <v>2.5</v>
      </c>
      <c r="F804" s="12">
        <f t="shared" si="54"/>
        <v>0</v>
      </c>
      <c r="G804">
        <f t="shared" si="55"/>
        <v>8000000</v>
      </c>
      <c r="H804">
        <f t="shared" si="56"/>
        <v>0</v>
      </c>
    </row>
    <row r="805" spans="1:8">
      <c r="A805" t="s">
        <v>18</v>
      </c>
      <c r="B805">
        <v>499000</v>
      </c>
      <c r="C805">
        <v>201000</v>
      </c>
      <c r="D805" t="str">
        <f>VLOOKUP(A805,Лист2!A:E,5,0)</f>
        <v>малые</v>
      </c>
      <c r="E805">
        <f>VLOOKUP(A805,Лист2!A:E,4,0)</f>
        <v>2.5</v>
      </c>
      <c r="F805" s="12">
        <f t="shared" si="54"/>
        <v>298000</v>
      </c>
      <c r="G805">
        <f t="shared" si="55"/>
        <v>199600</v>
      </c>
      <c r="H805">
        <f t="shared" si="56"/>
        <v>119200</v>
      </c>
    </row>
    <row r="806" spans="1:8">
      <c r="A806" t="s">
        <v>18</v>
      </c>
      <c r="B806">
        <v>4179000</v>
      </c>
      <c r="C806">
        <v>4172000</v>
      </c>
      <c r="D806" t="str">
        <f>VLOOKUP(A806,Лист2!A:E,5,0)</f>
        <v>малые</v>
      </c>
      <c r="E806">
        <f>VLOOKUP(A806,Лист2!A:E,4,0)</f>
        <v>2.5</v>
      </c>
      <c r="F806" s="12">
        <f t="shared" si="54"/>
        <v>7000</v>
      </c>
      <c r="G806">
        <f t="shared" si="55"/>
        <v>1671600</v>
      </c>
      <c r="H806">
        <f t="shared" si="56"/>
        <v>2800</v>
      </c>
    </row>
    <row r="807" spans="1:8">
      <c r="A807" t="s">
        <v>18</v>
      </c>
      <c r="B807">
        <v>6714000</v>
      </c>
      <c r="C807">
        <v>7733000</v>
      </c>
      <c r="D807" t="str">
        <f>VLOOKUP(A807,Лист2!A:E,5,0)</f>
        <v>малые</v>
      </c>
      <c r="E807">
        <f>VLOOKUP(A807,Лист2!A:E,4,0)</f>
        <v>2.5</v>
      </c>
      <c r="F807" s="12">
        <f t="shared" si="54"/>
        <v>-1019000</v>
      </c>
      <c r="G807">
        <f t="shared" si="55"/>
        <v>2685600</v>
      </c>
      <c r="H807">
        <f t="shared" si="56"/>
        <v>-407600</v>
      </c>
    </row>
    <row r="808" spans="1:8">
      <c r="A808" t="s">
        <v>18</v>
      </c>
      <c r="B808">
        <v>301000</v>
      </c>
      <c r="C808">
        <v>301000</v>
      </c>
      <c r="D808" t="str">
        <f>VLOOKUP(A808,Лист2!A:E,5,0)</f>
        <v>малые</v>
      </c>
      <c r="E808">
        <f>VLOOKUP(A808,Лист2!A:E,4,0)</f>
        <v>2.5</v>
      </c>
      <c r="F808" s="12">
        <f t="shared" si="54"/>
        <v>0</v>
      </c>
      <c r="G808">
        <f t="shared" si="55"/>
        <v>120400</v>
      </c>
      <c r="H808">
        <f t="shared" si="56"/>
        <v>0</v>
      </c>
    </row>
    <row r="809" spans="1:8">
      <c r="A809" t="s">
        <v>18</v>
      </c>
      <c r="B809">
        <v>2500000</v>
      </c>
      <c r="C809">
        <v>2482000</v>
      </c>
      <c r="D809" t="str">
        <f>VLOOKUP(A809,Лист2!A:E,5,0)</f>
        <v>малые</v>
      </c>
      <c r="E809">
        <f>VLOOKUP(A809,Лист2!A:E,4,0)</f>
        <v>2.5</v>
      </c>
      <c r="F809" s="12">
        <f t="shared" si="54"/>
        <v>18000</v>
      </c>
      <c r="G809">
        <f t="shared" si="55"/>
        <v>1000000</v>
      </c>
      <c r="H809">
        <f t="shared" si="56"/>
        <v>7200</v>
      </c>
    </row>
    <row r="810" spans="1:8">
      <c r="A810" t="s">
        <v>18</v>
      </c>
      <c r="B810">
        <v>492000</v>
      </c>
      <c r="C810">
        <v>487000</v>
      </c>
      <c r="D810" t="str">
        <f>VLOOKUP(A810,Лист2!A:E,5,0)</f>
        <v>малые</v>
      </c>
      <c r="E810">
        <f>VLOOKUP(A810,Лист2!A:E,4,0)</f>
        <v>2.5</v>
      </c>
      <c r="F810" s="12">
        <f t="shared" si="54"/>
        <v>5000</v>
      </c>
      <c r="G810">
        <f t="shared" si="55"/>
        <v>196800</v>
      </c>
      <c r="H810">
        <f t="shared" si="56"/>
        <v>2000</v>
      </c>
    </row>
    <row r="811" spans="1:8">
      <c r="A811" t="s">
        <v>18</v>
      </c>
      <c r="B811">
        <v>9023000</v>
      </c>
      <c r="C811">
        <v>9628000</v>
      </c>
      <c r="D811" t="str">
        <f>VLOOKUP(A811,Лист2!A:E,5,0)</f>
        <v>малые</v>
      </c>
      <c r="E811">
        <f>VLOOKUP(A811,Лист2!A:E,4,0)</f>
        <v>2.5</v>
      </c>
      <c r="F811" s="12">
        <f t="shared" si="54"/>
        <v>-605000</v>
      </c>
      <c r="G811">
        <f t="shared" si="55"/>
        <v>3609200</v>
      </c>
      <c r="H811">
        <f t="shared" si="56"/>
        <v>-242000</v>
      </c>
    </row>
    <row r="812" spans="1:8">
      <c r="A812" t="s">
        <v>18</v>
      </c>
      <c r="B812">
        <v>31523000</v>
      </c>
      <c r="C812">
        <v>27480000</v>
      </c>
      <c r="D812" t="str">
        <f>VLOOKUP(A812,Лист2!A:E,5,0)</f>
        <v>малые</v>
      </c>
      <c r="E812">
        <f>VLOOKUP(A812,Лист2!A:E,4,0)</f>
        <v>2.5</v>
      </c>
      <c r="F812" s="12">
        <f t="shared" si="54"/>
        <v>4043000</v>
      </c>
      <c r="G812">
        <f t="shared" si="55"/>
        <v>12609200</v>
      </c>
      <c r="H812">
        <f t="shared" si="56"/>
        <v>1617200</v>
      </c>
    </row>
    <row r="813" spans="1:8">
      <c r="A813" t="s">
        <v>18</v>
      </c>
      <c r="B813">
        <v>4058000</v>
      </c>
      <c r="C813">
        <v>3634000</v>
      </c>
      <c r="D813" t="str">
        <f>VLOOKUP(A813,Лист2!A:E,5,0)</f>
        <v>малые</v>
      </c>
      <c r="E813">
        <f>VLOOKUP(A813,Лист2!A:E,4,0)</f>
        <v>2.5</v>
      </c>
      <c r="F813" s="12">
        <f t="shared" si="54"/>
        <v>424000</v>
      </c>
      <c r="G813">
        <f t="shared" si="55"/>
        <v>1623200</v>
      </c>
      <c r="H813">
        <f t="shared" si="56"/>
        <v>169600</v>
      </c>
    </row>
    <row r="814" spans="1:8">
      <c r="A814" t="s">
        <v>18</v>
      </c>
      <c r="B814">
        <v>1154000</v>
      </c>
      <c r="C814">
        <v>1011000</v>
      </c>
      <c r="D814" t="str">
        <f>VLOOKUP(A814,Лист2!A:E,5,0)</f>
        <v>малые</v>
      </c>
      <c r="E814">
        <f>VLOOKUP(A814,Лист2!A:E,4,0)</f>
        <v>2.5</v>
      </c>
      <c r="F814" s="12">
        <f t="shared" si="54"/>
        <v>143000</v>
      </c>
      <c r="G814">
        <f t="shared" si="55"/>
        <v>461600</v>
      </c>
      <c r="H814">
        <f t="shared" si="56"/>
        <v>57200</v>
      </c>
    </row>
    <row r="815" spans="1:8">
      <c r="A815" t="s">
        <v>18</v>
      </c>
      <c r="B815">
        <v>5090000</v>
      </c>
      <c r="C815">
        <v>4771000</v>
      </c>
      <c r="D815" t="str">
        <f>VLOOKUP(A815,Лист2!A:E,5,0)</f>
        <v>малые</v>
      </c>
      <c r="E815">
        <f>VLOOKUP(A815,Лист2!A:E,4,0)</f>
        <v>2.5</v>
      </c>
      <c r="F815" s="12">
        <f t="shared" si="54"/>
        <v>319000</v>
      </c>
      <c r="G815">
        <f t="shared" si="55"/>
        <v>2036000</v>
      </c>
      <c r="H815">
        <f t="shared" si="56"/>
        <v>127600</v>
      </c>
    </row>
    <row r="816" spans="1:8">
      <c r="A816" t="s">
        <v>18</v>
      </c>
      <c r="B816">
        <v>2331000</v>
      </c>
      <c r="C816">
        <v>2465000</v>
      </c>
      <c r="D816" t="str">
        <f>VLOOKUP(A816,Лист2!A:E,5,0)</f>
        <v>малые</v>
      </c>
      <c r="E816">
        <f>VLOOKUP(A816,Лист2!A:E,4,0)</f>
        <v>2.5</v>
      </c>
      <c r="F816" s="12">
        <f t="shared" si="54"/>
        <v>-134000</v>
      </c>
      <c r="G816">
        <f t="shared" si="55"/>
        <v>932400</v>
      </c>
      <c r="H816">
        <f t="shared" si="56"/>
        <v>-53600</v>
      </c>
    </row>
    <row r="817" spans="1:8">
      <c r="A817" t="s">
        <v>18</v>
      </c>
      <c r="B817">
        <v>6467000</v>
      </c>
      <c r="C817">
        <v>6467000</v>
      </c>
      <c r="D817" t="str">
        <f>VLOOKUP(A817,Лист2!A:E,5,0)</f>
        <v>малые</v>
      </c>
      <c r="E817">
        <f>VLOOKUP(A817,Лист2!A:E,4,0)</f>
        <v>2.5</v>
      </c>
      <c r="F817" s="12">
        <f t="shared" si="54"/>
        <v>0</v>
      </c>
      <c r="G817">
        <f t="shared" si="55"/>
        <v>2586800</v>
      </c>
      <c r="H817">
        <f t="shared" si="56"/>
        <v>0</v>
      </c>
    </row>
    <row r="818" spans="1:8">
      <c r="A818" t="s">
        <v>18</v>
      </c>
      <c r="B818">
        <v>1441000</v>
      </c>
      <c r="C818">
        <v>1052000</v>
      </c>
      <c r="D818" t="str">
        <f>VLOOKUP(A818,Лист2!A:E,5,0)</f>
        <v>малые</v>
      </c>
      <c r="E818">
        <f>VLOOKUP(A818,Лист2!A:E,4,0)</f>
        <v>2.5</v>
      </c>
      <c r="F818" s="12">
        <f t="shared" si="54"/>
        <v>389000</v>
      </c>
      <c r="G818">
        <f t="shared" si="55"/>
        <v>576400</v>
      </c>
      <c r="H818">
        <f t="shared" si="56"/>
        <v>155600</v>
      </c>
    </row>
    <row r="819" spans="1:8">
      <c r="A819" t="s">
        <v>18</v>
      </c>
      <c r="B819">
        <v>500000</v>
      </c>
      <c r="C819">
        <v>969000</v>
      </c>
      <c r="D819" t="str">
        <f>VLOOKUP(A819,Лист2!A:E,5,0)</f>
        <v>малые</v>
      </c>
      <c r="E819">
        <f>VLOOKUP(A819,Лист2!A:E,4,0)</f>
        <v>2.5</v>
      </c>
      <c r="F819" s="12">
        <f t="shared" si="54"/>
        <v>-469000</v>
      </c>
      <c r="G819">
        <f t="shared" si="55"/>
        <v>200000</v>
      </c>
      <c r="H819">
        <f t="shared" si="56"/>
        <v>-187600</v>
      </c>
    </row>
    <row r="820" spans="1:8">
      <c r="A820" t="s">
        <v>18</v>
      </c>
      <c r="B820">
        <v>19619000</v>
      </c>
      <c r="C820">
        <v>18865000</v>
      </c>
      <c r="D820" t="str">
        <f>VLOOKUP(A820,Лист2!A:E,5,0)</f>
        <v>малые</v>
      </c>
      <c r="E820">
        <f>VLOOKUP(A820,Лист2!A:E,4,0)</f>
        <v>2.5</v>
      </c>
      <c r="F820" s="12">
        <f t="shared" si="54"/>
        <v>754000</v>
      </c>
      <c r="G820">
        <f t="shared" si="55"/>
        <v>7847600</v>
      </c>
      <c r="H820">
        <f t="shared" si="56"/>
        <v>301600</v>
      </c>
    </row>
    <row r="821" spans="1:8">
      <c r="A821" t="s">
        <v>18</v>
      </c>
      <c r="B821">
        <v>43000</v>
      </c>
      <c r="C821">
        <v>50000</v>
      </c>
      <c r="D821" t="str">
        <f>VLOOKUP(A821,Лист2!A:E,5,0)</f>
        <v>малые</v>
      </c>
      <c r="E821">
        <f>VLOOKUP(A821,Лист2!A:E,4,0)</f>
        <v>2.5</v>
      </c>
      <c r="F821" s="12">
        <f t="shared" si="54"/>
        <v>-7000</v>
      </c>
      <c r="G821">
        <f t="shared" si="55"/>
        <v>17200</v>
      </c>
      <c r="H821">
        <f t="shared" si="56"/>
        <v>-2800</v>
      </c>
    </row>
    <row r="822" spans="1:8">
      <c r="A822" t="s">
        <v>18</v>
      </c>
      <c r="B822">
        <v>35196000</v>
      </c>
      <c r="C822">
        <v>30806000</v>
      </c>
      <c r="D822" t="str">
        <f>VLOOKUP(A822,Лист2!A:E,5,0)</f>
        <v>малые</v>
      </c>
      <c r="E822">
        <f>VLOOKUP(A822,Лист2!A:E,4,0)</f>
        <v>2.5</v>
      </c>
      <c r="F822" s="12">
        <f t="shared" si="54"/>
        <v>4390000</v>
      </c>
      <c r="G822">
        <f t="shared" si="55"/>
        <v>14078400</v>
      </c>
      <c r="H822">
        <f t="shared" si="56"/>
        <v>1756000</v>
      </c>
    </row>
    <row r="823" spans="1:8">
      <c r="A823" t="s">
        <v>22</v>
      </c>
      <c r="B823">
        <v>11668000</v>
      </c>
      <c r="C823">
        <v>12344000</v>
      </c>
      <c r="D823" t="str">
        <f>VLOOKUP(A823,Лист2!A:E,5,0)</f>
        <v>малые</v>
      </c>
      <c r="E823">
        <f>VLOOKUP(A823,Лист2!A:E,4,0)</f>
        <v>13</v>
      </c>
      <c r="F823" s="12">
        <f t="shared" si="54"/>
        <v>-676000</v>
      </c>
      <c r="G823">
        <f t="shared" si="55"/>
        <v>897538.4615384615</v>
      </c>
      <c r="H823">
        <f t="shared" si="56"/>
        <v>-52000</v>
      </c>
    </row>
    <row r="824" spans="1:8">
      <c r="A824" t="s">
        <v>18</v>
      </c>
      <c r="B824">
        <v>1353000</v>
      </c>
      <c r="C824">
        <v>1233000</v>
      </c>
      <c r="D824" t="str">
        <f>VLOOKUP(A824,Лист2!A:E,5,0)</f>
        <v>малые</v>
      </c>
      <c r="E824">
        <f>VLOOKUP(A824,Лист2!A:E,4,0)</f>
        <v>2.5</v>
      </c>
      <c r="F824" s="12">
        <f t="shared" si="54"/>
        <v>120000</v>
      </c>
      <c r="G824">
        <f t="shared" si="55"/>
        <v>541200</v>
      </c>
      <c r="H824">
        <f t="shared" si="56"/>
        <v>48000</v>
      </c>
    </row>
    <row r="825" spans="1:8">
      <c r="A825" t="s">
        <v>77</v>
      </c>
      <c r="B825">
        <v>32403000</v>
      </c>
      <c r="C825">
        <v>32730000</v>
      </c>
      <c r="D825" t="str">
        <f>VLOOKUP(A825,Лист2!A:E,5,0)</f>
        <v>малые</v>
      </c>
      <c r="E825">
        <f>VLOOKUP(A825,Лист2!A:E,4,0)</f>
        <v>8</v>
      </c>
      <c r="F825" s="12">
        <f t="shared" si="54"/>
        <v>-327000</v>
      </c>
      <c r="G825">
        <f t="shared" si="55"/>
        <v>4050375</v>
      </c>
      <c r="H825">
        <f t="shared" si="56"/>
        <v>-40875</v>
      </c>
    </row>
    <row r="826" spans="1:8">
      <c r="A826" t="s">
        <v>18</v>
      </c>
      <c r="B826">
        <v>263000</v>
      </c>
      <c r="C826">
        <v>258000</v>
      </c>
      <c r="D826" t="str">
        <f>VLOOKUP(A826,Лист2!A:E,5,0)</f>
        <v>малые</v>
      </c>
      <c r="E826">
        <f>VLOOKUP(A826,Лист2!A:E,4,0)</f>
        <v>2.5</v>
      </c>
      <c r="F826" s="12">
        <f t="shared" si="54"/>
        <v>5000</v>
      </c>
      <c r="G826">
        <f t="shared" si="55"/>
        <v>105200</v>
      </c>
      <c r="H826">
        <f t="shared" si="56"/>
        <v>2000</v>
      </c>
    </row>
    <row r="827" spans="1:8">
      <c r="A827" t="s">
        <v>18</v>
      </c>
      <c r="B827">
        <v>38688000</v>
      </c>
      <c r="C827">
        <v>25334000</v>
      </c>
      <c r="D827" t="str">
        <f>VLOOKUP(A827,Лист2!A:E,5,0)</f>
        <v>малые</v>
      </c>
      <c r="E827">
        <f>VLOOKUP(A827,Лист2!A:E,4,0)</f>
        <v>2.5</v>
      </c>
      <c r="F827" s="12">
        <f t="shared" si="54"/>
        <v>13354000</v>
      </c>
      <c r="G827">
        <f t="shared" si="55"/>
        <v>15475200</v>
      </c>
      <c r="H827">
        <f t="shared" si="56"/>
        <v>5341600</v>
      </c>
    </row>
    <row r="828" spans="1:8">
      <c r="A828" t="s">
        <v>18</v>
      </c>
      <c r="B828">
        <v>1564000</v>
      </c>
      <c r="C828">
        <v>1421000</v>
      </c>
      <c r="D828" t="str">
        <f>VLOOKUP(A828,Лист2!A:E,5,0)</f>
        <v>малые</v>
      </c>
      <c r="E828">
        <f>VLOOKUP(A828,Лист2!A:E,4,0)</f>
        <v>2.5</v>
      </c>
      <c r="F828" s="12">
        <f t="shared" si="54"/>
        <v>143000</v>
      </c>
      <c r="G828">
        <f t="shared" si="55"/>
        <v>625600</v>
      </c>
      <c r="H828">
        <f t="shared" si="56"/>
        <v>57200</v>
      </c>
    </row>
    <row r="829" spans="1:8">
      <c r="A829" t="s">
        <v>18</v>
      </c>
      <c r="B829">
        <v>3000</v>
      </c>
      <c r="C829">
        <v>6000</v>
      </c>
      <c r="D829" t="str">
        <f>VLOOKUP(A829,Лист2!A:E,5,0)</f>
        <v>малые</v>
      </c>
      <c r="E829">
        <f>VLOOKUP(A829,Лист2!A:E,4,0)</f>
        <v>2.5</v>
      </c>
      <c r="F829" s="12">
        <f t="shared" ref="F829:F865" si="57">B829-C829</f>
        <v>-3000</v>
      </c>
      <c r="G829">
        <f t="shared" ref="G829:G865" si="58">B829/E829</f>
        <v>1200</v>
      </c>
      <c r="H829">
        <f t="shared" ref="H829:H865" si="59">F829/E829</f>
        <v>-1200</v>
      </c>
    </row>
    <row r="830" spans="1:8">
      <c r="A830" t="s">
        <v>18</v>
      </c>
      <c r="B830">
        <v>642000</v>
      </c>
      <c r="C830">
        <v>642000</v>
      </c>
      <c r="D830" t="str">
        <f>VLOOKUP(A830,Лист2!A:E,5,0)</f>
        <v>малые</v>
      </c>
      <c r="E830">
        <f>VLOOKUP(A830,Лист2!A:E,4,0)</f>
        <v>2.5</v>
      </c>
      <c r="F830" s="12">
        <f t="shared" si="57"/>
        <v>0</v>
      </c>
      <c r="G830">
        <f t="shared" si="58"/>
        <v>256800</v>
      </c>
      <c r="H830">
        <f t="shared" si="59"/>
        <v>0</v>
      </c>
    </row>
    <row r="831" spans="1:8">
      <c r="A831" t="s">
        <v>18</v>
      </c>
      <c r="B831">
        <v>38981000</v>
      </c>
      <c r="C831">
        <v>39707000</v>
      </c>
      <c r="D831" t="str">
        <f>VLOOKUP(A831,Лист2!A:E,5,0)</f>
        <v>малые</v>
      </c>
      <c r="E831">
        <f>VLOOKUP(A831,Лист2!A:E,4,0)</f>
        <v>2.5</v>
      </c>
      <c r="F831" s="12">
        <f t="shared" si="57"/>
        <v>-726000</v>
      </c>
      <c r="G831">
        <f t="shared" si="58"/>
        <v>15592400</v>
      </c>
      <c r="H831">
        <f t="shared" si="59"/>
        <v>-290400</v>
      </c>
    </row>
    <row r="832" spans="1:8">
      <c r="A832" t="s">
        <v>18</v>
      </c>
      <c r="B832">
        <v>963000</v>
      </c>
      <c r="C832">
        <v>1021000</v>
      </c>
      <c r="D832" t="str">
        <f>VLOOKUP(A832,Лист2!A:E,5,0)</f>
        <v>малые</v>
      </c>
      <c r="E832">
        <f>VLOOKUP(A832,Лист2!A:E,4,0)</f>
        <v>2.5</v>
      </c>
      <c r="F832" s="12">
        <f t="shared" si="57"/>
        <v>-58000</v>
      </c>
      <c r="G832">
        <f t="shared" si="58"/>
        <v>385200</v>
      </c>
      <c r="H832">
        <f t="shared" si="59"/>
        <v>-23200</v>
      </c>
    </row>
    <row r="833" spans="1:8">
      <c r="A833" t="s">
        <v>18</v>
      </c>
      <c r="B833">
        <v>2827000</v>
      </c>
      <c r="C833">
        <v>2540000</v>
      </c>
      <c r="D833" t="str">
        <f>VLOOKUP(A833,Лист2!A:E,5,0)</f>
        <v>малые</v>
      </c>
      <c r="E833">
        <f>VLOOKUP(A833,Лист2!A:E,4,0)</f>
        <v>2.5</v>
      </c>
      <c r="F833" s="12">
        <f t="shared" si="57"/>
        <v>287000</v>
      </c>
      <c r="G833">
        <f t="shared" si="58"/>
        <v>1130800</v>
      </c>
      <c r="H833">
        <f t="shared" si="59"/>
        <v>114800</v>
      </c>
    </row>
    <row r="834" spans="1:8">
      <c r="A834" t="s">
        <v>18</v>
      </c>
      <c r="B834">
        <v>23000</v>
      </c>
      <c r="C834">
        <v>62000</v>
      </c>
      <c r="D834" t="str">
        <f>VLOOKUP(A834,Лист2!A:E,5,0)</f>
        <v>малые</v>
      </c>
      <c r="E834">
        <f>VLOOKUP(A834,Лист2!A:E,4,0)</f>
        <v>2.5</v>
      </c>
      <c r="F834" s="12">
        <f t="shared" si="57"/>
        <v>-39000</v>
      </c>
      <c r="G834">
        <f t="shared" si="58"/>
        <v>9200</v>
      </c>
      <c r="H834">
        <f t="shared" si="59"/>
        <v>-15600</v>
      </c>
    </row>
    <row r="835" spans="1:8">
      <c r="A835" t="s">
        <v>18</v>
      </c>
      <c r="B835">
        <v>7537000</v>
      </c>
      <c r="C835">
        <v>6875000</v>
      </c>
      <c r="D835" t="str">
        <f>VLOOKUP(A835,Лист2!A:E,5,0)</f>
        <v>малые</v>
      </c>
      <c r="E835">
        <f>VLOOKUP(A835,Лист2!A:E,4,0)</f>
        <v>2.5</v>
      </c>
      <c r="F835" s="12">
        <f t="shared" si="57"/>
        <v>662000</v>
      </c>
      <c r="G835">
        <f t="shared" si="58"/>
        <v>3014800</v>
      </c>
      <c r="H835">
        <f t="shared" si="59"/>
        <v>264800</v>
      </c>
    </row>
    <row r="836" spans="1:8">
      <c r="A836" t="s">
        <v>18</v>
      </c>
      <c r="B836">
        <v>202000</v>
      </c>
      <c r="C836">
        <v>187000</v>
      </c>
      <c r="D836" t="str">
        <f>VLOOKUP(A836,Лист2!A:E,5,0)</f>
        <v>малые</v>
      </c>
      <c r="E836">
        <f>VLOOKUP(A836,Лист2!A:E,4,0)</f>
        <v>2.5</v>
      </c>
      <c r="F836" s="12">
        <f t="shared" si="57"/>
        <v>15000</v>
      </c>
      <c r="G836">
        <f t="shared" si="58"/>
        <v>80800</v>
      </c>
      <c r="H836">
        <f t="shared" si="59"/>
        <v>6000</v>
      </c>
    </row>
    <row r="837" spans="1:8">
      <c r="A837" t="s">
        <v>18</v>
      </c>
      <c r="B837">
        <v>69000</v>
      </c>
      <c r="C837">
        <v>54000</v>
      </c>
      <c r="D837" t="str">
        <f>VLOOKUP(A837,Лист2!A:E,5,0)</f>
        <v>малые</v>
      </c>
      <c r="E837">
        <f>VLOOKUP(A837,Лист2!A:E,4,0)</f>
        <v>2.5</v>
      </c>
      <c r="F837" s="12">
        <f t="shared" si="57"/>
        <v>15000</v>
      </c>
      <c r="G837">
        <f t="shared" si="58"/>
        <v>27600</v>
      </c>
      <c r="H837">
        <f t="shared" si="59"/>
        <v>6000</v>
      </c>
    </row>
    <row r="838" spans="1:8">
      <c r="A838" t="s">
        <v>18</v>
      </c>
      <c r="B838">
        <v>15000</v>
      </c>
      <c r="C838">
        <v>15000</v>
      </c>
      <c r="D838" t="str">
        <f>VLOOKUP(A838,Лист2!A:E,5,0)</f>
        <v>малые</v>
      </c>
      <c r="E838">
        <f>VLOOKUP(A838,Лист2!A:E,4,0)</f>
        <v>2.5</v>
      </c>
      <c r="F838" s="12">
        <f t="shared" si="57"/>
        <v>0</v>
      </c>
      <c r="G838">
        <f t="shared" si="58"/>
        <v>6000</v>
      </c>
      <c r="H838">
        <f t="shared" si="59"/>
        <v>0</v>
      </c>
    </row>
    <row r="839" spans="1:8">
      <c r="A839" t="s">
        <v>22</v>
      </c>
      <c r="B839">
        <v>1102000</v>
      </c>
      <c r="C839">
        <v>251000</v>
      </c>
      <c r="D839" t="str">
        <f>VLOOKUP(A839,Лист2!A:E,5,0)</f>
        <v>малые</v>
      </c>
      <c r="E839">
        <f>VLOOKUP(A839,Лист2!A:E,4,0)</f>
        <v>13</v>
      </c>
      <c r="F839" s="12">
        <f t="shared" si="57"/>
        <v>851000</v>
      </c>
      <c r="G839">
        <f t="shared" si="58"/>
        <v>84769.230769230766</v>
      </c>
      <c r="H839">
        <f t="shared" si="59"/>
        <v>65461.538461538461</v>
      </c>
    </row>
    <row r="840" spans="1:8">
      <c r="A840" t="s">
        <v>18</v>
      </c>
      <c r="B840">
        <v>2280000</v>
      </c>
      <c r="C840">
        <v>2807000</v>
      </c>
      <c r="D840" t="str">
        <f>VLOOKUP(A840,Лист2!A:E,5,0)</f>
        <v>малые</v>
      </c>
      <c r="E840">
        <f>VLOOKUP(A840,Лист2!A:E,4,0)</f>
        <v>2.5</v>
      </c>
      <c r="F840" s="12">
        <f t="shared" si="57"/>
        <v>-527000</v>
      </c>
      <c r="G840">
        <f t="shared" si="58"/>
        <v>912000</v>
      </c>
      <c r="H840">
        <f t="shared" si="59"/>
        <v>-210800</v>
      </c>
    </row>
    <row r="841" spans="1:8">
      <c r="A841" t="s">
        <v>18</v>
      </c>
      <c r="B841">
        <v>4000</v>
      </c>
      <c r="C841">
        <v>5000</v>
      </c>
      <c r="D841" t="str">
        <f>VLOOKUP(A841,Лист2!A:E,5,0)</f>
        <v>малые</v>
      </c>
      <c r="E841">
        <f>VLOOKUP(A841,Лист2!A:E,4,0)</f>
        <v>2.5</v>
      </c>
      <c r="F841" s="12">
        <f t="shared" si="57"/>
        <v>-1000</v>
      </c>
      <c r="G841">
        <f t="shared" si="58"/>
        <v>1600</v>
      </c>
      <c r="H841">
        <f t="shared" si="59"/>
        <v>-400</v>
      </c>
    </row>
    <row r="842" spans="1:8">
      <c r="A842" t="s">
        <v>18</v>
      </c>
      <c r="B842">
        <v>143000</v>
      </c>
      <c r="C842">
        <v>144000</v>
      </c>
      <c r="D842" t="str">
        <f>VLOOKUP(A842,Лист2!A:E,5,0)</f>
        <v>малые</v>
      </c>
      <c r="E842">
        <f>VLOOKUP(A842,Лист2!A:E,4,0)</f>
        <v>2.5</v>
      </c>
      <c r="F842" s="12">
        <f t="shared" si="57"/>
        <v>-1000</v>
      </c>
      <c r="G842">
        <f t="shared" si="58"/>
        <v>57200</v>
      </c>
      <c r="H842">
        <f t="shared" si="59"/>
        <v>-400</v>
      </c>
    </row>
    <row r="843" spans="1:8">
      <c r="A843" t="s">
        <v>18</v>
      </c>
      <c r="B843">
        <v>1459000</v>
      </c>
      <c r="C843">
        <v>1518000</v>
      </c>
      <c r="D843" t="str">
        <f>VLOOKUP(A843,Лист2!A:E,5,0)</f>
        <v>малые</v>
      </c>
      <c r="E843">
        <f>VLOOKUP(A843,Лист2!A:E,4,0)</f>
        <v>2.5</v>
      </c>
      <c r="F843" s="12">
        <f t="shared" si="57"/>
        <v>-59000</v>
      </c>
      <c r="G843">
        <f t="shared" si="58"/>
        <v>583600</v>
      </c>
      <c r="H843">
        <f t="shared" si="59"/>
        <v>-23600</v>
      </c>
    </row>
    <row r="844" spans="1:8">
      <c r="A844" t="s">
        <v>18</v>
      </c>
      <c r="B844">
        <v>4968000</v>
      </c>
      <c r="C844">
        <v>4887000</v>
      </c>
      <c r="D844" t="str">
        <f>VLOOKUP(A844,Лист2!A:E,5,0)</f>
        <v>малые</v>
      </c>
      <c r="E844">
        <f>VLOOKUP(A844,Лист2!A:E,4,0)</f>
        <v>2.5</v>
      </c>
      <c r="F844" s="12">
        <f t="shared" si="57"/>
        <v>81000</v>
      </c>
      <c r="G844">
        <f t="shared" si="58"/>
        <v>1987200</v>
      </c>
      <c r="H844">
        <f t="shared" si="59"/>
        <v>32400</v>
      </c>
    </row>
    <row r="845" spans="1:8">
      <c r="A845" t="s">
        <v>18</v>
      </c>
      <c r="B845">
        <v>3048000</v>
      </c>
      <c r="C845">
        <v>2847000</v>
      </c>
      <c r="D845" t="str">
        <f>VLOOKUP(A845,Лист2!A:E,5,0)</f>
        <v>малые</v>
      </c>
      <c r="E845">
        <f>VLOOKUP(A845,Лист2!A:E,4,0)</f>
        <v>2.5</v>
      </c>
      <c r="F845" s="12">
        <f t="shared" si="57"/>
        <v>201000</v>
      </c>
      <c r="G845">
        <f t="shared" si="58"/>
        <v>1219200</v>
      </c>
      <c r="H845">
        <f t="shared" si="59"/>
        <v>80400</v>
      </c>
    </row>
    <row r="846" spans="1:8">
      <c r="A846" t="s">
        <v>18</v>
      </c>
      <c r="B846">
        <v>461000</v>
      </c>
      <c r="C846">
        <v>461000</v>
      </c>
      <c r="D846" t="str">
        <f>VLOOKUP(A846,Лист2!A:E,5,0)</f>
        <v>малые</v>
      </c>
      <c r="E846">
        <f>VLOOKUP(A846,Лист2!A:E,4,0)</f>
        <v>2.5</v>
      </c>
      <c r="F846" s="12">
        <f t="shared" si="57"/>
        <v>0</v>
      </c>
      <c r="G846">
        <f t="shared" si="58"/>
        <v>184400</v>
      </c>
      <c r="H846">
        <f t="shared" si="59"/>
        <v>0</v>
      </c>
    </row>
    <row r="847" spans="1:8">
      <c r="A847" t="s">
        <v>18</v>
      </c>
      <c r="B847">
        <v>5094000</v>
      </c>
      <c r="C847">
        <v>5109000</v>
      </c>
      <c r="D847" t="str">
        <f>VLOOKUP(A847,Лист2!A:E,5,0)</f>
        <v>малые</v>
      </c>
      <c r="E847">
        <f>VLOOKUP(A847,Лист2!A:E,4,0)</f>
        <v>2.5</v>
      </c>
      <c r="F847" s="12">
        <f t="shared" si="57"/>
        <v>-15000</v>
      </c>
      <c r="G847">
        <f t="shared" si="58"/>
        <v>2037600</v>
      </c>
      <c r="H847">
        <f t="shared" si="59"/>
        <v>-6000</v>
      </c>
    </row>
    <row r="848" spans="1:8">
      <c r="A848" t="s">
        <v>18</v>
      </c>
      <c r="B848">
        <v>25000</v>
      </c>
      <c r="C848">
        <v>25000</v>
      </c>
      <c r="D848" t="str">
        <f>VLOOKUP(A848,Лист2!A:E,5,0)</f>
        <v>малые</v>
      </c>
      <c r="E848">
        <f>VLOOKUP(A848,Лист2!A:E,4,0)</f>
        <v>2.5</v>
      </c>
      <c r="F848" s="12">
        <f t="shared" si="57"/>
        <v>0</v>
      </c>
      <c r="G848">
        <f t="shared" si="58"/>
        <v>10000</v>
      </c>
      <c r="H848">
        <f t="shared" si="59"/>
        <v>0</v>
      </c>
    </row>
    <row r="849" spans="1:8">
      <c r="A849" t="s">
        <v>18</v>
      </c>
      <c r="B849">
        <v>192000</v>
      </c>
      <c r="C849">
        <v>232000</v>
      </c>
      <c r="D849" t="str">
        <f>VLOOKUP(A849,Лист2!A:E,5,0)</f>
        <v>малые</v>
      </c>
      <c r="E849">
        <f>VLOOKUP(A849,Лист2!A:E,4,0)</f>
        <v>2.5</v>
      </c>
      <c r="F849" s="12">
        <f t="shared" si="57"/>
        <v>-40000</v>
      </c>
      <c r="G849">
        <f t="shared" si="58"/>
        <v>76800</v>
      </c>
      <c r="H849">
        <f t="shared" si="59"/>
        <v>-16000</v>
      </c>
    </row>
    <row r="850" spans="1:8">
      <c r="A850" t="s">
        <v>18</v>
      </c>
      <c r="B850">
        <v>29000</v>
      </c>
      <c r="C850">
        <v>38000</v>
      </c>
      <c r="D850" t="str">
        <f>VLOOKUP(A850,Лист2!A:E,5,0)</f>
        <v>малые</v>
      </c>
      <c r="E850">
        <f>VLOOKUP(A850,Лист2!A:E,4,0)</f>
        <v>2.5</v>
      </c>
      <c r="F850" s="12">
        <f t="shared" si="57"/>
        <v>-9000</v>
      </c>
      <c r="G850">
        <f t="shared" si="58"/>
        <v>11600</v>
      </c>
      <c r="H850">
        <f t="shared" si="59"/>
        <v>-3600</v>
      </c>
    </row>
    <row r="851" spans="1:8">
      <c r="A851" t="s">
        <v>18</v>
      </c>
      <c r="B851">
        <v>409578000</v>
      </c>
      <c r="C851">
        <v>418186000</v>
      </c>
      <c r="D851" t="str">
        <f>VLOOKUP(A851,Лист2!A:E,5,0)</f>
        <v>малые</v>
      </c>
      <c r="E851">
        <f>VLOOKUP(A851,Лист2!A:E,4,0)</f>
        <v>2.5</v>
      </c>
      <c r="F851" s="12">
        <f t="shared" si="57"/>
        <v>-8608000</v>
      </c>
      <c r="G851">
        <f t="shared" si="58"/>
        <v>163831200</v>
      </c>
      <c r="H851">
        <f t="shared" si="59"/>
        <v>-3443200</v>
      </c>
    </row>
    <row r="852" spans="1:8">
      <c r="A852" t="s">
        <v>18</v>
      </c>
      <c r="B852">
        <v>671000</v>
      </c>
      <c r="C852">
        <v>751000</v>
      </c>
      <c r="D852" t="str">
        <f>VLOOKUP(A852,Лист2!A:E,5,0)</f>
        <v>малые</v>
      </c>
      <c r="E852">
        <f>VLOOKUP(A852,Лист2!A:E,4,0)</f>
        <v>2.5</v>
      </c>
      <c r="F852" s="12">
        <f t="shared" si="57"/>
        <v>-80000</v>
      </c>
      <c r="G852">
        <f t="shared" si="58"/>
        <v>268400</v>
      </c>
      <c r="H852">
        <f t="shared" si="59"/>
        <v>-32000</v>
      </c>
    </row>
    <row r="853" spans="1:8">
      <c r="A853" t="s">
        <v>18</v>
      </c>
      <c r="B853">
        <v>4842000</v>
      </c>
      <c r="C853">
        <v>4934000</v>
      </c>
      <c r="D853" t="str">
        <f>VLOOKUP(A853,Лист2!A:E,5,0)</f>
        <v>малые</v>
      </c>
      <c r="E853">
        <f>VLOOKUP(A853,Лист2!A:E,4,0)</f>
        <v>2.5</v>
      </c>
      <c r="F853" s="12">
        <f t="shared" si="57"/>
        <v>-92000</v>
      </c>
      <c r="G853">
        <f t="shared" si="58"/>
        <v>1936800</v>
      </c>
      <c r="H853">
        <f t="shared" si="59"/>
        <v>-36800</v>
      </c>
    </row>
    <row r="854" spans="1:8">
      <c r="A854" t="s">
        <v>18</v>
      </c>
      <c r="B854">
        <v>27604000</v>
      </c>
      <c r="C854">
        <v>28159000</v>
      </c>
      <c r="D854" t="str">
        <f>VLOOKUP(A854,Лист2!A:E,5,0)</f>
        <v>малые</v>
      </c>
      <c r="E854">
        <f>VLOOKUP(A854,Лист2!A:E,4,0)</f>
        <v>2.5</v>
      </c>
      <c r="F854" s="12">
        <f t="shared" si="57"/>
        <v>-555000</v>
      </c>
      <c r="G854">
        <f t="shared" si="58"/>
        <v>11041600</v>
      </c>
      <c r="H854">
        <f t="shared" si="59"/>
        <v>-222000</v>
      </c>
    </row>
    <row r="855" spans="1:8">
      <c r="A855" t="s">
        <v>18</v>
      </c>
      <c r="B855">
        <v>798270000</v>
      </c>
      <c r="C855">
        <v>790904000</v>
      </c>
      <c r="D855" t="str">
        <f>VLOOKUP(A855,Лист2!A:E,5,0)</f>
        <v>малые</v>
      </c>
      <c r="E855">
        <f>VLOOKUP(A855,Лист2!A:E,4,0)</f>
        <v>2.5</v>
      </c>
      <c r="F855" s="12">
        <f t="shared" si="57"/>
        <v>7366000</v>
      </c>
      <c r="G855">
        <f t="shared" si="58"/>
        <v>319308000</v>
      </c>
      <c r="H855">
        <f t="shared" si="59"/>
        <v>2946400</v>
      </c>
    </row>
    <row r="856" spans="1:8">
      <c r="A856" t="s">
        <v>18</v>
      </c>
      <c r="B856">
        <v>200000</v>
      </c>
      <c r="C856">
        <v>5000</v>
      </c>
      <c r="D856" t="str">
        <f>VLOOKUP(A856,Лист2!A:E,5,0)</f>
        <v>малые</v>
      </c>
      <c r="E856">
        <f>VLOOKUP(A856,Лист2!A:E,4,0)</f>
        <v>2.5</v>
      </c>
      <c r="F856" s="12">
        <f t="shared" si="57"/>
        <v>195000</v>
      </c>
      <c r="G856">
        <f t="shared" si="58"/>
        <v>80000</v>
      </c>
      <c r="H856">
        <f t="shared" si="59"/>
        <v>78000</v>
      </c>
    </row>
    <row r="857" spans="1:8">
      <c r="A857" t="s">
        <v>18</v>
      </c>
      <c r="B857">
        <v>326000</v>
      </c>
      <c r="C857">
        <v>347000</v>
      </c>
      <c r="D857" t="str">
        <f>VLOOKUP(A857,Лист2!A:E,5,0)</f>
        <v>малые</v>
      </c>
      <c r="E857">
        <f>VLOOKUP(A857,Лист2!A:E,4,0)</f>
        <v>2.5</v>
      </c>
      <c r="F857" s="12">
        <f t="shared" si="57"/>
        <v>-21000</v>
      </c>
      <c r="G857">
        <f t="shared" si="58"/>
        <v>130400</v>
      </c>
      <c r="H857">
        <f t="shared" si="59"/>
        <v>-8400</v>
      </c>
    </row>
    <row r="858" spans="1:8">
      <c r="A858" t="s">
        <v>18</v>
      </c>
      <c r="B858">
        <v>6788000</v>
      </c>
      <c r="C858">
        <v>6813000</v>
      </c>
      <c r="D858" t="str">
        <f>VLOOKUP(A858,Лист2!A:E,5,0)</f>
        <v>малые</v>
      </c>
      <c r="E858">
        <f>VLOOKUP(A858,Лист2!A:E,4,0)</f>
        <v>2.5</v>
      </c>
      <c r="F858" s="12">
        <f t="shared" si="57"/>
        <v>-25000</v>
      </c>
      <c r="G858">
        <f t="shared" si="58"/>
        <v>2715200</v>
      </c>
      <c r="H858">
        <f t="shared" si="59"/>
        <v>-10000</v>
      </c>
    </row>
    <row r="859" spans="1:8">
      <c r="A859" t="s">
        <v>18</v>
      </c>
      <c r="B859">
        <v>19555000</v>
      </c>
      <c r="C859">
        <v>19578000</v>
      </c>
      <c r="D859" t="str">
        <f>VLOOKUP(A859,Лист2!A:E,5,0)</f>
        <v>малые</v>
      </c>
      <c r="E859">
        <f>VLOOKUP(A859,Лист2!A:E,4,0)</f>
        <v>2.5</v>
      </c>
      <c r="F859" s="12">
        <f t="shared" si="57"/>
        <v>-23000</v>
      </c>
      <c r="G859">
        <f t="shared" si="58"/>
        <v>7822000</v>
      </c>
      <c r="H859">
        <f t="shared" si="59"/>
        <v>-9200</v>
      </c>
    </row>
    <row r="860" spans="1:8">
      <c r="A860" t="s">
        <v>18</v>
      </c>
      <c r="B860">
        <v>2398000</v>
      </c>
      <c r="C860">
        <v>2820000</v>
      </c>
      <c r="D860" t="str">
        <f>VLOOKUP(A860,Лист2!A:E,5,0)</f>
        <v>малые</v>
      </c>
      <c r="E860">
        <f>VLOOKUP(A860,Лист2!A:E,4,0)</f>
        <v>2.5</v>
      </c>
      <c r="F860" s="12">
        <f t="shared" si="57"/>
        <v>-422000</v>
      </c>
      <c r="G860">
        <f t="shared" si="58"/>
        <v>959200</v>
      </c>
      <c r="H860">
        <f t="shared" si="59"/>
        <v>-168800</v>
      </c>
    </row>
    <row r="861" spans="1:8">
      <c r="A861" t="s">
        <v>18</v>
      </c>
      <c r="B861">
        <v>393000</v>
      </c>
      <c r="C861">
        <v>466000</v>
      </c>
      <c r="D861" t="str">
        <f>VLOOKUP(A861,Лист2!A:E,5,0)</f>
        <v>малые</v>
      </c>
      <c r="E861">
        <f>VLOOKUP(A861,Лист2!A:E,4,0)</f>
        <v>2.5</v>
      </c>
      <c r="F861" s="12">
        <f t="shared" si="57"/>
        <v>-73000</v>
      </c>
      <c r="G861">
        <f t="shared" si="58"/>
        <v>157200</v>
      </c>
      <c r="H861">
        <f t="shared" si="59"/>
        <v>-29200</v>
      </c>
    </row>
    <row r="862" spans="1:8">
      <c r="A862" t="s">
        <v>18</v>
      </c>
      <c r="B862">
        <v>359000</v>
      </c>
      <c r="C862">
        <v>594000</v>
      </c>
      <c r="D862" t="str">
        <f>VLOOKUP(A862,Лист2!A:E,5,0)</f>
        <v>малые</v>
      </c>
      <c r="E862">
        <f>VLOOKUP(A862,Лист2!A:E,4,0)</f>
        <v>2.5</v>
      </c>
      <c r="F862" s="12">
        <f t="shared" si="57"/>
        <v>-235000</v>
      </c>
      <c r="G862">
        <f t="shared" si="58"/>
        <v>143600</v>
      </c>
      <c r="H862">
        <f t="shared" si="59"/>
        <v>-94000</v>
      </c>
    </row>
    <row r="863" spans="1:8">
      <c r="A863" t="s">
        <v>18</v>
      </c>
      <c r="B863">
        <v>1313000</v>
      </c>
      <c r="C863">
        <v>1313000</v>
      </c>
      <c r="D863" t="str">
        <f>VLOOKUP(A863,Лист2!A:E,5,0)</f>
        <v>малые</v>
      </c>
      <c r="E863">
        <f>VLOOKUP(A863,Лист2!A:E,4,0)</f>
        <v>2.5</v>
      </c>
      <c r="F863" s="12">
        <f t="shared" si="57"/>
        <v>0</v>
      </c>
      <c r="G863">
        <f t="shared" si="58"/>
        <v>525200</v>
      </c>
      <c r="H863">
        <f t="shared" si="59"/>
        <v>0</v>
      </c>
    </row>
    <row r="864" spans="1:8">
      <c r="A864" t="s">
        <v>18</v>
      </c>
      <c r="B864">
        <v>947000</v>
      </c>
      <c r="C864">
        <v>1105000</v>
      </c>
      <c r="D864" t="str">
        <f>VLOOKUP(A864,Лист2!A:E,5,0)</f>
        <v>малые</v>
      </c>
      <c r="E864">
        <f>VLOOKUP(A864,Лист2!A:E,4,0)</f>
        <v>2.5</v>
      </c>
      <c r="F864" s="12">
        <f t="shared" si="57"/>
        <v>-158000</v>
      </c>
      <c r="G864">
        <f t="shared" si="58"/>
        <v>378800</v>
      </c>
      <c r="H864">
        <f t="shared" si="59"/>
        <v>-63200</v>
      </c>
    </row>
    <row r="865" spans="1:8">
      <c r="A865" t="s">
        <v>22</v>
      </c>
      <c r="B865">
        <v>8036000</v>
      </c>
      <c r="C865">
        <v>8036000</v>
      </c>
      <c r="D865" t="str">
        <f>VLOOKUP(A865,Лист2!A:E,5,0)</f>
        <v>малые</v>
      </c>
      <c r="E865">
        <f>VLOOKUP(A865,Лист2!A:E,4,0)</f>
        <v>13</v>
      </c>
      <c r="F865" s="12">
        <f t="shared" si="57"/>
        <v>0</v>
      </c>
      <c r="G865">
        <f t="shared" si="58"/>
        <v>618153.84615384613</v>
      </c>
      <c r="H865">
        <f t="shared" si="59"/>
        <v>0</v>
      </c>
    </row>
    <row r="866" spans="1:8">
      <c r="A866" t="s">
        <v>18</v>
      </c>
      <c r="B866">
        <v>2640000</v>
      </c>
      <c r="C866">
        <v>2425000</v>
      </c>
      <c r="D866" t="str">
        <f>VLOOKUP(A866,Лист2!A:E,5,0)</f>
        <v>малые</v>
      </c>
      <c r="E866">
        <f>VLOOKUP(A866,Лист2!A:E,4,0)</f>
        <v>2.5</v>
      </c>
      <c r="F866" s="12">
        <f t="shared" ref="F866:F910" si="60">B866-C866</f>
        <v>215000</v>
      </c>
      <c r="G866">
        <f t="shared" ref="G866:G910" si="61">B866/E866</f>
        <v>1056000</v>
      </c>
      <c r="H866">
        <f t="shared" ref="H866:H910" si="62">F866/E866</f>
        <v>86000</v>
      </c>
    </row>
    <row r="867" spans="1:8">
      <c r="A867" t="s">
        <v>77</v>
      </c>
      <c r="B867">
        <v>4913000</v>
      </c>
      <c r="C867">
        <v>3785000</v>
      </c>
      <c r="D867" t="str">
        <f>VLOOKUP(A867,Лист2!A:E,5,0)</f>
        <v>малые</v>
      </c>
      <c r="E867">
        <f>VLOOKUP(A867,Лист2!A:E,4,0)</f>
        <v>8</v>
      </c>
      <c r="F867" s="12">
        <f t="shared" si="60"/>
        <v>1128000</v>
      </c>
      <c r="G867">
        <f t="shared" si="61"/>
        <v>614125</v>
      </c>
      <c r="H867">
        <f t="shared" si="62"/>
        <v>141000</v>
      </c>
    </row>
    <row r="868" spans="1:8">
      <c r="A868" t="s">
        <v>18</v>
      </c>
      <c r="B868">
        <v>624000</v>
      </c>
      <c r="C868">
        <v>8672000</v>
      </c>
      <c r="D868" t="str">
        <f>VLOOKUP(A868,Лист2!A:E,5,0)</f>
        <v>малые</v>
      </c>
      <c r="E868">
        <f>VLOOKUP(A868,Лист2!A:E,4,0)</f>
        <v>2.5</v>
      </c>
      <c r="F868" s="12">
        <f t="shared" si="60"/>
        <v>-8048000</v>
      </c>
      <c r="G868">
        <f t="shared" si="61"/>
        <v>249600</v>
      </c>
      <c r="H868">
        <f t="shared" si="62"/>
        <v>-3219200</v>
      </c>
    </row>
    <row r="869" spans="1:8">
      <c r="A869" t="s">
        <v>18</v>
      </c>
      <c r="B869">
        <v>1534000</v>
      </c>
      <c r="C869">
        <v>2039000</v>
      </c>
      <c r="D869" t="str">
        <f>VLOOKUP(A869,Лист2!A:E,5,0)</f>
        <v>малые</v>
      </c>
      <c r="E869">
        <f>VLOOKUP(A869,Лист2!A:E,4,0)</f>
        <v>2.5</v>
      </c>
      <c r="F869" s="12">
        <f t="shared" si="60"/>
        <v>-505000</v>
      </c>
      <c r="G869">
        <f t="shared" si="61"/>
        <v>613600</v>
      </c>
      <c r="H869">
        <f t="shared" si="62"/>
        <v>-202000</v>
      </c>
    </row>
    <row r="870" spans="1:8">
      <c r="A870" t="s">
        <v>18</v>
      </c>
      <c r="B870">
        <v>169000</v>
      </c>
      <c r="C870">
        <v>158000</v>
      </c>
      <c r="D870" t="str">
        <f>VLOOKUP(A870,Лист2!A:E,5,0)</f>
        <v>малые</v>
      </c>
      <c r="E870">
        <f>VLOOKUP(A870,Лист2!A:E,4,0)</f>
        <v>2.5</v>
      </c>
      <c r="F870" s="12">
        <f t="shared" si="60"/>
        <v>11000</v>
      </c>
      <c r="G870">
        <f t="shared" si="61"/>
        <v>67600</v>
      </c>
      <c r="H870">
        <f t="shared" si="62"/>
        <v>4400</v>
      </c>
    </row>
    <row r="871" spans="1:8">
      <c r="A871" t="s">
        <v>18</v>
      </c>
      <c r="B871">
        <v>871000</v>
      </c>
      <c r="C871">
        <v>1027000</v>
      </c>
      <c r="D871" t="str">
        <f>VLOOKUP(A871,Лист2!A:E,5,0)</f>
        <v>малые</v>
      </c>
      <c r="E871">
        <f>VLOOKUP(A871,Лист2!A:E,4,0)</f>
        <v>2.5</v>
      </c>
      <c r="F871" s="12">
        <f t="shared" si="60"/>
        <v>-156000</v>
      </c>
      <c r="G871">
        <f t="shared" si="61"/>
        <v>348400</v>
      </c>
      <c r="H871">
        <f t="shared" si="62"/>
        <v>-62400</v>
      </c>
    </row>
    <row r="872" spans="1:8">
      <c r="A872" t="s">
        <v>18</v>
      </c>
      <c r="B872">
        <v>670000</v>
      </c>
      <c r="C872">
        <v>564000</v>
      </c>
      <c r="D872" t="str">
        <f>VLOOKUP(A872,Лист2!A:E,5,0)</f>
        <v>малые</v>
      </c>
      <c r="E872">
        <f>VLOOKUP(A872,Лист2!A:E,4,0)</f>
        <v>2.5</v>
      </c>
      <c r="F872" s="12">
        <f t="shared" si="60"/>
        <v>106000</v>
      </c>
      <c r="G872">
        <f t="shared" si="61"/>
        <v>268000</v>
      </c>
      <c r="H872">
        <f t="shared" si="62"/>
        <v>42400</v>
      </c>
    </row>
    <row r="873" spans="1:8">
      <c r="A873" t="s">
        <v>18</v>
      </c>
      <c r="B873">
        <v>904000</v>
      </c>
      <c r="C873">
        <v>1265000</v>
      </c>
      <c r="D873" t="str">
        <f>VLOOKUP(A873,Лист2!A:E,5,0)</f>
        <v>малые</v>
      </c>
      <c r="E873">
        <f>VLOOKUP(A873,Лист2!A:E,4,0)</f>
        <v>2.5</v>
      </c>
      <c r="F873" s="12">
        <f t="shared" si="60"/>
        <v>-361000</v>
      </c>
      <c r="G873">
        <f t="shared" si="61"/>
        <v>361600</v>
      </c>
      <c r="H873">
        <f t="shared" si="62"/>
        <v>-144400</v>
      </c>
    </row>
    <row r="874" spans="1:8">
      <c r="A874" t="s">
        <v>77</v>
      </c>
      <c r="B874">
        <v>12400000</v>
      </c>
      <c r="C874">
        <v>11183000</v>
      </c>
      <c r="D874" t="str">
        <f>VLOOKUP(A874,Лист2!A:E,5,0)</f>
        <v>малые</v>
      </c>
      <c r="E874">
        <f>VLOOKUP(A874,Лист2!A:E,4,0)</f>
        <v>8</v>
      </c>
      <c r="F874" s="12">
        <f t="shared" si="60"/>
        <v>1217000</v>
      </c>
      <c r="G874">
        <f t="shared" si="61"/>
        <v>1550000</v>
      </c>
      <c r="H874">
        <f t="shared" si="62"/>
        <v>152125</v>
      </c>
    </row>
    <row r="875" spans="1:8">
      <c r="A875" t="s">
        <v>77</v>
      </c>
      <c r="B875">
        <v>900000</v>
      </c>
      <c r="C875">
        <v>1257000</v>
      </c>
      <c r="D875" t="str">
        <f>VLOOKUP(A875,Лист2!A:E,5,0)</f>
        <v>малые</v>
      </c>
      <c r="E875">
        <f>VLOOKUP(A875,Лист2!A:E,4,0)</f>
        <v>8</v>
      </c>
      <c r="F875" s="12">
        <f t="shared" si="60"/>
        <v>-357000</v>
      </c>
      <c r="G875">
        <f t="shared" si="61"/>
        <v>112500</v>
      </c>
      <c r="H875">
        <f t="shared" si="62"/>
        <v>-44625</v>
      </c>
    </row>
    <row r="876" spans="1:8">
      <c r="A876" t="s">
        <v>18</v>
      </c>
      <c r="B876">
        <v>345000</v>
      </c>
      <c r="C876">
        <v>345000</v>
      </c>
      <c r="D876" t="str">
        <f>VLOOKUP(A876,Лист2!A:E,5,0)</f>
        <v>малые</v>
      </c>
      <c r="E876">
        <f>VLOOKUP(A876,Лист2!A:E,4,0)</f>
        <v>2.5</v>
      </c>
      <c r="F876" s="12">
        <f t="shared" si="60"/>
        <v>0</v>
      </c>
      <c r="G876">
        <f t="shared" si="61"/>
        <v>138000</v>
      </c>
      <c r="H876">
        <f t="shared" si="62"/>
        <v>0</v>
      </c>
    </row>
    <row r="877" spans="1:8">
      <c r="A877" t="s">
        <v>77</v>
      </c>
      <c r="B877">
        <v>37020000</v>
      </c>
      <c r="C877">
        <v>37016000</v>
      </c>
      <c r="D877" t="str">
        <f>VLOOKUP(A877,Лист2!A:E,5,0)</f>
        <v>малые</v>
      </c>
      <c r="E877">
        <f>VLOOKUP(A877,Лист2!A:E,4,0)</f>
        <v>8</v>
      </c>
      <c r="F877" s="12">
        <f t="shared" si="60"/>
        <v>4000</v>
      </c>
      <c r="G877">
        <f t="shared" si="61"/>
        <v>4627500</v>
      </c>
      <c r="H877">
        <f t="shared" si="62"/>
        <v>500</v>
      </c>
    </row>
    <row r="878" spans="1:8">
      <c r="A878" t="s">
        <v>18</v>
      </c>
      <c r="B878">
        <v>478000</v>
      </c>
      <c r="C878">
        <v>541000</v>
      </c>
      <c r="D878" t="str">
        <f>VLOOKUP(A878,Лист2!A:E,5,0)</f>
        <v>малые</v>
      </c>
      <c r="E878">
        <f>VLOOKUP(A878,Лист2!A:E,4,0)</f>
        <v>2.5</v>
      </c>
      <c r="F878" s="12">
        <f t="shared" si="60"/>
        <v>-63000</v>
      </c>
      <c r="G878">
        <f t="shared" si="61"/>
        <v>191200</v>
      </c>
      <c r="H878">
        <f t="shared" si="62"/>
        <v>-25200</v>
      </c>
    </row>
    <row r="879" spans="1:8">
      <c r="A879" t="s">
        <v>18</v>
      </c>
      <c r="B879">
        <v>3452000</v>
      </c>
      <c r="C879">
        <v>3449000</v>
      </c>
      <c r="D879" t="str">
        <f>VLOOKUP(A879,Лист2!A:E,5,0)</f>
        <v>малые</v>
      </c>
      <c r="E879">
        <f>VLOOKUP(A879,Лист2!A:E,4,0)</f>
        <v>2.5</v>
      </c>
      <c r="F879" s="12">
        <f t="shared" si="60"/>
        <v>3000</v>
      </c>
      <c r="G879">
        <f t="shared" si="61"/>
        <v>1380800</v>
      </c>
      <c r="H879">
        <f t="shared" si="62"/>
        <v>1200</v>
      </c>
    </row>
    <row r="880" spans="1:8">
      <c r="A880" t="s">
        <v>22</v>
      </c>
      <c r="B880">
        <v>9470000</v>
      </c>
      <c r="C880">
        <v>9304000</v>
      </c>
      <c r="D880" t="str">
        <f>VLOOKUP(A880,Лист2!A:E,5,0)</f>
        <v>малые</v>
      </c>
      <c r="E880">
        <f>VLOOKUP(A880,Лист2!A:E,4,0)</f>
        <v>13</v>
      </c>
      <c r="F880" s="12">
        <f t="shared" si="60"/>
        <v>166000</v>
      </c>
      <c r="G880">
        <f t="shared" si="61"/>
        <v>728461.5384615385</v>
      </c>
      <c r="H880">
        <f t="shared" si="62"/>
        <v>12769.23076923077</v>
      </c>
    </row>
    <row r="881" spans="1:8">
      <c r="A881" t="s">
        <v>18</v>
      </c>
      <c r="B881">
        <v>90000</v>
      </c>
      <c r="C881">
        <v>90000</v>
      </c>
      <c r="D881" t="str">
        <f>VLOOKUP(A881,Лист2!A:E,5,0)</f>
        <v>малые</v>
      </c>
      <c r="E881">
        <f>VLOOKUP(A881,Лист2!A:E,4,0)</f>
        <v>2.5</v>
      </c>
      <c r="F881" s="12">
        <f t="shared" si="60"/>
        <v>0</v>
      </c>
      <c r="G881">
        <f t="shared" si="61"/>
        <v>36000</v>
      </c>
      <c r="H881">
        <f t="shared" si="62"/>
        <v>0</v>
      </c>
    </row>
    <row r="882" spans="1:8">
      <c r="A882" t="s">
        <v>18</v>
      </c>
      <c r="B882">
        <v>115108000</v>
      </c>
      <c r="C882">
        <v>89695000</v>
      </c>
      <c r="D882" t="str">
        <f>VLOOKUP(A882,Лист2!A:E,5,0)</f>
        <v>малые</v>
      </c>
      <c r="E882">
        <f>VLOOKUP(A882,Лист2!A:E,4,0)</f>
        <v>2.5</v>
      </c>
      <c r="F882" s="12">
        <f t="shared" si="60"/>
        <v>25413000</v>
      </c>
      <c r="G882">
        <f t="shared" si="61"/>
        <v>46043200</v>
      </c>
      <c r="H882">
        <f t="shared" si="62"/>
        <v>10165200</v>
      </c>
    </row>
    <row r="883" spans="1:8">
      <c r="A883" t="s">
        <v>18</v>
      </c>
      <c r="B883">
        <v>4494000</v>
      </c>
      <c r="C883">
        <v>2542000</v>
      </c>
      <c r="D883" t="str">
        <f>VLOOKUP(A883,Лист2!A:E,5,0)</f>
        <v>малые</v>
      </c>
      <c r="E883">
        <f>VLOOKUP(A883,Лист2!A:E,4,0)</f>
        <v>2.5</v>
      </c>
      <c r="F883" s="12">
        <f t="shared" si="60"/>
        <v>1952000</v>
      </c>
      <c r="G883">
        <f t="shared" si="61"/>
        <v>1797600</v>
      </c>
      <c r="H883">
        <f t="shared" si="62"/>
        <v>780800</v>
      </c>
    </row>
    <row r="884" spans="1:8">
      <c r="A884" t="s">
        <v>18</v>
      </c>
      <c r="B884">
        <v>4798000</v>
      </c>
      <c r="C884">
        <v>4766000</v>
      </c>
      <c r="D884" t="str">
        <f>VLOOKUP(A884,Лист2!A:E,5,0)</f>
        <v>малые</v>
      </c>
      <c r="E884">
        <f>VLOOKUP(A884,Лист2!A:E,4,0)</f>
        <v>2.5</v>
      </c>
      <c r="F884" s="12">
        <f t="shared" si="60"/>
        <v>32000</v>
      </c>
      <c r="G884">
        <f t="shared" si="61"/>
        <v>1919200</v>
      </c>
      <c r="H884">
        <f t="shared" si="62"/>
        <v>12800</v>
      </c>
    </row>
    <row r="885" spans="1:8">
      <c r="A885" t="s">
        <v>18</v>
      </c>
      <c r="B885">
        <v>1286585000</v>
      </c>
      <c r="C885">
        <v>1336140000</v>
      </c>
      <c r="D885" t="str">
        <f>VLOOKUP(A885,Лист2!A:E,5,0)</f>
        <v>малые</v>
      </c>
      <c r="E885">
        <f>VLOOKUP(A885,Лист2!A:E,4,0)</f>
        <v>2.5</v>
      </c>
      <c r="F885" s="12">
        <f t="shared" si="60"/>
        <v>-49555000</v>
      </c>
      <c r="G885">
        <f t="shared" si="61"/>
        <v>514634000</v>
      </c>
      <c r="H885">
        <f t="shared" si="62"/>
        <v>-19822000</v>
      </c>
    </row>
    <row r="886" spans="1:8">
      <c r="A886" t="s">
        <v>18</v>
      </c>
      <c r="B886">
        <v>5300000</v>
      </c>
      <c r="C886">
        <v>5977000</v>
      </c>
      <c r="D886" t="str">
        <f>VLOOKUP(A886,Лист2!A:E,5,0)</f>
        <v>малые</v>
      </c>
      <c r="E886">
        <f>VLOOKUP(A886,Лист2!A:E,4,0)</f>
        <v>2.5</v>
      </c>
      <c r="F886" s="12">
        <f t="shared" si="60"/>
        <v>-677000</v>
      </c>
      <c r="G886">
        <f t="shared" si="61"/>
        <v>2120000</v>
      </c>
      <c r="H886">
        <f t="shared" si="62"/>
        <v>-270800</v>
      </c>
    </row>
    <row r="887" spans="1:8">
      <c r="A887" t="s">
        <v>18</v>
      </c>
      <c r="B887">
        <v>1686000</v>
      </c>
      <c r="C887">
        <v>1252000</v>
      </c>
      <c r="D887" t="str">
        <f>VLOOKUP(A887,Лист2!A:E,5,0)</f>
        <v>малые</v>
      </c>
      <c r="E887">
        <f>VLOOKUP(A887,Лист2!A:E,4,0)</f>
        <v>2.5</v>
      </c>
      <c r="F887" s="12">
        <f t="shared" si="60"/>
        <v>434000</v>
      </c>
      <c r="G887">
        <f t="shared" si="61"/>
        <v>674400</v>
      </c>
      <c r="H887">
        <f t="shared" si="62"/>
        <v>173600</v>
      </c>
    </row>
    <row r="888" spans="1:8">
      <c r="A888" t="s">
        <v>18</v>
      </c>
      <c r="B888">
        <v>271000</v>
      </c>
      <c r="C888">
        <v>733000</v>
      </c>
      <c r="D888" t="str">
        <f>VLOOKUP(A888,Лист2!A:E,5,0)</f>
        <v>малые</v>
      </c>
      <c r="E888">
        <f>VLOOKUP(A888,Лист2!A:E,4,0)</f>
        <v>2.5</v>
      </c>
      <c r="F888" s="12">
        <f t="shared" si="60"/>
        <v>-462000</v>
      </c>
      <c r="G888">
        <f t="shared" si="61"/>
        <v>108400</v>
      </c>
      <c r="H888">
        <f t="shared" si="62"/>
        <v>-184800</v>
      </c>
    </row>
    <row r="889" spans="1:8">
      <c r="A889" t="s">
        <v>18</v>
      </c>
      <c r="B889">
        <v>10006000</v>
      </c>
      <c r="C889">
        <v>10159000</v>
      </c>
      <c r="D889" t="str">
        <f>VLOOKUP(A889,Лист2!A:E,5,0)</f>
        <v>малые</v>
      </c>
      <c r="E889">
        <f>VLOOKUP(A889,Лист2!A:E,4,0)</f>
        <v>2.5</v>
      </c>
      <c r="F889" s="12">
        <f t="shared" si="60"/>
        <v>-153000</v>
      </c>
      <c r="G889">
        <f t="shared" si="61"/>
        <v>4002400</v>
      </c>
      <c r="H889">
        <f t="shared" si="62"/>
        <v>-61200</v>
      </c>
    </row>
    <row r="890" spans="1:8">
      <c r="A890" t="s">
        <v>77</v>
      </c>
      <c r="B890">
        <v>19750000</v>
      </c>
      <c r="C890">
        <v>91155000</v>
      </c>
      <c r="D890" t="str">
        <f>VLOOKUP(A890,Лист2!A:E,5,0)</f>
        <v>малые</v>
      </c>
      <c r="E890">
        <f>VLOOKUP(A890,Лист2!A:E,4,0)</f>
        <v>8</v>
      </c>
      <c r="F890" s="12">
        <f t="shared" si="60"/>
        <v>-71405000</v>
      </c>
      <c r="G890">
        <f t="shared" si="61"/>
        <v>2468750</v>
      </c>
      <c r="H890">
        <f t="shared" si="62"/>
        <v>-8925625</v>
      </c>
    </row>
    <row r="891" spans="1:8">
      <c r="A891" t="s">
        <v>18</v>
      </c>
      <c r="B891">
        <v>1015000</v>
      </c>
      <c r="C891">
        <v>845000</v>
      </c>
      <c r="D891" t="str">
        <f>VLOOKUP(A891,Лист2!A:E,5,0)</f>
        <v>малые</v>
      </c>
      <c r="E891">
        <f>VLOOKUP(A891,Лист2!A:E,4,0)</f>
        <v>2.5</v>
      </c>
      <c r="F891" s="12">
        <f t="shared" si="60"/>
        <v>170000</v>
      </c>
      <c r="G891">
        <f t="shared" si="61"/>
        <v>406000</v>
      </c>
      <c r="H891">
        <f t="shared" si="62"/>
        <v>68000</v>
      </c>
    </row>
    <row r="892" spans="1:8">
      <c r="A892" t="s">
        <v>18</v>
      </c>
      <c r="B892">
        <v>48581000</v>
      </c>
      <c r="C892">
        <v>48725000</v>
      </c>
      <c r="D892" t="str">
        <f>VLOOKUP(A892,Лист2!A:E,5,0)</f>
        <v>малые</v>
      </c>
      <c r="E892">
        <f>VLOOKUP(A892,Лист2!A:E,4,0)</f>
        <v>2.5</v>
      </c>
      <c r="F892" s="12">
        <f t="shared" si="60"/>
        <v>-144000</v>
      </c>
      <c r="G892">
        <f t="shared" si="61"/>
        <v>19432400</v>
      </c>
      <c r="H892">
        <f t="shared" si="62"/>
        <v>-57600</v>
      </c>
    </row>
    <row r="893" spans="1:8">
      <c r="A893" t="s">
        <v>18</v>
      </c>
      <c r="B893">
        <v>2003000</v>
      </c>
      <c r="C893">
        <v>1860000</v>
      </c>
      <c r="D893" t="str">
        <f>VLOOKUP(A893,Лист2!A:E,5,0)</f>
        <v>малые</v>
      </c>
      <c r="E893">
        <f>VLOOKUP(A893,Лист2!A:E,4,0)</f>
        <v>2.5</v>
      </c>
      <c r="F893" s="12">
        <f t="shared" si="60"/>
        <v>143000</v>
      </c>
      <c r="G893">
        <f t="shared" si="61"/>
        <v>801200</v>
      </c>
      <c r="H893">
        <f t="shared" si="62"/>
        <v>57200</v>
      </c>
    </row>
    <row r="894" spans="1:8">
      <c r="A894" t="s">
        <v>18</v>
      </c>
      <c r="B894">
        <v>603000</v>
      </c>
      <c r="C894">
        <v>640000</v>
      </c>
      <c r="D894" t="str">
        <f>VLOOKUP(A894,Лист2!A:E,5,0)</f>
        <v>малые</v>
      </c>
      <c r="E894">
        <f>VLOOKUP(A894,Лист2!A:E,4,0)</f>
        <v>2.5</v>
      </c>
      <c r="F894" s="12">
        <f t="shared" si="60"/>
        <v>-37000</v>
      </c>
      <c r="G894">
        <f t="shared" si="61"/>
        <v>241200</v>
      </c>
      <c r="H894">
        <f t="shared" si="62"/>
        <v>-14800</v>
      </c>
    </row>
    <row r="895" spans="1:8">
      <c r="A895" t="s">
        <v>18</v>
      </c>
      <c r="B895">
        <v>2908000</v>
      </c>
      <c r="C895">
        <v>2907000</v>
      </c>
      <c r="D895" t="str">
        <f>VLOOKUP(A895,Лист2!A:E,5,0)</f>
        <v>малые</v>
      </c>
      <c r="E895">
        <f>VLOOKUP(A895,Лист2!A:E,4,0)</f>
        <v>2.5</v>
      </c>
      <c r="F895" s="12">
        <f t="shared" si="60"/>
        <v>1000</v>
      </c>
      <c r="G895">
        <f t="shared" si="61"/>
        <v>1163200</v>
      </c>
      <c r="H895">
        <f t="shared" si="62"/>
        <v>400</v>
      </c>
    </row>
    <row r="896" spans="1:8">
      <c r="A896" t="s">
        <v>18</v>
      </c>
      <c r="B896">
        <v>1812000</v>
      </c>
      <c r="C896">
        <v>1601000</v>
      </c>
      <c r="D896" t="str">
        <f>VLOOKUP(A896,Лист2!A:E,5,0)</f>
        <v>малые</v>
      </c>
      <c r="E896">
        <f>VLOOKUP(A896,Лист2!A:E,4,0)</f>
        <v>2.5</v>
      </c>
      <c r="F896" s="12">
        <f t="shared" si="60"/>
        <v>211000</v>
      </c>
      <c r="G896">
        <f t="shared" si="61"/>
        <v>724800</v>
      </c>
      <c r="H896">
        <f t="shared" si="62"/>
        <v>84400</v>
      </c>
    </row>
    <row r="897" spans="1:8">
      <c r="A897" t="s">
        <v>18</v>
      </c>
      <c r="B897">
        <v>2528000</v>
      </c>
      <c r="C897">
        <v>4761000</v>
      </c>
      <c r="D897" t="str">
        <f>VLOOKUP(A897,Лист2!A:E,5,0)</f>
        <v>малые</v>
      </c>
      <c r="E897">
        <f>VLOOKUP(A897,Лист2!A:E,4,0)</f>
        <v>2.5</v>
      </c>
      <c r="F897" s="12">
        <f t="shared" si="60"/>
        <v>-2233000</v>
      </c>
      <c r="G897">
        <f t="shared" si="61"/>
        <v>1011200</v>
      </c>
      <c r="H897">
        <f t="shared" si="62"/>
        <v>-893200</v>
      </c>
    </row>
    <row r="898" spans="1:8">
      <c r="A898" t="s">
        <v>18</v>
      </c>
      <c r="B898">
        <v>100000</v>
      </c>
      <c r="C898">
        <v>100000</v>
      </c>
      <c r="D898" t="str">
        <f>VLOOKUP(A898,Лист2!A:E,5,0)</f>
        <v>малые</v>
      </c>
      <c r="E898">
        <f>VLOOKUP(A898,Лист2!A:E,4,0)</f>
        <v>2.5</v>
      </c>
      <c r="F898" s="12">
        <f t="shared" si="60"/>
        <v>0</v>
      </c>
      <c r="G898">
        <f t="shared" si="61"/>
        <v>40000</v>
      </c>
      <c r="H898">
        <f t="shared" si="62"/>
        <v>0</v>
      </c>
    </row>
    <row r="899" spans="1:8">
      <c r="A899" t="s">
        <v>18</v>
      </c>
      <c r="B899">
        <v>890000</v>
      </c>
      <c r="C899">
        <v>970000</v>
      </c>
      <c r="D899" t="str">
        <f>VLOOKUP(A899,Лист2!A:E,5,0)</f>
        <v>малые</v>
      </c>
      <c r="E899">
        <f>VLOOKUP(A899,Лист2!A:E,4,0)</f>
        <v>2.5</v>
      </c>
      <c r="F899" s="12">
        <f t="shared" si="60"/>
        <v>-80000</v>
      </c>
      <c r="G899">
        <f t="shared" si="61"/>
        <v>356000</v>
      </c>
      <c r="H899">
        <f t="shared" si="62"/>
        <v>-32000</v>
      </c>
    </row>
    <row r="900" spans="1:8">
      <c r="A900" t="s">
        <v>22</v>
      </c>
      <c r="B900">
        <v>57865000</v>
      </c>
      <c r="C900">
        <v>46818000</v>
      </c>
      <c r="D900" t="str">
        <f>VLOOKUP(A900,Лист2!A:E,5,0)</f>
        <v>малые</v>
      </c>
      <c r="E900">
        <f>VLOOKUP(A900,Лист2!A:E,4,0)</f>
        <v>13</v>
      </c>
      <c r="F900" s="12">
        <f t="shared" si="60"/>
        <v>11047000</v>
      </c>
      <c r="G900">
        <f t="shared" si="61"/>
        <v>4451153.846153846</v>
      </c>
      <c r="H900">
        <f t="shared" si="62"/>
        <v>849769.23076923075</v>
      </c>
    </row>
    <row r="901" spans="1:8">
      <c r="A901" t="s">
        <v>18</v>
      </c>
      <c r="B901">
        <v>3000</v>
      </c>
      <c r="C901">
        <v>49000</v>
      </c>
      <c r="D901" t="str">
        <f>VLOOKUP(A901,Лист2!A:E,5,0)</f>
        <v>малые</v>
      </c>
      <c r="E901">
        <f>VLOOKUP(A901,Лист2!A:E,4,0)</f>
        <v>2.5</v>
      </c>
      <c r="F901" s="12">
        <f t="shared" si="60"/>
        <v>-46000</v>
      </c>
      <c r="G901">
        <f t="shared" si="61"/>
        <v>1200</v>
      </c>
      <c r="H901">
        <f t="shared" si="62"/>
        <v>-18400</v>
      </c>
    </row>
    <row r="902" spans="1:8">
      <c r="A902" t="s">
        <v>18</v>
      </c>
      <c r="B902">
        <v>3288000</v>
      </c>
      <c r="C902">
        <v>3639000</v>
      </c>
      <c r="D902" t="str">
        <f>VLOOKUP(A902,Лист2!A:E,5,0)</f>
        <v>малые</v>
      </c>
      <c r="E902">
        <f>VLOOKUP(A902,Лист2!A:E,4,0)</f>
        <v>2.5</v>
      </c>
      <c r="F902" s="12">
        <f t="shared" si="60"/>
        <v>-351000</v>
      </c>
      <c r="G902">
        <f t="shared" si="61"/>
        <v>1315200</v>
      </c>
      <c r="H902">
        <f t="shared" si="62"/>
        <v>-140400</v>
      </c>
    </row>
    <row r="903" spans="1:8">
      <c r="A903" t="s">
        <v>18</v>
      </c>
      <c r="B903">
        <v>302000</v>
      </c>
      <c r="C903">
        <v>302000</v>
      </c>
      <c r="D903" t="str">
        <f>VLOOKUP(A903,Лист2!A:E,5,0)</f>
        <v>малые</v>
      </c>
      <c r="E903">
        <f>VLOOKUP(A903,Лист2!A:E,4,0)</f>
        <v>2.5</v>
      </c>
      <c r="F903" s="12">
        <f t="shared" si="60"/>
        <v>0</v>
      </c>
      <c r="G903">
        <f t="shared" si="61"/>
        <v>120800</v>
      </c>
      <c r="H903">
        <f t="shared" si="62"/>
        <v>0</v>
      </c>
    </row>
    <row r="904" spans="1:8">
      <c r="A904" t="s">
        <v>18</v>
      </c>
      <c r="B904">
        <v>166000</v>
      </c>
      <c r="C904">
        <v>177000</v>
      </c>
      <c r="D904" t="str">
        <f>VLOOKUP(A904,Лист2!A:E,5,0)</f>
        <v>малые</v>
      </c>
      <c r="E904">
        <f>VLOOKUP(A904,Лист2!A:E,4,0)</f>
        <v>2.5</v>
      </c>
      <c r="F904" s="12">
        <f t="shared" si="60"/>
        <v>-11000</v>
      </c>
      <c r="G904">
        <f t="shared" si="61"/>
        <v>66400</v>
      </c>
      <c r="H904">
        <f t="shared" si="62"/>
        <v>-4400</v>
      </c>
    </row>
    <row r="905" spans="1:8">
      <c r="A905" t="s">
        <v>18</v>
      </c>
      <c r="B905">
        <v>2056000</v>
      </c>
      <c r="C905">
        <v>2054000</v>
      </c>
      <c r="D905" t="str">
        <f>VLOOKUP(A905,Лист2!A:E,5,0)</f>
        <v>малые</v>
      </c>
      <c r="E905">
        <f>VLOOKUP(A905,Лист2!A:E,4,0)</f>
        <v>2.5</v>
      </c>
      <c r="F905" s="12">
        <f t="shared" si="60"/>
        <v>2000</v>
      </c>
      <c r="G905">
        <f t="shared" si="61"/>
        <v>822400</v>
      </c>
      <c r="H905">
        <f t="shared" si="62"/>
        <v>800</v>
      </c>
    </row>
    <row r="906" spans="1:8">
      <c r="A906" t="s">
        <v>77</v>
      </c>
      <c r="B906">
        <v>10406000</v>
      </c>
      <c r="C906">
        <v>10152000</v>
      </c>
      <c r="D906" t="str">
        <f>VLOOKUP(A906,Лист2!A:E,5,0)</f>
        <v>малые</v>
      </c>
      <c r="E906">
        <f>VLOOKUP(A906,Лист2!A:E,4,0)</f>
        <v>8</v>
      </c>
      <c r="F906" s="12">
        <f t="shared" si="60"/>
        <v>254000</v>
      </c>
      <c r="G906">
        <f t="shared" si="61"/>
        <v>1300750</v>
      </c>
      <c r="H906">
        <f t="shared" si="62"/>
        <v>31750</v>
      </c>
    </row>
    <row r="907" spans="1:8">
      <c r="A907" t="s">
        <v>18</v>
      </c>
      <c r="B907">
        <v>568000</v>
      </c>
      <c r="C907">
        <v>552000</v>
      </c>
      <c r="D907" t="str">
        <f>VLOOKUP(A907,Лист2!A:E,5,0)</f>
        <v>малые</v>
      </c>
      <c r="E907">
        <f>VLOOKUP(A907,Лист2!A:E,4,0)</f>
        <v>2.5</v>
      </c>
      <c r="F907" s="12">
        <f t="shared" si="60"/>
        <v>16000</v>
      </c>
      <c r="G907">
        <f t="shared" si="61"/>
        <v>227200</v>
      </c>
      <c r="H907">
        <f t="shared" si="62"/>
        <v>6400</v>
      </c>
    </row>
    <row r="908" spans="1:8">
      <c r="A908" t="s">
        <v>302</v>
      </c>
      <c r="B908">
        <v>417697000</v>
      </c>
      <c r="C908">
        <v>420553000</v>
      </c>
      <c r="D908" t="str">
        <f>VLOOKUP(A908,Лист2!A:E,5,0)</f>
        <v>средние</v>
      </c>
      <c r="E908">
        <f>VLOOKUP(A908,Лист2!A:E,4,0)</f>
        <v>125.5</v>
      </c>
      <c r="F908" s="12">
        <f t="shared" si="60"/>
        <v>-2856000</v>
      </c>
      <c r="G908">
        <f t="shared" si="61"/>
        <v>3328262.9482071712</v>
      </c>
      <c r="H908">
        <f t="shared" si="62"/>
        <v>-22756.972111553783</v>
      </c>
    </row>
    <row r="909" spans="1:8">
      <c r="A909" t="s">
        <v>18</v>
      </c>
      <c r="B909">
        <v>4054000</v>
      </c>
      <c r="C909">
        <v>2939000</v>
      </c>
      <c r="D909" t="str">
        <f>VLOOKUP(A909,Лист2!A:E,5,0)</f>
        <v>малые</v>
      </c>
      <c r="E909">
        <f>VLOOKUP(A909,Лист2!A:E,4,0)</f>
        <v>2.5</v>
      </c>
      <c r="F909" s="12">
        <f t="shared" si="60"/>
        <v>1115000</v>
      </c>
      <c r="G909">
        <f t="shared" si="61"/>
        <v>1621600</v>
      </c>
      <c r="H909">
        <f t="shared" si="62"/>
        <v>446000</v>
      </c>
    </row>
    <row r="910" spans="1:8">
      <c r="A910" t="s">
        <v>18</v>
      </c>
      <c r="B910">
        <v>178000</v>
      </c>
      <c r="C910">
        <v>178000</v>
      </c>
      <c r="D910" t="str">
        <f>VLOOKUP(A910,Лист2!A:E,5,0)</f>
        <v>малые</v>
      </c>
      <c r="E910">
        <f>VLOOKUP(A910,Лист2!A:E,4,0)</f>
        <v>2.5</v>
      </c>
      <c r="F910" s="12">
        <f t="shared" si="60"/>
        <v>0</v>
      </c>
      <c r="G910">
        <f t="shared" si="61"/>
        <v>71200</v>
      </c>
      <c r="H910">
        <f t="shared" si="62"/>
        <v>0</v>
      </c>
    </row>
    <row r="911" spans="1:8">
      <c r="A911" t="s">
        <v>18</v>
      </c>
      <c r="B911">
        <v>813000</v>
      </c>
      <c r="C911">
        <v>854000</v>
      </c>
      <c r="D911" t="str">
        <f>VLOOKUP(A911,Лист2!A:E,5,0)</f>
        <v>малые</v>
      </c>
      <c r="E911">
        <f>VLOOKUP(A911,Лист2!A:E,4,0)</f>
        <v>2.5</v>
      </c>
      <c r="F911" s="12">
        <f t="shared" ref="F911:F950" si="63">B911-C911</f>
        <v>-41000</v>
      </c>
      <c r="G911">
        <f t="shared" ref="G911:G950" si="64">B911/E911</f>
        <v>325200</v>
      </c>
      <c r="H911">
        <f t="shared" ref="H911:H950" si="65">F911/E911</f>
        <v>-16400</v>
      </c>
    </row>
    <row r="912" spans="1:8">
      <c r="A912" t="s">
        <v>18</v>
      </c>
      <c r="B912">
        <v>8932000</v>
      </c>
      <c r="C912">
        <v>9229000</v>
      </c>
      <c r="D912" t="str">
        <f>VLOOKUP(A912,Лист2!A:E,5,0)</f>
        <v>малые</v>
      </c>
      <c r="E912">
        <f>VLOOKUP(A912,Лист2!A:E,4,0)</f>
        <v>2.5</v>
      </c>
      <c r="F912" s="12">
        <f t="shared" si="63"/>
        <v>-297000</v>
      </c>
      <c r="G912">
        <f t="shared" si="64"/>
        <v>3572800</v>
      </c>
      <c r="H912">
        <f t="shared" si="65"/>
        <v>-118800</v>
      </c>
    </row>
    <row r="913" spans="1:8">
      <c r="A913" t="s">
        <v>18</v>
      </c>
      <c r="B913">
        <v>200000</v>
      </c>
      <c r="C913">
        <v>200000</v>
      </c>
      <c r="D913" t="str">
        <f>VLOOKUP(A913,Лист2!A:E,5,0)</f>
        <v>малые</v>
      </c>
      <c r="E913">
        <f>VLOOKUP(A913,Лист2!A:E,4,0)</f>
        <v>2.5</v>
      </c>
      <c r="F913" s="12">
        <f t="shared" si="63"/>
        <v>0</v>
      </c>
      <c r="G913">
        <f t="shared" si="64"/>
        <v>80000</v>
      </c>
      <c r="H913">
        <f t="shared" si="65"/>
        <v>0</v>
      </c>
    </row>
    <row r="914" spans="1:8">
      <c r="A914" t="s">
        <v>18</v>
      </c>
      <c r="B914">
        <v>3756000</v>
      </c>
      <c r="C914">
        <v>2104000</v>
      </c>
      <c r="D914" t="str">
        <f>VLOOKUP(A914,Лист2!A:E,5,0)</f>
        <v>малые</v>
      </c>
      <c r="E914">
        <f>VLOOKUP(A914,Лист2!A:E,4,0)</f>
        <v>2.5</v>
      </c>
      <c r="F914" s="12">
        <f t="shared" si="63"/>
        <v>1652000</v>
      </c>
      <c r="G914">
        <f t="shared" si="64"/>
        <v>1502400</v>
      </c>
      <c r="H914">
        <f t="shared" si="65"/>
        <v>660800</v>
      </c>
    </row>
    <row r="915" spans="1:8">
      <c r="A915" t="s">
        <v>18</v>
      </c>
      <c r="B915">
        <v>3072000</v>
      </c>
      <c r="C915">
        <v>3083000</v>
      </c>
      <c r="D915" t="str">
        <f>VLOOKUP(A915,Лист2!A:E,5,0)</f>
        <v>малые</v>
      </c>
      <c r="E915">
        <f>VLOOKUP(A915,Лист2!A:E,4,0)</f>
        <v>2.5</v>
      </c>
      <c r="F915" s="12">
        <f t="shared" si="63"/>
        <v>-11000</v>
      </c>
      <c r="G915">
        <f t="shared" si="64"/>
        <v>1228800</v>
      </c>
      <c r="H915">
        <f t="shared" si="65"/>
        <v>-4400</v>
      </c>
    </row>
    <row r="916" spans="1:8">
      <c r="A916" t="s">
        <v>18</v>
      </c>
      <c r="B916">
        <v>163000</v>
      </c>
      <c r="C916">
        <v>45000</v>
      </c>
      <c r="D916" t="str">
        <f>VLOOKUP(A916,Лист2!A:E,5,0)</f>
        <v>малые</v>
      </c>
      <c r="E916">
        <f>VLOOKUP(A916,Лист2!A:E,4,0)</f>
        <v>2.5</v>
      </c>
      <c r="F916" s="12">
        <f t="shared" si="63"/>
        <v>118000</v>
      </c>
      <c r="G916">
        <f t="shared" si="64"/>
        <v>65200</v>
      </c>
      <c r="H916">
        <f t="shared" si="65"/>
        <v>47200</v>
      </c>
    </row>
    <row r="917" spans="1:8">
      <c r="A917" t="s">
        <v>22</v>
      </c>
      <c r="B917">
        <v>6115000</v>
      </c>
      <c r="C917">
        <v>6443000</v>
      </c>
      <c r="D917" t="str">
        <f>VLOOKUP(A917,Лист2!A:E,5,0)</f>
        <v>малые</v>
      </c>
      <c r="E917">
        <f>VLOOKUP(A917,Лист2!A:E,4,0)</f>
        <v>13</v>
      </c>
      <c r="F917" s="12">
        <f t="shared" si="63"/>
        <v>-328000</v>
      </c>
      <c r="G917">
        <f t="shared" si="64"/>
        <v>470384.61538461538</v>
      </c>
      <c r="H917">
        <f t="shared" si="65"/>
        <v>-25230.76923076923</v>
      </c>
    </row>
    <row r="918" spans="1:8">
      <c r="A918" t="s">
        <v>18</v>
      </c>
      <c r="B918">
        <v>173000</v>
      </c>
      <c r="C918">
        <v>194000</v>
      </c>
      <c r="D918" t="str">
        <f>VLOOKUP(A918,Лист2!A:E,5,0)</f>
        <v>малые</v>
      </c>
      <c r="E918">
        <f>VLOOKUP(A918,Лист2!A:E,4,0)</f>
        <v>2.5</v>
      </c>
      <c r="F918" s="12">
        <f t="shared" si="63"/>
        <v>-21000</v>
      </c>
      <c r="G918">
        <f t="shared" si="64"/>
        <v>69200</v>
      </c>
      <c r="H918">
        <f t="shared" si="65"/>
        <v>-8400</v>
      </c>
    </row>
    <row r="919" spans="1:8">
      <c r="A919" t="s">
        <v>18</v>
      </c>
      <c r="B919">
        <v>992000</v>
      </c>
      <c r="C919">
        <v>974000</v>
      </c>
      <c r="D919" t="str">
        <f>VLOOKUP(A919,Лист2!A:E,5,0)</f>
        <v>малые</v>
      </c>
      <c r="E919">
        <f>VLOOKUP(A919,Лист2!A:E,4,0)</f>
        <v>2.5</v>
      </c>
      <c r="F919" s="12">
        <f t="shared" si="63"/>
        <v>18000</v>
      </c>
      <c r="G919">
        <f t="shared" si="64"/>
        <v>396800</v>
      </c>
      <c r="H919">
        <f t="shared" si="65"/>
        <v>7200</v>
      </c>
    </row>
    <row r="920" spans="1:8">
      <c r="A920" t="s">
        <v>18</v>
      </c>
      <c r="B920">
        <v>20000</v>
      </c>
      <c r="C920">
        <v>20000</v>
      </c>
      <c r="D920" t="str">
        <f>VLOOKUP(A920,Лист2!A:E,5,0)</f>
        <v>малые</v>
      </c>
      <c r="E920">
        <f>VLOOKUP(A920,Лист2!A:E,4,0)</f>
        <v>2.5</v>
      </c>
      <c r="F920" s="12">
        <f t="shared" si="63"/>
        <v>0</v>
      </c>
      <c r="G920">
        <f t="shared" si="64"/>
        <v>8000</v>
      </c>
      <c r="H920">
        <f t="shared" si="65"/>
        <v>0</v>
      </c>
    </row>
    <row r="921" spans="1:8">
      <c r="A921" t="s">
        <v>18</v>
      </c>
      <c r="B921">
        <v>499000</v>
      </c>
      <c r="C921">
        <v>743000</v>
      </c>
      <c r="D921" t="str">
        <f>VLOOKUP(A921,Лист2!A:E,5,0)</f>
        <v>малые</v>
      </c>
      <c r="E921">
        <f>VLOOKUP(A921,Лист2!A:E,4,0)</f>
        <v>2.5</v>
      </c>
      <c r="F921" s="12">
        <f t="shared" si="63"/>
        <v>-244000</v>
      </c>
      <c r="G921">
        <f t="shared" si="64"/>
        <v>199600</v>
      </c>
      <c r="H921">
        <f t="shared" si="65"/>
        <v>-97600</v>
      </c>
    </row>
    <row r="922" spans="1:8">
      <c r="A922" t="s">
        <v>18</v>
      </c>
      <c r="B922">
        <v>280000</v>
      </c>
      <c r="C922">
        <v>324000</v>
      </c>
      <c r="D922" t="str">
        <f>VLOOKUP(A922,Лист2!A:E,5,0)</f>
        <v>малые</v>
      </c>
      <c r="E922">
        <f>VLOOKUP(A922,Лист2!A:E,4,0)</f>
        <v>2.5</v>
      </c>
      <c r="F922" s="12">
        <f t="shared" si="63"/>
        <v>-44000</v>
      </c>
      <c r="G922">
        <f t="shared" si="64"/>
        <v>112000</v>
      </c>
      <c r="H922">
        <f t="shared" si="65"/>
        <v>-17600</v>
      </c>
    </row>
    <row r="923" spans="1:8">
      <c r="A923" t="s">
        <v>18</v>
      </c>
      <c r="B923">
        <v>5119000</v>
      </c>
      <c r="C923">
        <v>4400000</v>
      </c>
      <c r="D923" t="str">
        <f>VLOOKUP(A923,Лист2!A:E,5,0)</f>
        <v>малые</v>
      </c>
      <c r="E923">
        <f>VLOOKUP(A923,Лист2!A:E,4,0)</f>
        <v>2.5</v>
      </c>
      <c r="F923" s="12">
        <f t="shared" si="63"/>
        <v>719000</v>
      </c>
      <c r="G923">
        <f t="shared" si="64"/>
        <v>2047600</v>
      </c>
      <c r="H923">
        <f t="shared" si="65"/>
        <v>287600</v>
      </c>
    </row>
    <row r="924" spans="1:8">
      <c r="A924" t="s">
        <v>18</v>
      </c>
      <c r="B924">
        <v>538000</v>
      </c>
      <c r="C924">
        <v>646000</v>
      </c>
      <c r="D924" t="str">
        <f>VLOOKUP(A924,Лист2!A:E,5,0)</f>
        <v>малые</v>
      </c>
      <c r="E924">
        <f>VLOOKUP(A924,Лист2!A:E,4,0)</f>
        <v>2.5</v>
      </c>
      <c r="F924" s="12">
        <f t="shared" si="63"/>
        <v>-108000</v>
      </c>
      <c r="G924">
        <f t="shared" si="64"/>
        <v>215200</v>
      </c>
      <c r="H924">
        <f t="shared" si="65"/>
        <v>-43200</v>
      </c>
    </row>
    <row r="925" spans="1:8">
      <c r="A925" t="s">
        <v>18</v>
      </c>
      <c r="B925">
        <v>2363000</v>
      </c>
      <c r="C925">
        <v>2448000</v>
      </c>
      <c r="D925" t="str">
        <f>VLOOKUP(A925,Лист2!A:E,5,0)</f>
        <v>малые</v>
      </c>
      <c r="E925">
        <f>VLOOKUP(A925,Лист2!A:E,4,0)</f>
        <v>2.5</v>
      </c>
      <c r="F925" s="12">
        <f t="shared" si="63"/>
        <v>-85000</v>
      </c>
      <c r="G925">
        <f t="shared" si="64"/>
        <v>945200</v>
      </c>
      <c r="H925">
        <f t="shared" si="65"/>
        <v>-34000</v>
      </c>
    </row>
    <row r="926" spans="1:8">
      <c r="A926" t="s">
        <v>18</v>
      </c>
      <c r="B926">
        <v>17983000</v>
      </c>
      <c r="C926">
        <v>18054000</v>
      </c>
      <c r="D926" t="str">
        <f>VLOOKUP(A926,Лист2!A:E,5,0)</f>
        <v>малые</v>
      </c>
      <c r="E926">
        <f>VLOOKUP(A926,Лист2!A:E,4,0)</f>
        <v>2.5</v>
      </c>
      <c r="F926" s="12">
        <f t="shared" si="63"/>
        <v>-71000</v>
      </c>
      <c r="G926">
        <f t="shared" si="64"/>
        <v>7193200</v>
      </c>
      <c r="H926">
        <f t="shared" si="65"/>
        <v>-28400</v>
      </c>
    </row>
    <row r="927" spans="1:8">
      <c r="A927" t="s">
        <v>18</v>
      </c>
      <c r="B927">
        <v>738000</v>
      </c>
      <c r="C927">
        <v>448000</v>
      </c>
      <c r="D927" t="str">
        <f>VLOOKUP(A927,Лист2!A:E,5,0)</f>
        <v>малые</v>
      </c>
      <c r="E927">
        <f>VLOOKUP(A927,Лист2!A:E,4,0)</f>
        <v>2.5</v>
      </c>
      <c r="F927" s="12">
        <f t="shared" si="63"/>
        <v>290000</v>
      </c>
      <c r="G927">
        <f t="shared" si="64"/>
        <v>295200</v>
      </c>
      <c r="H927">
        <f t="shared" si="65"/>
        <v>116000</v>
      </c>
    </row>
    <row r="928" spans="1:8">
      <c r="A928" t="s">
        <v>18</v>
      </c>
      <c r="B928">
        <v>12000</v>
      </c>
      <c r="C928">
        <v>12000</v>
      </c>
      <c r="D928" t="str">
        <f>VLOOKUP(A928,Лист2!A:E,5,0)</f>
        <v>малые</v>
      </c>
      <c r="E928">
        <f>VLOOKUP(A928,Лист2!A:E,4,0)</f>
        <v>2.5</v>
      </c>
      <c r="F928" s="12">
        <f t="shared" si="63"/>
        <v>0</v>
      </c>
      <c r="G928">
        <f t="shared" si="64"/>
        <v>4800</v>
      </c>
      <c r="H928">
        <f t="shared" si="65"/>
        <v>0</v>
      </c>
    </row>
    <row r="929" spans="1:8">
      <c r="A929" t="s">
        <v>18</v>
      </c>
      <c r="B929">
        <v>25277000</v>
      </c>
      <c r="C929">
        <v>25244000</v>
      </c>
      <c r="D929" t="str">
        <f>VLOOKUP(A929,Лист2!A:E,5,0)</f>
        <v>малые</v>
      </c>
      <c r="E929">
        <f>VLOOKUP(A929,Лист2!A:E,4,0)</f>
        <v>2.5</v>
      </c>
      <c r="F929" s="12">
        <f t="shared" si="63"/>
        <v>33000</v>
      </c>
      <c r="G929">
        <f t="shared" si="64"/>
        <v>10110800</v>
      </c>
      <c r="H929">
        <f t="shared" si="65"/>
        <v>13200</v>
      </c>
    </row>
    <row r="930" spans="1:8">
      <c r="A930" t="s">
        <v>18</v>
      </c>
      <c r="B930">
        <v>1030000</v>
      </c>
      <c r="C930">
        <v>924000</v>
      </c>
      <c r="D930" t="str">
        <f>VLOOKUP(A930,Лист2!A:E,5,0)</f>
        <v>малые</v>
      </c>
      <c r="E930">
        <f>VLOOKUP(A930,Лист2!A:E,4,0)</f>
        <v>2.5</v>
      </c>
      <c r="F930" s="12">
        <f t="shared" si="63"/>
        <v>106000</v>
      </c>
      <c r="G930">
        <f t="shared" si="64"/>
        <v>412000</v>
      </c>
      <c r="H930">
        <f t="shared" si="65"/>
        <v>42400</v>
      </c>
    </row>
    <row r="931" spans="1:8">
      <c r="A931" t="s">
        <v>18</v>
      </c>
      <c r="B931">
        <v>538000</v>
      </c>
      <c r="C931">
        <v>534000</v>
      </c>
      <c r="D931" t="str">
        <f>VLOOKUP(A931,Лист2!A:E,5,0)</f>
        <v>малые</v>
      </c>
      <c r="E931">
        <f>VLOOKUP(A931,Лист2!A:E,4,0)</f>
        <v>2.5</v>
      </c>
      <c r="F931" s="12">
        <f t="shared" si="63"/>
        <v>4000</v>
      </c>
      <c r="G931">
        <f t="shared" si="64"/>
        <v>215200</v>
      </c>
      <c r="H931">
        <f t="shared" si="65"/>
        <v>1600</v>
      </c>
    </row>
    <row r="932" spans="1:8">
      <c r="A932" t="s">
        <v>18</v>
      </c>
      <c r="B932">
        <v>518000</v>
      </c>
      <c r="C932">
        <v>518000</v>
      </c>
      <c r="D932" t="str">
        <f>VLOOKUP(A932,Лист2!A:E,5,0)</f>
        <v>малые</v>
      </c>
      <c r="E932">
        <f>VLOOKUP(A932,Лист2!A:E,4,0)</f>
        <v>2.5</v>
      </c>
      <c r="F932" s="12">
        <f t="shared" si="63"/>
        <v>0</v>
      </c>
      <c r="G932">
        <f t="shared" si="64"/>
        <v>207200</v>
      </c>
      <c r="H932">
        <f t="shared" si="65"/>
        <v>0</v>
      </c>
    </row>
    <row r="933" spans="1:8">
      <c r="A933" t="s">
        <v>18</v>
      </c>
      <c r="B933">
        <v>2286000</v>
      </c>
      <c r="C933">
        <v>2326000</v>
      </c>
      <c r="D933" t="str">
        <f>VLOOKUP(A933,Лист2!A:E,5,0)</f>
        <v>малые</v>
      </c>
      <c r="E933">
        <f>VLOOKUP(A933,Лист2!A:E,4,0)</f>
        <v>2.5</v>
      </c>
      <c r="F933" s="12">
        <f t="shared" si="63"/>
        <v>-40000</v>
      </c>
      <c r="G933">
        <f t="shared" si="64"/>
        <v>914400</v>
      </c>
      <c r="H933">
        <f t="shared" si="65"/>
        <v>-16000</v>
      </c>
    </row>
    <row r="934" spans="1:8">
      <c r="A934" t="s">
        <v>18</v>
      </c>
      <c r="B934">
        <v>2189000</v>
      </c>
      <c r="C934">
        <v>1601000</v>
      </c>
      <c r="D934" t="str">
        <f>VLOOKUP(A934,Лист2!A:E,5,0)</f>
        <v>малые</v>
      </c>
      <c r="E934">
        <f>VLOOKUP(A934,Лист2!A:E,4,0)</f>
        <v>2.5</v>
      </c>
      <c r="F934" s="12">
        <f t="shared" si="63"/>
        <v>588000</v>
      </c>
      <c r="G934">
        <f t="shared" si="64"/>
        <v>875600</v>
      </c>
      <c r="H934">
        <f t="shared" si="65"/>
        <v>235200</v>
      </c>
    </row>
    <row r="935" spans="1:8">
      <c r="A935" t="s">
        <v>18</v>
      </c>
      <c r="B935">
        <v>4998000</v>
      </c>
      <c r="C935">
        <v>4990000</v>
      </c>
      <c r="D935" t="str">
        <f>VLOOKUP(A935,Лист2!A:E,5,0)</f>
        <v>малые</v>
      </c>
      <c r="E935">
        <f>VLOOKUP(A935,Лист2!A:E,4,0)</f>
        <v>2.5</v>
      </c>
      <c r="F935" s="12">
        <f t="shared" si="63"/>
        <v>8000</v>
      </c>
      <c r="G935">
        <f t="shared" si="64"/>
        <v>1999200</v>
      </c>
      <c r="H935">
        <f t="shared" si="65"/>
        <v>3200</v>
      </c>
    </row>
    <row r="936" spans="1:8">
      <c r="A936" t="s">
        <v>18</v>
      </c>
      <c r="B936">
        <v>482000</v>
      </c>
      <c r="C936">
        <v>477000</v>
      </c>
      <c r="D936" t="str">
        <f>VLOOKUP(A936,Лист2!A:E,5,0)</f>
        <v>малые</v>
      </c>
      <c r="E936">
        <f>VLOOKUP(A936,Лист2!A:E,4,0)</f>
        <v>2.5</v>
      </c>
      <c r="F936" s="12">
        <f t="shared" si="63"/>
        <v>5000</v>
      </c>
      <c r="G936">
        <f t="shared" si="64"/>
        <v>192800</v>
      </c>
      <c r="H936">
        <f t="shared" si="65"/>
        <v>2000</v>
      </c>
    </row>
    <row r="937" spans="1:8">
      <c r="A937" t="s">
        <v>18</v>
      </c>
      <c r="B937">
        <v>895000</v>
      </c>
      <c r="C937">
        <v>1171000</v>
      </c>
      <c r="D937" t="str">
        <f>VLOOKUP(A937,Лист2!A:E,5,0)</f>
        <v>малые</v>
      </c>
      <c r="E937">
        <f>VLOOKUP(A937,Лист2!A:E,4,0)</f>
        <v>2.5</v>
      </c>
      <c r="F937" s="12">
        <f t="shared" si="63"/>
        <v>-276000</v>
      </c>
      <c r="G937">
        <f t="shared" si="64"/>
        <v>358000</v>
      </c>
      <c r="H937">
        <f t="shared" si="65"/>
        <v>-110400</v>
      </c>
    </row>
    <row r="938" spans="1:8">
      <c r="A938" t="s">
        <v>18</v>
      </c>
      <c r="B938">
        <v>5427000</v>
      </c>
      <c r="C938">
        <v>7271000</v>
      </c>
      <c r="D938" t="str">
        <f>VLOOKUP(A938,Лист2!A:E,5,0)</f>
        <v>малые</v>
      </c>
      <c r="E938">
        <f>VLOOKUP(A938,Лист2!A:E,4,0)</f>
        <v>2.5</v>
      </c>
      <c r="F938" s="12">
        <f t="shared" si="63"/>
        <v>-1844000</v>
      </c>
      <c r="G938">
        <f t="shared" si="64"/>
        <v>2170800</v>
      </c>
      <c r="H938">
        <f t="shared" si="65"/>
        <v>-737600</v>
      </c>
    </row>
    <row r="939" spans="1:8">
      <c r="A939" t="s">
        <v>18</v>
      </c>
      <c r="B939">
        <v>9438000</v>
      </c>
      <c r="C939">
        <v>7838000</v>
      </c>
      <c r="D939" t="str">
        <f>VLOOKUP(A939,Лист2!A:E,5,0)</f>
        <v>малые</v>
      </c>
      <c r="E939">
        <f>VLOOKUP(A939,Лист2!A:E,4,0)</f>
        <v>2.5</v>
      </c>
      <c r="F939" s="12">
        <f t="shared" si="63"/>
        <v>1600000</v>
      </c>
      <c r="G939">
        <f t="shared" si="64"/>
        <v>3775200</v>
      </c>
      <c r="H939">
        <f t="shared" si="65"/>
        <v>640000</v>
      </c>
    </row>
    <row r="940" spans="1:8">
      <c r="A940" t="s">
        <v>18</v>
      </c>
      <c r="B940">
        <v>315000</v>
      </c>
      <c r="C940">
        <v>314000</v>
      </c>
      <c r="D940" t="str">
        <f>VLOOKUP(A940,Лист2!A:E,5,0)</f>
        <v>малые</v>
      </c>
      <c r="E940">
        <f>VLOOKUP(A940,Лист2!A:E,4,0)</f>
        <v>2.5</v>
      </c>
      <c r="F940" s="12">
        <f t="shared" si="63"/>
        <v>1000</v>
      </c>
      <c r="G940">
        <f t="shared" si="64"/>
        <v>126000</v>
      </c>
      <c r="H940">
        <f t="shared" si="65"/>
        <v>400</v>
      </c>
    </row>
    <row r="941" spans="1:8">
      <c r="A941" t="s">
        <v>18</v>
      </c>
      <c r="B941">
        <v>186000</v>
      </c>
      <c r="C941">
        <v>154000</v>
      </c>
      <c r="D941" t="str">
        <f>VLOOKUP(A941,Лист2!A:E,5,0)</f>
        <v>малые</v>
      </c>
      <c r="E941">
        <f>VLOOKUP(A941,Лист2!A:E,4,0)</f>
        <v>2.5</v>
      </c>
      <c r="F941" s="12">
        <f t="shared" si="63"/>
        <v>32000</v>
      </c>
      <c r="G941">
        <f t="shared" si="64"/>
        <v>74400</v>
      </c>
      <c r="H941">
        <f t="shared" si="65"/>
        <v>12800</v>
      </c>
    </row>
    <row r="942" spans="1:8">
      <c r="A942" t="s">
        <v>18</v>
      </c>
      <c r="B942">
        <v>103466000</v>
      </c>
      <c r="C942">
        <v>103426000</v>
      </c>
      <c r="D942" t="str">
        <f>VLOOKUP(A942,Лист2!A:E,5,0)</f>
        <v>малые</v>
      </c>
      <c r="E942">
        <f>VLOOKUP(A942,Лист2!A:E,4,0)</f>
        <v>2.5</v>
      </c>
      <c r="F942" s="12">
        <f t="shared" si="63"/>
        <v>40000</v>
      </c>
      <c r="G942">
        <f t="shared" si="64"/>
        <v>41386400</v>
      </c>
      <c r="H942">
        <f t="shared" si="65"/>
        <v>16000</v>
      </c>
    </row>
    <row r="943" spans="1:8">
      <c r="A943" t="s">
        <v>18</v>
      </c>
      <c r="B943">
        <v>6854000</v>
      </c>
      <c r="C943">
        <v>6809000</v>
      </c>
      <c r="D943" t="str">
        <f>VLOOKUP(A943,Лист2!A:E,5,0)</f>
        <v>малые</v>
      </c>
      <c r="E943">
        <f>VLOOKUP(A943,Лист2!A:E,4,0)</f>
        <v>2.5</v>
      </c>
      <c r="F943" s="12">
        <f t="shared" si="63"/>
        <v>45000</v>
      </c>
      <c r="G943">
        <f t="shared" si="64"/>
        <v>2741600</v>
      </c>
      <c r="H943">
        <f t="shared" si="65"/>
        <v>18000</v>
      </c>
    </row>
    <row r="944" spans="1:8">
      <c r="A944" t="s">
        <v>18</v>
      </c>
      <c r="B944">
        <v>1875000</v>
      </c>
      <c r="C944">
        <v>1891000</v>
      </c>
      <c r="D944" t="str">
        <f>VLOOKUP(A944,Лист2!A:E,5,0)</f>
        <v>малые</v>
      </c>
      <c r="E944">
        <f>VLOOKUP(A944,Лист2!A:E,4,0)</f>
        <v>2.5</v>
      </c>
      <c r="F944" s="12">
        <f t="shared" si="63"/>
        <v>-16000</v>
      </c>
      <c r="G944">
        <f t="shared" si="64"/>
        <v>750000</v>
      </c>
      <c r="H944">
        <f t="shared" si="65"/>
        <v>-6400</v>
      </c>
    </row>
    <row r="945" spans="1:8">
      <c r="A945" t="s">
        <v>18</v>
      </c>
      <c r="B945">
        <v>4191000</v>
      </c>
      <c r="C945">
        <v>4121000</v>
      </c>
      <c r="D945" t="str">
        <f>VLOOKUP(A945,Лист2!A:E,5,0)</f>
        <v>малые</v>
      </c>
      <c r="E945">
        <f>VLOOKUP(A945,Лист2!A:E,4,0)</f>
        <v>2.5</v>
      </c>
      <c r="F945" s="12">
        <f t="shared" si="63"/>
        <v>70000</v>
      </c>
      <c r="G945">
        <f t="shared" si="64"/>
        <v>1676400</v>
      </c>
      <c r="H945">
        <f t="shared" si="65"/>
        <v>28000</v>
      </c>
    </row>
    <row r="946" spans="1:8">
      <c r="A946" t="s">
        <v>18</v>
      </c>
      <c r="B946">
        <v>383000</v>
      </c>
      <c r="C946">
        <v>384000</v>
      </c>
      <c r="D946" t="str">
        <f>VLOOKUP(A946,Лист2!A:E,5,0)</f>
        <v>малые</v>
      </c>
      <c r="E946">
        <f>VLOOKUP(A946,Лист2!A:E,4,0)</f>
        <v>2.5</v>
      </c>
      <c r="F946" s="12">
        <f t="shared" si="63"/>
        <v>-1000</v>
      </c>
      <c r="G946">
        <f t="shared" si="64"/>
        <v>153200</v>
      </c>
      <c r="H946">
        <f t="shared" si="65"/>
        <v>-400</v>
      </c>
    </row>
    <row r="947" spans="1:8">
      <c r="A947" t="s">
        <v>18</v>
      </c>
      <c r="B947">
        <v>678000</v>
      </c>
      <c r="C947">
        <v>728000</v>
      </c>
      <c r="D947" t="str">
        <f>VLOOKUP(A947,Лист2!A:E,5,0)</f>
        <v>малые</v>
      </c>
      <c r="E947">
        <f>VLOOKUP(A947,Лист2!A:E,4,0)</f>
        <v>2.5</v>
      </c>
      <c r="F947" s="12">
        <f t="shared" si="63"/>
        <v>-50000</v>
      </c>
      <c r="G947">
        <f t="shared" si="64"/>
        <v>271200</v>
      </c>
      <c r="H947">
        <f t="shared" si="65"/>
        <v>-20000</v>
      </c>
    </row>
    <row r="948" spans="1:8">
      <c r="A948" t="s">
        <v>18</v>
      </c>
      <c r="B948">
        <v>91000</v>
      </c>
      <c r="C948">
        <v>91000</v>
      </c>
      <c r="D948" t="str">
        <f>VLOOKUP(A948,Лист2!A:E,5,0)</f>
        <v>малые</v>
      </c>
      <c r="E948">
        <f>VLOOKUP(A948,Лист2!A:E,4,0)</f>
        <v>2.5</v>
      </c>
      <c r="F948" s="12">
        <f t="shared" si="63"/>
        <v>0</v>
      </c>
      <c r="G948">
        <f t="shared" si="64"/>
        <v>36400</v>
      </c>
      <c r="H948">
        <f t="shared" si="65"/>
        <v>0</v>
      </c>
    </row>
    <row r="949" spans="1:8">
      <c r="A949" t="s">
        <v>18</v>
      </c>
      <c r="B949">
        <v>341000</v>
      </c>
      <c r="C949">
        <v>342000</v>
      </c>
      <c r="D949" t="str">
        <f>VLOOKUP(A949,Лист2!A:E,5,0)</f>
        <v>малые</v>
      </c>
      <c r="E949">
        <f>VLOOKUP(A949,Лист2!A:E,4,0)</f>
        <v>2.5</v>
      </c>
      <c r="F949" s="12">
        <f t="shared" si="63"/>
        <v>-1000</v>
      </c>
      <c r="G949">
        <f t="shared" si="64"/>
        <v>136400</v>
      </c>
      <c r="H949">
        <f t="shared" si="65"/>
        <v>-400</v>
      </c>
    </row>
    <row r="950" spans="1:8">
      <c r="A950" t="s">
        <v>18</v>
      </c>
      <c r="B950">
        <v>100000</v>
      </c>
      <c r="C950">
        <v>100000</v>
      </c>
      <c r="D950" t="str">
        <f>VLOOKUP(A950,Лист2!A:E,5,0)</f>
        <v>малые</v>
      </c>
      <c r="E950">
        <f>VLOOKUP(A950,Лист2!A:E,4,0)</f>
        <v>2.5</v>
      </c>
      <c r="F950" s="12">
        <f t="shared" si="63"/>
        <v>0</v>
      </c>
      <c r="G950">
        <f t="shared" si="64"/>
        <v>40000</v>
      </c>
      <c r="H950">
        <f t="shared" si="65"/>
        <v>0</v>
      </c>
    </row>
    <row r="951" spans="1:8">
      <c r="A951" t="s">
        <v>18</v>
      </c>
      <c r="B951">
        <v>234000</v>
      </c>
      <c r="C951">
        <v>155000</v>
      </c>
      <c r="D951" t="str">
        <f>VLOOKUP(A951,Лист2!A:E,5,0)</f>
        <v>малые</v>
      </c>
      <c r="E951">
        <f>VLOOKUP(A951,Лист2!A:E,4,0)</f>
        <v>2.5</v>
      </c>
      <c r="F951" s="12">
        <f t="shared" ref="F951:F987" si="66">B951-C951</f>
        <v>79000</v>
      </c>
      <c r="G951">
        <f t="shared" ref="G951:G987" si="67">B951/E951</f>
        <v>93600</v>
      </c>
      <c r="H951">
        <f t="shared" ref="H951:H987" si="68">F951/E951</f>
        <v>31600</v>
      </c>
    </row>
    <row r="952" spans="1:8">
      <c r="A952" t="s">
        <v>18</v>
      </c>
      <c r="B952">
        <v>209000</v>
      </c>
      <c r="C952">
        <v>206000</v>
      </c>
      <c r="D952" t="str">
        <f>VLOOKUP(A952,Лист2!A:E,5,0)</f>
        <v>малые</v>
      </c>
      <c r="E952">
        <f>VLOOKUP(A952,Лист2!A:E,4,0)</f>
        <v>2.5</v>
      </c>
      <c r="F952" s="12">
        <f t="shared" si="66"/>
        <v>3000</v>
      </c>
      <c r="G952">
        <f t="shared" si="67"/>
        <v>83600</v>
      </c>
      <c r="H952">
        <f t="shared" si="68"/>
        <v>1200</v>
      </c>
    </row>
    <row r="953" spans="1:8">
      <c r="A953" t="s">
        <v>18</v>
      </c>
      <c r="B953">
        <v>2824000</v>
      </c>
      <c r="C953">
        <v>2847000</v>
      </c>
      <c r="D953" t="str">
        <f>VLOOKUP(A953,Лист2!A:E,5,0)</f>
        <v>малые</v>
      </c>
      <c r="E953">
        <f>VLOOKUP(A953,Лист2!A:E,4,0)</f>
        <v>2.5</v>
      </c>
      <c r="F953" s="12">
        <f t="shared" si="66"/>
        <v>-23000</v>
      </c>
      <c r="G953">
        <f t="shared" si="67"/>
        <v>1129600</v>
      </c>
      <c r="H953">
        <f t="shared" si="68"/>
        <v>-9200</v>
      </c>
    </row>
    <row r="954" spans="1:8">
      <c r="A954" t="s">
        <v>18</v>
      </c>
      <c r="B954">
        <v>189009000</v>
      </c>
      <c r="C954">
        <v>599000</v>
      </c>
      <c r="D954" t="str">
        <f>VLOOKUP(A954,Лист2!A:E,5,0)</f>
        <v>малые</v>
      </c>
      <c r="E954">
        <f>VLOOKUP(A954,Лист2!A:E,4,0)</f>
        <v>2.5</v>
      </c>
      <c r="F954" s="12">
        <f t="shared" si="66"/>
        <v>188410000</v>
      </c>
      <c r="G954">
        <f t="shared" si="67"/>
        <v>75603600</v>
      </c>
      <c r="H954">
        <f t="shared" si="68"/>
        <v>75364000</v>
      </c>
    </row>
    <row r="955" spans="1:8">
      <c r="A955" t="s">
        <v>18</v>
      </c>
      <c r="B955">
        <v>201000</v>
      </c>
      <c r="C955">
        <v>203000</v>
      </c>
      <c r="D955" t="str">
        <f>VLOOKUP(A955,Лист2!A:E,5,0)</f>
        <v>малые</v>
      </c>
      <c r="E955">
        <f>VLOOKUP(A955,Лист2!A:E,4,0)</f>
        <v>2.5</v>
      </c>
      <c r="F955" s="12">
        <f t="shared" si="66"/>
        <v>-2000</v>
      </c>
      <c r="G955">
        <f t="shared" si="67"/>
        <v>80400</v>
      </c>
      <c r="H955">
        <f t="shared" si="68"/>
        <v>-800</v>
      </c>
    </row>
    <row r="956" spans="1:8">
      <c r="A956" t="s">
        <v>18</v>
      </c>
      <c r="B956">
        <v>1062000</v>
      </c>
      <c r="C956">
        <v>1098000</v>
      </c>
      <c r="D956" t="str">
        <f>VLOOKUP(A956,Лист2!A:E,5,0)</f>
        <v>малые</v>
      </c>
      <c r="E956">
        <f>VLOOKUP(A956,Лист2!A:E,4,0)</f>
        <v>2.5</v>
      </c>
      <c r="F956" s="12">
        <f t="shared" si="66"/>
        <v>-36000</v>
      </c>
      <c r="G956">
        <f t="shared" si="67"/>
        <v>424800</v>
      </c>
      <c r="H956">
        <f t="shared" si="68"/>
        <v>-14400</v>
      </c>
    </row>
    <row r="957" spans="1:8">
      <c r="A957" t="s">
        <v>18</v>
      </c>
      <c r="B957">
        <v>327000</v>
      </c>
      <c r="C957">
        <v>375000</v>
      </c>
      <c r="D957" t="str">
        <f>VLOOKUP(A957,Лист2!A:E,5,0)</f>
        <v>малые</v>
      </c>
      <c r="E957">
        <f>VLOOKUP(A957,Лист2!A:E,4,0)</f>
        <v>2.5</v>
      </c>
      <c r="F957" s="12">
        <f t="shared" si="66"/>
        <v>-48000</v>
      </c>
      <c r="G957">
        <f t="shared" si="67"/>
        <v>130800</v>
      </c>
      <c r="H957">
        <f t="shared" si="68"/>
        <v>-19200</v>
      </c>
    </row>
    <row r="958" spans="1:8">
      <c r="A958" t="s">
        <v>18</v>
      </c>
      <c r="B958">
        <v>2013000</v>
      </c>
      <c r="C958">
        <v>2125000</v>
      </c>
      <c r="D958" t="str">
        <f>VLOOKUP(A958,Лист2!A:E,5,0)</f>
        <v>малые</v>
      </c>
      <c r="E958">
        <f>VLOOKUP(A958,Лист2!A:E,4,0)</f>
        <v>2.5</v>
      </c>
      <c r="F958" s="12">
        <f t="shared" si="66"/>
        <v>-112000</v>
      </c>
      <c r="G958">
        <f t="shared" si="67"/>
        <v>805200</v>
      </c>
      <c r="H958">
        <f t="shared" si="68"/>
        <v>-44800</v>
      </c>
    </row>
    <row r="959" spans="1:8">
      <c r="A959" t="s">
        <v>18</v>
      </c>
      <c r="B959">
        <v>8550000</v>
      </c>
      <c r="C959">
        <v>8114000</v>
      </c>
      <c r="D959" t="str">
        <f>VLOOKUP(A959,Лист2!A:E,5,0)</f>
        <v>малые</v>
      </c>
      <c r="E959">
        <f>VLOOKUP(A959,Лист2!A:E,4,0)</f>
        <v>2.5</v>
      </c>
      <c r="F959" s="12">
        <f t="shared" si="66"/>
        <v>436000</v>
      </c>
      <c r="G959">
        <f t="shared" si="67"/>
        <v>3420000</v>
      </c>
      <c r="H959">
        <f t="shared" si="68"/>
        <v>174400</v>
      </c>
    </row>
    <row r="960" spans="1:8">
      <c r="A960" t="s">
        <v>18</v>
      </c>
      <c r="B960">
        <v>21000000</v>
      </c>
      <c r="C960">
        <v>9026000</v>
      </c>
      <c r="D960" t="str">
        <f>VLOOKUP(A960,Лист2!A:E,5,0)</f>
        <v>малые</v>
      </c>
      <c r="E960">
        <f>VLOOKUP(A960,Лист2!A:E,4,0)</f>
        <v>2.5</v>
      </c>
      <c r="F960" s="12">
        <f t="shared" si="66"/>
        <v>11974000</v>
      </c>
      <c r="G960">
        <f t="shared" si="67"/>
        <v>8400000</v>
      </c>
      <c r="H960">
        <f t="shared" si="68"/>
        <v>4789600</v>
      </c>
    </row>
    <row r="961" spans="1:8">
      <c r="A961" t="s">
        <v>22</v>
      </c>
      <c r="B961">
        <v>22696000</v>
      </c>
      <c r="C961">
        <v>32828000</v>
      </c>
      <c r="D961" t="str">
        <f>VLOOKUP(A961,Лист2!A:E,5,0)</f>
        <v>малые</v>
      </c>
      <c r="E961">
        <f>VLOOKUP(A961,Лист2!A:E,4,0)</f>
        <v>13</v>
      </c>
      <c r="F961" s="12">
        <f t="shared" si="66"/>
        <v>-10132000</v>
      </c>
      <c r="G961">
        <f t="shared" si="67"/>
        <v>1745846.1538461538</v>
      </c>
      <c r="H961">
        <f t="shared" si="68"/>
        <v>-779384.61538461538</v>
      </c>
    </row>
    <row r="962" spans="1:8">
      <c r="A962" t="s">
        <v>18</v>
      </c>
      <c r="B962">
        <v>2072000</v>
      </c>
      <c r="C962">
        <v>2050000</v>
      </c>
      <c r="D962" t="str">
        <f>VLOOKUP(A962,Лист2!A:E,5,0)</f>
        <v>малые</v>
      </c>
      <c r="E962">
        <f>VLOOKUP(A962,Лист2!A:E,4,0)</f>
        <v>2.5</v>
      </c>
      <c r="F962" s="12">
        <f t="shared" si="66"/>
        <v>22000</v>
      </c>
      <c r="G962">
        <f t="shared" si="67"/>
        <v>828800</v>
      </c>
      <c r="H962">
        <f t="shared" si="68"/>
        <v>8800</v>
      </c>
    </row>
    <row r="963" spans="1:8">
      <c r="A963" t="s">
        <v>18</v>
      </c>
      <c r="B963">
        <v>115000</v>
      </c>
      <c r="C963">
        <v>73000</v>
      </c>
      <c r="D963" t="str">
        <f>VLOOKUP(A963,Лист2!A:E,5,0)</f>
        <v>малые</v>
      </c>
      <c r="E963">
        <f>VLOOKUP(A963,Лист2!A:E,4,0)</f>
        <v>2.5</v>
      </c>
      <c r="F963" s="12">
        <f t="shared" si="66"/>
        <v>42000</v>
      </c>
      <c r="G963">
        <f t="shared" si="67"/>
        <v>46000</v>
      </c>
      <c r="H963">
        <f t="shared" si="68"/>
        <v>16800</v>
      </c>
    </row>
    <row r="964" spans="1:8">
      <c r="A964" t="s">
        <v>18</v>
      </c>
      <c r="B964">
        <v>2697000</v>
      </c>
      <c r="C964">
        <v>2697000</v>
      </c>
      <c r="D964" t="str">
        <f>VLOOKUP(A964,Лист2!A:E,5,0)</f>
        <v>малые</v>
      </c>
      <c r="E964">
        <f>VLOOKUP(A964,Лист2!A:E,4,0)</f>
        <v>2.5</v>
      </c>
      <c r="F964" s="12">
        <f t="shared" si="66"/>
        <v>0</v>
      </c>
      <c r="G964">
        <f t="shared" si="67"/>
        <v>1078800</v>
      </c>
      <c r="H964">
        <f t="shared" si="68"/>
        <v>0</v>
      </c>
    </row>
    <row r="965" spans="1:8">
      <c r="A965" t="s">
        <v>18</v>
      </c>
      <c r="B965">
        <v>2091000</v>
      </c>
      <c r="C965">
        <v>2091000</v>
      </c>
      <c r="D965" t="str">
        <f>VLOOKUP(A965,Лист2!A:E,5,0)</f>
        <v>малые</v>
      </c>
      <c r="E965">
        <f>VLOOKUP(A965,Лист2!A:E,4,0)</f>
        <v>2.5</v>
      </c>
      <c r="F965" s="12">
        <f t="shared" si="66"/>
        <v>0</v>
      </c>
      <c r="G965">
        <f t="shared" si="67"/>
        <v>836400</v>
      </c>
      <c r="H965">
        <f t="shared" si="68"/>
        <v>0</v>
      </c>
    </row>
    <row r="966" spans="1:8">
      <c r="A966" t="s">
        <v>18</v>
      </c>
      <c r="B966">
        <v>6347000</v>
      </c>
      <c r="C966">
        <v>6708000</v>
      </c>
      <c r="D966" t="str">
        <f>VLOOKUP(A966,Лист2!A:E,5,0)</f>
        <v>малые</v>
      </c>
      <c r="E966">
        <f>VLOOKUP(A966,Лист2!A:E,4,0)</f>
        <v>2.5</v>
      </c>
      <c r="F966" s="12">
        <f t="shared" si="66"/>
        <v>-361000</v>
      </c>
      <c r="G966">
        <f t="shared" si="67"/>
        <v>2538800</v>
      </c>
      <c r="H966">
        <f t="shared" si="68"/>
        <v>-144400</v>
      </c>
    </row>
    <row r="967" spans="1:8">
      <c r="A967" t="s">
        <v>18</v>
      </c>
      <c r="B967">
        <v>230000</v>
      </c>
      <c r="C967">
        <v>232000</v>
      </c>
      <c r="D967" t="str">
        <f>VLOOKUP(A967,Лист2!A:E,5,0)</f>
        <v>малые</v>
      </c>
      <c r="E967">
        <f>VLOOKUP(A967,Лист2!A:E,4,0)</f>
        <v>2.5</v>
      </c>
      <c r="F967" s="12">
        <f t="shared" si="66"/>
        <v>-2000</v>
      </c>
      <c r="G967">
        <f t="shared" si="67"/>
        <v>92000</v>
      </c>
      <c r="H967">
        <f t="shared" si="68"/>
        <v>-800</v>
      </c>
    </row>
    <row r="968" spans="1:8">
      <c r="A968" t="s">
        <v>22</v>
      </c>
      <c r="B968">
        <v>22575000</v>
      </c>
      <c r="C968">
        <v>18246000</v>
      </c>
      <c r="D968" t="str">
        <f>VLOOKUP(A968,Лист2!A:E,5,0)</f>
        <v>малые</v>
      </c>
      <c r="E968">
        <f>VLOOKUP(A968,Лист2!A:E,4,0)</f>
        <v>13</v>
      </c>
      <c r="F968" s="12">
        <f t="shared" si="66"/>
        <v>4329000</v>
      </c>
      <c r="G968">
        <f t="shared" si="67"/>
        <v>1736538.4615384615</v>
      </c>
      <c r="H968">
        <f t="shared" si="68"/>
        <v>333000</v>
      </c>
    </row>
    <row r="969" spans="1:8">
      <c r="A969" t="s">
        <v>22</v>
      </c>
      <c r="B969">
        <v>648499000</v>
      </c>
      <c r="C969">
        <v>652563000</v>
      </c>
      <c r="D969" t="str">
        <f>VLOOKUP(A969,Лист2!A:E,5,0)</f>
        <v>малые</v>
      </c>
      <c r="E969">
        <f>VLOOKUP(A969,Лист2!A:E,4,0)</f>
        <v>13</v>
      </c>
      <c r="F969" s="12">
        <f t="shared" si="66"/>
        <v>-4064000</v>
      </c>
      <c r="G969">
        <f t="shared" si="67"/>
        <v>49884538.461538464</v>
      </c>
      <c r="H969">
        <f t="shared" si="68"/>
        <v>-312615.38461538462</v>
      </c>
    </row>
    <row r="970" spans="1:8">
      <c r="A970" t="s">
        <v>18</v>
      </c>
      <c r="B970">
        <v>2943000</v>
      </c>
      <c r="C970">
        <v>3043000</v>
      </c>
      <c r="D970" t="str">
        <f>VLOOKUP(A970,Лист2!A:E,5,0)</f>
        <v>малые</v>
      </c>
      <c r="E970">
        <f>VLOOKUP(A970,Лист2!A:E,4,0)</f>
        <v>2.5</v>
      </c>
      <c r="F970" s="12">
        <f t="shared" si="66"/>
        <v>-100000</v>
      </c>
      <c r="G970">
        <f t="shared" si="67"/>
        <v>1177200</v>
      </c>
      <c r="H970">
        <f t="shared" si="68"/>
        <v>-40000</v>
      </c>
    </row>
    <row r="971" spans="1:8">
      <c r="A971" t="s">
        <v>18</v>
      </c>
      <c r="B971">
        <v>10420000</v>
      </c>
      <c r="C971">
        <v>10594000</v>
      </c>
      <c r="D971" t="str">
        <f>VLOOKUP(A971,Лист2!A:E,5,0)</f>
        <v>малые</v>
      </c>
      <c r="E971">
        <f>VLOOKUP(A971,Лист2!A:E,4,0)</f>
        <v>2.5</v>
      </c>
      <c r="F971" s="12">
        <f t="shared" si="66"/>
        <v>-174000</v>
      </c>
      <c r="G971">
        <f t="shared" si="67"/>
        <v>4168000</v>
      </c>
      <c r="H971">
        <f t="shared" si="68"/>
        <v>-69600</v>
      </c>
    </row>
    <row r="972" spans="1:8">
      <c r="A972" t="s">
        <v>18</v>
      </c>
      <c r="B972">
        <v>284000</v>
      </c>
      <c r="C972">
        <v>264000</v>
      </c>
      <c r="D972" t="str">
        <f>VLOOKUP(A972,Лист2!A:E,5,0)</f>
        <v>малые</v>
      </c>
      <c r="E972">
        <f>VLOOKUP(A972,Лист2!A:E,4,0)</f>
        <v>2.5</v>
      </c>
      <c r="F972" s="12">
        <f t="shared" si="66"/>
        <v>20000</v>
      </c>
      <c r="G972">
        <f t="shared" si="67"/>
        <v>113600</v>
      </c>
      <c r="H972">
        <f t="shared" si="68"/>
        <v>8000</v>
      </c>
    </row>
    <row r="973" spans="1:8">
      <c r="A973" t="s">
        <v>18</v>
      </c>
      <c r="B973">
        <v>10000</v>
      </c>
      <c r="C973">
        <v>10000</v>
      </c>
      <c r="D973" t="str">
        <f>VLOOKUP(A973,Лист2!A:E,5,0)</f>
        <v>малые</v>
      </c>
      <c r="E973">
        <f>VLOOKUP(A973,Лист2!A:E,4,0)</f>
        <v>2.5</v>
      </c>
      <c r="F973" s="12">
        <f t="shared" si="66"/>
        <v>0</v>
      </c>
      <c r="G973">
        <f t="shared" si="67"/>
        <v>4000</v>
      </c>
      <c r="H973">
        <f t="shared" si="68"/>
        <v>0</v>
      </c>
    </row>
    <row r="974" spans="1:8">
      <c r="A974" t="s">
        <v>18</v>
      </c>
      <c r="B974">
        <v>11292000</v>
      </c>
      <c r="C974">
        <v>11280000</v>
      </c>
      <c r="D974" t="str">
        <f>VLOOKUP(A974,Лист2!A:E,5,0)</f>
        <v>малые</v>
      </c>
      <c r="E974">
        <f>VLOOKUP(A974,Лист2!A:E,4,0)</f>
        <v>2.5</v>
      </c>
      <c r="F974" s="12">
        <f t="shared" si="66"/>
        <v>12000</v>
      </c>
      <c r="G974">
        <f t="shared" si="67"/>
        <v>4516800</v>
      </c>
      <c r="H974">
        <f t="shared" si="68"/>
        <v>4800</v>
      </c>
    </row>
    <row r="975" spans="1:8">
      <c r="A975" t="s">
        <v>18</v>
      </c>
      <c r="B975">
        <v>7389000</v>
      </c>
      <c r="C975">
        <v>7309000</v>
      </c>
      <c r="D975" t="str">
        <f>VLOOKUP(A975,Лист2!A:E,5,0)</f>
        <v>малые</v>
      </c>
      <c r="E975">
        <f>VLOOKUP(A975,Лист2!A:E,4,0)</f>
        <v>2.5</v>
      </c>
      <c r="F975" s="12">
        <f t="shared" si="66"/>
        <v>80000</v>
      </c>
      <c r="G975">
        <f t="shared" si="67"/>
        <v>2955600</v>
      </c>
      <c r="H975">
        <f t="shared" si="68"/>
        <v>32000</v>
      </c>
    </row>
    <row r="976" spans="1:8">
      <c r="A976" t="s">
        <v>18</v>
      </c>
      <c r="B976">
        <v>1378000</v>
      </c>
      <c r="C976">
        <v>1651000</v>
      </c>
      <c r="D976" t="str">
        <f>VLOOKUP(A976,Лист2!A:E,5,0)</f>
        <v>малые</v>
      </c>
      <c r="E976">
        <f>VLOOKUP(A976,Лист2!A:E,4,0)</f>
        <v>2.5</v>
      </c>
      <c r="F976" s="12">
        <f t="shared" si="66"/>
        <v>-273000</v>
      </c>
      <c r="G976">
        <f t="shared" si="67"/>
        <v>551200</v>
      </c>
      <c r="H976">
        <f t="shared" si="68"/>
        <v>-109200</v>
      </c>
    </row>
    <row r="977" spans="1:8">
      <c r="A977" t="s">
        <v>18</v>
      </c>
      <c r="B977">
        <v>6234000</v>
      </c>
      <c r="C977">
        <v>6132000</v>
      </c>
      <c r="D977" t="str">
        <f>VLOOKUP(A977,Лист2!A:E,5,0)</f>
        <v>малые</v>
      </c>
      <c r="E977">
        <f>VLOOKUP(A977,Лист2!A:E,4,0)</f>
        <v>2.5</v>
      </c>
      <c r="F977" s="12">
        <f t="shared" si="66"/>
        <v>102000</v>
      </c>
      <c r="G977">
        <f t="shared" si="67"/>
        <v>2493600</v>
      </c>
      <c r="H977">
        <f t="shared" si="68"/>
        <v>40800</v>
      </c>
    </row>
    <row r="978" spans="1:8">
      <c r="A978" t="s">
        <v>18</v>
      </c>
      <c r="B978">
        <v>195450000</v>
      </c>
      <c r="C978">
        <v>178368000</v>
      </c>
      <c r="D978" t="str">
        <f>VLOOKUP(A978,Лист2!A:E,5,0)</f>
        <v>малые</v>
      </c>
      <c r="E978">
        <f>VLOOKUP(A978,Лист2!A:E,4,0)</f>
        <v>2.5</v>
      </c>
      <c r="F978" s="12">
        <f t="shared" si="66"/>
        <v>17082000</v>
      </c>
      <c r="G978">
        <f t="shared" si="67"/>
        <v>78180000</v>
      </c>
      <c r="H978">
        <f t="shared" si="68"/>
        <v>6832800</v>
      </c>
    </row>
    <row r="979" spans="1:8">
      <c r="A979" t="s">
        <v>18</v>
      </c>
      <c r="B979">
        <v>1325000</v>
      </c>
      <c r="C979">
        <v>783000</v>
      </c>
      <c r="D979" t="str">
        <f>VLOOKUP(A979,Лист2!A:E,5,0)</f>
        <v>малые</v>
      </c>
      <c r="E979">
        <f>VLOOKUP(A979,Лист2!A:E,4,0)</f>
        <v>2.5</v>
      </c>
      <c r="F979" s="12">
        <f t="shared" si="66"/>
        <v>542000</v>
      </c>
      <c r="G979">
        <f t="shared" si="67"/>
        <v>530000</v>
      </c>
      <c r="H979">
        <f t="shared" si="68"/>
        <v>216800</v>
      </c>
    </row>
    <row r="980" spans="1:8">
      <c r="A980" t="s">
        <v>18</v>
      </c>
      <c r="B980">
        <v>2695000</v>
      </c>
      <c r="C980">
        <v>2213000</v>
      </c>
      <c r="D980" t="str">
        <f>VLOOKUP(A980,Лист2!A:E,5,0)</f>
        <v>малые</v>
      </c>
      <c r="E980">
        <f>VLOOKUP(A980,Лист2!A:E,4,0)</f>
        <v>2.5</v>
      </c>
      <c r="F980" s="12">
        <f t="shared" si="66"/>
        <v>482000</v>
      </c>
      <c r="G980">
        <f t="shared" si="67"/>
        <v>1078000</v>
      </c>
      <c r="H980">
        <f t="shared" si="68"/>
        <v>192800</v>
      </c>
    </row>
    <row r="981" spans="1:8">
      <c r="A981" t="s">
        <v>18</v>
      </c>
      <c r="B981">
        <v>2583000</v>
      </c>
      <c r="C981">
        <v>2530000</v>
      </c>
      <c r="D981" t="str">
        <f>VLOOKUP(A981,Лист2!A:E,5,0)</f>
        <v>малые</v>
      </c>
      <c r="E981">
        <f>VLOOKUP(A981,Лист2!A:E,4,0)</f>
        <v>2.5</v>
      </c>
      <c r="F981" s="12">
        <f t="shared" si="66"/>
        <v>53000</v>
      </c>
      <c r="G981">
        <f t="shared" si="67"/>
        <v>1033200</v>
      </c>
      <c r="H981">
        <f t="shared" si="68"/>
        <v>21200</v>
      </c>
    </row>
    <row r="982" spans="1:8">
      <c r="A982" t="s">
        <v>18</v>
      </c>
      <c r="B982">
        <v>20851000</v>
      </c>
      <c r="C982">
        <v>20824000</v>
      </c>
      <c r="D982" t="str">
        <f>VLOOKUP(A982,Лист2!A:E,5,0)</f>
        <v>малые</v>
      </c>
      <c r="E982">
        <f>VLOOKUP(A982,Лист2!A:E,4,0)</f>
        <v>2.5</v>
      </c>
      <c r="F982" s="12">
        <f t="shared" si="66"/>
        <v>27000</v>
      </c>
      <c r="G982">
        <f t="shared" si="67"/>
        <v>8340400</v>
      </c>
      <c r="H982">
        <f t="shared" si="68"/>
        <v>10800</v>
      </c>
    </row>
    <row r="983" spans="1:8">
      <c r="A983" t="s">
        <v>18</v>
      </c>
      <c r="B983">
        <v>226000</v>
      </c>
      <c r="C983">
        <v>222000</v>
      </c>
      <c r="D983" t="str">
        <f>VLOOKUP(A983,Лист2!A:E,5,0)</f>
        <v>малые</v>
      </c>
      <c r="E983">
        <f>VLOOKUP(A983,Лист2!A:E,4,0)</f>
        <v>2.5</v>
      </c>
      <c r="F983" s="12">
        <f t="shared" si="66"/>
        <v>4000</v>
      </c>
      <c r="G983">
        <f t="shared" si="67"/>
        <v>90400</v>
      </c>
      <c r="H983">
        <f t="shared" si="68"/>
        <v>1600</v>
      </c>
    </row>
    <row r="984" spans="1:8">
      <c r="A984" t="s">
        <v>18</v>
      </c>
      <c r="B984">
        <v>239143000</v>
      </c>
      <c r="C984">
        <v>260688000</v>
      </c>
      <c r="D984" t="str">
        <f>VLOOKUP(A984,Лист2!A:E,5,0)</f>
        <v>малые</v>
      </c>
      <c r="E984">
        <f>VLOOKUP(A984,Лист2!A:E,4,0)</f>
        <v>2.5</v>
      </c>
      <c r="F984" s="12">
        <f t="shared" si="66"/>
        <v>-21545000</v>
      </c>
      <c r="G984">
        <f t="shared" si="67"/>
        <v>95657200</v>
      </c>
      <c r="H984">
        <f t="shared" si="68"/>
        <v>-8618000</v>
      </c>
    </row>
    <row r="985" spans="1:8">
      <c r="A985" t="s">
        <v>18</v>
      </c>
      <c r="B985">
        <v>1664000</v>
      </c>
      <c r="C985">
        <v>1661000</v>
      </c>
      <c r="D985" t="str">
        <f>VLOOKUP(A985,Лист2!A:E,5,0)</f>
        <v>малые</v>
      </c>
      <c r="E985">
        <f>VLOOKUP(A985,Лист2!A:E,4,0)</f>
        <v>2.5</v>
      </c>
      <c r="F985" s="12">
        <f t="shared" si="66"/>
        <v>3000</v>
      </c>
      <c r="G985">
        <f t="shared" si="67"/>
        <v>665600</v>
      </c>
      <c r="H985">
        <f t="shared" si="68"/>
        <v>1200</v>
      </c>
    </row>
    <row r="986" spans="1:8">
      <c r="A986" t="s">
        <v>18</v>
      </c>
      <c r="B986">
        <v>3480000</v>
      </c>
      <c r="C986">
        <v>4041000</v>
      </c>
      <c r="D986" t="str">
        <f>VLOOKUP(A986,Лист2!A:E,5,0)</f>
        <v>малые</v>
      </c>
      <c r="E986">
        <f>VLOOKUP(A986,Лист2!A:E,4,0)</f>
        <v>2.5</v>
      </c>
      <c r="F986" s="12">
        <f t="shared" si="66"/>
        <v>-561000</v>
      </c>
      <c r="G986">
        <f t="shared" si="67"/>
        <v>1392000</v>
      </c>
      <c r="H986">
        <f t="shared" si="68"/>
        <v>-224400</v>
      </c>
    </row>
    <row r="987" spans="1:8">
      <c r="A987" t="s">
        <v>18</v>
      </c>
      <c r="B987">
        <v>23500000</v>
      </c>
      <c r="C987">
        <v>23315000</v>
      </c>
      <c r="D987" t="str">
        <f>VLOOKUP(A987,Лист2!A:E,5,0)</f>
        <v>малые</v>
      </c>
      <c r="E987">
        <f>VLOOKUP(A987,Лист2!A:E,4,0)</f>
        <v>2.5</v>
      </c>
      <c r="F987" s="12">
        <f t="shared" si="66"/>
        <v>185000</v>
      </c>
      <c r="G987">
        <f t="shared" si="67"/>
        <v>9400000</v>
      </c>
      <c r="H987">
        <f t="shared" si="68"/>
        <v>74000</v>
      </c>
    </row>
    <row r="988" spans="1:8">
      <c r="A988" t="s">
        <v>18</v>
      </c>
      <c r="B988">
        <v>107000</v>
      </c>
      <c r="C988">
        <v>116000</v>
      </c>
      <c r="D988" t="str">
        <f>VLOOKUP(A988,Лист2!A:E,5,0)</f>
        <v>малые</v>
      </c>
      <c r="E988">
        <f>VLOOKUP(A988,Лист2!A:E,4,0)</f>
        <v>2.5</v>
      </c>
      <c r="F988" s="12">
        <f t="shared" ref="F988:F1024" si="69">B988-C988</f>
        <v>-9000</v>
      </c>
      <c r="G988">
        <f t="shared" ref="G988:G1024" si="70">B988/E988</f>
        <v>42800</v>
      </c>
      <c r="H988">
        <f t="shared" ref="H988:H1024" si="71">F988/E988</f>
        <v>-3600</v>
      </c>
    </row>
    <row r="989" spans="1:8">
      <c r="A989" t="s">
        <v>77</v>
      </c>
      <c r="B989">
        <v>17848000</v>
      </c>
      <c r="C989">
        <v>14538000</v>
      </c>
      <c r="D989" t="str">
        <f>VLOOKUP(A989,Лист2!A:E,5,0)</f>
        <v>малые</v>
      </c>
      <c r="E989">
        <f>VLOOKUP(A989,Лист2!A:E,4,0)</f>
        <v>8</v>
      </c>
      <c r="F989" s="12">
        <f t="shared" si="69"/>
        <v>3310000</v>
      </c>
      <c r="G989">
        <f t="shared" si="70"/>
        <v>2231000</v>
      </c>
      <c r="H989">
        <f t="shared" si="71"/>
        <v>413750</v>
      </c>
    </row>
    <row r="990" spans="1:8">
      <c r="A990" t="s">
        <v>18</v>
      </c>
      <c r="B990">
        <v>290000</v>
      </c>
      <c r="C990">
        <v>269000</v>
      </c>
      <c r="D990" t="str">
        <f>VLOOKUP(A990,Лист2!A:E,5,0)</f>
        <v>малые</v>
      </c>
      <c r="E990">
        <f>VLOOKUP(A990,Лист2!A:E,4,0)</f>
        <v>2.5</v>
      </c>
      <c r="F990" s="12">
        <f t="shared" si="69"/>
        <v>21000</v>
      </c>
      <c r="G990">
        <f t="shared" si="70"/>
        <v>116000</v>
      </c>
      <c r="H990">
        <f t="shared" si="71"/>
        <v>8400</v>
      </c>
    </row>
    <row r="991" spans="1:8">
      <c r="A991" t="s">
        <v>18</v>
      </c>
      <c r="B991">
        <v>168000</v>
      </c>
      <c r="C991">
        <v>166000</v>
      </c>
      <c r="D991" t="str">
        <f>VLOOKUP(A991,Лист2!A:E,5,0)</f>
        <v>малые</v>
      </c>
      <c r="E991">
        <f>VLOOKUP(A991,Лист2!A:E,4,0)</f>
        <v>2.5</v>
      </c>
      <c r="F991" s="12">
        <f t="shared" si="69"/>
        <v>2000</v>
      </c>
      <c r="G991">
        <f t="shared" si="70"/>
        <v>67200</v>
      </c>
      <c r="H991">
        <f t="shared" si="71"/>
        <v>800</v>
      </c>
    </row>
    <row r="992" spans="1:8">
      <c r="A992" t="s">
        <v>18</v>
      </c>
      <c r="B992">
        <v>480000</v>
      </c>
      <c r="C992">
        <v>1114000</v>
      </c>
      <c r="D992" t="str">
        <f>VLOOKUP(A992,Лист2!A:E,5,0)</f>
        <v>малые</v>
      </c>
      <c r="E992">
        <f>VLOOKUP(A992,Лист2!A:E,4,0)</f>
        <v>2.5</v>
      </c>
      <c r="F992" s="12">
        <f t="shared" si="69"/>
        <v>-634000</v>
      </c>
      <c r="G992">
        <f t="shared" si="70"/>
        <v>192000</v>
      </c>
      <c r="H992">
        <f t="shared" si="71"/>
        <v>-253600</v>
      </c>
    </row>
    <row r="993" spans="1:8">
      <c r="A993" t="s">
        <v>18</v>
      </c>
      <c r="B993">
        <v>8580000</v>
      </c>
      <c r="C993">
        <v>8622000</v>
      </c>
      <c r="D993" t="str">
        <f>VLOOKUP(A993,Лист2!A:E,5,0)</f>
        <v>малые</v>
      </c>
      <c r="E993">
        <f>VLOOKUP(A993,Лист2!A:E,4,0)</f>
        <v>2.5</v>
      </c>
      <c r="F993" s="12">
        <f t="shared" si="69"/>
        <v>-42000</v>
      </c>
      <c r="G993">
        <f t="shared" si="70"/>
        <v>3432000</v>
      </c>
      <c r="H993">
        <f t="shared" si="71"/>
        <v>-16800</v>
      </c>
    </row>
    <row r="994" spans="1:8">
      <c r="A994" t="s">
        <v>22</v>
      </c>
      <c r="B994">
        <v>836770000</v>
      </c>
      <c r="C994">
        <v>701581000</v>
      </c>
      <c r="D994" t="str">
        <f>VLOOKUP(A994,Лист2!A:E,5,0)</f>
        <v>малые</v>
      </c>
      <c r="E994">
        <f>VLOOKUP(A994,Лист2!A:E,4,0)</f>
        <v>13</v>
      </c>
      <c r="F994" s="12">
        <f t="shared" si="69"/>
        <v>135189000</v>
      </c>
      <c r="G994">
        <f t="shared" si="70"/>
        <v>64366923.07692308</v>
      </c>
      <c r="H994">
        <f t="shared" si="71"/>
        <v>10399153.846153846</v>
      </c>
    </row>
    <row r="995" spans="1:8">
      <c r="A995" t="s">
        <v>18</v>
      </c>
      <c r="B995">
        <v>75000</v>
      </c>
      <c r="C995">
        <v>75000</v>
      </c>
      <c r="D995" t="str">
        <f>VLOOKUP(A995,Лист2!A:E,5,0)</f>
        <v>малые</v>
      </c>
      <c r="E995">
        <f>VLOOKUP(A995,Лист2!A:E,4,0)</f>
        <v>2.5</v>
      </c>
      <c r="F995" s="12">
        <f t="shared" si="69"/>
        <v>0</v>
      </c>
      <c r="G995">
        <f t="shared" si="70"/>
        <v>30000</v>
      </c>
      <c r="H995">
        <f t="shared" si="71"/>
        <v>0</v>
      </c>
    </row>
    <row r="996" spans="1:8">
      <c r="A996" t="s">
        <v>77</v>
      </c>
      <c r="B996">
        <v>2973000</v>
      </c>
      <c r="C996">
        <v>2681000</v>
      </c>
      <c r="D996" t="str">
        <f>VLOOKUP(A996,Лист2!A:E,5,0)</f>
        <v>малые</v>
      </c>
      <c r="E996">
        <f>VLOOKUP(A996,Лист2!A:E,4,0)</f>
        <v>8</v>
      </c>
      <c r="F996" s="12">
        <f t="shared" si="69"/>
        <v>292000</v>
      </c>
      <c r="G996">
        <f t="shared" si="70"/>
        <v>371625</v>
      </c>
      <c r="H996">
        <f t="shared" si="71"/>
        <v>36500</v>
      </c>
    </row>
    <row r="997" spans="1:8">
      <c r="A997" t="s">
        <v>18</v>
      </c>
      <c r="B997">
        <v>3579000</v>
      </c>
      <c r="C997">
        <v>4850000</v>
      </c>
      <c r="D997" t="str">
        <f>VLOOKUP(A997,Лист2!A:E,5,0)</f>
        <v>малые</v>
      </c>
      <c r="E997">
        <f>VLOOKUP(A997,Лист2!A:E,4,0)</f>
        <v>2.5</v>
      </c>
      <c r="F997" s="12">
        <f t="shared" si="69"/>
        <v>-1271000</v>
      </c>
      <c r="G997">
        <f t="shared" si="70"/>
        <v>1431600</v>
      </c>
      <c r="H997">
        <f t="shared" si="71"/>
        <v>-508400</v>
      </c>
    </row>
    <row r="998" spans="1:8">
      <c r="A998" t="s">
        <v>18</v>
      </c>
      <c r="B998">
        <v>745000</v>
      </c>
      <c r="C998">
        <v>11000</v>
      </c>
      <c r="D998" t="str">
        <f>VLOOKUP(A998,Лист2!A:E,5,0)</f>
        <v>малые</v>
      </c>
      <c r="E998">
        <f>VLOOKUP(A998,Лист2!A:E,4,0)</f>
        <v>2.5</v>
      </c>
      <c r="F998" s="12">
        <f t="shared" si="69"/>
        <v>734000</v>
      </c>
      <c r="G998">
        <f t="shared" si="70"/>
        <v>298000</v>
      </c>
      <c r="H998">
        <f t="shared" si="71"/>
        <v>293600</v>
      </c>
    </row>
    <row r="999" spans="1:8">
      <c r="A999" t="s">
        <v>18</v>
      </c>
      <c r="B999">
        <v>9044000</v>
      </c>
      <c r="C999">
        <v>8954000</v>
      </c>
      <c r="D999" t="str">
        <f>VLOOKUP(A999,Лист2!A:E,5,0)</f>
        <v>малые</v>
      </c>
      <c r="E999">
        <f>VLOOKUP(A999,Лист2!A:E,4,0)</f>
        <v>2.5</v>
      </c>
      <c r="F999" s="12">
        <f t="shared" si="69"/>
        <v>90000</v>
      </c>
      <c r="G999">
        <f t="shared" si="70"/>
        <v>3617600</v>
      </c>
      <c r="H999">
        <f t="shared" si="71"/>
        <v>36000</v>
      </c>
    </row>
    <row r="1000" spans="1:8">
      <c r="A1000" t="s">
        <v>18</v>
      </c>
      <c r="B1000">
        <v>5000</v>
      </c>
      <c r="C1000">
        <v>5000</v>
      </c>
      <c r="D1000" t="str">
        <f>VLOOKUP(A1000,Лист2!A:E,5,0)</f>
        <v>малые</v>
      </c>
      <c r="E1000">
        <f>VLOOKUP(A1000,Лист2!A:E,4,0)</f>
        <v>2.5</v>
      </c>
      <c r="F1000" s="12">
        <f t="shared" si="69"/>
        <v>0</v>
      </c>
      <c r="G1000">
        <f t="shared" si="70"/>
        <v>2000</v>
      </c>
      <c r="H1000">
        <f t="shared" si="71"/>
        <v>0</v>
      </c>
    </row>
    <row r="1001" spans="1:8">
      <c r="A1001" t="s">
        <v>18</v>
      </c>
      <c r="B1001">
        <v>290000</v>
      </c>
      <c r="C1001">
        <v>260000</v>
      </c>
      <c r="D1001" t="str">
        <f>VLOOKUP(A1001,Лист2!A:E,5,0)</f>
        <v>малые</v>
      </c>
      <c r="E1001">
        <f>VLOOKUP(A1001,Лист2!A:E,4,0)</f>
        <v>2.5</v>
      </c>
      <c r="F1001" s="12">
        <f t="shared" si="69"/>
        <v>30000</v>
      </c>
      <c r="G1001">
        <f t="shared" si="70"/>
        <v>116000</v>
      </c>
      <c r="H1001">
        <f t="shared" si="71"/>
        <v>12000</v>
      </c>
    </row>
    <row r="1002" spans="1:8">
      <c r="A1002" t="s">
        <v>18</v>
      </c>
      <c r="B1002">
        <v>1414000</v>
      </c>
      <c r="C1002">
        <v>1378000</v>
      </c>
      <c r="D1002" t="str">
        <f>VLOOKUP(A1002,Лист2!A:E,5,0)</f>
        <v>малые</v>
      </c>
      <c r="E1002">
        <f>VLOOKUP(A1002,Лист2!A:E,4,0)</f>
        <v>2.5</v>
      </c>
      <c r="F1002" s="12">
        <f t="shared" si="69"/>
        <v>36000</v>
      </c>
      <c r="G1002">
        <f t="shared" si="70"/>
        <v>565600</v>
      </c>
      <c r="H1002">
        <f t="shared" si="71"/>
        <v>14400</v>
      </c>
    </row>
    <row r="1003" spans="1:8">
      <c r="A1003" t="s">
        <v>18</v>
      </c>
      <c r="B1003">
        <v>46000</v>
      </c>
      <c r="C1003">
        <v>46000</v>
      </c>
      <c r="D1003" t="str">
        <f>VLOOKUP(A1003,Лист2!A:E,5,0)</f>
        <v>малые</v>
      </c>
      <c r="E1003">
        <f>VLOOKUP(A1003,Лист2!A:E,4,0)</f>
        <v>2.5</v>
      </c>
      <c r="F1003" s="12">
        <f t="shared" si="69"/>
        <v>0</v>
      </c>
      <c r="G1003">
        <f t="shared" si="70"/>
        <v>18400</v>
      </c>
      <c r="H1003">
        <f t="shared" si="71"/>
        <v>0</v>
      </c>
    </row>
    <row r="1004" spans="1:8">
      <c r="A1004" t="s">
        <v>18</v>
      </c>
      <c r="B1004">
        <v>1467000</v>
      </c>
      <c r="C1004">
        <v>1399000</v>
      </c>
      <c r="D1004" t="str">
        <f>VLOOKUP(A1004,Лист2!A:E,5,0)</f>
        <v>малые</v>
      </c>
      <c r="E1004">
        <f>VLOOKUP(A1004,Лист2!A:E,4,0)</f>
        <v>2.5</v>
      </c>
      <c r="F1004" s="12">
        <f t="shared" si="69"/>
        <v>68000</v>
      </c>
      <c r="G1004">
        <f t="shared" si="70"/>
        <v>586800</v>
      </c>
      <c r="H1004">
        <f t="shared" si="71"/>
        <v>27200</v>
      </c>
    </row>
    <row r="1005" spans="1:8">
      <c r="A1005" t="s">
        <v>18</v>
      </c>
      <c r="B1005">
        <v>200000</v>
      </c>
      <c r="C1005">
        <v>239000</v>
      </c>
      <c r="D1005" t="str">
        <f>VLOOKUP(A1005,Лист2!A:E,5,0)</f>
        <v>малые</v>
      </c>
      <c r="E1005">
        <f>VLOOKUP(A1005,Лист2!A:E,4,0)</f>
        <v>2.5</v>
      </c>
      <c r="F1005" s="12">
        <f t="shared" si="69"/>
        <v>-39000</v>
      </c>
      <c r="G1005">
        <f t="shared" si="70"/>
        <v>80000</v>
      </c>
      <c r="H1005">
        <f t="shared" si="71"/>
        <v>-15600</v>
      </c>
    </row>
    <row r="1006" spans="1:8">
      <c r="A1006" t="s">
        <v>18</v>
      </c>
      <c r="B1006">
        <v>898000</v>
      </c>
      <c r="C1006">
        <v>967000</v>
      </c>
      <c r="D1006" t="str">
        <f>VLOOKUP(A1006,Лист2!A:E,5,0)</f>
        <v>малые</v>
      </c>
      <c r="E1006">
        <f>VLOOKUP(A1006,Лист2!A:E,4,0)</f>
        <v>2.5</v>
      </c>
      <c r="F1006" s="12">
        <f t="shared" si="69"/>
        <v>-69000</v>
      </c>
      <c r="G1006">
        <f t="shared" si="70"/>
        <v>359200</v>
      </c>
      <c r="H1006">
        <f t="shared" si="71"/>
        <v>-27600</v>
      </c>
    </row>
    <row r="1007" spans="1:8">
      <c r="A1007" t="s">
        <v>18</v>
      </c>
      <c r="B1007">
        <v>800000</v>
      </c>
      <c r="C1007">
        <v>899000</v>
      </c>
      <c r="D1007" t="str">
        <f>VLOOKUP(A1007,Лист2!A:E,5,0)</f>
        <v>малые</v>
      </c>
      <c r="E1007">
        <f>VLOOKUP(A1007,Лист2!A:E,4,0)</f>
        <v>2.5</v>
      </c>
      <c r="F1007" s="12">
        <f t="shared" si="69"/>
        <v>-99000</v>
      </c>
      <c r="G1007">
        <f t="shared" si="70"/>
        <v>320000</v>
      </c>
      <c r="H1007">
        <f t="shared" si="71"/>
        <v>-39600</v>
      </c>
    </row>
    <row r="1008" spans="1:8">
      <c r="A1008" t="s">
        <v>18</v>
      </c>
      <c r="B1008">
        <v>14377000</v>
      </c>
      <c r="C1008">
        <v>13691000</v>
      </c>
      <c r="D1008" t="str">
        <f>VLOOKUP(A1008,Лист2!A:E,5,0)</f>
        <v>малые</v>
      </c>
      <c r="E1008">
        <f>VLOOKUP(A1008,Лист2!A:E,4,0)</f>
        <v>2.5</v>
      </c>
      <c r="F1008" s="12">
        <f t="shared" si="69"/>
        <v>686000</v>
      </c>
      <c r="G1008">
        <f t="shared" si="70"/>
        <v>5750800</v>
      </c>
      <c r="H1008">
        <f t="shared" si="71"/>
        <v>274400</v>
      </c>
    </row>
    <row r="1009" spans="1:8">
      <c r="A1009" t="s">
        <v>23</v>
      </c>
      <c r="B1009">
        <v>90832000</v>
      </c>
      <c r="C1009">
        <v>98283000</v>
      </c>
      <c r="D1009" t="str">
        <f>VLOOKUP(A1009,Лист2!A:E,5,0)</f>
        <v>средние</v>
      </c>
      <c r="E1009">
        <f>VLOOKUP(A1009,Лист2!A:E,4,0)</f>
        <v>75.5</v>
      </c>
      <c r="F1009" s="12">
        <f t="shared" si="69"/>
        <v>-7451000</v>
      </c>
      <c r="G1009">
        <f t="shared" si="70"/>
        <v>1203072.8476821191</v>
      </c>
      <c r="H1009">
        <f t="shared" si="71"/>
        <v>-98688.741721854298</v>
      </c>
    </row>
    <row r="1010" spans="1:8">
      <c r="A1010" t="s">
        <v>18</v>
      </c>
      <c r="B1010">
        <v>588000</v>
      </c>
      <c r="C1010">
        <v>630000</v>
      </c>
      <c r="D1010" t="str">
        <f>VLOOKUP(A1010,Лист2!A:E,5,0)</f>
        <v>малые</v>
      </c>
      <c r="E1010">
        <f>VLOOKUP(A1010,Лист2!A:E,4,0)</f>
        <v>2.5</v>
      </c>
      <c r="F1010" s="12">
        <f t="shared" si="69"/>
        <v>-42000</v>
      </c>
      <c r="G1010">
        <f t="shared" si="70"/>
        <v>235200</v>
      </c>
      <c r="H1010">
        <f t="shared" si="71"/>
        <v>-16800</v>
      </c>
    </row>
    <row r="1011" spans="1:8">
      <c r="A1011" t="s">
        <v>18</v>
      </c>
      <c r="B1011">
        <v>1284000</v>
      </c>
      <c r="C1011">
        <v>1319000</v>
      </c>
      <c r="D1011" t="str">
        <f>VLOOKUP(A1011,Лист2!A:E,5,0)</f>
        <v>малые</v>
      </c>
      <c r="E1011">
        <f>VLOOKUP(A1011,Лист2!A:E,4,0)</f>
        <v>2.5</v>
      </c>
      <c r="F1011" s="12">
        <f t="shared" si="69"/>
        <v>-35000</v>
      </c>
      <c r="G1011">
        <f t="shared" si="70"/>
        <v>513600</v>
      </c>
      <c r="H1011">
        <f t="shared" si="71"/>
        <v>-14000</v>
      </c>
    </row>
    <row r="1012" spans="1:8">
      <c r="A1012" t="s">
        <v>18</v>
      </c>
      <c r="B1012">
        <v>831000</v>
      </c>
      <c r="C1012">
        <v>442000</v>
      </c>
      <c r="D1012" t="str">
        <f>VLOOKUP(A1012,Лист2!A:E,5,0)</f>
        <v>малые</v>
      </c>
      <c r="E1012">
        <f>VLOOKUP(A1012,Лист2!A:E,4,0)</f>
        <v>2.5</v>
      </c>
      <c r="F1012" s="12">
        <f t="shared" si="69"/>
        <v>389000</v>
      </c>
      <c r="G1012">
        <f t="shared" si="70"/>
        <v>332400</v>
      </c>
      <c r="H1012">
        <f t="shared" si="71"/>
        <v>155600</v>
      </c>
    </row>
    <row r="1013" spans="1:8">
      <c r="A1013" t="s">
        <v>18</v>
      </c>
      <c r="B1013">
        <v>38855000</v>
      </c>
      <c r="C1013">
        <v>32486000</v>
      </c>
      <c r="D1013" t="str">
        <f>VLOOKUP(A1013,Лист2!A:E,5,0)</f>
        <v>малые</v>
      </c>
      <c r="E1013">
        <f>VLOOKUP(A1013,Лист2!A:E,4,0)</f>
        <v>2.5</v>
      </c>
      <c r="F1013" s="12">
        <f t="shared" si="69"/>
        <v>6369000</v>
      </c>
      <c r="G1013">
        <f t="shared" si="70"/>
        <v>15542000</v>
      </c>
      <c r="H1013">
        <f t="shared" si="71"/>
        <v>2547600</v>
      </c>
    </row>
    <row r="1014" spans="1:8">
      <c r="A1014" t="s">
        <v>18</v>
      </c>
      <c r="B1014">
        <v>1258000</v>
      </c>
      <c r="C1014">
        <v>917000</v>
      </c>
      <c r="D1014" t="str">
        <f>VLOOKUP(A1014,Лист2!A:E,5,0)</f>
        <v>малые</v>
      </c>
      <c r="E1014">
        <f>VLOOKUP(A1014,Лист2!A:E,4,0)</f>
        <v>2.5</v>
      </c>
      <c r="F1014" s="12">
        <f t="shared" si="69"/>
        <v>341000</v>
      </c>
      <c r="G1014">
        <f t="shared" si="70"/>
        <v>503200</v>
      </c>
      <c r="H1014">
        <f t="shared" si="71"/>
        <v>136400</v>
      </c>
    </row>
    <row r="1015" spans="1:8">
      <c r="A1015" t="s">
        <v>77</v>
      </c>
      <c r="B1015">
        <v>10927000</v>
      </c>
      <c r="C1015">
        <v>12422000</v>
      </c>
      <c r="D1015" t="str">
        <f>VLOOKUP(A1015,Лист2!A:E,5,0)</f>
        <v>малые</v>
      </c>
      <c r="E1015">
        <f>VLOOKUP(A1015,Лист2!A:E,4,0)</f>
        <v>8</v>
      </c>
      <c r="F1015" s="12">
        <f t="shared" si="69"/>
        <v>-1495000</v>
      </c>
      <c r="G1015">
        <f t="shared" si="70"/>
        <v>1365875</v>
      </c>
      <c r="H1015">
        <f t="shared" si="71"/>
        <v>-186875</v>
      </c>
    </row>
    <row r="1016" spans="1:8">
      <c r="A1016" t="s">
        <v>18</v>
      </c>
      <c r="B1016">
        <v>5657000</v>
      </c>
      <c r="C1016">
        <v>5666000</v>
      </c>
      <c r="D1016" t="str">
        <f>VLOOKUP(A1016,Лист2!A:E,5,0)</f>
        <v>малые</v>
      </c>
      <c r="E1016">
        <f>VLOOKUP(A1016,Лист2!A:E,4,0)</f>
        <v>2.5</v>
      </c>
      <c r="F1016" s="12">
        <f t="shared" si="69"/>
        <v>-9000</v>
      </c>
      <c r="G1016">
        <f t="shared" si="70"/>
        <v>2262800</v>
      </c>
      <c r="H1016">
        <f t="shared" si="71"/>
        <v>-3600</v>
      </c>
    </row>
    <row r="1017" spans="1:8">
      <c r="A1017" t="s">
        <v>18</v>
      </c>
      <c r="B1017">
        <v>3862000</v>
      </c>
      <c r="C1017">
        <v>4425000</v>
      </c>
      <c r="D1017" t="str">
        <f>VLOOKUP(A1017,Лист2!A:E,5,0)</f>
        <v>малые</v>
      </c>
      <c r="E1017">
        <f>VLOOKUP(A1017,Лист2!A:E,4,0)</f>
        <v>2.5</v>
      </c>
      <c r="F1017" s="12">
        <f t="shared" si="69"/>
        <v>-563000</v>
      </c>
      <c r="G1017">
        <f t="shared" si="70"/>
        <v>1544800</v>
      </c>
      <c r="H1017">
        <f t="shared" si="71"/>
        <v>-225200</v>
      </c>
    </row>
    <row r="1018" spans="1:8">
      <c r="A1018" t="s">
        <v>18</v>
      </c>
      <c r="B1018">
        <v>564000</v>
      </c>
      <c r="C1018">
        <v>803000</v>
      </c>
      <c r="D1018" t="str">
        <f>VLOOKUP(A1018,Лист2!A:E,5,0)</f>
        <v>малые</v>
      </c>
      <c r="E1018">
        <f>VLOOKUP(A1018,Лист2!A:E,4,0)</f>
        <v>2.5</v>
      </c>
      <c r="F1018" s="12">
        <f t="shared" si="69"/>
        <v>-239000</v>
      </c>
      <c r="G1018">
        <f t="shared" si="70"/>
        <v>225600</v>
      </c>
      <c r="H1018">
        <f t="shared" si="71"/>
        <v>-95600</v>
      </c>
    </row>
    <row r="1019" spans="1:8">
      <c r="A1019" t="s">
        <v>18</v>
      </c>
      <c r="B1019">
        <v>787000</v>
      </c>
      <c r="C1019">
        <v>787000</v>
      </c>
      <c r="D1019" t="str">
        <f>VLOOKUP(A1019,Лист2!A:E,5,0)</f>
        <v>малые</v>
      </c>
      <c r="E1019">
        <f>VLOOKUP(A1019,Лист2!A:E,4,0)</f>
        <v>2.5</v>
      </c>
      <c r="F1019" s="12">
        <f t="shared" si="69"/>
        <v>0</v>
      </c>
      <c r="G1019">
        <f t="shared" si="70"/>
        <v>314800</v>
      </c>
      <c r="H1019">
        <f t="shared" si="71"/>
        <v>0</v>
      </c>
    </row>
    <row r="1020" spans="1:8">
      <c r="A1020" t="s">
        <v>18</v>
      </c>
      <c r="B1020">
        <v>43287000</v>
      </c>
      <c r="C1020">
        <v>45202000</v>
      </c>
      <c r="D1020" t="str">
        <f>VLOOKUP(A1020,Лист2!A:E,5,0)</f>
        <v>малые</v>
      </c>
      <c r="E1020">
        <f>VLOOKUP(A1020,Лист2!A:E,4,0)</f>
        <v>2.5</v>
      </c>
      <c r="F1020" s="12">
        <f t="shared" si="69"/>
        <v>-1915000</v>
      </c>
      <c r="G1020">
        <f t="shared" si="70"/>
        <v>17314800</v>
      </c>
      <c r="H1020">
        <f t="shared" si="71"/>
        <v>-766000</v>
      </c>
    </row>
    <row r="1021" spans="1:8">
      <c r="A1021" t="s">
        <v>23</v>
      </c>
      <c r="B1021">
        <v>4216000</v>
      </c>
      <c r="C1021">
        <v>4486000</v>
      </c>
      <c r="D1021" t="str">
        <f>VLOOKUP(A1021,Лист2!A:E,5,0)</f>
        <v>средние</v>
      </c>
      <c r="E1021">
        <f>VLOOKUP(A1021,Лист2!A:E,4,0)</f>
        <v>75.5</v>
      </c>
      <c r="F1021" s="12">
        <f t="shared" si="69"/>
        <v>-270000</v>
      </c>
      <c r="G1021">
        <f t="shared" si="70"/>
        <v>55841.059602649009</v>
      </c>
      <c r="H1021">
        <f t="shared" si="71"/>
        <v>-3576.1589403973512</v>
      </c>
    </row>
    <row r="1022" spans="1:8">
      <c r="A1022" t="s">
        <v>18</v>
      </c>
      <c r="B1022">
        <v>2113000</v>
      </c>
      <c r="C1022">
        <v>2113000</v>
      </c>
      <c r="D1022" t="str">
        <f>VLOOKUP(A1022,Лист2!A:E,5,0)</f>
        <v>малые</v>
      </c>
      <c r="E1022">
        <f>VLOOKUP(A1022,Лист2!A:E,4,0)</f>
        <v>2.5</v>
      </c>
      <c r="F1022" s="12">
        <f t="shared" si="69"/>
        <v>0</v>
      </c>
      <c r="G1022">
        <f t="shared" si="70"/>
        <v>845200</v>
      </c>
      <c r="H1022">
        <f t="shared" si="71"/>
        <v>0</v>
      </c>
    </row>
    <row r="1023" spans="1:8">
      <c r="A1023" t="s">
        <v>18</v>
      </c>
      <c r="B1023">
        <v>207000</v>
      </c>
      <c r="C1023">
        <v>207000</v>
      </c>
      <c r="D1023" t="str">
        <f>VLOOKUP(A1023,Лист2!A:E,5,0)</f>
        <v>малые</v>
      </c>
      <c r="E1023">
        <f>VLOOKUP(A1023,Лист2!A:E,4,0)</f>
        <v>2.5</v>
      </c>
      <c r="F1023" s="12">
        <f t="shared" si="69"/>
        <v>0</v>
      </c>
      <c r="G1023">
        <f t="shared" si="70"/>
        <v>82800</v>
      </c>
      <c r="H1023">
        <f t="shared" si="71"/>
        <v>0</v>
      </c>
    </row>
    <row r="1024" spans="1:8">
      <c r="A1024" t="s">
        <v>18</v>
      </c>
      <c r="B1024">
        <v>3172000</v>
      </c>
      <c r="C1024">
        <v>3491000</v>
      </c>
      <c r="D1024" t="str">
        <f>VLOOKUP(A1024,Лист2!A:E,5,0)</f>
        <v>малые</v>
      </c>
      <c r="E1024">
        <f>VLOOKUP(A1024,Лист2!A:E,4,0)</f>
        <v>2.5</v>
      </c>
      <c r="F1024" s="12">
        <f t="shared" si="69"/>
        <v>-319000</v>
      </c>
      <c r="G1024">
        <f t="shared" si="70"/>
        <v>1268800</v>
      </c>
      <c r="H1024">
        <f t="shared" si="71"/>
        <v>-127600</v>
      </c>
    </row>
    <row r="1025" spans="1:8">
      <c r="A1025" t="s">
        <v>18</v>
      </c>
      <c r="B1025">
        <v>9993000</v>
      </c>
      <c r="C1025">
        <v>9645000</v>
      </c>
      <c r="D1025" t="str">
        <f>VLOOKUP(A1025,Лист2!A:E,5,0)</f>
        <v>малые</v>
      </c>
      <c r="E1025">
        <f>VLOOKUP(A1025,Лист2!A:E,4,0)</f>
        <v>2.5</v>
      </c>
      <c r="F1025" s="12">
        <f t="shared" ref="F1025:F1066" si="72">B1025-C1025</f>
        <v>348000</v>
      </c>
      <c r="G1025">
        <f t="shared" ref="G1025:G1066" si="73">B1025/E1025</f>
        <v>3997200</v>
      </c>
      <c r="H1025">
        <f t="shared" ref="H1025:H1066" si="74">F1025/E1025</f>
        <v>139200</v>
      </c>
    </row>
    <row r="1026" spans="1:8">
      <c r="A1026" t="s">
        <v>22</v>
      </c>
      <c r="B1026">
        <v>23522000</v>
      </c>
      <c r="C1026">
        <v>23765000</v>
      </c>
      <c r="D1026" t="str">
        <f>VLOOKUP(A1026,Лист2!A:E,5,0)</f>
        <v>малые</v>
      </c>
      <c r="E1026">
        <f>VLOOKUP(A1026,Лист2!A:E,4,0)</f>
        <v>13</v>
      </c>
      <c r="F1026" s="12">
        <f t="shared" si="72"/>
        <v>-243000</v>
      </c>
      <c r="G1026">
        <f t="shared" si="73"/>
        <v>1809384.6153846155</v>
      </c>
      <c r="H1026">
        <f t="shared" si="74"/>
        <v>-18692.307692307691</v>
      </c>
    </row>
    <row r="1027" spans="1:8">
      <c r="A1027" t="s">
        <v>18</v>
      </c>
      <c r="B1027">
        <v>1885000</v>
      </c>
      <c r="C1027">
        <v>2006000</v>
      </c>
      <c r="D1027" t="str">
        <f>VLOOKUP(A1027,Лист2!A:E,5,0)</f>
        <v>малые</v>
      </c>
      <c r="E1027">
        <f>VLOOKUP(A1027,Лист2!A:E,4,0)</f>
        <v>2.5</v>
      </c>
      <c r="F1027" s="12">
        <f t="shared" si="72"/>
        <v>-121000</v>
      </c>
      <c r="G1027">
        <f t="shared" si="73"/>
        <v>754000</v>
      </c>
      <c r="H1027">
        <f t="shared" si="74"/>
        <v>-48400</v>
      </c>
    </row>
    <row r="1028" spans="1:8">
      <c r="A1028" t="s">
        <v>18</v>
      </c>
      <c r="B1028">
        <v>930000</v>
      </c>
      <c r="C1028">
        <v>1014000</v>
      </c>
      <c r="D1028" t="str">
        <f>VLOOKUP(A1028,Лист2!A:E,5,0)</f>
        <v>малые</v>
      </c>
      <c r="E1028">
        <f>VLOOKUP(A1028,Лист2!A:E,4,0)</f>
        <v>2.5</v>
      </c>
      <c r="F1028" s="12">
        <f t="shared" si="72"/>
        <v>-84000</v>
      </c>
      <c r="G1028">
        <f t="shared" si="73"/>
        <v>372000</v>
      </c>
      <c r="H1028">
        <f t="shared" si="74"/>
        <v>-33600</v>
      </c>
    </row>
    <row r="1029" spans="1:8">
      <c r="A1029" t="s">
        <v>18</v>
      </c>
      <c r="B1029">
        <v>344639000</v>
      </c>
      <c r="C1029">
        <v>304329000</v>
      </c>
      <c r="D1029" t="str">
        <f>VLOOKUP(A1029,Лист2!A:E,5,0)</f>
        <v>малые</v>
      </c>
      <c r="E1029">
        <f>VLOOKUP(A1029,Лист2!A:E,4,0)</f>
        <v>2.5</v>
      </c>
      <c r="F1029" s="12">
        <f t="shared" si="72"/>
        <v>40310000</v>
      </c>
      <c r="G1029">
        <f t="shared" si="73"/>
        <v>137855600</v>
      </c>
      <c r="H1029">
        <f t="shared" si="74"/>
        <v>16124000</v>
      </c>
    </row>
    <row r="1030" spans="1:8">
      <c r="A1030" t="s">
        <v>18</v>
      </c>
      <c r="B1030">
        <v>1015000</v>
      </c>
      <c r="C1030">
        <v>1023000</v>
      </c>
      <c r="D1030" t="str">
        <f>VLOOKUP(A1030,Лист2!A:E,5,0)</f>
        <v>малые</v>
      </c>
      <c r="E1030">
        <f>VLOOKUP(A1030,Лист2!A:E,4,0)</f>
        <v>2.5</v>
      </c>
      <c r="F1030" s="12">
        <f t="shared" si="72"/>
        <v>-8000</v>
      </c>
      <c r="G1030">
        <f t="shared" si="73"/>
        <v>406000</v>
      </c>
      <c r="H1030">
        <f t="shared" si="74"/>
        <v>-3200</v>
      </c>
    </row>
    <row r="1031" spans="1:8">
      <c r="A1031" t="s">
        <v>18</v>
      </c>
      <c r="B1031">
        <v>219000</v>
      </c>
      <c r="C1031">
        <v>173000</v>
      </c>
      <c r="D1031" t="str">
        <f>VLOOKUP(A1031,Лист2!A:E,5,0)</f>
        <v>малые</v>
      </c>
      <c r="E1031">
        <f>VLOOKUP(A1031,Лист2!A:E,4,0)</f>
        <v>2.5</v>
      </c>
      <c r="F1031" s="12">
        <f t="shared" si="72"/>
        <v>46000</v>
      </c>
      <c r="G1031">
        <f t="shared" si="73"/>
        <v>87600</v>
      </c>
      <c r="H1031">
        <f t="shared" si="74"/>
        <v>18400</v>
      </c>
    </row>
    <row r="1032" spans="1:8">
      <c r="A1032" t="s">
        <v>18</v>
      </c>
      <c r="B1032">
        <v>15898000</v>
      </c>
      <c r="C1032">
        <v>15236000</v>
      </c>
      <c r="D1032" t="str">
        <f>VLOOKUP(A1032,Лист2!A:E,5,0)</f>
        <v>малые</v>
      </c>
      <c r="E1032">
        <f>VLOOKUP(A1032,Лист2!A:E,4,0)</f>
        <v>2.5</v>
      </c>
      <c r="F1032" s="12">
        <f t="shared" si="72"/>
        <v>662000</v>
      </c>
      <c r="G1032">
        <f t="shared" si="73"/>
        <v>6359200</v>
      </c>
      <c r="H1032">
        <f t="shared" si="74"/>
        <v>264800</v>
      </c>
    </row>
    <row r="1033" spans="1:8">
      <c r="A1033" t="s">
        <v>18</v>
      </c>
      <c r="B1033">
        <v>1980000</v>
      </c>
      <c r="C1033">
        <v>2093000</v>
      </c>
      <c r="D1033" t="str">
        <f>VLOOKUP(A1033,Лист2!A:E,5,0)</f>
        <v>малые</v>
      </c>
      <c r="E1033">
        <f>VLOOKUP(A1033,Лист2!A:E,4,0)</f>
        <v>2.5</v>
      </c>
      <c r="F1033" s="12">
        <f t="shared" si="72"/>
        <v>-113000</v>
      </c>
      <c r="G1033">
        <f t="shared" si="73"/>
        <v>792000</v>
      </c>
      <c r="H1033">
        <f t="shared" si="74"/>
        <v>-45200</v>
      </c>
    </row>
    <row r="1034" spans="1:8">
      <c r="A1034" t="s">
        <v>18</v>
      </c>
      <c r="B1034">
        <v>4664000</v>
      </c>
      <c r="C1034">
        <v>4487000</v>
      </c>
      <c r="D1034" t="str">
        <f>VLOOKUP(A1034,Лист2!A:E,5,0)</f>
        <v>малые</v>
      </c>
      <c r="E1034">
        <f>VLOOKUP(A1034,Лист2!A:E,4,0)</f>
        <v>2.5</v>
      </c>
      <c r="F1034" s="12">
        <f t="shared" si="72"/>
        <v>177000</v>
      </c>
      <c r="G1034">
        <f t="shared" si="73"/>
        <v>1865600</v>
      </c>
      <c r="H1034">
        <f t="shared" si="74"/>
        <v>70800</v>
      </c>
    </row>
    <row r="1035" spans="1:8">
      <c r="A1035" t="s">
        <v>18</v>
      </c>
      <c r="B1035">
        <v>43000</v>
      </c>
      <c r="C1035">
        <v>43000</v>
      </c>
      <c r="D1035" t="str">
        <f>VLOOKUP(A1035,Лист2!A:E,5,0)</f>
        <v>малые</v>
      </c>
      <c r="E1035">
        <f>VLOOKUP(A1035,Лист2!A:E,4,0)</f>
        <v>2.5</v>
      </c>
      <c r="F1035" s="12">
        <f t="shared" si="72"/>
        <v>0</v>
      </c>
      <c r="G1035">
        <f t="shared" si="73"/>
        <v>17200</v>
      </c>
      <c r="H1035">
        <f t="shared" si="74"/>
        <v>0</v>
      </c>
    </row>
    <row r="1036" spans="1:8">
      <c r="A1036" t="s">
        <v>18</v>
      </c>
      <c r="B1036">
        <v>36401000</v>
      </c>
      <c r="C1036">
        <v>1053000</v>
      </c>
      <c r="D1036" t="str">
        <f>VLOOKUP(A1036,Лист2!A:E,5,0)</f>
        <v>малые</v>
      </c>
      <c r="E1036">
        <f>VLOOKUP(A1036,Лист2!A:E,4,0)</f>
        <v>2.5</v>
      </c>
      <c r="F1036" s="12">
        <f t="shared" si="72"/>
        <v>35348000</v>
      </c>
      <c r="G1036">
        <f t="shared" si="73"/>
        <v>14560400</v>
      </c>
      <c r="H1036">
        <f t="shared" si="74"/>
        <v>14139200</v>
      </c>
    </row>
    <row r="1037" spans="1:8">
      <c r="A1037" t="s">
        <v>22</v>
      </c>
      <c r="B1037">
        <v>10652000</v>
      </c>
      <c r="C1037">
        <v>13090000</v>
      </c>
      <c r="D1037" t="str">
        <f>VLOOKUP(A1037,Лист2!A:E,5,0)</f>
        <v>малые</v>
      </c>
      <c r="E1037">
        <f>VLOOKUP(A1037,Лист2!A:E,4,0)</f>
        <v>13</v>
      </c>
      <c r="F1037" s="12">
        <f t="shared" si="72"/>
        <v>-2438000</v>
      </c>
      <c r="G1037">
        <f t="shared" si="73"/>
        <v>819384.61538461538</v>
      </c>
      <c r="H1037">
        <f t="shared" si="74"/>
        <v>-187538.46153846153</v>
      </c>
    </row>
    <row r="1038" spans="1:8">
      <c r="A1038" t="s">
        <v>18</v>
      </c>
      <c r="B1038">
        <v>504000</v>
      </c>
      <c r="C1038">
        <v>564000</v>
      </c>
      <c r="D1038" t="str">
        <f>VLOOKUP(A1038,Лист2!A:E,5,0)</f>
        <v>малые</v>
      </c>
      <c r="E1038">
        <f>VLOOKUP(A1038,Лист2!A:E,4,0)</f>
        <v>2.5</v>
      </c>
      <c r="F1038" s="12">
        <f t="shared" si="72"/>
        <v>-60000</v>
      </c>
      <c r="G1038">
        <f t="shared" si="73"/>
        <v>201600</v>
      </c>
      <c r="H1038">
        <f t="shared" si="74"/>
        <v>-24000</v>
      </c>
    </row>
    <row r="1039" spans="1:8">
      <c r="A1039" t="s">
        <v>18</v>
      </c>
      <c r="B1039">
        <v>4182000</v>
      </c>
      <c r="C1039">
        <v>2748000</v>
      </c>
      <c r="D1039" t="str">
        <f>VLOOKUP(A1039,Лист2!A:E,5,0)</f>
        <v>малые</v>
      </c>
      <c r="E1039">
        <f>VLOOKUP(A1039,Лист2!A:E,4,0)</f>
        <v>2.5</v>
      </c>
      <c r="F1039" s="12">
        <f t="shared" si="72"/>
        <v>1434000</v>
      </c>
      <c r="G1039">
        <f t="shared" si="73"/>
        <v>1672800</v>
      </c>
      <c r="H1039">
        <f t="shared" si="74"/>
        <v>573600</v>
      </c>
    </row>
    <row r="1040" spans="1:8">
      <c r="A1040" t="s">
        <v>18</v>
      </c>
      <c r="B1040">
        <v>579000</v>
      </c>
      <c r="C1040">
        <v>564000</v>
      </c>
      <c r="D1040" t="str">
        <f>VLOOKUP(A1040,Лист2!A:E,5,0)</f>
        <v>малые</v>
      </c>
      <c r="E1040">
        <f>VLOOKUP(A1040,Лист2!A:E,4,0)</f>
        <v>2.5</v>
      </c>
      <c r="F1040" s="12">
        <f t="shared" si="72"/>
        <v>15000</v>
      </c>
      <c r="G1040">
        <f t="shared" si="73"/>
        <v>231600</v>
      </c>
      <c r="H1040">
        <f t="shared" si="74"/>
        <v>6000</v>
      </c>
    </row>
    <row r="1041" spans="1:8">
      <c r="A1041" t="s">
        <v>18</v>
      </c>
      <c r="B1041">
        <v>5171000</v>
      </c>
      <c r="C1041">
        <v>5300000</v>
      </c>
      <c r="D1041" t="str">
        <f>VLOOKUP(A1041,Лист2!A:E,5,0)</f>
        <v>малые</v>
      </c>
      <c r="E1041">
        <f>VLOOKUP(A1041,Лист2!A:E,4,0)</f>
        <v>2.5</v>
      </c>
      <c r="F1041" s="12">
        <f t="shared" si="72"/>
        <v>-129000</v>
      </c>
      <c r="G1041">
        <f t="shared" si="73"/>
        <v>2068400</v>
      </c>
      <c r="H1041">
        <f t="shared" si="74"/>
        <v>-51600</v>
      </c>
    </row>
    <row r="1042" spans="1:8">
      <c r="A1042" t="s">
        <v>18</v>
      </c>
      <c r="B1042">
        <v>50000</v>
      </c>
      <c r="C1042">
        <v>87000</v>
      </c>
      <c r="D1042" t="str">
        <f>VLOOKUP(A1042,Лист2!A:E,5,0)</f>
        <v>малые</v>
      </c>
      <c r="E1042">
        <f>VLOOKUP(A1042,Лист2!A:E,4,0)</f>
        <v>2.5</v>
      </c>
      <c r="F1042" s="12">
        <f t="shared" si="72"/>
        <v>-37000</v>
      </c>
      <c r="G1042">
        <f t="shared" si="73"/>
        <v>20000</v>
      </c>
      <c r="H1042">
        <f t="shared" si="74"/>
        <v>-14800</v>
      </c>
    </row>
    <row r="1043" spans="1:8">
      <c r="A1043" t="s">
        <v>18</v>
      </c>
      <c r="B1043">
        <v>102000</v>
      </c>
      <c r="C1043">
        <v>102000</v>
      </c>
      <c r="D1043" t="str">
        <f>VLOOKUP(A1043,Лист2!A:E,5,0)</f>
        <v>малые</v>
      </c>
      <c r="E1043">
        <f>VLOOKUP(A1043,Лист2!A:E,4,0)</f>
        <v>2.5</v>
      </c>
      <c r="F1043" s="12">
        <f t="shared" si="72"/>
        <v>0</v>
      </c>
      <c r="G1043">
        <f t="shared" si="73"/>
        <v>40800</v>
      </c>
      <c r="H1043">
        <f t="shared" si="74"/>
        <v>0</v>
      </c>
    </row>
    <row r="1044" spans="1:8">
      <c r="A1044" t="s">
        <v>18</v>
      </c>
      <c r="B1044">
        <v>4920000</v>
      </c>
      <c r="C1044">
        <v>17519000</v>
      </c>
      <c r="D1044" t="str">
        <f>VLOOKUP(A1044,Лист2!A:E,5,0)</f>
        <v>малые</v>
      </c>
      <c r="E1044">
        <f>VLOOKUP(A1044,Лист2!A:E,4,0)</f>
        <v>2.5</v>
      </c>
      <c r="F1044" s="12">
        <f t="shared" si="72"/>
        <v>-12599000</v>
      </c>
      <c r="G1044">
        <f t="shared" si="73"/>
        <v>1968000</v>
      </c>
      <c r="H1044">
        <f t="shared" si="74"/>
        <v>-5039600</v>
      </c>
    </row>
    <row r="1045" spans="1:8">
      <c r="A1045" t="s">
        <v>18</v>
      </c>
      <c r="B1045">
        <v>2809000</v>
      </c>
      <c r="C1045">
        <v>2755000</v>
      </c>
      <c r="D1045" t="str">
        <f>VLOOKUP(A1045,Лист2!A:E,5,0)</f>
        <v>малые</v>
      </c>
      <c r="E1045">
        <f>VLOOKUP(A1045,Лист2!A:E,4,0)</f>
        <v>2.5</v>
      </c>
      <c r="F1045" s="12">
        <f t="shared" si="72"/>
        <v>54000</v>
      </c>
      <c r="G1045">
        <f t="shared" si="73"/>
        <v>1123600</v>
      </c>
      <c r="H1045">
        <f t="shared" si="74"/>
        <v>21600</v>
      </c>
    </row>
    <row r="1046" spans="1:8">
      <c r="A1046" t="s">
        <v>18</v>
      </c>
      <c r="B1046">
        <v>3805000</v>
      </c>
      <c r="C1046">
        <v>3099000</v>
      </c>
      <c r="D1046" t="str">
        <f>VLOOKUP(A1046,Лист2!A:E,5,0)</f>
        <v>малые</v>
      </c>
      <c r="E1046">
        <f>VLOOKUP(A1046,Лист2!A:E,4,0)</f>
        <v>2.5</v>
      </c>
      <c r="F1046" s="12">
        <f t="shared" si="72"/>
        <v>706000</v>
      </c>
      <c r="G1046">
        <f t="shared" si="73"/>
        <v>1522000</v>
      </c>
      <c r="H1046">
        <f t="shared" si="74"/>
        <v>282400</v>
      </c>
    </row>
    <row r="1047" spans="1:8">
      <c r="A1047" t="s">
        <v>18</v>
      </c>
      <c r="B1047">
        <v>3957000</v>
      </c>
      <c r="C1047">
        <v>4383000</v>
      </c>
      <c r="D1047" t="str">
        <f>VLOOKUP(A1047,Лист2!A:E,5,0)</f>
        <v>малые</v>
      </c>
      <c r="E1047">
        <f>VLOOKUP(A1047,Лист2!A:E,4,0)</f>
        <v>2.5</v>
      </c>
      <c r="F1047" s="12">
        <f t="shared" si="72"/>
        <v>-426000</v>
      </c>
      <c r="G1047">
        <f t="shared" si="73"/>
        <v>1582800</v>
      </c>
      <c r="H1047">
        <f t="shared" si="74"/>
        <v>-170400</v>
      </c>
    </row>
    <row r="1048" spans="1:8">
      <c r="A1048" t="s">
        <v>18</v>
      </c>
      <c r="B1048">
        <v>2890000</v>
      </c>
      <c r="C1048">
        <v>3837000</v>
      </c>
      <c r="D1048" t="str">
        <f>VLOOKUP(A1048,Лист2!A:E,5,0)</f>
        <v>малые</v>
      </c>
      <c r="E1048">
        <f>VLOOKUP(A1048,Лист2!A:E,4,0)</f>
        <v>2.5</v>
      </c>
      <c r="F1048" s="12">
        <f t="shared" si="72"/>
        <v>-947000</v>
      </c>
      <c r="G1048">
        <f t="shared" si="73"/>
        <v>1156000</v>
      </c>
      <c r="H1048">
        <f t="shared" si="74"/>
        <v>-378800</v>
      </c>
    </row>
    <row r="1049" spans="1:8">
      <c r="A1049" t="s">
        <v>18</v>
      </c>
      <c r="B1049">
        <v>2585000</v>
      </c>
      <c r="C1049">
        <v>1805000</v>
      </c>
      <c r="D1049" t="str">
        <f>VLOOKUP(A1049,Лист2!A:E,5,0)</f>
        <v>малые</v>
      </c>
      <c r="E1049">
        <f>VLOOKUP(A1049,Лист2!A:E,4,0)</f>
        <v>2.5</v>
      </c>
      <c r="F1049" s="12">
        <f t="shared" si="72"/>
        <v>780000</v>
      </c>
      <c r="G1049">
        <f t="shared" si="73"/>
        <v>1034000</v>
      </c>
      <c r="H1049">
        <f t="shared" si="74"/>
        <v>312000</v>
      </c>
    </row>
    <row r="1050" spans="1:8">
      <c r="A1050" t="s">
        <v>18</v>
      </c>
      <c r="B1050">
        <v>95000</v>
      </c>
      <c r="C1050">
        <v>163000</v>
      </c>
      <c r="D1050" t="str">
        <f>VLOOKUP(A1050,Лист2!A:E,5,0)</f>
        <v>малые</v>
      </c>
      <c r="E1050">
        <f>VLOOKUP(A1050,Лист2!A:E,4,0)</f>
        <v>2.5</v>
      </c>
      <c r="F1050" s="12">
        <f t="shared" si="72"/>
        <v>-68000</v>
      </c>
      <c r="G1050">
        <f t="shared" si="73"/>
        <v>38000</v>
      </c>
      <c r="H1050">
        <f t="shared" si="74"/>
        <v>-27200</v>
      </c>
    </row>
    <row r="1051" spans="1:8">
      <c r="A1051" t="s">
        <v>18</v>
      </c>
      <c r="B1051">
        <v>2001000</v>
      </c>
      <c r="C1051">
        <v>2148000</v>
      </c>
      <c r="D1051" t="str">
        <f>VLOOKUP(A1051,Лист2!A:E,5,0)</f>
        <v>малые</v>
      </c>
      <c r="E1051">
        <f>VLOOKUP(A1051,Лист2!A:E,4,0)</f>
        <v>2.5</v>
      </c>
      <c r="F1051" s="12">
        <f t="shared" si="72"/>
        <v>-147000</v>
      </c>
      <c r="G1051">
        <f t="shared" si="73"/>
        <v>800400</v>
      </c>
      <c r="H1051">
        <f t="shared" si="74"/>
        <v>-58800</v>
      </c>
    </row>
    <row r="1052" spans="1:8">
      <c r="A1052" t="s">
        <v>18</v>
      </c>
      <c r="B1052">
        <v>967000</v>
      </c>
      <c r="C1052">
        <v>1336000</v>
      </c>
      <c r="D1052" t="str">
        <f>VLOOKUP(A1052,Лист2!A:E,5,0)</f>
        <v>малые</v>
      </c>
      <c r="E1052">
        <f>VLOOKUP(A1052,Лист2!A:E,4,0)</f>
        <v>2.5</v>
      </c>
      <c r="F1052" s="12">
        <f t="shared" si="72"/>
        <v>-369000</v>
      </c>
      <c r="G1052">
        <f t="shared" si="73"/>
        <v>386800</v>
      </c>
      <c r="H1052">
        <f t="shared" si="74"/>
        <v>-147600</v>
      </c>
    </row>
    <row r="1053" spans="1:8">
      <c r="A1053" t="s">
        <v>18</v>
      </c>
      <c r="B1053">
        <v>600000</v>
      </c>
      <c r="C1053">
        <v>628000</v>
      </c>
      <c r="D1053" t="str">
        <f>VLOOKUP(A1053,Лист2!A:E,5,0)</f>
        <v>малые</v>
      </c>
      <c r="E1053">
        <f>VLOOKUP(A1053,Лист2!A:E,4,0)</f>
        <v>2.5</v>
      </c>
      <c r="F1053" s="12">
        <f t="shared" si="72"/>
        <v>-28000</v>
      </c>
      <c r="G1053">
        <f t="shared" si="73"/>
        <v>240000</v>
      </c>
      <c r="H1053">
        <f t="shared" si="74"/>
        <v>-11200</v>
      </c>
    </row>
    <row r="1054" spans="1:8">
      <c r="A1054" t="s">
        <v>18</v>
      </c>
      <c r="B1054">
        <v>6312000</v>
      </c>
      <c r="C1054">
        <v>6809000</v>
      </c>
      <c r="D1054" t="str">
        <f>VLOOKUP(A1054,Лист2!A:E,5,0)</f>
        <v>малые</v>
      </c>
      <c r="E1054">
        <f>VLOOKUP(A1054,Лист2!A:E,4,0)</f>
        <v>2.5</v>
      </c>
      <c r="F1054" s="12">
        <f t="shared" si="72"/>
        <v>-497000</v>
      </c>
      <c r="G1054">
        <f t="shared" si="73"/>
        <v>2524800</v>
      </c>
      <c r="H1054">
        <f t="shared" si="74"/>
        <v>-198800</v>
      </c>
    </row>
    <row r="1055" spans="1:8">
      <c r="A1055" t="s">
        <v>18</v>
      </c>
      <c r="B1055">
        <v>43000</v>
      </c>
      <c r="C1055">
        <v>214000</v>
      </c>
      <c r="D1055" t="str">
        <f>VLOOKUP(A1055,Лист2!A:E,5,0)</f>
        <v>малые</v>
      </c>
      <c r="E1055">
        <f>VLOOKUP(A1055,Лист2!A:E,4,0)</f>
        <v>2.5</v>
      </c>
      <c r="F1055" s="12">
        <f t="shared" si="72"/>
        <v>-171000</v>
      </c>
      <c r="G1055">
        <f t="shared" si="73"/>
        <v>17200</v>
      </c>
      <c r="H1055">
        <f t="shared" si="74"/>
        <v>-68400</v>
      </c>
    </row>
    <row r="1056" spans="1:8">
      <c r="A1056" t="s">
        <v>18</v>
      </c>
      <c r="B1056">
        <v>431000</v>
      </c>
      <c r="C1056">
        <v>609000</v>
      </c>
      <c r="D1056" t="str">
        <f>VLOOKUP(A1056,Лист2!A:E,5,0)</f>
        <v>малые</v>
      </c>
      <c r="E1056">
        <f>VLOOKUP(A1056,Лист2!A:E,4,0)</f>
        <v>2.5</v>
      </c>
      <c r="F1056" s="12">
        <f t="shared" si="72"/>
        <v>-178000</v>
      </c>
      <c r="G1056">
        <f t="shared" si="73"/>
        <v>172400</v>
      </c>
      <c r="H1056">
        <f t="shared" si="74"/>
        <v>-71200</v>
      </c>
    </row>
    <row r="1057" spans="1:8">
      <c r="A1057" t="s">
        <v>18</v>
      </c>
      <c r="B1057">
        <v>1500000</v>
      </c>
      <c r="C1057">
        <v>1758000</v>
      </c>
      <c r="D1057" t="str">
        <f>VLOOKUP(A1057,Лист2!A:E,5,0)</f>
        <v>малые</v>
      </c>
      <c r="E1057">
        <f>VLOOKUP(A1057,Лист2!A:E,4,0)</f>
        <v>2.5</v>
      </c>
      <c r="F1057" s="12">
        <f t="shared" si="72"/>
        <v>-258000</v>
      </c>
      <c r="G1057">
        <f t="shared" si="73"/>
        <v>600000</v>
      </c>
      <c r="H1057">
        <f t="shared" si="74"/>
        <v>-103200</v>
      </c>
    </row>
    <row r="1058" spans="1:8">
      <c r="A1058" t="s">
        <v>18</v>
      </c>
      <c r="B1058">
        <v>2118000</v>
      </c>
      <c r="C1058">
        <v>2118000</v>
      </c>
      <c r="D1058" t="str">
        <f>VLOOKUP(A1058,Лист2!A:E,5,0)</f>
        <v>малые</v>
      </c>
      <c r="E1058">
        <f>VLOOKUP(A1058,Лист2!A:E,4,0)</f>
        <v>2.5</v>
      </c>
      <c r="F1058" s="12">
        <f t="shared" si="72"/>
        <v>0</v>
      </c>
      <c r="G1058">
        <f t="shared" si="73"/>
        <v>847200</v>
      </c>
      <c r="H1058">
        <f t="shared" si="74"/>
        <v>0</v>
      </c>
    </row>
    <row r="1059" spans="1:8">
      <c r="A1059" t="s">
        <v>18</v>
      </c>
      <c r="B1059">
        <v>3098000</v>
      </c>
      <c r="C1059">
        <v>3332000</v>
      </c>
      <c r="D1059" t="str">
        <f>VLOOKUP(A1059,Лист2!A:E,5,0)</f>
        <v>малые</v>
      </c>
      <c r="E1059">
        <f>VLOOKUP(A1059,Лист2!A:E,4,0)</f>
        <v>2.5</v>
      </c>
      <c r="F1059" s="12">
        <f t="shared" si="72"/>
        <v>-234000</v>
      </c>
      <c r="G1059">
        <f t="shared" si="73"/>
        <v>1239200</v>
      </c>
      <c r="H1059">
        <f t="shared" si="74"/>
        <v>-93600</v>
      </c>
    </row>
    <row r="1060" spans="1:8">
      <c r="A1060" t="s">
        <v>18</v>
      </c>
      <c r="B1060">
        <v>120000</v>
      </c>
      <c r="C1060">
        <v>19000</v>
      </c>
      <c r="D1060" t="str">
        <f>VLOOKUP(A1060,Лист2!A:E,5,0)</f>
        <v>малые</v>
      </c>
      <c r="E1060">
        <f>VLOOKUP(A1060,Лист2!A:E,4,0)</f>
        <v>2.5</v>
      </c>
      <c r="F1060" s="12">
        <f t="shared" si="72"/>
        <v>101000</v>
      </c>
      <c r="G1060">
        <f t="shared" si="73"/>
        <v>48000</v>
      </c>
      <c r="H1060">
        <f t="shared" si="74"/>
        <v>40400</v>
      </c>
    </row>
    <row r="1061" spans="1:8">
      <c r="A1061" t="s">
        <v>18</v>
      </c>
      <c r="B1061">
        <v>6929000</v>
      </c>
      <c r="C1061">
        <v>6833000</v>
      </c>
      <c r="D1061" t="str">
        <f>VLOOKUP(A1061,Лист2!A:E,5,0)</f>
        <v>малые</v>
      </c>
      <c r="E1061">
        <f>VLOOKUP(A1061,Лист2!A:E,4,0)</f>
        <v>2.5</v>
      </c>
      <c r="F1061" s="12">
        <f t="shared" si="72"/>
        <v>96000</v>
      </c>
      <c r="G1061">
        <f t="shared" si="73"/>
        <v>2771600</v>
      </c>
      <c r="H1061">
        <f t="shared" si="74"/>
        <v>38400</v>
      </c>
    </row>
    <row r="1062" spans="1:8">
      <c r="A1062" t="s">
        <v>18</v>
      </c>
      <c r="B1062">
        <v>2954000</v>
      </c>
      <c r="C1062">
        <v>340000</v>
      </c>
      <c r="D1062" t="str">
        <f>VLOOKUP(A1062,Лист2!A:E,5,0)</f>
        <v>малые</v>
      </c>
      <c r="E1062">
        <f>VLOOKUP(A1062,Лист2!A:E,4,0)</f>
        <v>2.5</v>
      </c>
      <c r="F1062" s="12">
        <f t="shared" si="72"/>
        <v>2614000</v>
      </c>
      <c r="G1062">
        <f t="shared" si="73"/>
        <v>1181600</v>
      </c>
      <c r="H1062">
        <f t="shared" si="74"/>
        <v>1045600</v>
      </c>
    </row>
    <row r="1063" spans="1:8">
      <c r="A1063" t="s">
        <v>18</v>
      </c>
      <c r="B1063">
        <v>18521000</v>
      </c>
      <c r="C1063">
        <v>73705000</v>
      </c>
      <c r="D1063" t="str">
        <f>VLOOKUP(A1063,Лист2!A:E,5,0)</f>
        <v>малые</v>
      </c>
      <c r="E1063">
        <f>VLOOKUP(A1063,Лист2!A:E,4,0)</f>
        <v>2.5</v>
      </c>
      <c r="F1063" s="12">
        <f t="shared" si="72"/>
        <v>-55184000</v>
      </c>
      <c r="G1063">
        <f t="shared" si="73"/>
        <v>7408400</v>
      </c>
      <c r="H1063">
        <f t="shared" si="74"/>
        <v>-22073600</v>
      </c>
    </row>
    <row r="1064" spans="1:8">
      <c r="A1064" t="s">
        <v>18</v>
      </c>
      <c r="B1064">
        <v>57000</v>
      </c>
      <c r="C1064">
        <v>52000</v>
      </c>
      <c r="D1064" t="str">
        <f>VLOOKUP(A1064,Лист2!A:E,5,0)</f>
        <v>малые</v>
      </c>
      <c r="E1064">
        <f>VLOOKUP(A1064,Лист2!A:E,4,0)</f>
        <v>2.5</v>
      </c>
      <c r="F1064" s="12">
        <f t="shared" si="72"/>
        <v>5000</v>
      </c>
      <c r="G1064">
        <f t="shared" si="73"/>
        <v>22800</v>
      </c>
      <c r="H1064">
        <f t="shared" si="74"/>
        <v>2000</v>
      </c>
    </row>
    <row r="1065" spans="1:8">
      <c r="A1065" t="s">
        <v>18</v>
      </c>
      <c r="B1065">
        <v>2013000</v>
      </c>
      <c r="C1065">
        <v>2194000</v>
      </c>
      <c r="D1065" t="str">
        <f>VLOOKUP(A1065,Лист2!A:E,5,0)</f>
        <v>малые</v>
      </c>
      <c r="E1065">
        <f>VLOOKUP(A1065,Лист2!A:E,4,0)</f>
        <v>2.5</v>
      </c>
      <c r="F1065" s="12">
        <f t="shared" si="72"/>
        <v>-181000</v>
      </c>
      <c r="G1065">
        <f t="shared" si="73"/>
        <v>805200</v>
      </c>
      <c r="H1065">
        <f t="shared" si="74"/>
        <v>-72400</v>
      </c>
    </row>
    <row r="1066" spans="1:8">
      <c r="A1066" t="s">
        <v>18</v>
      </c>
      <c r="B1066">
        <v>2743000</v>
      </c>
      <c r="C1066">
        <v>2685000</v>
      </c>
      <c r="D1066" t="str">
        <f>VLOOKUP(A1066,Лист2!A:E,5,0)</f>
        <v>малые</v>
      </c>
      <c r="E1066">
        <f>VLOOKUP(A1066,Лист2!A:E,4,0)</f>
        <v>2.5</v>
      </c>
      <c r="F1066" s="12">
        <f t="shared" si="72"/>
        <v>58000</v>
      </c>
      <c r="G1066">
        <f t="shared" si="73"/>
        <v>1097200</v>
      </c>
      <c r="H1066">
        <f t="shared" si="74"/>
        <v>23200</v>
      </c>
    </row>
    <row r="1067" spans="1:8">
      <c r="A1067" t="s">
        <v>18</v>
      </c>
      <c r="B1067">
        <v>4159000</v>
      </c>
      <c r="C1067">
        <v>3919000</v>
      </c>
      <c r="D1067" t="str">
        <f>VLOOKUP(A1067,Лист2!A:E,5,0)</f>
        <v>малые</v>
      </c>
      <c r="E1067">
        <f>VLOOKUP(A1067,Лист2!A:E,4,0)</f>
        <v>2.5</v>
      </c>
      <c r="F1067" s="12">
        <f t="shared" ref="F1067:F1107" si="75">B1067-C1067</f>
        <v>240000</v>
      </c>
      <c r="G1067">
        <f t="shared" ref="G1067:G1107" si="76">B1067/E1067</f>
        <v>1663600</v>
      </c>
      <c r="H1067">
        <f t="shared" ref="H1067:H1107" si="77">F1067/E1067</f>
        <v>96000</v>
      </c>
    </row>
    <row r="1068" spans="1:8">
      <c r="A1068" t="s">
        <v>18</v>
      </c>
      <c r="B1068">
        <v>94000</v>
      </c>
      <c r="C1068">
        <v>100000</v>
      </c>
      <c r="D1068" t="str">
        <f>VLOOKUP(A1068,Лист2!A:E,5,0)</f>
        <v>малые</v>
      </c>
      <c r="E1068">
        <f>VLOOKUP(A1068,Лист2!A:E,4,0)</f>
        <v>2.5</v>
      </c>
      <c r="F1068" s="12">
        <f t="shared" si="75"/>
        <v>-6000</v>
      </c>
      <c r="G1068">
        <f t="shared" si="76"/>
        <v>37600</v>
      </c>
      <c r="H1068">
        <f t="shared" si="77"/>
        <v>-2400</v>
      </c>
    </row>
    <row r="1069" spans="1:8">
      <c r="A1069" t="s">
        <v>18</v>
      </c>
      <c r="B1069">
        <v>774000</v>
      </c>
      <c r="C1069">
        <v>557000</v>
      </c>
      <c r="D1069" t="str">
        <f>VLOOKUP(A1069,Лист2!A:E,5,0)</f>
        <v>малые</v>
      </c>
      <c r="E1069">
        <f>VLOOKUP(A1069,Лист2!A:E,4,0)</f>
        <v>2.5</v>
      </c>
      <c r="F1069" s="12">
        <f t="shared" si="75"/>
        <v>217000</v>
      </c>
      <c r="G1069">
        <f t="shared" si="76"/>
        <v>309600</v>
      </c>
      <c r="H1069">
        <f t="shared" si="77"/>
        <v>86800</v>
      </c>
    </row>
    <row r="1070" spans="1:8">
      <c r="A1070" t="s">
        <v>18</v>
      </c>
      <c r="B1070">
        <v>506000</v>
      </c>
      <c r="C1070">
        <v>467000</v>
      </c>
      <c r="D1070" t="str">
        <f>VLOOKUP(A1070,Лист2!A:E,5,0)</f>
        <v>малые</v>
      </c>
      <c r="E1070">
        <f>VLOOKUP(A1070,Лист2!A:E,4,0)</f>
        <v>2.5</v>
      </c>
      <c r="F1070" s="12">
        <f t="shared" si="75"/>
        <v>39000</v>
      </c>
      <c r="G1070">
        <f t="shared" si="76"/>
        <v>202400</v>
      </c>
      <c r="H1070">
        <f t="shared" si="77"/>
        <v>15600</v>
      </c>
    </row>
    <row r="1071" spans="1:8">
      <c r="A1071" t="s">
        <v>22</v>
      </c>
      <c r="B1071">
        <v>8329000</v>
      </c>
      <c r="C1071">
        <v>6900000</v>
      </c>
      <c r="D1071" t="str">
        <f>VLOOKUP(A1071,Лист2!A:E,5,0)</f>
        <v>малые</v>
      </c>
      <c r="E1071">
        <f>VLOOKUP(A1071,Лист2!A:E,4,0)</f>
        <v>13</v>
      </c>
      <c r="F1071" s="12">
        <f t="shared" si="75"/>
        <v>1429000</v>
      </c>
      <c r="G1071">
        <f t="shared" si="76"/>
        <v>640692.30769230775</v>
      </c>
      <c r="H1071">
        <f t="shared" si="77"/>
        <v>109923.07692307692</v>
      </c>
    </row>
    <row r="1072" spans="1:8">
      <c r="A1072" t="s">
        <v>18</v>
      </c>
      <c r="B1072">
        <v>127000</v>
      </c>
      <c r="C1072">
        <v>127000</v>
      </c>
      <c r="D1072" t="str">
        <f>VLOOKUP(A1072,Лист2!A:E,5,0)</f>
        <v>малые</v>
      </c>
      <c r="E1072">
        <f>VLOOKUP(A1072,Лист2!A:E,4,0)</f>
        <v>2.5</v>
      </c>
      <c r="F1072" s="12">
        <f t="shared" si="75"/>
        <v>0</v>
      </c>
      <c r="G1072">
        <f t="shared" si="76"/>
        <v>50800</v>
      </c>
      <c r="H1072">
        <f t="shared" si="77"/>
        <v>0</v>
      </c>
    </row>
    <row r="1073" spans="1:8">
      <c r="A1073" t="s">
        <v>18</v>
      </c>
      <c r="B1073">
        <v>3233000</v>
      </c>
      <c r="C1073">
        <v>3024000</v>
      </c>
      <c r="D1073" t="str">
        <f>VLOOKUP(A1073,Лист2!A:E,5,0)</f>
        <v>малые</v>
      </c>
      <c r="E1073">
        <f>VLOOKUP(A1073,Лист2!A:E,4,0)</f>
        <v>2.5</v>
      </c>
      <c r="F1073" s="12">
        <f t="shared" si="75"/>
        <v>209000</v>
      </c>
      <c r="G1073">
        <f t="shared" si="76"/>
        <v>1293200</v>
      </c>
      <c r="H1073">
        <f t="shared" si="77"/>
        <v>83600</v>
      </c>
    </row>
    <row r="1074" spans="1:8">
      <c r="A1074" t="s">
        <v>18</v>
      </c>
      <c r="B1074">
        <v>8000</v>
      </c>
      <c r="C1074">
        <v>12000</v>
      </c>
      <c r="D1074" t="str">
        <f>VLOOKUP(A1074,Лист2!A:E,5,0)</f>
        <v>малые</v>
      </c>
      <c r="E1074">
        <f>VLOOKUP(A1074,Лист2!A:E,4,0)</f>
        <v>2.5</v>
      </c>
      <c r="F1074" s="12">
        <f t="shared" si="75"/>
        <v>-4000</v>
      </c>
      <c r="G1074">
        <f t="shared" si="76"/>
        <v>3200</v>
      </c>
      <c r="H1074">
        <f t="shared" si="77"/>
        <v>-1600</v>
      </c>
    </row>
    <row r="1075" spans="1:8">
      <c r="A1075" t="s">
        <v>18</v>
      </c>
      <c r="B1075">
        <v>3275000</v>
      </c>
      <c r="C1075">
        <v>3122000</v>
      </c>
      <c r="D1075" t="str">
        <f>VLOOKUP(A1075,Лист2!A:E,5,0)</f>
        <v>малые</v>
      </c>
      <c r="E1075">
        <f>VLOOKUP(A1075,Лист2!A:E,4,0)</f>
        <v>2.5</v>
      </c>
      <c r="F1075" s="12">
        <f t="shared" si="75"/>
        <v>153000</v>
      </c>
      <c r="G1075">
        <f t="shared" si="76"/>
        <v>1310000</v>
      </c>
      <c r="H1075">
        <f t="shared" si="77"/>
        <v>61200</v>
      </c>
    </row>
    <row r="1076" spans="1:8">
      <c r="A1076" t="s">
        <v>18</v>
      </c>
      <c r="B1076">
        <v>563000</v>
      </c>
      <c r="C1076">
        <v>575000</v>
      </c>
      <c r="D1076" t="str">
        <f>VLOOKUP(A1076,Лист2!A:E,5,0)</f>
        <v>малые</v>
      </c>
      <c r="E1076">
        <f>VLOOKUP(A1076,Лист2!A:E,4,0)</f>
        <v>2.5</v>
      </c>
      <c r="F1076" s="12">
        <f t="shared" si="75"/>
        <v>-12000</v>
      </c>
      <c r="G1076">
        <f t="shared" si="76"/>
        <v>225200</v>
      </c>
      <c r="H1076">
        <f t="shared" si="77"/>
        <v>-4800</v>
      </c>
    </row>
    <row r="1077" spans="1:8">
      <c r="A1077" t="s">
        <v>18</v>
      </c>
      <c r="B1077">
        <v>358000</v>
      </c>
      <c r="C1077">
        <v>292000</v>
      </c>
      <c r="D1077" t="str">
        <f>VLOOKUP(A1077,Лист2!A:E,5,0)</f>
        <v>малые</v>
      </c>
      <c r="E1077">
        <f>VLOOKUP(A1077,Лист2!A:E,4,0)</f>
        <v>2.5</v>
      </c>
      <c r="F1077" s="12">
        <f t="shared" si="75"/>
        <v>66000</v>
      </c>
      <c r="G1077">
        <f t="shared" si="76"/>
        <v>143200</v>
      </c>
      <c r="H1077">
        <f t="shared" si="77"/>
        <v>26400</v>
      </c>
    </row>
    <row r="1078" spans="1:8">
      <c r="A1078" t="s">
        <v>77</v>
      </c>
      <c r="B1078">
        <v>29425000</v>
      </c>
      <c r="C1078">
        <v>34396000</v>
      </c>
      <c r="D1078" t="str">
        <f>VLOOKUP(A1078,Лист2!A:E,5,0)</f>
        <v>малые</v>
      </c>
      <c r="E1078">
        <f>VLOOKUP(A1078,Лист2!A:E,4,0)</f>
        <v>8</v>
      </c>
      <c r="F1078" s="12">
        <f t="shared" si="75"/>
        <v>-4971000</v>
      </c>
      <c r="G1078">
        <f t="shared" si="76"/>
        <v>3678125</v>
      </c>
      <c r="H1078">
        <f t="shared" si="77"/>
        <v>-621375</v>
      </c>
    </row>
    <row r="1079" spans="1:8">
      <c r="A1079" t="s">
        <v>18</v>
      </c>
      <c r="B1079">
        <v>4307000</v>
      </c>
      <c r="C1079">
        <v>4304000</v>
      </c>
      <c r="D1079" t="str">
        <f>VLOOKUP(A1079,Лист2!A:E,5,0)</f>
        <v>малые</v>
      </c>
      <c r="E1079">
        <f>VLOOKUP(A1079,Лист2!A:E,4,0)</f>
        <v>2.5</v>
      </c>
      <c r="F1079" s="12">
        <f t="shared" si="75"/>
        <v>3000</v>
      </c>
      <c r="G1079">
        <f t="shared" si="76"/>
        <v>1722800</v>
      </c>
      <c r="H1079">
        <f t="shared" si="77"/>
        <v>1200</v>
      </c>
    </row>
    <row r="1080" spans="1:8">
      <c r="A1080" t="s">
        <v>18</v>
      </c>
      <c r="B1080">
        <v>58000</v>
      </c>
      <c r="C1080">
        <v>56000</v>
      </c>
      <c r="D1080" t="str">
        <f>VLOOKUP(A1080,Лист2!A:E,5,0)</f>
        <v>малые</v>
      </c>
      <c r="E1080">
        <f>VLOOKUP(A1080,Лист2!A:E,4,0)</f>
        <v>2.5</v>
      </c>
      <c r="F1080" s="12">
        <f t="shared" si="75"/>
        <v>2000</v>
      </c>
      <c r="G1080">
        <f t="shared" si="76"/>
        <v>23200</v>
      </c>
      <c r="H1080">
        <f t="shared" si="77"/>
        <v>800</v>
      </c>
    </row>
    <row r="1081" spans="1:8">
      <c r="A1081" t="s">
        <v>18</v>
      </c>
      <c r="B1081">
        <v>3120000</v>
      </c>
      <c r="C1081">
        <v>13335000</v>
      </c>
      <c r="D1081" t="str">
        <f>VLOOKUP(A1081,Лист2!A:E,5,0)</f>
        <v>малые</v>
      </c>
      <c r="E1081">
        <f>VLOOKUP(A1081,Лист2!A:E,4,0)</f>
        <v>2.5</v>
      </c>
      <c r="F1081" s="12">
        <f t="shared" si="75"/>
        <v>-10215000</v>
      </c>
      <c r="G1081">
        <f t="shared" si="76"/>
        <v>1248000</v>
      </c>
      <c r="H1081">
        <f t="shared" si="77"/>
        <v>-4086000</v>
      </c>
    </row>
    <row r="1082" spans="1:8">
      <c r="A1082" t="s">
        <v>18</v>
      </c>
      <c r="B1082">
        <v>13588000</v>
      </c>
      <c r="C1082">
        <v>12768000</v>
      </c>
      <c r="D1082" t="str">
        <f>VLOOKUP(A1082,Лист2!A:E,5,0)</f>
        <v>малые</v>
      </c>
      <c r="E1082">
        <f>VLOOKUP(A1082,Лист2!A:E,4,0)</f>
        <v>2.5</v>
      </c>
      <c r="F1082" s="12">
        <f t="shared" si="75"/>
        <v>820000</v>
      </c>
      <c r="G1082">
        <f t="shared" si="76"/>
        <v>5435200</v>
      </c>
      <c r="H1082">
        <f t="shared" si="77"/>
        <v>328000</v>
      </c>
    </row>
    <row r="1083" spans="1:8">
      <c r="A1083" t="s">
        <v>18</v>
      </c>
      <c r="B1083">
        <v>422000</v>
      </c>
      <c r="C1083">
        <v>455000</v>
      </c>
      <c r="D1083" t="str">
        <f>VLOOKUP(A1083,Лист2!A:E,5,0)</f>
        <v>малые</v>
      </c>
      <c r="E1083">
        <f>VLOOKUP(A1083,Лист2!A:E,4,0)</f>
        <v>2.5</v>
      </c>
      <c r="F1083" s="12">
        <f t="shared" si="75"/>
        <v>-33000</v>
      </c>
      <c r="G1083">
        <f t="shared" si="76"/>
        <v>168800</v>
      </c>
      <c r="H1083">
        <f t="shared" si="77"/>
        <v>-13200</v>
      </c>
    </row>
    <row r="1084" spans="1:8">
      <c r="A1084" t="s">
        <v>18</v>
      </c>
      <c r="B1084">
        <v>36875000</v>
      </c>
      <c r="C1084">
        <v>36471000</v>
      </c>
      <c r="D1084" t="str">
        <f>VLOOKUP(A1084,Лист2!A:E,5,0)</f>
        <v>малые</v>
      </c>
      <c r="E1084">
        <f>VLOOKUP(A1084,Лист2!A:E,4,0)</f>
        <v>2.5</v>
      </c>
      <c r="F1084" s="12">
        <f t="shared" si="75"/>
        <v>404000</v>
      </c>
      <c r="G1084">
        <f t="shared" si="76"/>
        <v>14750000</v>
      </c>
      <c r="H1084">
        <f t="shared" si="77"/>
        <v>161600</v>
      </c>
    </row>
    <row r="1085" spans="1:8">
      <c r="A1085" t="s">
        <v>18</v>
      </c>
      <c r="B1085">
        <v>973000</v>
      </c>
      <c r="C1085">
        <v>270000</v>
      </c>
      <c r="D1085" t="str">
        <f>VLOOKUP(A1085,Лист2!A:E,5,0)</f>
        <v>малые</v>
      </c>
      <c r="E1085">
        <f>VLOOKUP(A1085,Лист2!A:E,4,0)</f>
        <v>2.5</v>
      </c>
      <c r="F1085" s="12">
        <f t="shared" si="75"/>
        <v>703000</v>
      </c>
      <c r="G1085">
        <f t="shared" si="76"/>
        <v>389200</v>
      </c>
      <c r="H1085">
        <f t="shared" si="77"/>
        <v>281200</v>
      </c>
    </row>
    <row r="1086" spans="1:8">
      <c r="A1086" t="s">
        <v>18</v>
      </c>
      <c r="B1086">
        <v>187000</v>
      </c>
      <c r="C1086">
        <v>321000</v>
      </c>
      <c r="D1086" t="str">
        <f>VLOOKUP(A1086,Лист2!A:E,5,0)</f>
        <v>малые</v>
      </c>
      <c r="E1086">
        <f>VLOOKUP(A1086,Лист2!A:E,4,0)</f>
        <v>2.5</v>
      </c>
      <c r="F1086" s="12">
        <f t="shared" si="75"/>
        <v>-134000</v>
      </c>
      <c r="G1086">
        <f t="shared" si="76"/>
        <v>74800</v>
      </c>
      <c r="H1086">
        <f t="shared" si="77"/>
        <v>-53600</v>
      </c>
    </row>
    <row r="1087" spans="1:8">
      <c r="A1087" t="s">
        <v>18</v>
      </c>
      <c r="B1087">
        <v>915000</v>
      </c>
      <c r="C1087">
        <v>861000</v>
      </c>
      <c r="D1087" t="str">
        <f>VLOOKUP(A1087,Лист2!A:E,5,0)</f>
        <v>малые</v>
      </c>
      <c r="E1087">
        <f>VLOOKUP(A1087,Лист2!A:E,4,0)</f>
        <v>2.5</v>
      </c>
      <c r="F1087" s="12">
        <f t="shared" si="75"/>
        <v>54000</v>
      </c>
      <c r="G1087">
        <f t="shared" si="76"/>
        <v>366000</v>
      </c>
      <c r="H1087">
        <f t="shared" si="77"/>
        <v>21600</v>
      </c>
    </row>
    <row r="1088" spans="1:8">
      <c r="A1088" t="s">
        <v>22</v>
      </c>
      <c r="B1088">
        <v>4999000</v>
      </c>
      <c r="C1088">
        <v>11911000</v>
      </c>
      <c r="D1088" t="str">
        <f>VLOOKUP(A1088,Лист2!A:E,5,0)</f>
        <v>малые</v>
      </c>
      <c r="E1088">
        <f>VLOOKUP(A1088,Лист2!A:E,4,0)</f>
        <v>13</v>
      </c>
      <c r="F1088" s="12">
        <f t="shared" si="75"/>
        <v>-6912000</v>
      </c>
      <c r="G1088">
        <f t="shared" si="76"/>
        <v>384538.46153846156</v>
      </c>
      <c r="H1088">
        <f t="shared" si="77"/>
        <v>-531692.30769230775</v>
      </c>
    </row>
    <row r="1089" spans="1:8">
      <c r="A1089" t="s">
        <v>18</v>
      </c>
      <c r="B1089">
        <v>104000</v>
      </c>
      <c r="C1089">
        <v>106000</v>
      </c>
      <c r="D1089" t="str">
        <f>VLOOKUP(A1089,Лист2!A:E,5,0)</f>
        <v>малые</v>
      </c>
      <c r="E1089">
        <f>VLOOKUP(A1089,Лист2!A:E,4,0)</f>
        <v>2.5</v>
      </c>
      <c r="F1089" s="12">
        <f t="shared" si="75"/>
        <v>-2000</v>
      </c>
      <c r="G1089">
        <f t="shared" si="76"/>
        <v>41600</v>
      </c>
      <c r="H1089">
        <f t="shared" si="77"/>
        <v>-800</v>
      </c>
    </row>
    <row r="1090" spans="1:8">
      <c r="A1090" t="s">
        <v>18</v>
      </c>
      <c r="B1090">
        <v>5000</v>
      </c>
      <c r="C1090">
        <v>4000</v>
      </c>
      <c r="D1090" t="str">
        <f>VLOOKUP(A1090,Лист2!A:E,5,0)</f>
        <v>малые</v>
      </c>
      <c r="E1090">
        <f>VLOOKUP(A1090,Лист2!A:E,4,0)</f>
        <v>2.5</v>
      </c>
      <c r="F1090" s="12">
        <f t="shared" si="75"/>
        <v>1000</v>
      </c>
      <c r="G1090">
        <f t="shared" si="76"/>
        <v>2000</v>
      </c>
      <c r="H1090">
        <f t="shared" si="77"/>
        <v>400</v>
      </c>
    </row>
    <row r="1091" spans="1:8">
      <c r="A1091" t="s">
        <v>77</v>
      </c>
      <c r="B1091">
        <v>6422000</v>
      </c>
      <c r="C1091">
        <v>6838000</v>
      </c>
      <c r="D1091" t="str">
        <f>VLOOKUP(A1091,Лист2!A:E,5,0)</f>
        <v>малые</v>
      </c>
      <c r="E1091">
        <f>VLOOKUP(A1091,Лист2!A:E,4,0)</f>
        <v>8</v>
      </c>
      <c r="F1091" s="12">
        <f t="shared" si="75"/>
        <v>-416000</v>
      </c>
      <c r="G1091">
        <f t="shared" si="76"/>
        <v>802750</v>
      </c>
      <c r="H1091">
        <f t="shared" si="77"/>
        <v>-52000</v>
      </c>
    </row>
    <row r="1092" spans="1:8">
      <c r="A1092" t="s">
        <v>18</v>
      </c>
      <c r="B1092">
        <v>730000</v>
      </c>
      <c r="C1092">
        <v>682000</v>
      </c>
      <c r="D1092" t="str">
        <f>VLOOKUP(A1092,Лист2!A:E,5,0)</f>
        <v>малые</v>
      </c>
      <c r="E1092">
        <f>VLOOKUP(A1092,Лист2!A:E,4,0)</f>
        <v>2.5</v>
      </c>
      <c r="F1092" s="12">
        <f t="shared" si="75"/>
        <v>48000</v>
      </c>
      <c r="G1092">
        <f t="shared" si="76"/>
        <v>292000</v>
      </c>
      <c r="H1092">
        <f t="shared" si="77"/>
        <v>19200</v>
      </c>
    </row>
    <row r="1093" spans="1:8">
      <c r="A1093" t="s">
        <v>18</v>
      </c>
      <c r="B1093">
        <v>12220000</v>
      </c>
      <c r="C1093">
        <v>35258000</v>
      </c>
      <c r="D1093" t="str">
        <f>VLOOKUP(A1093,Лист2!A:E,5,0)</f>
        <v>малые</v>
      </c>
      <c r="E1093">
        <f>VLOOKUP(A1093,Лист2!A:E,4,0)</f>
        <v>2.5</v>
      </c>
      <c r="F1093" s="12">
        <f t="shared" si="75"/>
        <v>-23038000</v>
      </c>
      <c r="G1093">
        <f t="shared" si="76"/>
        <v>4888000</v>
      </c>
      <c r="H1093">
        <f t="shared" si="77"/>
        <v>-9215200</v>
      </c>
    </row>
    <row r="1094" spans="1:8">
      <c r="A1094" t="s">
        <v>18</v>
      </c>
      <c r="B1094">
        <v>14224000</v>
      </c>
      <c r="C1094">
        <v>15202000</v>
      </c>
      <c r="D1094" t="str">
        <f>VLOOKUP(A1094,Лист2!A:E,5,0)</f>
        <v>малые</v>
      </c>
      <c r="E1094">
        <f>VLOOKUP(A1094,Лист2!A:E,4,0)</f>
        <v>2.5</v>
      </c>
      <c r="F1094" s="12">
        <f t="shared" si="75"/>
        <v>-978000</v>
      </c>
      <c r="G1094">
        <f t="shared" si="76"/>
        <v>5689600</v>
      </c>
      <c r="H1094">
        <f t="shared" si="77"/>
        <v>-391200</v>
      </c>
    </row>
    <row r="1095" spans="1:8">
      <c r="A1095" t="s">
        <v>18</v>
      </c>
      <c r="B1095">
        <v>6274000</v>
      </c>
      <c r="C1095">
        <v>8735000</v>
      </c>
      <c r="D1095" t="str">
        <f>VLOOKUP(A1095,Лист2!A:E,5,0)</f>
        <v>малые</v>
      </c>
      <c r="E1095">
        <f>VLOOKUP(A1095,Лист2!A:E,4,0)</f>
        <v>2.5</v>
      </c>
      <c r="F1095" s="12">
        <f t="shared" si="75"/>
        <v>-2461000</v>
      </c>
      <c r="G1095">
        <f t="shared" si="76"/>
        <v>2509600</v>
      </c>
      <c r="H1095">
        <f t="shared" si="77"/>
        <v>-984400</v>
      </c>
    </row>
    <row r="1096" spans="1:8">
      <c r="A1096" t="s">
        <v>18</v>
      </c>
      <c r="B1096">
        <v>2394000</v>
      </c>
      <c r="C1096">
        <v>2450000</v>
      </c>
      <c r="D1096" t="str">
        <f>VLOOKUP(A1096,Лист2!A:E,5,0)</f>
        <v>малые</v>
      </c>
      <c r="E1096">
        <f>VLOOKUP(A1096,Лист2!A:E,4,0)</f>
        <v>2.5</v>
      </c>
      <c r="F1096" s="12">
        <f t="shared" si="75"/>
        <v>-56000</v>
      </c>
      <c r="G1096">
        <f t="shared" si="76"/>
        <v>957600</v>
      </c>
      <c r="H1096">
        <f t="shared" si="77"/>
        <v>-22400</v>
      </c>
    </row>
    <row r="1097" spans="1:8">
      <c r="A1097" t="s">
        <v>77</v>
      </c>
      <c r="B1097">
        <v>115000</v>
      </c>
      <c r="C1097">
        <v>96000</v>
      </c>
      <c r="D1097" t="str">
        <f>VLOOKUP(A1097,Лист2!A:E,5,0)</f>
        <v>малые</v>
      </c>
      <c r="E1097">
        <f>VLOOKUP(A1097,Лист2!A:E,4,0)</f>
        <v>8</v>
      </c>
      <c r="F1097" s="12">
        <f t="shared" si="75"/>
        <v>19000</v>
      </c>
      <c r="G1097">
        <f t="shared" si="76"/>
        <v>14375</v>
      </c>
      <c r="H1097">
        <f t="shared" si="77"/>
        <v>2375</v>
      </c>
    </row>
    <row r="1098" spans="1:8">
      <c r="A1098" t="s">
        <v>18</v>
      </c>
      <c r="B1098">
        <v>2415000</v>
      </c>
      <c r="C1098">
        <v>2846000</v>
      </c>
      <c r="D1098" t="str">
        <f>VLOOKUP(A1098,Лист2!A:E,5,0)</f>
        <v>малые</v>
      </c>
      <c r="E1098">
        <f>VLOOKUP(A1098,Лист2!A:E,4,0)</f>
        <v>2.5</v>
      </c>
      <c r="F1098" s="12">
        <f t="shared" si="75"/>
        <v>-431000</v>
      </c>
      <c r="G1098">
        <f t="shared" si="76"/>
        <v>966000</v>
      </c>
      <c r="H1098">
        <f t="shared" si="77"/>
        <v>-172400</v>
      </c>
    </row>
    <row r="1099" spans="1:8">
      <c r="A1099" t="s">
        <v>22</v>
      </c>
      <c r="B1099">
        <v>15407000</v>
      </c>
      <c r="C1099">
        <v>14014000</v>
      </c>
      <c r="D1099" t="str">
        <f>VLOOKUP(A1099,Лист2!A:E,5,0)</f>
        <v>малые</v>
      </c>
      <c r="E1099">
        <f>VLOOKUP(A1099,Лист2!A:E,4,0)</f>
        <v>13</v>
      </c>
      <c r="F1099" s="12">
        <f t="shared" si="75"/>
        <v>1393000</v>
      </c>
      <c r="G1099">
        <f t="shared" si="76"/>
        <v>1185153.8461538462</v>
      </c>
      <c r="H1099">
        <f t="shared" si="77"/>
        <v>107153.84615384616</v>
      </c>
    </row>
    <row r="1100" spans="1:8">
      <c r="A1100" t="s">
        <v>18</v>
      </c>
      <c r="B1100">
        <v>110000</v>
      </c>
      <c r="C1100">
        <v>110000</v>
      </c>
      <c r="D1100" t="str">
        <f>VLOOKUP(A1100,Лист2!A:E,5,0)</f>
        <v>малые</v>
      </c>
      <c r="E1100">
        <f>VLOOKUP(A1100,Лист2!A:E,4,0)</f>
        <v>2.5</v>
      </c>
      <c r="F1100" s="12">
        <f t="shared" si="75"/>
        <v>0</v>
      </c>
      <c r="G1100">
        <f t="shared" si="76"/>
        <v>44000</v>
      </c>
      <c r="H1100">
        <f t="shared" si="77"/>
        <v>0</v>
      </c>
    </row>
    <row r="1101" spans="1:8">
      <c r="A1101" t="s">
        <v>18</v>
      </c>
      <c r="B1101">
        <v>84320000</v>
      </c>
      <c r="C1101">
        <v>69595000</v>
      </c>
      <c r="D1101" t="str">
        <f>VLOOKUP(A1101,Лист2!A:E,5,0)</f>
        <v>малые</v>
      </c>
      <c r="E1101">
        <f>VLOOKUP(A1101,Лист2!A:E,4,0)</f>
        <v>2.5</v>
      </c>
      <c r="F1101" s="12">
        <f t="shared" si="75"/>
        <v>14725000</v>
      </c>
      <c r="G1101">
        <f t="shared" si="76"/>
        <v>33728000</v>
      </c>
      <c r="H1101">
        <f t="shared" si="77"/>
        <v>5890000</v>
      </c>
    </row>
    <row r="1102" spans="1:8">
      <c r="A1102" t="s">
        <v>18</v>
      </c>
      <c r="B1102">
        <v>820000</v>
      </c>
      <c r="C1102">
        <v>851000</v>
      </c>
      <c r="D1102" t="str">
        <f>VLOOKUP(A1102,Лист2!A:E,5,0)</f>
        <v>малые</v>
      </c>
      <c r="E1102">
        <f>VLOOKUP(A1102,Лист2!A:E,4,0)</f>
        <v>2.5</v>
      </c>
      <c r="F1102" s="12">
        <f t="shared" si="75"/>
        <v>-31000</v>
      </c>
      <c r="G1102">
        <f t="shared" si="76"/>
        <v>328000</v>
      </c>
      <c r="H1102">
        <f t="shared" si="77"/>
        <v>-12400</v>
      </c>
    </row>
    <row r="1103" spans="1:8">
      <c r="A1103" t="s">
        <v>18</v>
      </c>
      <c r="B1103">
        <v>441000</v>
      </c>
      <c r="C1103">
        <v>834000</v>
      </c>
      <c r="D1103" t="str">
        <f>VLOOKUP(A1103,Лист2!A:E,5,0)</f>
        <v>малые</v>
      </c>
      <c r="E1103">
        <f>VLOOKUP(A1103,Лист2!A:E,4,0)</f>
        <v>2.5</v>
      </c>
      <c r="F1103" s="12">
        <f t="shared" si="75"/>
        <v>-393000</v>
      </c>
      <c r="G1103">
        <f t="shared" si="76"/>
        <v>176400</v>
      </c>
      <c r="H1103">
        <f t="shared" si="77"/>
        <v>-157200</v>
      </c>
    </row>
    <row r="1104" spans="1:8">
      <c r="A1104" t="s">
        <v>22</v>
      </c>
      <c r="B1104">
        <v>26979000</v>
      </c>
      <c r="C1104">
        <v>26484000</v>
      </c>
      <c r="D1104" t="str">
        <f>VLOOKUP(A1104,Лист2!A:E,5,0)</f>
        <v>малые</v>
      </c>
      <c r="E1104">
        <f>VLOOKUP(A1104,Лист2!A:E,4,0)</f>
        <v>13</v>
      </c>
      <c r="F1104" s="12">
        <f t="shared" si="75"/>
        <v>495000</v>
      </c>
      <c r="G1104">
        <f t="shared" si="76"/>
        <v>2075307.6923076923</v>
      </c>
      <c r="H1104">
        <f t="shared" si="77"/>
        <v>38076.923076923078</v>
      </c>
    </row>
    <row r="1105" spans="1:8">
      <c r="A1105" t="s">
        <v>18</v>
      </c>
      <c r="B1105">
        <v>3445000</v>
      </c>
      <c r="C1105">
        <v>3628000</v>
      </c>
      <c r="D1105" t="str">
        <f>VLOOKUP(A1105,Лист2!A:E,5,0)</f>
        <v>малые</v>
      </c>
      <c r="E1105">
        <f>VLOOKUP(A1105,Лист2!A:E,4,0)</f>
        <v>2.5</v>
      </c>
      <c r="F1105" s="12">
        <f t="shared" si="75"/>
        <v>-183000</v>
      </c>
      <c r="G1105">
        <f t="shared" si="76"/>
        <v>1378000</v>
      </c>
      <c r="H1105">
        <f t="shared" si="77"/>
        <v>-73200</v>
      </c>
    </row>
    <row r="1106" spans="1:8">
      <c r="A1106" t="s">
        <v>18</v>
      </c>
      <c r="B1106">
        <v>859000</v>
      </c>
      <c r="C1106">
        <v>962000</v>
      </c>
      <c r="D1106" t="str">
        <f>VLOOKUP(A1106,Лист2!A:E,5,0)</f>
        <v>малые</v>
      </c>
      <c r="E1106">
        <f>VLOOKUP(A1106,Лист2!A:E,4,0)</f>
        <v>2.5</v>
      </c>
      <c r="F1106" s="12">
        <f t="shared" si="75"/>
        <v>-103000</v>
      </c>
      <c r="G1106">
        <f t="shared" si="76"/>
        <v>343600</v>
      </c>
      <c r="H1106">
        <f t="shared" si="77"/>
        <v>-41200</v>
      </c>
    </row>
    <row r="1107" spans="1:8">
      <c r="A1107" t="s">
        <v>18</v>
      </c>
      <c r="B1107">
        <v>138000</v>
      </c>
      <c r="C1107">
        <v>177000</v>
      </c>
      <c r="D1107" t="str">
        <f>VLOOKUP(A1107,Лист2!A:E,5,0)</f>
        <v>малые</v>
      </c>
      <c r="E1107">
        <f>VLOOKUP(A1107,Лист2!A:E,4,0)</f>
        <v>2.5</v>
      </c>
      <c r="F1107" s="12">
        <f t="shared" si="75"/>
        <v>-39000</v>
      </c>
      <c r="G1107">
        <f t="shared" si="76"/>
        <v>55200</v>
      </c>
      <c r="H1107">
        <f t="shared" si="77"/>
        <v>-15600</v>
      </c>
    </row>
    <row r="1108" spans="1:8">
      <c r="A1108" t="s">
        <v>18</v>
      </c>
      <c r="B1108">
        <v>219000</v>
      </c>
      <c r="C1108">
        <v>407000</v>
      </c>
      <c r="D1108" t="str">
        <f>VLOOKUP(A1108,Лист2!A:E,5,0)</f>
        <v>малые</v>
      </c>
      <c r="E1108">
        <f>VLOOKUP(A1108,Лист2!A:E,4,0)</f>
        <v>2.5</v>
      </c>
      <c r="F1108" s="12">
        <f t="shared" ref="F1108:F1150" si="78">B1108-C1108</f>
        <v>-188000</v>
      </c>
      <c r="G1108">
        <f t="shared" ref="G1108:G1150" si="79">B1108/E1108</f>
        <v>87600</v>
      </c>
      <c r="H1108">
        <f t="shared" ref="H1108:H1150" si="80">F1108/E1108</f>
        <v>-75200</v>
      </c>
    </row>
    <row r="1109" spans="1:8">
      <c r="A1109" t="s">
        <v>18</v>
      </c>
      <c r="B1109">
        <v>17000</v>
      </c>
      <c r="C1109">
        <v>8000</v>
      </c>
      <c r="D1109" t="str">
        <f>VLOOKUP(A1109,Лист2!A:E,5,0)</f>
        <v>малые</v>
      </c>
      <c r="E1109">
        <f>VLOOKUP(A1109,Лист2!A:E,4,0)</f>
        <v>2.5</v>
      </c>
      <c r="F1109" s="12">
        <f t="shared" si="78"/>
        <v>9000</v>
      </c>
      <c r="G1109">
        <f t="shared" si="79"/>
        <v>6800</v>
      </c>
      <c r="H1109">
        <f t="shared" si="80"/>
        <v>3600</v>
      </c>
    </row>
    <row r="1110" spans="1:8">
      <c r="A1110" t="s">
        <v>18</v>
      </c>
      <c r="B1110">
        <v>1980000</v>
      </c>
      <c r="C1110">
        <v>1925000</v>
      </c>
      <c r="D1110" t="str">
        <f>VLOOKUP(A1110,Лист2!A:E,5,0)</f>
        <v>малые</v>
      </c>
      <c r="E1110">
        <f>VLOOKUP(A1110,Лист2!A:E,4,0)</f>
        <v>2.5</v>
      </c>
      <c r="F1110" s="12">
        <f t="shared" si="78"/>
        <v>55000</v>
      </c>
      <c r="G1110">
        <f t="shared" si="79"/>
        <v>792000</v>
      </c>
      <c r="H1110">
        <f t="shared" si="80"/>
        <v>22000</v>
      </c>
    </row>
    <row r="1111" spans="1:8">
      <c r="A1111" t="s">
        <v>18</v>
      </c>
      <c r="B1111">
        <v>2123000</v>
      </c>
      <c r="C1111">
        <v>2020000</v>
      </c>
      <c r="D1111" t="str">
        <f>VLOOKUP(A1111,Лист2!A:E,5,0)</f>
        <v>малые</v>
      </c>
      <c r="E1111">
        <f>VLOOKUP(A1111,Лист2!A:E,4,0)</f>
        <v>2.5</v>
      </c>
      <c r="F1111" s="12">
        <f t="shared" si="78"/>
        <v>103000</v>
      </c>
      <c r="G1111">
        <f t="shared" si="79"/>
        <v>849200</v>
      </c>
      <c r="H1111">
        <f t="shared" si="80"/>
        <v>41200</v>
      </c>
    </row>
    <row r="1112" spans="1:8">
      <c r="A1112" t="s">
        <v>18</v>
      </c>
      <c r="B1112">
        <v>494000</v>
      </c>
      <c r="C1112">
        <v>492000</v>
      </c>
      <c r="D1112" t="str">
        <f>VLOOKUP(A1112,Лист2!A:E,5,0)</f>
        <v>малые</v>
      </c>
      <c r="E1112">
        <f>VLOOKUP(A1112,Лист2!A:E,4,0)</f>
        <v>2.5</v>
      </c>
      <c r="F1112" s="12">
        <f t="shared" si="78"/>
        <v>2000</v>
      </c>
      <c r="G1112">
        <f t="shared" si="79"/>
        <v>197600</v>
      </c>
      <c r="H1112">
        <f t="shared" si="80"/>
        <v>800</v>
      </c>
    </row>
    <row r="1113" spans="1:8">
      <c r="A1113" t="s">
        <v>18</v>
      </c>
      <c r="B1113">
        <v>443000</v>
      </c>
      <c r="C1113">
        <v>379000</v>
      </c>
      <c r="D1113" t="str">
        <f>VLOOKUP(A1113,Лист2!A:E,5,0)</f>
        <v>малые</v>
      </c>
      <c r="E1113">
        <f>VLOOKUP(A1113,Лист2!A:E,4,0)</f>
        <v>2.5</v>
      </c>
      <c r="F1113" s="12">
        <f t="shared" si="78"/>
        <v>64000</v>
      </c>
      <c r="G1113">
        <f t="shared" si="79"/>
        <v>177200</v>
      </c>
      <c r="H1113">
        <f t="shared" si="80"/>
        <v>25600</v>
      </c>
    </row>
    <row r="1114" spans="1:8">
      <c r="A1114" t="s">
        <v>18</v>
      </c>
      <c r="B1114">
        <v>686000</v>
      </c>
      <c r="C1114">
        <v>663000</v>
      </c>
      <c r="D1114" t="str">
        <f>VLOOKUP(A1114,Лист2!A:E,5,0)</f>
        <v>малые</v>
      </c>
      <c r="E1114">
        <f>VLOOKUP(A1114,Лист2!A:E,4,0)</f>
        <v>2.5</v>
      </c>
      <c r="F1114" s="12">
        <f t="shared" si="78"/>
        <v>23000</v>
      </c>
      <c r="G1114">
        <f t="shared" si="79"/>
        <v>274400</v>
      </c>
      <c r="H1114">
        <f t="shared" si="80"/>
        <v>9200</v>
      </c>
    </row>
    <row r="1115" spans="1:8">
      <c r="A1115" t="s">
        <v>18</v>
      </c>
      <c r="B1115">
        <v>425000</v>
      </c>
      <c r="C1115">
        <v>424000</v>
      </c>
      <c r="D1115" t="str">
        <f>VLOOKUP(A1115,Лист2!A:E,5,0)</f>
        <v>малые</v>
      </c>
      <c r="E1115">
        <f>VLOOKUP(A1115,Лист2!A:E,4,0)</f>
        <v>2.5</v>
      </c>
      <c r="F1115" s="12">
        <f t="shared" si="78"/>
        <v>1000</v>
      </c>
      <c r="G1115">
        <f t="shared" si="79"/>
        <v>170000</v>
      </c>
      <c r="H1115">
        <f t="shared" si="80"/>
        <v>400</v>
      </c>
    </row>
    <row r="1116" spans="1:8">
      <c r="A1116" t="s">
        <v>18</v>
      </c>
      <c r="B1116">
        <v>7000</v>
      </c>
      <c r="C1116">
        <v>7000</v>
      </c>
      <c r="D1116" t="str">
        <f>VLOOKUP(A1116,Лист2!A:E,5,0)</f>
        <v>малые</v>
      </c>
      <c r="E1116">
        <f>VLOOKUP(A1116,Лист2!A:E,4,0)</f>
        <v>2.5</v>
      </c>
      <c r="F1116" s="12">
        <f t="shared" si="78"/>
        <v>0</v>
      </c>
      <c r="G1116">
        <f t="shared" si="79"/>
        <v>2800</v>
      </c>
      <c r="H1116">
        <f t="shared" si="80"/>
        <v>0</v>
      </c>
    </row>
    <row r="1117" spans="1:8">
      <c r="A1117" t="s">
        <v>18</v>
      </c>
      <c r="B1117">
        <v>1603000</v>
      </c>
      <c r="C1117">
        <v>1218000</v>
      </c>
      <c r="D1117" t="str">
        <f>VLOOKUP(A1117,Лист2!A:E,5,0)</f>
        <v>малые</v>
      </c>
      <c r="E1117">
        <f>VLOOKUP(A1117,Лист2!A:E,4,0)</f>
        <v>2.5</v>
      </c>
      <c r="F1117" s="12">
        <f t="shared" si="78"/>
        <v>385000</v>
      </c>
      <c r="G1117">
        <f t="shared" si="79"/>
        <v>641200</v>
      </c>
      <c r="H1117">
        <f t="shared" si="80"/>
        <v>154000</v>
      </c>
    </row>
    <row r="1118" spans="1:8">
      <c r="A1118" t="s">
        <v>18</v>
      </c>
      <c r="B1118">
        <v>13615000</v>
      </c>
      <c r="C1118">
        <v>10249000</v>
      </c>
      <c r="D1118" t="str">
        <f>VLOOKUP(A1118,Лист2!A:E,5,0)</f>
        <v>малые</v>
      </c>
      <c r="E1118">
        <f>VLOOKUP(A1118,Лист2!A:E,4,0)</f>
        <v>2.5</v>
      </c>
      <c r="F1118" s="12">
        <f t="shared" si="78"/>
        <v>3366000</v>
      </c>
      <c r="G1118">
        <f t="shared" si="79"/>
        <v>5446000</v>
      </c>
      <c r="H1118">
        <f t="shared" si="80"/>
        <v>1346400</v>
      </c>
    </row>
    <row r="1119" spans="1:8">
      <c r="A1119" t="s">
        <v>18</v>
      </c>
      <c r="B1119">
        <v>1036000</v>
      </c>
      <c r="C1119">
        <v>1036000</v>
      </c>
      <c r="D1119" t="str">
        <f>VLOOKUP(A1119,Лист2!A:E,5,0)</f>
        <v>малые</v>
      </c>
      <c r="E1119">
        <f>VLOOKUP(A1119,Лист2!A:E,4,0)</f>
        <v>2.5</v>
      </c>
      <c r="F1119" s="12">
        <f t="shared" si="78"/>
        <v>0</v>
      </c>
      <c r="G1119">
        <f t="shared" si="79"/>
        <v>414400</v>
      </c>
      <c r="H1119">
        <f t="shared" si="80"/>
        <v>0</v>
      </c>
    </row>
    <row r="1120" spans="1:8">
      <c r="A1120" t="s">
        <v>18</v>
      </c>
      <c r="B1120">
        <v>242000</v>
      </c>
      <c r="C1120">
        <v>265000</v>
      </c>
      <c r="D1120" t="str">
        <f>VLOOKUP(A1120,Лист2!A:E,5,0)</f>
        <v>малые</v>
      </c>
      <c r="E1120">
        <f>VLOOKUP(A1120,Лист2!A:E,4,0)</f>
        <v>2.5</v>
      </c>
      <c r="F1120" s="12">
        <f t="shared" si="78"/>
        <v>-23000</v>
      </c>
      <c r="G1120">
        <f t="shared" si="79"/>
        <v>96800</v>
      </c>
      <c r="H1120">
        <f t="shared" si="80"/>
        <v>-9200</v>
      </c>
    </row>
    <row r="1121" spans="1:8">
      <c r="A1121" t="s">
        <v>18</v>
      </c>
      <c r="B1121">
        <v>4105000</v>
      </c>
      <c r="C1121">
        <v>4123000</v>
      </c>
      <c r="D1121" t="str">
        <f>VLOOKUP(A1121,Лист2!A:E,5,0)</f>
        <v>малые</v>
      </c>
      <c r="E1121">
        <f>VLOOKUP(A1121,Лист2!A:E,4,0)</f>
        <v>2.5</v>
      </c>
      <c r="F1121" s="12">
        <f t="shared" si="78"/>
        <v>-18000</v>
      </c>
      <c r="G1121">
        <f t="shared" si="79"/>
        <v>1642000</v>
      </c>
      <c r="H1121">
        <f t="shared" si="80"/>
        <v>-7200</v>
      </c>
    </row>
    <row r="1122" spans="1:8">
      <c r="A1122" t="s">
        <v>18</v>
      </c>
      <c r="B1122">
        <v>60000</v>
      </c>
      <c r="C1122">
        <v>60000</v>
      </c>
      <c r="D1122" t="str">
        <f>VLOOKUP(A1122,Лист2!A:E,5,0)</f>
        <v>малые</v>
      </c>
      <c r="E1122">
        <f>VLOOKUP(A1122,Лист2!A:E,4,0)</f>
        <v>2.5</v>
      </c>
      <c r="F1122" s="12">
        <f t="shared" si="78"/>
        <v>0</v>
      </c>
      <c r="G1122">
        <f t="shared" si="79"/>
        <v>24000</v>
      </c>
      <c r="H1122">
        <f t="shared" si="80"/>
        <v>0</v>
      </c>
    </row>
    <row r="1123" spans="1:8">
      <c r="A1123" t="s">
        <v>18</v>
      </c>
      <c r="B1123">
        <v>3374000</v>
      </c>
      <c r="C1123">
        <v>2686000</v>
      </c>
      <c r="D1123" t="str">
        <f>VLOOKUP(A1123,Лист2!A:E,5,0)</f>
        <v>малые</v>
      </c>
      <c r="E1123">
        <f>VLOOKUP(A1123,Лист2!A:E,4,0)</f>
        <v>2.5</v>
      </c>
      <c r="F1123" s="12">
        <f t="shared" si="78"/>
        <v>688000</v>
      </c>
      <c r="G1123">
        <f t="shared" si="79"/>
        <v>1349600</v>
      </c>
      <c r="H1123">
        <f t="shared" si="80"/>
        <v>275200</v>
      </c>
    </row>
    <row r="1124" spans="1:8">
      <c r="A1124" t="s">
        <v>18</v>
      </c>
      <c r="B1124">
        <v>2995000</v>
      </c>
      <c r="C1124">
        <v>2844000</v>
      </c>
      <c r="D1124" t="str">
        <f>VLOOKUP(A1124,Лист2!A:E,5,0)</f>
        <v>малые</v>
      </c>
      <c r="E1124">
        <f>VLOOKUP(A1124,Лист2!A:E,4,0)</f>
        <v>2.5</v>
      </c>
      <c r="F1124" s="12">
        <f t="shared" si="78"/>
        <v>151000</v>
      </c>
      <c r="G1124">
        <f t="shared" si="79"/>
        <v>1198000</v>
      </c>
      <c r="H1124">
        <f t="shared" si="80"/>
        <v>60400</v>
      </c>
    </row>
    <row r="1125" spans="1:8">
      <c r="A1125" t="s">
        <v>18</v>
      </c>
      <c r="B1125">
        <v>177000</v>
      </c>
      <c r="C1125">
        <v>148000</v>
      </c>
      <c r="D1125" t="str">
        <f>VLOOKUP(A1125,Лист2!A:E,5,0)</f>
        <v>малые</v>
      </c>
      <c r="E1125">
        <f>VLOOKUP(A1125,Лист2!A:E,4,0)</f>
        <v>2.5</v>
      </c>
      <c r="F1125" s="12">
        <f t="shared" si="78"/>
        <v>29000</v>
      </c>
      <c r="G1125">
        <f t="shared" si="79"/>
        <v>70800</v>
      </c>
      <c r="H1125">
        <f t="shared" si="80"/>
        <v>11600</v>
      </c>
    </row>
    <row r="1126" spans="1:8">
      <c r="A1126" t="s">
        <v>22</v>
      </c>
      <c r="B1126">
        <v>10276000</v>
      </c>
      <c r="C1126">
        <v>13324000</v>
      </c>
      <c r="D1126" t="str">
        <f>VLOOKUP(A1126,Лист2!A:E,5,0)</f>
        <v>малые</v>
      </c>
      <c r="E1126">
        <f>VLOOKUP(A1126,Лист2!A:E,4,0)</f>
        <v>13</v>
      </c>
      <c r="F1126" s="12">
        <f t="shared" si="78"/>
        <v>-3048000</v>
      </c>
      <c r="G1126">
        <f t="shared" si="79"/>
        <v>790461.5384615385</v>
      </c>
      <c r="H1126">
        <f t="shared" si="80"/>
        <v>-234461.53846153847</v>
      </c>
    </row>
    <row r="1127" spans="1:8">
      <c r="A1127" t="s">
        <v>18</v>
      </c>
      <c r="B1127">
        <v>963000</v>
      </c>
      <c r="C1127">
        <v>851000</v>
      </c>
      <c r="D1127" t="str">
        <f>VLOOKUP(A1127,Лист2!A:E,5,0)</f>
        <v>малые</v>
      </c>
      <c r="E1127">
        <f>VLOOKUP(A1127,Лист2!A:E,4,0)</f>
        <v>2.5</v>
      </c>
      <c r="F1127" s="12">
        <f t="shared" si="78"/>
        <v>112000</v>
      </c>
      <c r="G1127">
        <f t="shared" si="79"/>
        <v>385200</v>
      </c>
      <c r="H1127">
        <f t="shared" si="80"/>
        <v>44800</v>
      </c>
    </row>
    <row r="1128" spans="1:8">
      <c r="A1128" t="s">
        <v>18</v>
      </c>
      <c r="B1128">
        <v>675000</v>
      </c>
      <c r="C1128">
        <v>677000</v>
      </c>
      <c r="D1128" t="str">
        <f>VLOOKUP(A1128,Лист2!A:E,5,0)</f>
        <v>малые</v>
      </c>
      <c r="E1128">
        <f>VLOOKUP(A1128,Лист2!A:E,4,0)</f>
        <v>2.5</v>
      </c>
      <c r="F1128" s="12">
        <f t="shared" si="78"/>
        <v>-2000</v>
      </c>
      <c r="G1128">
        <f t="shared" si="79"/>
        <v>270000</v>
      </c>
      <c r="H1128">
        <f t="shared" si="80"/>
        <v>-800</v>
      </c>
    </row>
    <row r="1129" spans="1:8">
      <c r="A1129" t="s">
        <v>18</v>
      </c>
      <c r="B1129">
        <v>481000</v>
      </c>
      <c r="C1129">
        <v>482000</v>
      </c>
      <c r="D1129" t="str">
        <f>VLOOKUP(A1129,Лист2!A:E,5,0)</f>
        <v>малые</v>
      </c>
      <c r="E1129">
        <f>VLOOKUP(A1129,Лист2!A:E,4,0)</f>
        <v>2.5</v>
      </c>
      <c r="F1129" s="12">
        <f t="shared" si="78"/>
        <v>-1000</v>
      </c>
      <c r="G1129">
        <f t="shared" si="79"/>
        <v>192400</v>
      </c>
      <c r="H1129">
        <f t="shared" si="80"/>
        <v>-400</v>
      </c>
    </row>
    <row r="1130" spans="1:8">
      <c r="A1130" t="s">
        <v>18</v>
      </c>
      <c r="B1130">
        <v>425000</v>
      </c>
      <c r="C1130">
        <v>333000</v>
      </c>
      <c r="D1130" t="str">
        <f>VLOOKUP(A1130,Лист2!A:E,5,0)</f>
        <v>малые</v>
      </c>
      <c r="E1130">
        <f>VLOOKUP(A1130,Лист2!A:E,4,0)</f>
        <v>2.5</v>
      </c>
      <c r="F1130" s="12">
        <f t="shared" si="78"/>
        <v>92000</v>
      </c>
      <c r="G1130">
        <f t="shared" si="79"/>
        <v>170000</v>
      </c>
      <c r="H1130">
        <f t="shared" si="80"/>
        <v>36800</v>
      </c>
    </row>
    <row r="1131" spans="1:8">
      <c r="A1131" t="s">
        <v>18</v>
      </c>
      <c r="B1131">
        <v>7515000</v>
      </c>
      <c r="C1131">
        <v>5784000</v>
      </c>
      <c r="D1131" t="str">
        <f>VLOOKUP(A1131,Лист2!A:E,5,0)</f>
        <v>малые</v>
      </c>
      <c r="E1131">
        <f>VLOOKUP(A1131,Лист2!A:E,4,0)</f>
        <v>2.5</v>
      </c>
      <c r="F1131" s="12">
        <f t="shared" si="78"/>
        <v>1731000</v>
      </c>
      <c r="G1131">
        <f t="shared" si="79"/>
        <v>3006000</v>
      </c>
      <c r="H1131">
        <f t="shared" si="80"/>
        <v>692400</v>
      </c>
    </row>
    <row r="1132" spans="1:8">
      <c r="A1132" t="s">
        <v>18</v>
      </c>
      <c r="B1132">
        <v>343000</v>
      </c>
      <c r="C1132">
        <v>337000</v>
      </c>
      <c r="D1132" t="str">
        <f>VLOOKUP(A1132,Лист2!A:E,5,0)</f>
        <v>малые</v>
      </c>
      <c r="E1132">
        <f>VLOOKUP(A1132,Лист2!A:E,4,0)</f>
        <v>2.5</v>
      </c>
      <c r="F1132" s="12">
        <f t="shared" si="78"/>
        <v>6000</v>
      </c>
      <c r="G1132">
        <f t="shared" si="79"/>
        <v>137200</v>
      </c>
      <c r="H1132">
        <f t="shared" si="80"/>
        <v>2400</v>
      </c>
    </row>
    <row r="1133" spans="1:8">
      <c r="A1133" t="s">
        <v>18</v>
      </c>
      <c r="B1133">
        <v>5904000</v>
      </c>
      <c r="C1133">
        <v>6098000</v>
      </c>
      <c r="D1133" t="str">
        <f>VLOOKUP(A1133,Лист2!A:E,5,0)</f>
        <v>малые</v>
      </c>
      <c r="E1133">
        <f>VLOOKUP(A1133,Лист2!A:E,4,0)</f>
        <v>2.5</v>
      </c>
      <c r="F1133" s="12">
        <f t="shared" si="78"/>
        <v>-194000</v>
      </c>
      <c r="G1133">
        <f t="shared" si="79"/>
        <v>2361600</v>
      </c>
      <c r="H1133">
        <f t="shared" si="80"/>
        <v>-77600</v>
      </c>
    </row>
    <row r="1134" spans="1:8">
      <c r="A1134" t="s">
        <v>18</v>
      </c>
      <c r="B1134">
        <v>15137000</v>
      </c>
      <c r="C1134">
        <v>15135000</v>
      </c>
      <c r="D1134" t="str">
        <f>VLOOKUP(A1134,Лист2!A:E,5,0)</f>
        <v>малые</v>
      </c>
      <c r="E1134">
        <f>VLOOKUP(A1134,Лист2!A:E,4,0)</f>
        <v>2.5</v>
      </c>
      <c r="F1134" s="12">
        <f t="shared" si="78"/>
        <v>2000</v>
      </c>
      <c r="G1134">
        <f t="shared" si="79"/>
        <v>6054800</v>
      </c>
      <c r="H1134">
        <f t="shared" si="80"/>
        <v>800</v>
      </c>
    </row>
    <row r="1135" spans="1:8">
      <c r="A1135" t="s">
        <v>18</v>
      </c>
      <c r="B1135">
        <v>2527000</v>
      </c>
      <c r="C1135">
        <v>2395000</v>
      </c>
      <c r="D1135" t="str">
        <f>VLOOKUP(A1135,Лист2!A:E,5,0)</f>
        <v>малые</v>
      </c>
      <c r="E1135">
        <f>VLOOKUP(A1135,Лист2!A:E,4,0)</f>
        <v>2.5</v>
      </c>
      <c r="F1135" s="12">
        <f t="shared" si="78"/>
        <v>132000</v>
      </c>
      <c r="G1135">
        <f t="shared" si="79"/>
        <v>1010800</v>
      </c>
      <c r="H1135">
        <f t="shared" si="80"/>
        <v>52800</v>
      </c>
    </row>
    <row r="1136" spans="1:8">
      <c r="A1136" t="s">
        <v>18</v>
      </c>
      <c r="B1136">
        <v>793000</v>
      </c>
      <c r="C1136">
        <v>1014000</v>
      </c>
      <c r="D1136" t="str">
        <f>VLOOKUP(A1136,Лист2!A:E,5,0)</f>
        <v>малые</v>
      </c>
      <c r="E1136">
        <f>VLOOKUP(A1136,Лист2!A:E,4,0)</f>
        <v>2.5</v>
      </c>
      <c r="F1136" s="12">
        <f t="shared" si="78"/>
        <v>-221000</v>
      </c>
      <c r="G1136">
        <f t="shared" si="79"/>
        <v>317200</v>
      </c>
      <c r="H1136">
        <f t="shared" si="80"/>
        <v>-88400</v>
      </c>
    </row>
    <row r="1137" spans="1:8">
      <c r="A1137" t="s">
        <v>18</v>
      </c>
      <c r="B1137">
        <v>392000</v>
      </c>
      <c r="C1137">
        <v>415000</v>
      </c>
      <c r="D1137" t="str">
        <f>VLOOKUP(A1137,Лист2!A:E,5,0)</f>
        <v>малые</v>
      </c>
      <c r="E1137">
        <f>VLOOKUP(A1137,Лист2!A:E,4,0)</f>
        <v>2.5</v>
      </c>
      <c r="F1137" s="12">
        <f t="shared" si="78"/>
        <v>-23000</v>
      </c>
      <c r="G1137">
        <f t="shared" si="79"/>
        <v>156800</v>
      </c>
      <c r="H1137">
        <f t="shared" si="80"/>
        <v>-9200</v>
      </c>
    </row>
    <row r="1138" spans="1:8">
      <c r="A1138" t="s">
        <v>18</v>
      </c>
      <c r="B1138">
        <v>658000</v>
      </c>
      <c r="C1138">
        <v>654000</v>
      </c>
      <c r="D1138" t="str">
        <f>VLOOKUP(A1138,Лист2!A:E,5,0)</f>
        <v>малые</v>
      </c>
      <c r="E1138">
        <f>VLOOKUP(A1138,Лист2!A:E,4,0)</f>
        <v>2.5</v>
      </c>
      <c r="F1138" s="12">
        <f t="shared" si="78"/>
        <v>4000</v>
      </c>
      <c r="G1138">
        <f t="shared" si="79"/>
        <v>263200</v>
      </c>
      <c r="H1138">
        <f t="shared" si="80"/>
        <v>1600</v>
      </c>
    </row>
    <row r="1139" spans="1:8">
      <c r="A1139" t="s">
        <v>18</v>
      </c>
      <c r="B1139">
        <v>798000</v>
      </c>
      <c r="C1139">
        <v>798000</v>
      </c>
      <c r="D1139" t="str">
        <f>VLOOKUP(A1139,Лист2!A:E,5,0)</f>
        <v>малые</v>
      </c>
      <c r="E1139">
        <f>VLOOKUP(A1139,Лист2!A:E,4,0)</f>
        <v>2.5</v>
      </c>
      <c r="F1139" s="12">
        <f t="shared" si="78"/>
        <v>0</v>
      </c>
      <c r="G1139">
        <f t="shared" si="79"/>
        <v>319200</v>
      </c>
      <c r="H1139">
        <f t="shared" si="80"/>
        <v>0</v>
      </c>
    </row>
    <row r="1140" spans="1:8">
      <c r="A1140" t="s">
        <v>18</v>
      </c>
      <c r="B1140">
        <v>1402000</v>
      </c>
      <c r="C1140">
        <v>1432000</v>
      </c>
      <c r="D1140" t="str">
        <f>VLOOKUP(A1140,Лист2!A:E,5,0)</f>
        <v>малые</v>
      </c>
      <c r="E1140">
        <f>VLOOKUP(A1140,Лист2!A:E,4,0)</f>
        <v>2.5</v>
      </c>
      <c r="F1140" s="12">
        <f t="shared" si="78"/>
        <v>-30000</v>
      </c>
      <c r="G1140">
        <f t="shared" si="79"/>
        <v>560800</v>
      </c>
      <c r="H1140">
        <f t="shared" si="80"/>
        <v>-12000</v>
      </c>
    </row>
    <row r="1141" spans="1:8">
      <c r="A1141" t="s">
        <v>18</v>
      </c>
      <c r="B1141">
        <v>3160000</v>
      </c>
      <c r="C1141">
        <v>2484000</v>
      </c>
      <c r="D1141" t="str">
        <f>VLOOKUP(A1141,Лист2!A:E,5,0)</f>
        <v>малые</v>
      </c>
      <c r="E1141">
        <f>VLOOKUP(A1141,Лист2!A:E,4,0)</f>
        <v>2.5</v>
      </c>
      <c r="F1141" s="12">
        <f t="shared" si="78"/>
        <v>676000</v>
      </c>
      <c r="G1141">
        <f t="shared" si="79"/>
        <v>1264000</v>
      </c>
      <c r="H1141">
        <f t="shared" si="80"/>
        <v>270400</v>
      </c>
    </row>
    <row r="1142" spans="1:8">
      <c r="A1142" t="s">
        <v>22</v>
      </c>
      <c r="B1142">
        <v>9550000</v>
      </c>
      <c r="C1142">
        <v>10436000</v>
      </c>
      <c r="D1142" t="str">
        <f>VLOOKUP(A1142,Лист2!A:E,5,0)</f>
        <v>малые</v>
      </c>
      <c r="E1142">
        <f>VLOOKUP(A1142,Лист2!A:E,4,0)</f>
        <v>13</v>
      </c>
      <c r="F1142" s="12">
        <f t="shared" si="78"/>
        <v>-886000</v>
      </c>
      <c r="G1142">
        <f t="shared" si="79"/>
        <v>734615.38461538462</v>
      </c>
      <c r="H1142">
        <f t="shared" si="80"/>
        <v>-68153.846153846156</v>
      </c>
    </row>
    <row r="1143" spans="1:8">
      <c r="A1143" t="s">
        <v>18</v>
      </c>
      <c r="B1143">
        <v>28000</v>
      </c>
      <c r="C1143">
        <v>26000</v>
      </c>
      <c r="D1143" t="str">
        <f>VLOOKUP(A1143,Лист2!A:E,5,0)</f>
        <v>малые</v>
      </c>
      <c r="E1143">
        <f>VLOOKUP(A1143,Лист2!A:E,4,0)</f>
        <v>2.5</v>
      </c>
      <c r="F1143" s="12">
        <f t="shared" si="78"/>
        <v>2000</v>
      </c>
      <c r="G1143">
        <f t="shared" si="79"/>
        <v>11200</v>
      </c>
      <c r="H1143">
        <f t="shared" si="80"/>
        <v>800</v>
      </c>
    </row>
    <row r="1144" spans="1:8">
      <c r="A1144" t="s">
        <v>18</v>
      </c>
      <c r="B1144">
        <v>3137000</v>
      </c>
      <c r="C1144">
        <v>3088000</v>
      </c>
      <c r="D1144" t="str">
        <f>VLOOKUP(A1144,Лист2!A:E,5,0)</f>
        <v>малые</v>
      </c>
      <c r="E1144">
        <f>VLOOKUP(A1144,Лист2!A:E,4,0)</f>
        <v>2.5</v>
      </c>
      <c r="F1144" s="12">
        <f t="shared" si="78"/>
        <v>49000</v>
      </c>
      <c r="G1144">
        <f t="shared" si="79"/>
        <v>1254800</v>
      </c>
      <c r="H1144">
        <f t="shared" si="80"/>
        <v>19600</v>
      </c>
    </row>
    <row r="1145" spans="1:8">
      <c r="A1145" t="s">
        <v>18</v>
      </c>
      <c r="B1145">
        <v>100000</v>
      </c>
      <c r="C1145">
        <v>175000</v>
      </c>
      <c r="D1145" t="str">
        <f>VLOOKUP(A1145,Лист2!A:E,5,0)</f>
        <v>малые</v>
      </c>
      <c r="E1145">
        <f>VLOOKUP(A1145,Лист2!A:E,4,0)</f>
        <v>2.5</v>
      </c>
      <c r="F1145" s="12">
        <f t="shared" si="78"/>
        <v>-75000</v>
      </c>
      <c r="G1145">
        <f t="shared" si="79"/>
        <v>40000</v>
      </c>
      <c r="H1145">
        <f t="shared" si="80"/>
        <v>-30000</v>
      </c>
    </row>
    <row r="1146" spans="1:8">
      <c r="A1146" t="s">
        <v>18</v>
      </c>
      <c r="B1146">
        <v>5184000</v>
      </c>
      <c r="C1146">
        <v>839000</v>
      </c>
      <c r="D1146" t="str">
        <f>VLOOKUP(A1146,Лист2!A:E,5,0)</f>
        <v>малые</v>
      </c>
      <c r="E1146">
        <f>VLOOKUP(A1146,Лист2!A:E,4,0)</f>
        <v>2.5</v>
      </c>
      <c r="F1146" s="12">
        <f t="shared" si="78"/>
        <v>4345000</v>
      </c>
      <c r="G1146">
        <f t="shared" si="79"/>
        <v>2073600</v>
      </c>
      <c r="H1146">
        <f t="shared" si="80"/>
        <v>1738000</v>
      </c>
    </row>
    <row r="1147" spans="1:8">
      <c r="A1147" t="s">
        <v>18</v>
      </c>
      <c r="B1147">
        <v>2551000</v>
      </c>
      <c r="C1147">
        <v>2623000</v>
      </c>
      <c r="D1147" t="str">
        <f>VLOOKUP(A1147,Лист2!A:E,5,0)</f>
        <v>малые</v>
      </c>
      <c r="E1147">
        <f>VLOOKUP(A1147,Лист2!A:E,4,0)</f>
        <v>2.5</v>
      </c>
      <c r="F1147" s="12">
        <f t="shared" si="78"/>
        <v>-72000</v>
      </c>
      <c r="G1147">
        <f t="shared" si="79"/>
        <v>1020400</v>
      </c>
      <c r="H1147">
        <f t="shared" si="80"/>
        <v>-28800</v>
      </c>
    </row>
    <row r="1148" spans="1:8">
      <c r="A1148" t="s">
        <v>18</v>
      </c>
      <c r="B1148">
        <v>3321000</v>
      </c>
      <c r="C1148">
        <v>3218000</v>
      </c>
      <c r="D1148" t="str">
        <f>VLOOKUP(A1148,Лист2!A:E,5,0)</f>
        <v>малые</v>
      </c>
      <c r="E1148">
        <f>VLOOKUP(A1148,Лист2!A:E,4,0)</f>
        <v>2.5</v>
      </c>
      <c r="F1148" s="12">
        <f t="shared" si="78"/>
        <v>103000</v>
      </c>
      <c r="G1148">
        <f t="shared" si="79"/>
        <v>1328400</v>
      </c>
      <c r="H1148">
        <f t="shared" si="80"/>
        <v>41200</v>
      </c>
    </row>
    <row r="1149" spans="1:8">
      <c r="A1149" t="s">
        <v>18</v>
      </c>
      <c r="B1149">
        <v>5202000</v>
      </c>
      <c r="C1149">
        <v>5161000</v>
      </c>
      <c r="D1149" t="str">
        <f>VLOOKUP(A1149,Лист2!A:E,5,0)</f>
        <v>малые</v>
      </c>
      <c r="E1149">
        <f>VLOOKUP(A1149,Лист2!A:E,4,0)</f>
        <v>2.5</v>
      </c>
      <c r="F1149" s="12">
        <f t="shared" si="78"/>
        <v>41000</v>
      </c>
      <c r="G1149">
        <f t="shared" si="79"/>
        <v>2080800</v>
      </c>
      <c r="H1149">
        <f t="shared" si="80"/>
        <v>16400</v>
      </c>
    </row>
    <row r="1150" spans="1:8">
      <c r="A1150" t="s">
        <v>18</v>
      </c>
      <c r="B1150">
        <v>7438000</v>
      </c>
      <c r="C1150">
        <v>7196000</v>
      </c>
      <c r="D1150" t="str">
        <f>VLOOKUP(A1150,Лист2!A:E,5,0)</f>
        <v>малые</v>
      </c>
      <c r="E1150">
        <f>VLOOKUP(A1150,Лист2!A:E,4,0)</f>
        <v>2.5</v>
      </c>
      <c r="F1150" s="12">
        <f t="shared" si="78"/>
        <v>242000</v>
      </c>
      <c r="G1150">
        <f t="shared" si="79"/>
        <v>2975200</v>
      </c>
      <c r="H1150">
        <f t="shared" si="80"/>
        <v>96800</v>
      </c>
    </row>
    <row r="1151" spans="1:8">
      <c r="A1151" t="s">
        <v>18</v>
      </c>
      <c r="B1151">
        <v>1305000</v>
      </c>
      <c r="C1151">
        <v>1182000</v>
      </c>
      <c r="D1151" t="str">
        <f>VLOOKUP(A1151,Лист2!A:E,5,0)</f>
        <v>малые</v>
      </c>
      <c r="E1151">
        <f>VLOOKUP(A1151,Лист2!A:E,4,0)</f>
        <v>2.5</v>
      </c>
      <c r="F1151" s="12">
        <f t="shared" ref="F1151:F1191" si="81">B1151-C1151</f>
        <v>123000</v>
      </c>
      <c r="G1151">
        <f t="shared" ref="G1151:G1191" si="82">B1151/E1151</f>
        <v>522000</v>
      </c>
      <c r="H1151">
        <f t="shared" ref="H1151:H1191" si="83">F1151/E1151</f>
        <v>49200</v>
      </c>
    </row>
    <row r="1152" spans="1:8">
      <c r="A1152" t="s">
        <v>18</v>
      </c>
      <c r="B1152">
        <v>11000</v>
      </c>
      <c r="C1152">
        <v>12000</v>
      </c>
      <c r="D1152" t="str">
        <f>VLOOKUP(A1152,Лист2!A:E,5,0)</f>
        <v>малые</v>
      </c>
      <c r="E1152">
        <f>VLOOKUP(A1152,Лист2!A:E,4,0)</f>
        <v>2.5</v>
      </c>
      <c r="F1152" s="12">
        <f t="shared" si="81"/>
        <v>-1000</v>
      </c>
      <c r="G1152">
        <f t="shared" si="82"/>
        <v>4400</v>
      </c>
      <c r="H1152">
        <f t="shared" si="83"/>
        <v>-400</v>
      </c>
    </row>
    <row r="1153" spans="1:8">
      <c r="A1153" t="s">
        <v>18</v>
      </c>
      <c r="B1153">
        <v>6664000</v>
      </c>
      <c r="C1153">
        <v>6425000</v>
      </c>
      <c r="D1153" t="str">
        <f>VLOOKUP(A1153,Лист2!A:E,5,0)</f>
        <v>малые</v>
      </c>
      <c r="E1153">
        <f>VLOOKUP(A1153,Лист2!A:E,4,0)</f>
        <v>2.5</v>
      </c>
      <c r="F1153" s="12">
        <f t="shared" si="81"/>
        <v>239000</v>
      </c>
      <c r="G1153">
        <f t="shared" si="82"/>
        <v>2665600</v>
      </c>
      <c r="H1153">
        <f t="shared" si="83"/>
        <v>95600</v>
      </c>
    </row>
    <row r="1154" spans="1:8">
      <c r="A1154" t="s">
        <v>18</v>
      </c>
      <c r="B1154">
        <v>4064000</v>
      </c>
      <c r="C1154">
        <v>3568000</v>
      </c>
      <c r="D1154" t="str">
        <f>VLOOKUP(A1154,Лист2!A:E,5,0)</f>
        <v>малые</v>
      </c>
      <c r="E1154">
        <f>VLOOKUP(A1154,Лист2!A:E,4,0)</f>
        <v>2.5</v>
      </c>
      <c r="F1154" s="12">
        <f t="shared" si="81"/>
        <v>496000</v>
      </c>
      <c r="G1154">
        <f t="shared" si="82"/>
        <v>1625600</v>
      </c>
      <c r="H1154">
        <f t="shared" si="83"/>
        <v>198400</v>
      </c>
    </row>
    <row r="1155" spans="1:8">
      <c r="A1155" t="s">
        <v>18</v>
      </c>
      <c r="B1155">
        <v>1218000</v>
      </c>
      <c r="C1155">
        <v>1270000</v>
      </c>
      <c r="D1155" t="str">
        <f>VLOOKUP(A1155,Лист2!A:E,5,0)</f>
        <v>малые</v>
      </c>
      <c r="E1155">
        <f>VLOOKUP(A1155,Лист2!A:E,4,0)</f>
        <v>2.5</v>
      </c>
      <c r="F1155" s="12">
        <f t="shared" si="81"/>
        <v>-52000</v>
      </c>
      <c r="G1155">
        <f t="shared" si="82"/>
        <v>487200</v>
      </c>
      <c r="H1155">
        <f t="shared" si="83"/>
        <v>-20800</v>
      </c>
    </row>
    <row r="1156" spans="1:8">
      <c r="A1156" t="s">
        <v>18</v>
      </c>
      <c r="B1156">
        <v>422000</v>
      </c>
      <c r="C1156">
        <v>414000</v>
      </c>
      <c r="D1156" t="str">
        <f>VLOOKUP(A1156,Лист2!A:E,5,0)</f>
        <v>малые</v>
      </c>
      <c r="E1156">
        <f>VLOOKUP(A1156,Лист2!A:E,4,0)</f>
        <v>2.5</v>
      </c>
      <c r="F1156" s="12">
        <f t="shared" si="81"/>
        <v>8000</v>
      </c>
      <c r="G1156">
        <f t="shared" si="82"/>
        <v>168800</v>
      </c>
      <c r="H1156">
        <f t="shared" si="83"/>
        <v>3200</v>
      </c>
    </row>
    <row r="1157" spans="1:8">
      <c r="A1157" t="s">
        <v>18</v>
      </c>
      <c r="B1157">
        <v>1420000</v>
      </c>
      <c r="C1157">
        <v>1622000</v>
      </c>
      <c r="D1157" t="str">
        <f>VLOOKUP(A1157,Лист2!A:E,5,0)</f>
        <v>малые</v>
      </c>
      <c r="E1157">
        <f>VLOOKUP(A1157,Лист2!A:E,4,0)</f>
        <v>2.5</v>
      </c>
      <c r="F1157" s="12">
        <f t="shared" si="81"/>
        <v>-202000</v>
      </c>
      <c r="G1157">
        <f t="shared" si="82"/>
        <v>568000</v>
      </c>
      <c r="H1157">
        <f t="shared" si="83"/>
        <v>-80800</v>
      </c>
    </row>
    <row r="1158" spans="1:8">
      <c r="A1158" t="s">
        <v>22</v>
      </c>
      <c r="B1158">
        <v>30299000</v>
      </c>
      <c r="C1158">
        <v>32148000</v>
      </c>
      <c r="D1158" t="str">
        <f>VLOOKUP(A1158,Лист2!A:E,5,0)</f>
        <v>малые</v>
      </c>
      <c r="E1158">
        <f>VLOOKUP(A1158,Лист2!A:E,4,0)</f>
        <v>13</v>
      </c>
      <c r="F1158" s="12">
        <f t="shared" si="81"/>
        <v>-1849000</v>
      </c>
      <c r="G1158">
        <f t="shared" si="82"/>
        <v>2330692.3076923075</v>
      </c>
      <c r="H1158">
        <f t="shared" si="83"/>
        <v>-142230.76923076922</v>
      </c>
    </row>
    <row r="1159" spans="1:8">
      <c r="A1159" t="s">
        <v>18</v>
      </c>
      <c r="B1159">
        <v>527000</v>
      </c>
      <c r="C1159">
        <v>527000</v>
      </c>
      <c r="D1159" t="str">
        <f>VLOOKUP(A1159,Лист2!A:E,5,0)</f>
        <v>малые</v>
      </c>
      <c r="E1159">
        <f>VLOOKUP(A1159,Лист2!A:E,4,0)</f>
        <v>2.5</v>
      </c>
      <c r="F1159" s="12">
        <f t="shared" si="81"/>
        <v>0</v>
      </c>
      <c r="G1159">
        <f t="shared" si="82"/>
        <v>210800</v>
      </c>
      <c r="H1159">
        <f t="shared" si="83"/>
        <v>0</v>
      </c>
    </row>
    <row r="1160" spans="1:8">
      <c r="A1160" t="s">
        <v>18</v>
      </c>
      <c r="B1160">
        <v>345000</v>
      </c>
      <c r="C1160">
        <v>331000</v>
      </c>
      <c r="D1160" t="str">
        <f>VLOOKUP(A1160,Лист2!A:E,5,0)</f>
        <v>малые</v>
      </c>
      <c r="E1160">
        <f>VLOOKUP(A1160,Лист2!A:E,4,0)</f>
        <v>2.5</v>
      </c>
      <c r="F1160" s="12">
        <f t="shared" si="81"/>
        <v>14000</v>
      </c>
      <c r="G1160">
        <f t="shared" si="82"/>
        <v>138000</v>
      </c>
      <c r="H1160">
        <f t="shared" si="83"/>
        <v>5600</v>
      </c>
    </row>
    <row r="1161" spans="1:8">
      <c r="A1161" t="s">
        <v>18</v>
      </c>
      <c r="B1161">
        <v>750000</v>
      </c>
      <c r="C1161">
        <v>649000</v>
      </c>
      <c r="D1161" t="str">
        <f>VLOOKUP(A1161,Лист2!A:E,5,0)</f>
        <v>малые</v>
      </c>
      <c r="E1161">
        <f>VLOOKUP(A1161,Лист2!A:E,4,0)</f>
        <v>2.5</v>
      </c>
      <c r="F1161" s="12">
        <f t="shared" si="81"/>
        <v>101000</v>
      </c>
      <c r="G1161">
        <f t="shared" si="82"/>
        <v>300000</v>
      </c>
      <c r="H1161">
        <f t="shared" si="83"/>
        <v>40400</v>
      </c>
    </row>
    <row r="1162" spans="1:8">
      <c r="A1162" t="s">
        <v>18</v>
      </c>
      <c r="B1162">
        <v>838000</v>
      </c>
      <c r="C1162">
        <v>893000</v>
      </c>
      <c r="D1162" t="str">
        <f>VLOOKUP(A1162,Лист2!A:E,5,0)</f>
        <v>малые</v>
      </c>
      <c r="E1162">
        <f>VLOOKUP(A1162,Лист2!A:E,4,0)</f>
        <v>2.5</v>
      </c>
      <c r="F1162" s="12">
        <f t="shared" si="81"/>
        <v>-55000</v>
      </c>
      <c r="G1162">
        <f t="shared" si="82"/>
        <v>335200</v>
      </c>
      <c r="H1162">
        <f t="shared" si="83"/>
        <v>-22000</v>
      </c>
    </row>
    <row r="1163" spans="1:8">
      <c r="A1163" t="s">
        <v>18</v>
      </c>
      <c r="B1163">
        <v>2200000</v>
      </c>
      <c r="C1163">
        <v>2038000</v>
      </c>
      <c r="D1163" t="str">
        <f>VLOOKUP(A1163,Лист2!A:E,5,0)</f>
        <v>малые</v>
      </c>
      <c r="E1163">
        <f>VLOOKUP(A1163,Лист2!A:E,4,0)</f>
        <v>2.5</v>
      </c>
      <c r="F1163" s="12">
        <f t="shared" si="81"/>
        <v>162000</v>
      </c>
      <c r="G1163">
        <f t="shared" si="82"/>
        <v>880000</v>
      </c>
      <c r="H1163">
        <f t="shared" si="83"/>
        <v>64800</v>
      </c>
    </row>
    <row r="1164" spans="1:8">
      <c r="A1164" t="s">
        <v>18</v>
      </c>
      <c r="B1164">
        <v>1078000</v>
      </c>
      <c r="C1164">
        <v>1053000</v>
      </c>
      <c r="D1164" t="str">
        <f>VLOOKUP(A1164,Лист2!A:E,5,0)</f>
        <v>малые</v>
      </c>
      <c r="E1164">
        <f>VLOOKUP(A1164,Лист2!A:E,4,0)</f>
        <v>2.5</v>
      </c>
      <c r="F1164" s="12">
        <f t="shared" si="81"/>
        <v>25000</v>
      </c>
      <c r="G1164">
        <f t="shared" si="82"/>
        <v>431200</v>
      </c>
      <c r="H1164">
        <f t="shared" si="83"/>
        <v>10000</v>
      </c>
    </row>
    <row r="1165" spans="1:8">
      <c r="A1165" t="s">
        <v>18</v>
      </c>
      <c r="B1165">
        <v>1480000</v>
      </c>
      <c r="C1165">
        <v>1915000</v>
      </c>
      <c r="D1165" t="str">
        <f>VLOOKUP(A1165,Лист2!A:E,5,0)</f>
        <v>малые</v>
      </c>
      <c r="E1165">
        <f>VLOOKUP(A1165,Лист2!A:E,4,0)</f>
        <v>2.5</v>
      </c>
      <c r="F1165" s="12">
        <f t="shared" si="81"/>
        <v>-435000</v>
      </c>
      <c r="G1165">
        <f t="shared" si="82"/>
        <v>592000</v>
      </c>
      <c r="H1165">
        <f t="shared" si="83"/>
        <v>-174000</v>
      </c>
    </row>
    <row r="1166" spans="1:8">
      <c r="A1166" t="s">
        <v>18</v>
      </c>
      <c r="B1166">
        <v>1972000</v>
      </c>
      <c r="C1166">
        <v>1715000</v>
      </c>
      <c r="D1166" t="str">
        <f>VLOOKUP(A1166,Лист2!A:E,5,0)</f>
        <v>малые</v>
      </c>
      <c r="E1166">
        <f>VLOOKUP(A1166,Лист2!A:E,4,0)</f>
        <v>2.5</v>
      </c>
      <c r="F1166" s="12">
        <f t="shared" si="81"/>
        <v>257000</v>
      </c>
      <c r="G1166">
        <f t="shared" si="82"/>
        <v>788800</v>
      </c>
      <c r="H1166">
        <f t="shared" si="83"/>
        <v>102800</v>
      </c>
    </row>
    <row r="1167" spans="1:8">
      <c r="A1167" t="s">
        <v>18</v>
      </c>
      <c r="B1167">
        <v>1267000</v>
      </c>
      <c r="C1167">
        <v>1265000</v>
      </c>
      <c r="D1167" t="str">
        <f>VLOOKUP(A1167,Лист2!A:E,5,0)</f>
        <v>малые</v>
      </c>
      <c r="E1167">
        <f>VLOOKUP(A1167,Лист2!A:E,4,0)</f>
        <v>2.5</v>
      </c>
      <c r="F1167" s="12">
        <f t="shared" si="81"/>
        <v>2000</v>
      </c>
      <c r="G1167">
        <f t="shared" si="82"/>
        <v>506800</v>
      </c>
      <c r="H1167">
        <f t="shared" si="83"/>
        <v>800</v>
      </c>
    </row>
    <row r="1168" spans="1:8">
      <c r="A1168" t="s">
        <v>18</v>
      </c>
      <c r="B1168">
        <v>2850000</v>
      </c>
      <c r="C1168">
        <v>2509000</v>
      </c>
      <c r="D1168" t="str">
        <f>VLOOKUP(A1168,Лист2!A:E,5,0)</f>
        <v>малые</v>
      </c>
      <c r="E1168">
        <f>VLOOKUP(A1168,Лист2!A:E,4,0)</f>
        <v>2.5</v>
      </c>
      <c r="F1168" s="12">
        <f t="shared" si="81"/>
        <v>341000</v>
      </c>
      <c r="G1168">
        <f t="shared" si="82"/>
        <v>1140000</v>
      </c>
      <c r="H1168">
        <f t="shared" si="83"/>
        <v>136400</v>
      </c>
    </row>
    <row r="1169" spans="1:8">
      <c r="A1169" t="s">
        <v>18</v>
      </c>
      <c r="B1169">
        <v>1690000</v>
      </c>
      <c r="C1169">
        <v>2252000</v>
      </c>
      <c r="D1169" t="str">
        <f>VLOOKUP(A1169,Лист2!A:E,5,0)</f>
        <v>малые</v>
      </c>
      <c r="E1169">
        <f>VLOOKUP(A1169,Лист2!A:E,4,0)</f>
        <v>2.5</v>
      </c>
      <c r="F1169" s="12">
        <f t="shared" si="81"/>
        <v>-562000</v>
      </c>
      <c r="G1169">
        <f t="shared" si="82"/>
        <v>676000</v>
      </c>
      <c r="H1169">
        <f t="shared" si="83"/>
        <v>-224800</v>
      </c>
    </row>
    <row r="1170" spans="1:8">
      <c r="A1170" t="s">
        <v>18</v>
      </c>
      <c r="B1170">
        <v>650000</v>
      </c>
      <c r="C1170">
        <v>617000</v>
      </c>
      <c r="D1170" t="str">
        <f>VLOOKUP(A1170,Лист2!A:E,5,0)</f>
        <v>малые</v>
      </c>
      <c r="E1170">
        <f>VLOOKUP(A1170,Лист2!A:E,4,0)</f>
        <v>2.5</v>
      </c>
      <c r="F1170" s="12">
        <f t="shared" si="81"/>
        <v>33000</v>
      </c>
      <c r="G1170">
        <f t="shared" si="82"/>
        <v>260000</v>
      </c>
      <c r="H1170">
        <f t="shared" si="83"/>
        <v>13200</v>
      </c>
    </row>
    <row r="1171" spans="1:8">
      <c r="A1171" t="s">
        <v>18</v>
      </c>
      <c r="B1171">
        <v>1872000</v>
      </c>
      <c r="C1171">
        <v>1824000</v>
      </c>
      <c r="D1171" t="str">
        <f>VLOOKUP(A1171,Лист2!A:E,5,0)</f>
        <v>малые</v>
      </c>
      <c r="E1171">
        <f>VLOOKUP(A1171,Лист2!A:E,4,0)</f>
        <v>2.5</v>
      </c>
      <c r="F1171" s="12">
        <f t="shared" si="81"/>
        <v>48000</v>
      </c>
      <c r="G1171">
        <f t="shared" si="82"/>
        <v>748800</v>
      </c>
      <c r="H1171">
        <f t="shared" si="83"/>
        <v>19200</v>
      </c>
    </row>
    <row r="1172" spans="1:8">
      <c r="A1172" t="s">
        <v>18</v>
      </c>
      <c r="B1172">
        <v>688000</v>
      </c>
      <c r="C1172">
        <v>835000</v>
      </c>
      <c r="D1172" t="str">
        <f>VLOOKUP(A1172,Лист2!A:E,5,0)</f>
        <v>малые</v>
      </c>
      <c r="E1172">
        <f>VLOOKUP(A1172,Лист2!A:E,4,0)</f>
        <v>2.5</v>
      </c>
      <c r="F1172" s="12">
        <f t="shared" si="81"/>
        <v>-147000</v>
      </c>
      <c r="G1172">
        <f t="shared" si="82"/>
        <v>275200</v>
      </c>
      <c r="H1172">
        <f t="shared" si="83"/>
        <v>-58800</v>
      </c>
    </row>
    <row r="1173" spans="1:8">
      <c r="A1173" t="s">
        <v>18</v>
      </c>
      <c r="B1173">
        <v>1373000</v>
      </c>
      <c r="C1173">
        <v>1100000</v>
      </c>
      <c r="D1173" t="str">
        <f>VLOOKUP(A1173,Лист2!A:E,5,0)</f>
        <v>малые</v>
      </c>
      <c r="E1173">
        <f>VLOOKUP(A1173,Лист2!A:E,4,0)</f>
        <v>2.5</v>
      </c>
      <c r="F1173" s="12">
        <f t="shared" si="81"/>
        <v>273000</v>
      </c>
      <c r="G1173">
        <f t="shared" si="82"/>
        <v>549200</v>
      </c>
      <c r="H1173">
        <f t="shared" si="83"/>
        <v>109200</v>
      </c>
    </row>
    <row r="1174" spans="1:8">
      <c r="A1174" t="s">
        <v>18</v>
      </c>
      <c r="B1174">
        <v>506000</v>
      </c>
      <c r="C1174">
        <v>457000</v>
      </c>
      <c r="D1174" t="str">
        <f>VLOOKUP(A1174,Лист2!A:E,5,0)</f>
        <v>малые</v>
      </c>
      <c r="E1174">
        <f>VLOOKUP(A1174,Лист2!A:E,4,0)</f>
        <v>2.5</v>
      </c>
      <c r="F1174" s="12">
        <f t="shared" si="81"/>
        <v>49000</v>
      </c>
      <c r="G1174">
        <f t="shared" si="82"/>
        <v>202400</v>
      </c>
      <c r="H1174">
        <f t="shared" si="83"/>
        <v>19600</v>
      </c>
    </row>
    <row r="1175" spans="1:8">
      <c r="A1175" t="s">
        <v>18</v>
      </c>
      <c r="B1175">
        <v>362195000</v>
      </c>
      <c r="C1175">
        <v>351349000</v>
      </c>
      <c r="D1175" t="str">
        <f>VLOOKUP(A1175,Лист2!A:E,5,0)</f>
        <v>малые</v>
      </c>
      <c r="E1175">
        <f>VLOOKUP(A1175,Лист2!A:E,4,0)</f>
        <v>2.5</v>
      </c>
      <c r="F1175" s="12">
        <f t="shared" si="81"/>
        <v>10846000</v>
      </c>
      <c r="G1175">
        <f t="shared" si="82"/>
        <v>144878000</v>
      </c>
      <c r="H1175">
        <f t="shared" si="83"/>
        <v>4338400</v>
      </c>
    </row>
    <row r="1176" spans="1:8">
      <c r="A1176" t="s">
        <v>18</v>
      </c>
      <c r="B1176">
        <v>20000</v>
      </c>
      <c r="C1176">
        <v>25000</v>
      </c>
      <c r="D1176" t="str">
        <f>VLOOKUP(A1176,Лист2!A:E,5,0)</f>
        <v>малые</v>
      </c>
      <c r="E1176">
        <f>VLOOKUP(A1176,Лист2!A:E,4,0)</f>
        <v>2.5</v>
      </c>
      <c r="F1176" s="12">
        <f t="shared" si="81"/>
        <v>-5000</v>
      </c>
      <c r="G1176">
        <f t="shared" si="82"/>
        <v>8000</v>
      </c>
      <c r="H1176">
        <f t="shared" si="83"/>
        <v>-2000</v>
      </c>
    </row>
    <row r="1177" spans="1:8">
      <c r="A1177" t="s">
        <v>18</v>
      </c>
      <c r="B1177">
        <v>90000</v>
      </c>
      <c r="C1177">
        <v>90000</v>
      </c>
      <c r="D1177" t="str">
        <f>VLOOKUP(A1177,Лист2!A:E,5,0)</f>
        <v>малые</v>
      </c>
      <c r="E1177">
        <f>VLOOKUP(A1177,Лист2!A:E,4,0)</f>
        <v>2.5</v>
      </c>
      <c r="F1177" s="12">
        <f t="shared" si="81"/>
        <v>0</v>
      </c>
      <c r="G1177">
        <f t="shared" si="82"/>
        <v>36000</v>
      </c>
      <c r="H1177">
        <f t="shared" si="83"/>
        <v>0</v>
      </c>
    </row>
    <row r="1178" spans="1:8">
      <c r="A1178" t="s">
        <v>18</v>
      </c>
      <c r="B1178">
        <v>602000</v>
      </c>
      <c r="C1178">
        <v>427000</v>
      </c>
      <c r="D1178" t="str">
        <f>VLOOKUP(A1178,Лист2!A:E,5,0)</f>
        <v>малые</v>
      </c>
      <c r="E1178">
        <f>VLOOKUP(A1178,Лист2!A:E,4,0)</f>
        <v>2.5</v>
      </c>
      <c r="F1178" s="12">
        <f t="shared" si="81"/>
        <v>175000</v>
      </c>
      <c r="G1178">
        <f t="shared" si="82"/>
        <v>240800</v>
      </c>
      <c r="H1178">
        <f t="shared" si="83"/>
        <v>70000</v>
      </c>
    </row>
    <row r="1179" spans="1:8">
      <c r="A1179" t="s">
        <v>18</v>
      </c>
      <c r="B1179">
        <v>730000</v>
      </c>
      <c r="C1179">
        <v>621000</v>
      </c>
      <c r="D1179" t="str">
        <f>VLOOKUP(A1179,Лист2!A:E,5,0)</f>
        <v>малые</v>
      </c>
      <c r="E1179">
        <f>VLOOKUP(A1179,Лист2!A:E,4,0)</f>
        <v>2.5</v>
      </c>
      <c r="F1179" s="12">
        <f t="shared" si="81"/>
        <v>109000</v>
      </c>
      <c r="G1179">
        <f t="shared" si="82"/>
        <v>292000</v>
      </c>
      <c r="H1179">
        <f t="shared" si="83"/>
        <v>43600</v>
      </c>
    </row>
    <row r="1180" spans="1:8">
      <c r="A1180" t="s">
        <v>18</v>
      </c>
      <c r="B1180">
        <v>377000</v>
      </c>
      <c r="C1180">
        <v>118000</v>
      </c>
      <c r="D1180" t="str">
        <f>VLOOKUP(A1180,Лист2!A:E,5,0)</f>
        <v>малые</v>
      </c>
      <c r="E1180">
        <f>VLOOKUP(A1180,Лист2!A:E,4,0)</f>
        <v>2.5</v>
      </c>
      <c r="F1180" s="12">
        <f t="shared" si="81"/>
        <v>259000</v>
      </c>
      <c r="G1180">
        <f t="shared" si="82"/>
        <v>150800</v>
      </c>
      <c r="H1180">
        <f t="shared" si="83"/>
        <v>103600</v>
      </c>
    </row>
    <row r="1181" spans="1:8">
      <c r="A1181" t="s">
        <v>18</v>
      </c>
      <c r="B1181">
        <v>4094000</v>
      </c>
      <c r="C1181">
        <v>4360000</v>
      </c>
      <c r="D1181" t="str">
        <f>VLOOKUP(A1181,Лист2!A:E,5,0)</f>
        <v>малые</v>
      </c>
      <c r="E1181">
        <f>VLOOKUP(A1181,Лист2!A:E,4,0)</f>
        <v>2.5</v>
      </c>
      <c r="F1181" s="12">
        <f t="shared" si="81"/>
        <v>-266000</v>
      </c>
      <c r="G1181">
        <f t="shared" si="82"/>
        <v>1637600</v>
      </c>
      <c r="H1181">
        <f t="shared" si="83"/>
        <v>-106400</v>
      </c>
    </row>
    <row r="1182" spans="1:8">
      <c r="A1182" t="s">
        <v>18</v>
      </c>
      <c r="B1182">
        <v>5540000</v>
      </c>
      <c r="C1182">
        <v>5345000</v>
      </c>
      <c r="D1182" t="str">
        <f>VLOOKUP(A1182,Лист2!A:E,5,0)</f>
        <v>малые</v>
      </c>
      <c r="E1182">
        <f>VLOOKUP(A1182,Лист2!A:E,4,0)</f>
        <v>2.5</v>
      </c>
      <c r="F1182" s="12">
        <f t="shared" si="81"/>
        <v>195000</v>
      </c>
      <c r="G1182">
        <f t="shared" si="82"/>
        <v>2216000</v>
      </c>
      <c r="H1182">
        <f t="shared" si="83"/>
        <v>78000</v>
      </c>
    </row>
    <row r="1183" spans="1:8">
      <c r="A1183" t="s">
        <v>18</v>
      </c>
      <c r="B1183">
        <v>1897000</v>
      </c>
      <c r="C1183">
        <v>1701000</v>
      </c>
      <c r="D1183" t="str">
        <f>VLOOKUP(A1183,Лист2!A:E,5,0)</f>
        <v>малые</v>
      </c>
      <c r="E1183">
        <f>VLOOKUP(A1183,Лист2!A:E,4,0)</f>
        <v>2.5</v>
      </c>
      <c r="F1183" s="12">
        <f t="shared" si="81"/>
        <v>196000</v>
      </c>
      <c r="G1183">
        <f t="shared" si="82"/>
        <v>758800</v>
      </c>
      <c r="H1183">
        <f t="shared" si="83"/>
        <v>78400</v>
      </c>
    </row>
    <row r="1184" spans="1:8">
      <c r="A1184" t="s">
        <v>18</v>
      </c>
      <c r="B1184">
        <v>6926000</v>
      </c>
      <c r="C1184">
        <v>7250000</v>
      </c>
      <c r="D1184" t="str">
        <f>VLOOKUP(A1184,Лист2!A:E,5,0)</f>
        <v>малые</v>
      </c>
      <c r="E1184">
        <f>VLOOKUP(A1184,Лист2!A:E,4,0)</f>
        <v>2.5</v>
      </c>
      <c r="F1184" s="12">
        <f t="shared" si="81"/>
        <v>-324000</v>
      </c>
      <c r="G1184">
        <f t="shared" si="82"/>
        <v>2770400</v>
      </c>
      <c r="H1184">
        <f t="shared" si="83"/>
        <v>-129600</v>
      </c>
    </row>
    <row r="1185" spans="1:8">
      <c r="A1185" t="s">
        <v>18</v>
      </c>
      <c r="B1185">
        <v>9924000</v>
      </c>
      <c r="C1185">
        <v>9974000</v>
      </c>
      <c r="D1185" t="str">
        <f>VLOOKUP(A1185,Лист2!A:E,5,0)</f>
        <v>малые</v>
      </c>
      <c r="E1185">
        <f>VLOOKUP(A1185,Лист2!A:E,4,0)</f>
        <v>2.5</v>
      </c>
      <c r="F1185" s="12">
        <f t="shared" si="81"/>
        <v>-50000</v>
      </c>
      <c r="G1185">
        <f t="shared" si="82"/>
        <v>3969600</v>
      </c>
      <c r="H1185">
        <f t="shared" si="83"/>
        <v>-20000</v>
      </c>
    </row>
    <row r="1186" spans="1:8">
      <c r="A1186" t="s">
        <v>18</v>
      </c>
      <c r="B1186">
        <v>1466000</v>
      </c>
      <c r="C1186">
        <v>1483000</v>
      </c>
      <c r="D1186" t="str">
        <f>VLOOKUP(A1186,Лист2!A:E,5,0)</f>
        <v>малые</v>
      </c>
      <c r="E1186">
        <f>VLOOKUP(A1186,Лист2!A:E,4,0)</f>
        <v>2.5</v>
      </c>
      <c r="F1186" s="12">
        <f t="shared" si="81"/>
        <v>-17000</v>
      </c>
      <c r="G1186">
        <f t="shared" si="82"/>
        <v>586400</v>
      </c>
      <c r="H1186">
        <f t="shared" si="83"/>
        <v>-6800</v>
      </c>
    </row>
    <row r="1187" spans="1:8">
      <c r="A1187" t="s">
        <v>18</v>
      </c>
      <c r="B1187">
        <v>22895000</v>
      </c>
      <c r="C1187">
        <v>22895000</v>
      </c>
      <c r="D1187" t="str">
        <f>VLOOKUP(A1187,Лист2!A:E,5,0)</f>
        <v>малые</v>
      </c>
      <c r="E1187">
        <f>VLOOKUP(A1187,Лист2!A:E,4,0)</f>
        <v>2.5</v>
      </c>
      <c r="F1187" s="12">
        <f t="shared" si="81"/>
        <v>0</v>
      </c>
      <c r="G1187">
        <f t="shared" si="82"/>
        <v>9158000</v>
      </c>
      <c r="H1187">
        <f t="shared" si="83"/>
        <v>0</v>
      </c>
    </row>
    <row r="1188" spans="1:8">
      <c r="A1188" t="s">
        <v>18</v>
      </c>
      <c r="B1188">
        <v>52000</v>
      </c>
      <c r="C1188">
        <v>249000</v>
      </c>
      <c r="D1188" t="str">
        <f>VLOOKUP(A1188,Лист2!A:E,5,0)</f>
        <v>малые</v>
      </c>
      <c r="E1188">
        <f>VLOOKUP(A1188,Лист2!A:E,4,0)</f>
        <v>2.5</v>
      </c>
      <c r="F1188" s="12">
        <f t="shared" si="81"/>
        <v>-197000</v>
      </c>
      <c r="G1188">
        <f t="shared" si="82"/>
        <v>20800</v>
      </c>
      <c r="H1188">
        <f t="shared" si="83"/>
        <v>-78800</v>
      </c>
    </row>
    <row r="1189" spans="1:8">
      <c r="A1189" t="s">
        <v>18</v>
      </c>
      <c r="B1189">
        <v>461000</v>
      </c>
      <c r="C1189">
        <v>345000</v>
      </c>
      <c r="D1189" t="str">
        <f>VLOOKUP(A1189,Лист2!A:E,5,0)</f>
        <v>малые</v>
      </c>
      <c r="E1189">
        <f>VLOOKUP(A1189,Лист2!A:E,4,0)</f>
        <v>2.5</v>
      </c>
      <c r="F1189" s="12">
        <f t="shared" si="81"/>
        <v>116000</v>
      </c>
      <c r="G1189">
        <f t="shared" si="82"/>
        <v>184400</v>
      </c>
      <c r="H1189">
        <f t="shared" si="83"/>
        <v>46400</v>
      </c>
    </row>
    <row r="1190" spans="1:8">
      <c r="A1190" t="s">
        <v>18</v>
      </c>
      <c r="B1190">
        <v>7484000</v>
      </c>
      <c r="C1190">
        <v>7410000</v>
      </c>
      <c r="D1190" t="str">
        <f>VLOOKUP(A1190,Лист2!A:E,5,0)</f>
        <v>малые</v>
      </c>
      <c r="E1190">
        <f>VLOOKUP(A1190,Лист2!A:E,4,0)</f>
        <v>2.5</v>
      </c>
      <c r="F1190" s="12">
        <f t="shared" si="81"/>
        <v>74000</v>
      </c>
      <c r="G1190">
        <f t="shared" si="82"/>
        <v>2993600</v>
      </c>
      <c r="H1190">
        <f t="shared" si="83"/>
        <v>29600</v>
      </c>
    </row>
    <row r="1191" spans="1:8">
      <c r="A1191" t="s">
        <v>18</v>
      </c>
      <c r="B1191">
        <v>1623000</v>
      </c>
      <c r="C1191">
        <v>1667000</v>
      </c>
      <c r="D1191" t="str">
        <f>VLOOKUP(A1191,Лист2!A:E,5,0)</f>
        <v>малые</v>
      </c>
      <c r="E1191">
        <f>VLOOKUP(A1191,Лист2!A:E,4,0)</f>
        <v>2.5</v>
      </c>
      <c r="F1191" s="12">
        <f t="shared" si="81"/>
        <v>-44000</v>
      </c>
      <c r="G1191">
        <f t="shared" si="82"/>
        <v>649200</v>
      </c>
      <c r="H1191">
        <f t="shared" si="83"/>
        <v>-17600</v>
      </c>
    </row>
    <row r="1192" spans="1:8">
      <c r="A1192" t="s">
        <v>18</v>
      </c>
      <c r="B1192">
        <v>1735000</v>
      </c>
      <c r="C1192">
        <v>1735000</v>
      </c>
      <c r="D1192" t="str">
        <f>VLOOKUP(A1192,Лист2!A:E,5,0)</f>
        <v>малые</v>
      </c>
      <c r="E1192">
        <f>VLOOKUP(A1192,Лист2!A:E,4,0)</f>
        <v>2.5</v>
      </c>
      <c r="F1192" s="12">
        <f t="shared" ref="F1192:F1231" si="84">B1192-C1192</f>
        <v>0</v>
      </c>
      <c r="G1192">
        <f t="shared" ref="G1192:G1231" si="85">B1192/E1192</f>
        <v>694000</v>
      </c>
      <c r="H1192">
        <f t="shared" ref="H1192:H1231" si="86">F1192/E1192</f>
        <v>0</v>
      </c>
    </row>
    <row r="1193" spans="1:8">
      <c r="A1193" t="s">
        <v>18</v>
      </c>
      <c r="B1193">
        <v>1377000</v>
      </c>
      <c r="C1193">
        <v>282000</v>
      </c>
      <c r="D1193" t="str">
        <f>VLOOKUP(A1193,Лист2!A:E,5,0)</f>
        <v>малые</v>
      </c>
      <c r="E1193">
        <f>VLOOKUP(A1193,Лист2!A:E,4,0)</f>
        <v>2.5</v>
      </c>
      <c r="F1193" s="12">
        <f t="shared" si="84"/>
        <v>1095000</v>
      </c>
      <c r="G1193">
        <f t="shared" si="85"/>
        <v>550800</v>
      </c>
      <c r="H1193">
        <f t="shared" si="86"/>
        <v>438000</v>
      </c>
    </row>
    <row r="1194" spans="1:8">
      <c r="A1194" t="s">
        <v>18</v>
      </c>
      <c r="B1194">
        <v>2555000</v>
      </c>
      <c r="C1194">
        <v>3492000</v>
      </c>
      <c r="D1194" t="str">
        <f>VLOOKUP(A1194,Лист2!A:E,5,0)</f>
        <v>малые</v>
      </c>
      <c r="E1194">
        <f>VLOOKUP(A1194,Лист2!A:E,4,0)</f>
        <v>2.5</v>
      </c>
      <c r="F1194" s="12">
        <f t="shared" si="84"/>
        <v>-937000</v>
      </c>
      <c r="G1194">
        <f t="shared" si="85"/>
        <v>1022000</v>
      </c>
      <c r="H1194">
        <f t="shared" si="86"/>
        <v>-374800</v>
      </c>
    </row>
    <row r="1195" spans="1:8">
      <c r="A1195" t="s">
        <v>18</v>
      </c>
      <c r="B1195">
        <v>20230000</v>
      </c>
      <c r="C1195">
        <v>20074000</v>
      </c>
      <c r="D1195" t="str">
        <f>VLOOKUP(A1195,Лист2!A:E,5,0)</f>
        <v>малые</v>
      </c>
      <c r="E1195">
        <f>VLOOKUP(A1195,Лист2!A:E,4,0)</f>
        <v>2.5</v>
      </c>
      <c r="F1195" s="12">
        <f t="shared" si="84"/>
        <v>156000</v>
      </c>
      <c r="G1195">
        <f t="shared" si="85"/>
        <v>8092000</v>
      </c>
      <c r="H1195">
        <f t="shared" si="86"/>
        <v>62400</v>
      </c>
    </row>
    <row r="1196" spans="1:8">
      <c r="A1196" t="s">
        <v>18</v>
      </c>
      <c r="B1196">
        <v>131000</v>
      </c>
      <c r="C1196">
        <v>89000</v>
      </c>
      <c r="D1196" t="str">
        <f>VLOOKUP(A1196,Лист2!A:E,5,0)</f>
        <v>малые</v>
      </c>
      <c r="E1196">
        <f>VLOOKUP(A1196,Лист2!A:E,4,0)</f>
        <v>2.5</v>
      </c>
      <c r="F1196" s="12">
        <f t="shared" si="84"/>
        <v>42000</v>
      </c>
      <c r="G1196">
        <f t="shared" si="85"/>
        <v>52400</v>
      </c>
      <c r="H1196">
        <f t="shared" si="86"/>
        <v>16800</v>
      </c>
    </row>
    <row r="1197" spans="1:8">
      <c r="A1197" t="s">
        <v>18</v>
      </c>
      <c r="B1197">
        <v>215000</v>
      </c>
      <c r="C1197">
        <v>205000</v>
      </c>
      <c r="D1197" t="str">
        <f>VLOOKUP(A1197,Лист2!A:E,5,0)</f>
        <v>малые</v>
      </c>
      <c r="E1197">
        <f>VLOOKUP(A1197,Лист2!A:E,4,0)</f>
        <v>2.5</v>
      </c>
      <c r="F1197" s="12">
        <f t="shared" si="84"/>
        <v>10000</v>
      </c>
      <c r="G1197">
        <f t="shared" si="85"/>
        <v>86000</v>
      </c>
      <c r="H1197">
        <f t="shared" si="86"/>
        <v>4000</v>
      </c>
    </row>
    <row r="1198" spans="1:8">
      <c r="A1198" t="s">
        <v>77</v>
      </c>
      <c r="B1198">
        <v>340903000</v>
      </c>
      <c r="C1198">
        <v>311511000</v>
      </c>
      <c r="D1198" t="str">
        <f>VLOOKUP(A1198,Лист2!A:E,5,0)</f>
        <v>малые</v>
      </c>
      <c r="E1198">
        <f>VLOOKUP(A1198,Лист2!A:E,4,0)</f>
        <v>8</v>
      </c>
      <c r="F1198" s="12">
        <f t="shared" si="84"/>
        <v>29392000</v>
      </c>
      <c r="G1198">
        <f t="shared" si="85"/>
        <v>42612875</v>
      </c>
      <c r="H1198">
        <f t="shared" si="86"/>
        <v>3674000</v>
      </c>
    </row>
    <row r="1199" spans="1:8">
      <c r="A1199" t="s">
        <v>18</v>
      </c>
      <c r="B1199">
        <v>2666000</v>
      </c>
      <c r="C1199">
        <v>2345000</v>
      </c>
      <c r="D1199" t="str">
        <f>VLOOKUP(A1199,Лист2!A:E,5,0)</f>
        <v>малые</v>
      </c>
      <c r="E1199">
        <f>VLOOKUP(A1199,Лист2!A:E,4,0)</f>
        <v>2.5</v>
      </c>
      <c r="F1199" s="12">
        <f t="shared" si="84"/>
        <v>321000</v>
      </c>
      <c r="G1199">
        <f t="shared" si="85"/>
        <v>1066400</v>
      </c>
      <c r="H1199">
        <f t="shared" si="86"/>
        <v>128400</v>
      </c>
    </row>
    <row r="1200" spans="1:8">
      <c r="A1200" t="s">
        <v>18</v>
      </c>
      <c r="B1200">
        <v>600000</v>
      </c>
      <c r="C1200">
        <v>1494000</v>
      </c>
      <c r="D1200" t="str">
        <f>VLOOKUP(A1200,Лист2!A:E,5,0)</f>
        <v>малые</v>
      </c>
      <c r="E1200">
        <f>VLOOKUP(A1200,Лист2!A:E,4,0)</f>
        <v>2.5</v>
      </c>
      <c r="F1200" s="12">
        <f t="shared" si="84"/>
        <v>-894000</v>
      </c>
      <c r="G1200">
        <f t="shared" si="85"/>
        <v>240000</v>
      </c>
      <c r="H1200">
        <f t="shared" si="86"/>
        <v>-357600</v>
      </c>
    </row>
    <row r="1201" spans="1:8">
      <c r="A1201" t="s">
        <v>18</v>
      </c>
      <c r="B1201">
        <v>694000</v>
      </c>
      <c r="C1201">
        <v>775000</v>
      </c>
      <c r="D1201" t="str">
        <f>VLOOKUP(A1201,Лист2!A:E,5,0)</f>
        <v>малые</v>
      </c>
      <c r="E1201">
        <f>VLOOKUP(A1201,Лист2!A:E,4,0)</f>
        <v>2.5</v>
      </c>
      <c r="F1201" s="12">
        <f t="shared" si="84"/>
        <v>-81000</v>
      </c>
      <c r="G1201">
        <f t="shared" si="85"/>
        <v>277600</v>
      </c>
      <c r="H1201">
        <f t="shared" si="86"/>
        <v>-32400</v>
      </c>
    </row>
    <row r="1202" spans="1:8">
      <c r="A1202" t="s">
        <v>23</v>
      </c>
      <c r="B1202">
        <v>31375000</v>
      </c>
      <c r="C1202">
        <v>7635000</v>
      </c>
      <c r="D1202" t="str">
        <f>VLOOKUP(A1202,Лист2!A:E,5,0)</f>
        <v>средние</v>
      </c>
      <c r="E1202">
        <f>VLOOKUP(A1202,Лист2!A:E,4,0)</f>
        <v>75.5</v>
      </c>
      <c r="F1202" s="12">
        <f t="shared" si="84"/>
        <v>23740000</v>
      </c>
      <c r="G1202">
        <f t="shared" si="85"/>
        <v>415562.91390728479</v>
      </c>
      <c r="H1202">
        <f t="shared" si="86"/>
        <v>314437.08609271521</v>
      </c>
    </row>
    <row r="1203" spans="1:8">
      <c r="A1203" t="s">
        <v>18</v>
      </c>
      <c r="B1203">
        <v>2993000</v>
      </c>
      <c r="C1203">
        <v>1903000</v>
      </c>
      <c r="D1203" t="str">
        <f>VLOOKUP(A1203,Лист2!A:E,5,0)</f>
        <v>малые</v>
      </c>
      <c r="E1203">
        <f>VLOOKUP(A1203,Лист2!A:E,4,0)</f>
        <v>2.5</v>
      </c>
      <c r="F1203" s="12">
        <f t="shared" si="84"/>
        <v>1090000</v>
      </c>
      <c r="G1203">
        <f t="shared" si="85"/>
        <v>1197200</v>
      </c>
      <c r="H1203">
        <f t="shared" si="86"/>
        <v>436000</v>
      </c>
    </row>
    <row r="1204" spans="1:8">
      <c r="A1204" t="s">
        <v>18</v>
      </c>
      <c r="B1204">
        <v>34000</v>
      </c>
      <c r="C1204">
        <v>25000</v>
      </c>
      <c r="D1204" t="str">
        <f>VLOOKUP(A1204,Лист2!A:E,5,0)</f>
        <v>малые</v>
      </c>
      <c r="E1204">
        <f>VLOOKUP(A1204,Лист2!A:E,4,0)</f>
        <v>2.5</v>
      </c>
      <c r="F1204" s="12">
        <f t="shared" si="84"/>
        <v>9000</v>
      </c>
      <c r="G1204">
        <f t="shared" si="85"/>
        <v>13600</v>
      </c>
      <c r="H1204">
        <f t="shared" si="86"/>
        <v>3600</v>
      </c>
    </row>
    <row r="1205" spans="1:8">
      <c r="A1205" t="s">
        <v>18</v>
      </c>
      <c r="B1205">
        <v>1740000</v>
      </c>
      <c r="C1205">
        <v>3819000</v>
      </c>
      <c r="D1205" t="str">
        <f>VLOOKUP(A1205,Лист2!A:E,5,0)</f>
        <v>малые</v>
      </c>
      <c r="E1205">
        <f>VLOOKUP(A1205,Лист2!A:E,4,0)</f>
        <v>2.5</v>
      </c>
      <c r="F1205" s="12">
        <f t="shared" si="84"/>
        <v>-2079000</v>
      </c>
      <c r="G1205">
        <f t="shared" si="85"/>
        <v>696000</v>
      </c>
      <c r="H1205">
        <f t="shared" si="86"/>
        <v>-831600</v>
      </c>
    </row>
    <row r="1206" spans="1:8">
      <c r="A1206" t="s">
        <v>18</v>
      </c>
      <c r="B1206">
        <v>10000</v>
      </c>
      <c r="C1206">
        <v>10000</v>
      </c>
      <c r="D1206" t="str">
        <f>VLOOKUP(A1206,Лист2!A:E,5,0)</f>
        <v>малые</v>
      </c>
      <c r="E1206">
        <f>VLOOKUP(A1206,Лист2!A:E,4,0)</f>
        <v>2.5</v>
      </c>
      <c r="F1206" s="12">
        <f t="shared" si="84"/>
        <v>0</v>
      </c>
      <c r="G1206">
        <f t="shared" si="85"/>
        <v>4000</v>
      </c>
      <c r="H1206">
        <f t="shared" si="86"/>
        <v>0</v>
      </c>
    </row>
    <row r="1207" spans="1:8">
      <c r="A1207" t="s">
        <v>18</v>
      </c>
      <c r="B1207">
        <v>155000</v>
      </c>
      <c r="C1207">
        <v>197000</v>
      </c>
      <c r="D1207" t="str">
        <f>VLOOKUP(A1207,Лист2!A:E,5,0)</f>
        <v>малые</v>
      </c>
      <c r="E1207">
        <f>VLOOKUP(A1207,Лист2!A:E,4,0)</f>
        <v>2.5</v>
      </c>
      <c r="F1207" s="12">
        <f t="shared" si="84"/>
        <v>-42000</v>
      </c>
      <c r="G1207">
        <f t="shared" si="85"/>
        <v>62000</v>
      </c>
      <c r="H1207">
        <f t="shared" si="86"/>
        <v>-16800</v>
      </c>
    </row>
    <row r="1208" spans="1:8">
      <c r="A1208" t="s">
        <v>18</v>
      </c>
      <c r="B1208">
        <v>926000</v>
      </c>
      <c r="C1208">
        <v>894000</v>
      </c>
      <c r="D1208" t="str">
        <f>VLOOKUP(A1208,Лист2!A:E,5,0)</f>
        <v>малые</v>
      </c>
      <c r="E1208">
        <f>VLOOKUP(A1208,Лист2!A:E,4,0)</f>
        <v>2.5</v>
      </c>
      <c r="F1208" s="12">
        <f t="shared" si="84"/>
        <v>32000</v>
      </c>
      <c r="G1208">
        <f t="shared" si="85"/>
        <v>370400</v>
      </c>
      <c r="H1208">
        <f t="shared" si="86"/>
        <v>12800</v>
      </c>
    </row>
    <row r="1209" spans="1:8">
      <c r="A1209" t="s">
        <v>18</v>
      </c>
      <c r="B1209">
        <v>418000</v>
      </c>
      <c r="C1209">
        <v>392000</v>
      </c>
      <c r="D1209" t="str">
        <f>VLOOKUP(A1209,Лист2!A:E,5,0)</f>
        <v>малые</v>
      </c>
      <c r="E1209">
        <f>VLOOKUP(A1209,Лист2!A:E,4,0)</f>
        <v>2.5</v>
      </c>
      <c r="F1209" s="12">
        <f t="shared" si="84"/>
        <v>26000</v>
      </c>
      <c r="G1209">
        <f t="shared" si="85"/>
        <v>167200</v>
      </c>
      <c r="H1209">
        <f t="shared" si="86"/>
        <v>10400</v>
      </c>
    </row>
    <row r="1210" spans="1:8">
      <c r="A1210" t="s">
        <v>18</v>
      </c>
      <c r="B1210">
        <v>584000</v>
      </c>
      <c r="C1210">
        <v>578000</v>
      </c>
      <c r="D1210" t="str">
        <f>VLOOKUP(A1210,Лист2!A:E,5,0)</f>
        <v>малые</v>
      </c>
      <c r="E1210">
        <f>VLOOKUP(A1210,Лист2!A:E,4,0)</f>
        <v>2.5</v>
      </c>
      <c r="F1210" s="12">
        <f t="shared" si="84"/>
        <v>6000</v>
      </c>
      <c r="G1210">
        <f t="shared" si="85"/>
        <v>233600</v>
      </c>
      <c r="H1210">
        <f t="shared" si="86"/>
        <v>2400</v>
      </c>
    </row>
    <row r="1211" spans="1:8">
      <c r="A1211" t="s">
        <v>18</v>
      </c>
      <c r="B1211">
        <v>41000</v>
      </c>
      <c r="C1211">
        <v>73000</v>
      </c>
      <c r="D1211" t="str">
        <f>VLOOKUP(A1211,Лист2!A:E,5,0)</f>
        <v>малые</v>
      </c>
      <c r="E1211">
        <f>VLOOKUP(A1211,Лист2!A:E,4,0)</f>
        <v>2.5</v>
      </c>
      <c r="F1211" s="12">
        <f t="shared" si="84"/>
        <v>-32000</v>
      </c>
      <c r="G1211">
        <f t="shared" si="85"/>
        <v>16400</v>
      </c>
      <c r="H1211">
        <f t="shared" si="86"/>
        <v>-12800</v>
      </c>
    </row>
    <row r="1212" spans="1:8">
      <c r="A1212" t="s">
        <v>18</v>
      </c>
      <c r="B1212">
        <v>785000</v>
      </c>
      <c r="C1212">
        <v>778000</v>
      </c>
      <c r="D1212" t="str">
        <f>VLOOKUP(A1212,Лист2!A:E,5,0)</f>
        <v>малые</v>
      </c>
      <c r="E1212">
        <f>VLOOKUP(A1212,Лист2!A:E,4,0)</f>
        <v>2.5</v>
      </c>
      <c r="F1212" s="12">
        <f t="shared" si="84"/>
        <v>7000</v>
      </c>
      <c r="G1212">
        <f t="shared" si="85"/>
        <v>314000</v>
      </c>
      <c r="H1212">
        <f t="shared" si="86"/>
        <v>2800</v>
      </c>
    </row>
    <row r="1213" spans="1:8">
      <c r="A1213" t="s">
        <v>18</v>
      </c>
      <c r="B1213">
        <v>6440000</v>
      </c>
      <c r="C1213">
        <v>3747000</v>
      </c>
      <c r="D1213" t="str">
        <f>VLOOKUP(A1213,Лист2!A:E,5,0)</f>
        <v>малые</v>
      </c>
      <c r="E1213">
        <f>VLOOKUP(A1213,Лист2!A:E,4,0)</f>
        <v>2.5</v>
      </c>
      <c r="F1213" s="12">
        <f t="shared" si="84"/>
        <v>2693000</v>
      </c>
      <c r="G1213">
        <f t="shared" si="85"/>
        <v>2576000</v>
      </c>
      <c r="H1213">
        <f t="shared" si="86"/>
        <v>1077200</v>
      </c>
    </row>
    <row r="1214" spans="1:8">
      <c r="A1214" t="s">
        <v>18</v>
      </c>
      <c r="B1214">
        <v>2497000</v>
      </c>
      <c r="C1214">
        <v>1698000</v>
      </c>
      <c r="D1214" t="str">
        <f>VLOOKUP(A1214,Лист2!A:E,5,0)</f>
        <v>малые</v>
      </c>
      <c r="E1214">
        <f>VLOOKUP(A1214,Лист2!A:E,4,0)</f>
        <v>2.5</v>
      </c>
      <c r="F1214" s="12">
        <f t="shared" si="84"/>
        <v>799000</v>
      </c>
      <c r="G1214">
        <f t="shared" si="85"/>
        <v>998800</v>
      </c>
      <c r="H1214">
        <f t="shared" si="86"/>
        <v>319600</v>
      </c>
    </row>
    <row r="1215" spans="1:8">
      <c r="A1215" t="s">
        <v>18</v>
      </c>
      <c r="B1215">
        <v>1022000</v>
      </c>
      <c r="C1215">
        <v>929000</v>
      </c>
      <c r="D1215" t="str">
        <f>VLOOKUP(A1215,Лист2!A:E,5,0)</f>
        <v>малые</v>
      </c>
      <c r="E1215">
        <f>VLOOKUP(A1215,Лист2!A:E,4,0)</f>
        <v>2.5</v>
      </c>
      <c r="F1215" s="12">
        <f t="shared" si="84"/>
        <v>93000</v>
      </c>
      <c r="G1215">
        <f t="shared" si="85"/>
        <v>408800</v>
      </c>
      <c r="H1215">
        <f t="shared" si="86"/>
        <v>37200</v>
      </c>
    </row>
    <row r="1216" spans="1:8">
      <c r="A1216" t="s">
        <v>18</v>
      </c>
      <c r="B1216">
        <v>1936000</v>
      </c>
      <c r="C1216">
        <v>1919000</v>
      </c>
      <c r="D1216" t="str">
        <f>VLOOKUP(A1216,Лист2!A:E,5,0)</f>
        <v>малые</v>
      </c>
      <c r="E1216">
        <f>VLOOKUP(A1216,Лист2!A:E,4,0)</f>
        <v>2.5</v>
      </c>
      <c r="F1216" s="12">
        <f t="shared" si="84"/>
        <v>17000</v>
      </c>
      <c r="G1216">
        <f t="shared" si="85"/>
        <v>774400</v>
      </c>
      <c r="H1216">
        <f t="shared" si="86"/>
        <v>6800</v>
      </c>
    </row>
    <row r="1217" spans="1:8">
      <c r="A1217" t="s">
        <v>18</v>
      </c>
      <c r="B1217">
        <v>463287</v>
      </c>
      <c r="C1217">
        <v>299175</v>
      </c>
      <c r="D1217" t="str">
        <f>VLOOKUP(A1217,Лист2!A:E,5,0)</f>
        <v>малые</v>
      </c>
      <c r="E1217">
        <f>VLOOKUP(A1217,Лист2!A:E,4,0)</f>
        <v>2.5</v>
      </c>
      <c r="F1217" s="12">
        <f t="shared" si="84"/>
        <v>164112</v>
      </c>
      <c r="G1217">
        <f t="shared" si="85"/>
        <v>185314.8</v>
      </c>
      <c r="H1217">
        <f t="shared" si="86"/>
        <v>65644.800000000003</v>
      </c>
    </row>
    <row r="1218" spans="1:8">
      <c r="A1218" t="s">
        <v>18</v>
      </c>
      <c r="B1218">
        <v>1177000</v>
      </c>
      <c r="C1218">
        <v>1191000</v>
      </c>
      <c r="D1218" t="str">
        <f>VLOOKUP(A1218,Лист2!A:E,5,0)</f>
        <v>малые</v>
      </c>
      <c r="E1218">
        <f>VLOOKUP(A1218,Лист2!A:E,4,0)</f>
        <v>2.5</v>
      </c>
      <c r="F1218" s="12">
        <f t="shared" si="84"/>
        <v>-14000</v>
      </c>
      <c r="G1218">
        <f t="shared" si="85"/>
        <v>470800</v>
      </c>
      <c r="H1218">
        <f t="shared" si="86"/>
        <v>-5600</v>
      </c>
    </row>
    <row r="1219" spans="1:8">
      <c r="A1219" t="s">
        <v>18</v>
      </c>
      <c r="B1219">
        <v>1638000</v>
      </c>
      <c r="C1219">
        <v>1638000</v>
      </c>
      <c r="D1219" t="str">
        <f>VLOOKUP(A1219,Лист2!A:E,5,0)</f>
        <v>малые</v>
      </c>
      <c r="E1219">
        <f>VLOOKUP(A1219,Лист2!A:E,4,0)</f>
        <v>2.5</v>
      </c>
      <c r="F1219" s="12">
        <f t="shared" si="84"/>
        <v>0</v>
      </c>
      <c r="G1219">
        <f t="shared" si="85"/>
        <v>655200</v>
      </c>
      <c r="H1219">
        <f t="shared" si="86"/>
        <v>0</v>
      </c>
    </row>
    <row r="1220" spans="1:8">
      <c r="A1220" t="s">
        <v>18</v>
      </c>
      <c r="B1220">
        <v>138000</v>
      </c>
      <c r="C1220">
        <v>89000</v>
      </c>
      <c r="D1220" t="str">
        <f>VLOOKUP(A1220,Лист2!A:E,5,0)</f>
        <v>малые</v>
      </c>
      <c r="E1220">
        <f>VLOOKUP(A1220,Лист2!A:E,4,0)</f>
        <v>2.5</v>
      </c>
      <c r="F1220" s="12">
        <f t="shared" si="84"/>
        <v>49000</v>
      </c>
      <c r="G1220">
        <f t="shared" si="85"/>
        <v>55200</v>
      </c>
      <c r="H1220">
        <f t="shared" si="86"/>
        <v>19600</v>
      </c>
    </row>
    <row r="1221" spans="1:8">
      <c r="A1221" t="s">
        <v>18</v>
      </c>
      <c r="B1221">
        <v>2327000</v>
      </c>
      <c r="C1221">
        <v>995000</v>
      </c>
      <c r="D1221" t="str">
        <f>VLOOKUP(A1221,Лист2!A:E,5,0)</f>
        <v>малые</v>
      </c>
      <c r="E1221">
        <f>VLOOKUP(A1221,Лист2!A:E,4,0)</f>
        <v>2.5</v>
      </c>
      <c r="F1221" s="12">
        <f t="shared" si="84"/>
        <v>1332000</v>
      </c>
      <c r="G1221">
        <f t="shared" si="85"/>
        <v>930800</v>
      </c>
      <c r="H1221">
        <f t="shared" si="86"/>
        <v>532800</v>
      </c>
    </row>
    <row r="1222" spans="1:8">
      <c r="A1222" t="s">
        <v>18</v>
      </c>
      <c r="B1222">
        <v>6351000</v>
      </c>
      <c r="C1222">
        <v>6385000</v>
      </c>
      <c r="D1222" t="str">
        <f>VLOOKUP(A1222,Лист2!A:E,5,0)</f>
        <v>малые</v>
      </c>
      <c r="E1222">
        <f>VLOOKUP(A1222,Лист2!A:E,4,0)</f>
        <v>2.5</v>
      </c>
      <c r="F1222" s="12">
        <f t="shared" si="84"/>
        <v>-34000</v>
      </c>
      <c r="G1222">
        <f t="shared" si="85"/>
        <v>2540400</v>
      </c>
      <c r="H1222">
        <f t="shared" si="86"/>
        <v>-13600</v>
      </c>
    </row>
    <row r="1223" spans="1:8">
      <c r="A1223" t="s">
        <v>18</v>
      </c>
      <c r="B1223">
        <v>576000</v>
      </c>
      <c r="C1223">
        <v>687000</v>
      </c>
      <c r="D1223" t="str">
        <f>VLOOKUP(A1223,Лист2!A:E,5,0)</f>
        <v>малые</v>
      </c>
      <c r="E1223">
        <f>VLOOKUP(A1223,Лист2!A:E,4,0)</f>
        <v>2.5</v>
      </c>
      <c r="F1223" s="12">
        <f t="shared" si="84"/>
        <v>-111000</v>
      </c>
      <c r="G1223">
        <f t="shared" si="85"/>
        <v>230400</v>
      </c>
      <c r="H1223">
        <f t="shared" si="86"/>
        <v>-44400</v>
      </c>
    </row>
    <row r="1224" spans="1:8">
      <c r="A1224" t="s">
        <v>18</v>
      </c>
      <c r="B1224">
        <v>1962000</v>
      </c>
      <c r="C1224">
        <v>1796000</v>
      </c>
      <c r="D1224" t="str">
        <f>VLOOKUP(A1224,Лист2!A:E,5,0)</f>
        <v>малые</v>
      </c>
      <c r="E1224">
        <f>VLOOKUP(A1224,Лист2!A:E,4,0)</f>
        <v>2.5</v>
      </c>
      <c r="F1224" s="12">
        <f t="shared" si="84"/>
        <v>166000</v>
      </c>
      <c r="G1224">
        <f t="shared" si="85"/>
        <v>784800</v>
      </c>
      <c r="H1224">
        <f t="shared" si="86"/>
        <v>66400</v>
      </c>
    </row>
    <row r="1225" spans="1:8">
      <c r="A1225" t="s">
        <v>18</v>
      </c>
      <c r="B1225">
        <v>941000</v>
      </c>
      <c r="C1225">
        <v>1112000</v>
      </c>
      <c r="D1225" t="str">
        <f>VLOOKUP(A1225,Лист2!A:E,5,0)</f>
        <v>малые</v>
      </c>
      <c r="E1225">
        <f>VLOOKUP(A1225,Лист2!A:E,4,0)</f>
        <v>2.5</v>
      </c>
      <c r="F1225" s="12">
        <f t="shared" si="84"/>
        <v>-171000</v>
      </c>
      <c r="G1225">
        <f t="shared" si="85"/>
        <v>376400</v>
      </c>
      <c r="H1225">
        <f t="shared" si="86"/>
        <v>-68400</v>
      </c>
    </row>
    <row r="1226" spans="1:8">
      <c r="A1226" t="s">
        <v>18</v>
      </c>
      <c r="B1226">
        <v>870000</v>
      </c>
      <c r="C1226">
        <v>532000</v>
      </c>
      <c r="D1226" t="str">
        <f>VLOOKUP(A1226,Лист2!A:E,5,0)</f>
        <v>малые</v>
      </c>
      <c r="E1226">
        <f>VLOOKUP(A1226,Лист2!A:E,4,0)</f>
        <v>2.5</v>
      </c>
      <c r="F1226" s="12">
        <f t="shared" si="84"/>
        <v>338000</v>
      </c>
      <c r="G1226">
        <f t="shared" si="85"/>
        <v>348000</v>
      </c>
      <c r="H1226">
        <f t="shared" si="86"/>
        <v>135200</v>
      </c>
    </row>
    <row r="1227" spans="1:8">
      <c r="A1227" t="s">
        <v>18</v>
      </c>
      <c r="B1227">
        <v>300000</v>
      </c>
      <c r="C1227">
        <v>175000</v>
      </c>
      <c r="D1227" t="str">
        <f>VLOOKUP(A1227,Лист2!A:E,5,0)</f>
        <v>малые</v>
      </c>
      <c r="E1227">
        <f>VLOOKUP(A1227,Лист2!A:E,4,0)</f>
        <v>2.5</v>
      </c>
      <c r="F1227" s="12">
        <f t="shared" si="84"/>
        <v>125000</v>
      </c>
      <c r="G1227">
        <f t="shared" si="85"/>
        <v>120000</v>
      </c>
      <c r="H1227">
        <f t="shared" si="86"/>
        <v>50000</v>
      </c>
    </row>
    <row r="1228" spans="1:8">
      <c r="A1228" t="s">
        <v>18</v>
      </c>
      <c r="B1228">
        <v>1190000</v>
      </c>
      <c r="C1228">
        <v>752000</v>
      </c>
      <c r="D1228" t="str">
        <f>VLOOKUP(A1228,Лист2!A:E,5,0)</f>
        <v>малые</v>
      </c>
      <c r="E1228">
        <f>VLOOKUP(A1228,Лист2!A:E,4,0)</f>
        <v>2.5</v>
      </c>
      <c r="F1228" s="12">
        <f t="shared" si="84"/>
        <v>438000</v>
      </c>
      <c r="G1228">
        <f t="shared" si="85"/>
        <v>476000</v>
      </c>
      <c r="H1228">
        <f t="shared" si="86"/>
        <v>175200</v>
      </c>
    </row>
    <row r="1229" spans="1:8">
      <c r="A1229" t="s">
        <v>18</v>
      </c>
      <c r="B1229">
        <v>2300000</v>
      </c>
      <c r="C1229">
        <v>2249000</v>
      </c>
      <c r="D1229" t="str">
        <f>VLOOKUP(A1229,Лист2!A:E,5,0)</f>
        <v>малые</v>
      </c>
      <c r="E1229">
        <f>VLOOKUP(A1229,Лист2!A:E,4,0)</f>
        <v>2.5</v>
      </c>
      <c r="F1229" s="12">
        <f t="shared" si="84"/>
        <v>51000</v>
      </c>
      <c r="G1229">
        <f t="shared" si="85"/>
        <v>920000</v>
      </c>
      <c r="H1229">
        <f t="shared" si="86"/>
        <v>20400</v>
      </c>
    </row>
    <row r="1230" spans="1:8">
      <c r="A1230" t="s">
        <v>18</v>
      </c>
      <c r="B1230">
        <v>845000</v>
      </c>
      <c r="C1230">
        <v>845000</v>
      </c>
      <c r="D1230" t="str">
        <f>VLOOKUP(A1230,Лист2!A:E,5,0)</f>
        <v>малые</v>
      </c>
      <c r="E1230">
        <f>VLOOKUP(A1230,Лист2!A:E,4,0)</f>
        <v>2.5</v>
      </c>
      <c r="F1230" s="12">
        <f t="shared" si="84"/>
        <v>0</v>
      </c>
      <c r="G1230">
        <f t="shared" si="85"/>
        <v>338000</v>
      </c>
      <c r="H1230">
        <f t="shared" si="86"/>
        <v>0</v>
      </c>
    </row>
    <row r="1231" spans="1:8">
      <c r="A1231" t="s">
        <v>18</v>
      </c>
      <c r="B1231">
        <v>3511000</v>
      </c>
      <c r="C1231">
        <v>3511000</v>
      </c>
      <c r="D1231" t="str">
        <f>VLOOKUP(A1231,Лист2!A:E,5,0)</f>
        <v>малые</v>
      </c>
      <c r="E1231">
        <f>VLOOKUP(A1231,Лист2!A:E,4,0)</f>
        <v>2.5</v>
      </c>
      <c r="F1231" s="12">
        <f t="shared" si="84"/>
        <v>0</v>
      </c>
      <c r="G1231">
        <f t="shared" si="85"/>
        <v>1404400</v>
      </c>
      <c r="H1231">
        <f t="shared" si="86"/>
        <v>0</v>
      </c>
    </row>
    <row r="1232" spans="1:8">
      <c r="A1232" t="s">
        <v>18</v>
      </c>
      <c r="B1232">
        <v>22450000</v>
      </c>
      <c r="C1232">
        <v>280593000</v>
      </c>
      <c r="D1232" t="str">
        <f>VLOOKUP(A1232,Лист2!A:E,5,0)</f>
        <v>малые</v>
      </c>
      <c r="E1232">
        <f>VLOOKUP(A1232,Лист2!A:E,4,0)</f>
        <v>2.5</v>
      </c>
      <c r="F1232" s="12">
        <f t="shared" ref="F1232:F1271" si="87">B1232-C1232</f>
        <v>-258143000</v>
      </c>
      <c r="G1232">
        <f t="shared" ref="G1232:G1271" si="88">B1232/E1232</f>
        <v>8980000</v>
      </c>
      <c r="H1232">
        <f t="shared" ref="H1232:H1271" si="89">F1232/E1232</f>
        <v>-103257200</v>
      </c>
    </row>
    <row r="1233" spans="1:8">
      <c r="A1233" t="s">
        <v>18</v>
      </c>
      <c r="B1233">
        <v>425000</v>
      </c>
      <c r="C1233">
        <v>440000</v>
      </c>
      <c r="D1233" t="str">
        <f>VLOOKUP(A1233,Лист2!A:E,5,0)</f>
        <v>малые</v>
      </c>
      <c r="E1233">
        <f>VLOOKUP(A1233,Лист2!A:E,4,0)</f>
        <v>2.5</v>
      </c>
      <c r="F1233" s="12">
        <f t="shared" si="87"/>
        <v>-15000</v>
      </c>
      <c r="G1233">
        <f t="shared" si="88"/>
        <v>170000</v>
      </c>
      <c r="H1233">
        <f t="shared" si="89"/>
        <v>-6000</v>
      </c>
    </row>
    <row r="1234" spans="1:8">
      <c r="A1234" t="s">
        <v>18</v>
      </c>
      <c r="B1234">
        <v>723000</v>
      </c>
      <c r="C1234">
        <v>723000</v>
      </c>
      <c r="D1234" t="str">
        <f>VLOOKUP(A1234,Лист2!A:E,5,0)</f>
        <v>малые</v>
      </c>
      <c r="E1234">
        <f>VLOOKUP(A1234,Лист2!A:E,4,0)</f>
        <v>2.5</v>
      </c>
      <c r="F1234" s="12">
        <f t="shared" si="87"/>
        <v>0</v>
      </c>
      <c r="G1234">
        <f t="shared" si="88"/>
        <v>289200</v>
      </c>
      <c r="H1234">
        <f t="shared" si="89"/>
        <v>0</v>
      </c>
    </row>
    <row r="1235" spans="1:8">
      <c r="A1235" t="s">
        <v>18</v>
      </c>
      <c r="B1235">
        <v>5010000</v>
      </c>
      <c r="C1235">
        <v>4917000</v>
      </c>
      <c r="D1235" t="str">
        <f>VLOOKUP(A1235,Лист2!A:E,5,0)</f>
        <v>малые</v>
      </c>
      <c r="E1235">
        <f>VLOOKUP(A1235,Лист2!A:E,4,0)</f>
        <v>2.5</v>
      </c>
      <c r="F1235" s="12">
        <f t="shared" si="87"/>
        <v>93000</v>
      </c>
      <c r="G1235">
        <f t="shared" si="88"/>
        <v>2004000</v>
      </c>
      <c r="H1235">
        <f t="shared" si="89"/>
        <v>37200</v>
      </c>
    </row>
    <row r="1236" spans="1:8">
      <c r="A1236" t="s">
        <v>18</v>
      </c>
      <c r="B1236">
        <v>82166000</v>
      </c>
      <c r="C1236">
        <v>82857000</v>
      </c>
      <c r="D1236" t="str">
        <f>VLOOKUP(A1236,Лист2!A:E,5,0)</f>
        <v>малые</v>
      </c>
      <c r="E1236">
        <f>VLOOKUP(A1236,Лист2!A:E,4,0)</f>
        <v>2.5</v>
      </c>
      <c r="F1236" s="12">
        <f t="shared" si="87"/>
        <v>-691000</v>
      </c>
      <c r="G1236">
        <f t="shared" si="88"/>
        <v>32866400</v>
      </c>
      <c r="H1236">
        <f t="shared" si="89"/>
        <v>-276400</v>
      </c>
    </row>
    <row r="1237" spans="1:8">
      <c r="A1237" t="s">
        <v>18</v>
      </c>
      <c r="B1237">
        <v>2018000</v>
      </c>
      <c r="C1237">
        <v>1942000</v>
      </c>
      <c r="D1237" t="str">
        <f>VLOOKUP(A1237,Лист2!A:E,5,0)</f>
        <v>малые</v>
      </c>
      <c r="E1237">
        <f>VLOOKUP(A1237,Лист2!A:E,4,0)</f>
        <v>2.5</v>
      </c>
      <c r="F1237" s="12">
        <f t="shared" si="87"/>
        <v>76000</v>
      </c>
      <c r="G1237">
        <f t="shared" si="88"/>
        <v>807200</v>
      </c>
      <c r="H1237">
        <f t="shared" si="89"/>
        <v>30400</v>
      </c>
    </row>
    <row r="1238" spans="1:8">
      <c r="A1238" t="s">
        <v>18</v>
      </c>
      <c r="B1238">
        <v>1072000</v>
      </c>
      <c r="C1238">
        <v>1072000</v>
      </c>
      <c r="D1238" t="str">
        <f>VLOOKUP(A1238,Лист2!A:E,5,0)</f>
        <v>малые</v>
      </c>
      <c r="E1238">
        <f>VLOOKUP(A1238,Лист2!A:E,4,0)</f>
        <v>2.5</v>
      </c>
      <c r="F1238" s="12">
        <f t="shared" si="87"/>
        <v>0</v>
      </c>
      <c r="G1238">
        <f t="shared" si="88"/>
        <v>428800</v>
      </c>
      <c r="H1238">
        <f t="shared" si="89"/>
        <v>0</v>
      </c>
    </row>
    <row r="1239" spans="1:8">
      <c r="A1239" t="s">
        <v>18</v>
      </c>
      <c r="B1239">
        <v>50000</v>
      </c>
      <c r="C1239">
        <v>43000</v>
      </c>
      <c r="D1239" t="str">
        <f>VLOOKUP(A1239,Лист2!A:E,5,0)</f>
        <v>малые</v>
      </c>
      <c r="E1239">
        <f>VLOOKUP(A1239,Лист2!A:E,4,0)</f>
        <v>2.5</v>
      </c>
      <c r="F1239" s="12">
        <f t="shared" si="87"/>
        <v>7000</v>
      </c>
      <c r="G1239">
        <f t="shared" si="88"/>
        <v>20000</v>
      </c>
      <c r="H1239">
        <f t="shared" si="89"/>
        <v>2800</v>
      </c>
    </row>
    <row r="1240" spans="1:8">
      <c r="A1240" t="s">
        <v>18</v>
      </c>
      <c r="B1240">
        <v>11435000</v>
      </c>
      <c r="C1240">
        <v>11255000</v>
      </c>
      <c r="D1240" t="str">
        <f>VLOOKUP(A1240,Лист2!A:E,5,0)</f>
        <v>малые</v>
      </c>
      <c r="E1240">
        <f>VLOOKUP(A1240,Лист2!A:E,4,0)</f>
        <v>2.5</v>
      </c>
      <c r="F1240" s="12">
        <f t="shared" si="87"/>
        <v>180000</v>
      </c>
      <c r="G1240">
        <f t="shared" si="88"/>
        <v>4574000</v>
      </c>
      <c r="H1240">
        <f t="shared" si="89"/>
        <v>72000</v>
      </c>
    </row>
    <row r="1241" spans="1:8">
      <c r="A1241" t="s">
        <v>18</v>
      </c>
      <c r="B1241">
        <v>2310000</v>
      </c>
      <c r="C1241">
        <v>2254000</v>
      </c>
      <c r="D1241" t="str">
        <f>VLOOKUP(A1241,Лист2!A:E,5,0)</f>
        <v>малые</v>
      </c>
      <c r="E1241">
        <f>VLOOKUP(A1241,Лист2!A:E,4,0)</f>
        <v>2.5</v>
      </c>
      <c r="F1241" s="12">
        <f t="shared" si="87"/>
        <v>56000</v>
      </c>
      <c r="G1241">
        <f t="shared" si="88"/>
        <v>924000</v>
      </c>
      <c r="H1241">
        <f t="shared" si="89"/>
        <v>22400</v>
      </c>
    </row>
    <row r="1242" spans="1:8">
      <c r="A1242" t="s">
        <v>18</v>
      </c>
      <c r="B1242">
        <v>1308000</v>
      </c>
      <c r="C1242">
        <v>1312000</v>
      </c>
      <c r="D1242" t="str">
        <f>VLOOKUP(A1242,Лист2!A:E,5,0)</f>
        <v>малые</v>
      </c>
      <c r="E1242">
        <f>VLOOKUP(A1242,Лист2!A:E,4,0)</f>
        <v>2.5</v>
      </c>
      <c r="F1242" s="12">
        <f t="shared" si="87"/>
        <v>-4000</v>
      </c>
      <c r="G1242">
        <f t="shared" si="88"/>
        <v>523200</v>
      </c>
      <c r="H1242">
        <f t="shared" si="89"/>
        <v>-1600</v>
      </c>
    </row>
    <row r="1243" spans="1:8">
      <c r="A1243" t="s">
        <v>18</v>
      </c>
      <c r="B1243">
        <v>2747000</v>
      </c>
      <c r="C1243">
        <v>2703000</v>
      </c>
      <c r="D1243" t="str">
        <f>VLOOKUP(A1243,Лист2!A:E,5,0)</f>
        <v>малые</v>
      </c>
      <c r="E1243">
        <f>VLOOKUP(A1243,Лист2!A:E,4,0)</f>
        <v>2.5</v>
      </c>
      <c r="F1243" s="12">
        <f t="shared" si="87"/>
        <v>44000</v>
      </c>
      <c r="G1243">
        <f t="shared" si="88"/>
        <v>1098800</v>
      </c>
      <c r="H1243">
        <f t="shared" si="89"/>
        <v>17600</v>
      </c>
    </row>
    <row r="1244" spans="1:8">
      <c r="A1244" t="s">
        <v>18</v>
      </c>
      <c r="B1244">
        <v>960000</v>
      </c>
      <c r="C1244">
        <v>960000</v>
      </c>
      <c r="D1244" t="str">
        <f>VLOOKUP(A1244,Лист2!A:E,5,0)</f>
        <v>малые</v>
      </c>
      <c r="E1244">
        <f>VLOOKUP(A1244,Лист2!A:E,4,0)</f>
        <v>2.5</v>
      </c>
      <c r="F1244" s="12">
        <f t="shared" si="87"/>
        <v>0</v>
      </c>
      <c r="G1244">
        <f t="shared" si="88"/>
        <v>384000</v>
      </c>
      <c r="H1244">
        <f t="shared" si="89"/>
        <v>0</v>
      </c>
    </row>
    <row r="1245" spans="1:8">
      <c r="A1245" t="s">
        <v>18</v>
      </c>
      <c r="B1245">
        <v>1125000</v>
      </c>
      <c r="C1245">
        <v>1270000</v>
      </c>
      <c r="D1245" t="str">
        <f>VLOOKUP(A1245,Лист2!A:E,5,0)</f>
        <v>малые</v>
      </c>
      <c r="E1245">
        <f>VLOOKUP(A1245,Лист2!A:E,4,0)</f>
        <v>2.5</v>
      </c>
      <c r="F1245" s="12">
        <f t="shared" si="87"/>
        <v>-145000</v>
      </c>
      <c r="G1245">
        <f t="shared" si="88"/>
        <v>450000</v>
      </c>
      <c r="H1245">
        <f t="shared" si="89"/>
        <v>-58000</v>
      </c>
    </row>
    <row r="1246" spans="1:8">
      <c r="A1246" t="s">
        <v>18</v>
      </c>
      <c r="B1246">
        <v>1615000</v>
      </c>
      <c r="C1246">
        <v>2240000</v>
      </c>
      <c r="D1246" t="str">
        <f>VLOOKUP(A1246,Лист2!A:E,5,0)</f>
        <v>малые</v>
      </c>
      <c r="E1246">
        <f>VLOOKUP(A1246,Лист2!A:E,4,0)</f>
        <v>2.5</v>
      </c>
      <c r="F1246" s="12">
        <f t="shared" si="87"/>
        <v>-625000</v>
      </c>
      <c r="G1246">
        <f t="shared" si="88"/>
        <v>646000</v>
      </c>
      <c r="H1246">
        <f t="shared" si="89"/>
        <v>-250000</v>
      </c>
    </row>
    <row r="1247" spans="1:8">
      <c r="A1247" t="s">
        <v>18</v>
      </c>
      <c r="B1247">
        <v>1417000</v>
      </c>
      <c r="C1247">
        <v>1613000</v>
      </c>
      <c r="D1247" t="str">
        <f>VLOOKUP(A1247,Лист2!A:E,5,0)</f>
        <v>малые</v>
      </c>
      <c r="E1247">
        <f>VLOOKUP(A1247,Лист2!A:E,4,0)</f>
        <v>2.5</v>
      </c>
      <c r="F1247" s="12">
        <f t="shared" si="87"/>
        <v>-196000</v>
      </c>
      <c r="G1247">
        <f t="shared" si="88"/>
        <v>566800</v>
      </c>
      <c r="H1247">
        <f t="shared" si="89"/>
        <v>-78400</v>
      </c>
    </row>
    <row r="1248" spans="1:8">
      <c r="A1248" t="s">
        <v>18</v>
      </c>
      <c r="B1248">
        <v>10083000</v>
      </c>
      <c r="C1248">
        <v>8877000</v>
      </c>
      <c r="D1248" t="str">
        <f>VLOOKUP(A1248,Лист2!A:E,5,0)</f>
        <v>малые</v>
      </c>
      <c r="E1248">
        <f>VLOOKUP(A1248,Лист2!A:E,4,0)</f>
        <v>2.5</v>
      </c>
      <c r="F1248" s="12">
        <f t="shared" si="87"/>
        <v>1206000</v>
      </c>
      <c r="G1248">
        <f t="shared" si="88"/>
        <v>4033200</v>
      </c>
      <c r="H1248">
        <f t="shared" si="89"/>
        <v>482400</v>
      </c>
    </row>
    <row r="1249" spans="1:8">
      <c r="A1249" t="s">
        <v>18</v>
      </c>
      <c r="B1249">
        <v>114000</v>
      </c>
      <c r="C1249">
        <v>115000</v>
      </c>
      <c r="D1249" t="str">
        <f>VLOOKUP(A1249,Лист2!A:E,5,0)</f>
        <v>малые</v>
      </c>
      <c r="E1249">
        <f>VLOOKUP(A1249,Лист2!A:E,4,0)</f>
        <v>2.5</v>
      </c>
      <c r="F1249" s="12">
        <f t="shared" si="87"/>
        <v>-1000</v>
      </c>
      <c r="G1249">
        <f t="shared" si="88"/>
        <v>45600</v>
      </c>
      <c r="H1249">
        <f t="shared" si="89"/>
        <v>-400</v>
      </c>
    </row>
    <row r="1250" spans="1:8">
      <c r="A1250" t="s">
        <v>18</v>
      </c>
      <c r="B1250">
        <v>3106000</v>
      </c>
      <c r="C1250">
        <v>2920000</v>
      </c>
      <c r="D1250" t="str">
        <f>VLOOKUP(A1250,Лист2!A:E,5,0)</f>
        <v>малые</v>
      </c>
      <c r="E1250">
        <f>VLOOKUP(A1250,Лист2!A:E,4,0)</f>
        <v>2.5</v>
      </c>
      <c r="F1250" s="12">
        <f t="shared" si="87"/>
        <v>186000</v>
      </c>
      <c r="G1250">
        <f t="shared" si="88"/>
        <v>1242400</v>
      </c>
      <c r="H1250">
        <f t="shared" si="89"/>
        <v>74400</v>
      </c>
    </row>
    <row r="1251" spans="1:8">
      <c r="A1251" t="s">
        <v>18</v>
      </c>
      <c r="B1251">
        <v>4798000</v>
      </c>
      <c r="C1251">
        <v>4516000</v>
      </c>
      <c r="D1251" t="str">
        <f>VLOOKUP(A1251,Лист2!A:E,5,0)</f>
        <v>малые</v>
      </c>
      <c r="E1251">
        <f>VLOOKUP(A1251,Лист2!A:E,4,0)</f>
        <v>2.5</v>
      </c>
      <c r="F1251" s="12">
        <f t="shared" si="87"/>
        <v>282000</v>
      </c>
      <c r="G1251">
        <f t="shared" si="88"/>
        <v>1919200</v>
      </c>
      <c r="H1251">
        <f t="shared" si="89"/>
        <v>112800</v>
      </c>
    </row>
    <row r="1252" spans="1:8">
      <c r="A1252" t="s">
        <v>18</v>
      </c>
      <c r="B1252">
        <v>2212000</v>
      </c>
      <c r="C1252">
        <v>2043000</v>
      </c>
      <c r="D1252" t="str">
        <f>VLOOKUP(A1252,Лист2!A:E,5,0)</f>
        <v>малые</v>
      </c>
      <c r="E1252">
        <f>VLOOKUP(A1252,Лист2!A:E,4,0)</f>
        <v>2.5</v>
      </c>
      <c r="F1252" s="12">
        <f t="shared" si="87"/>
        <v>169000</v>
      </c>
      <c r="G1252">
        <f t="shared" si="88"/>
        <v>884800</v>
      </c>
      <c r="H1252">
        <f t="shared" si="89"/>
        <v>67600</v>
      </c>
    </row>
    <row r="1253" spans="1:8">
      <c r="A1253" t="s">
        <v>18</v>
      </c>
      <c r="B1253">
        <v>1998000</v>
      </c>
      <c r="C1253">
        <v>2067000</v>
      </c>
      <c r="D1253" t="str">
        <f>VLOOKUP(A1253,Лист2!A:E,5,0)</f>
        <v>малые</v>
      </c>
      <c r="E1253">
        <f>VLOOKUP(A1253,Лист2!A:E,4,0)</f>
        <v>2.5</v>
      </c>
      <c r="F1253" s="12">
        <f t="shared" si="87"/>
        <v>-69000</v>
      </c>
      <c r="G1253">
        <f t="shared" si="88"/>
        <v>799200</v>
      </c>
      <c r="H1253">
        <f t="shared" si="89"/>
        <v>-27600</v>
      </c>
    </row>
    <row r="1254" spans="1:8">
      <c r="A1254" t="s">
        <v>18</v>
      </c>
      <c r="B1254">
        <v>356000</v>
      </c>
      <c r="C1254">
        <v>194000</v>
      </c>
      <c r="D1254" t="str">
        <f>VLOOKUP(A1254,Лист2!A:E,5,0)</f>
        <v>малые</v>
      </c>
      <c r="E1254">
        <f>VLOOKUP(A1254,Лист2!A:E,4,0)</f>
        <v>2.5</v>
      </c>
      <c r="F1254" s="12">
        <f t="shared" si="87"/>
        <v>162000</v>
      </c>
      <c r="G1254">
        <f t="shared" si="88"/>
        <v>142400</v>
      </c>
      <c r="H1254">
        <f t="shared" si="89"/>
        <v>64800</v>
      </c>
    </row>
    <row r="1255" spans="1:8">
      <c r="A1255" t="s">
        <v>18</v>
      </c>
      <c r="B1255">
        <v>27921000</v>
      </c>
      <c r="C1255">
        <v>38075000</v>
      </c>
      <c r="D1255" t="str">
        <f>VLOOKUP(A1255,Лист2!A:E,5,0)</f>
        <v>малые</v>
      </c>
      <c r="E1255">
        <f>VLOOKUP(A1255,Лист2!A:E,4,0)</f>
        <v>2.5</v>
      </c>
      <c r="F1255" s="12">
        <f t="shared" si="87"/>
        <v>-10154000</v>
      </c>
      <c r="G1255">
        <f t="shared" si="88"/>
        <v>11168400</v>
      </c>
      <c r="H1255">
        <f t="shared" si="89"/>
        <v>-4061600</v>
      </c>
    </row>
    <row r="1256" spans="1:8">
      <c r="A1256" t="s">
        <v>18</v>
      </c>
      <c r="B1256">
        <v>1202000</v>
      </c>
      <c r="C1256">
        <v>1121000</v>
      </c>
      <c r="D1256" t="str">
        <f>VLOOKUP(A1256,Лист2!A:E,5,0)</f>
        <v>малые</v>
      </c>
      <c r="E1256">
        <f>VLOOKUP(A1256,Лист2!A:E,4,0)</f>
        <v>2.5</v>
      </c>
      <c r="F1256" s="12">
        <f t="shared" si="87"/>
        <v>81000</v>
      </c>
      <c r="G1256">
        <f t="shared" si="88"/>
        <v>480800</v>
      </c>
      <c r="H1256">
        <f t="shared" si="89"/>
        <v>32400</v>
      </c>
    </row>
    <row r="1257" spans="1:8">
      <c r="A1257" t="s">
        <v>18</v>
      </c>
      <c r="B1257">
        <v>2815000</v>
      </c>
      <c r="C1257">
        <v>2964000</v>
      </c>
      <c r="D1257" t="str">
        <f>VLOOKUP(A1257,Лист2!A:E,5,0)</f>
        <v>малые</v>
      </c>
      <c r="E1257">
        <f>VLOOKUP(A1257,Лист2!A:E,4,0)</f>
        <v>2.5</v>
      </c>
      <c r="F1257" s="12">
        <f t="shared" si="87"/>
        <v>-149000</v>
      </c>
      <c r="G1257">
        <f t="shared" si="88"/>
        <v>1126000</v>
      </c>
      <c r="H1257">
        <f t="shared" si="89"/>
        <v>-59600</v>
      </c>
    </row>
    <row r="1258" spans="1:8">
      <c r="A1258" t="s">
        <v>18</v>
      </c>
      <c r="B1258">
        <v>12742000</v>
      </c>
      <c r="C1258">
        <v>9784000</v>
      </c>
      <c r="D1258" t="str">
        <f>VLOOKUP(A1258,Лист2!A:E,5,0)</f>
        <v>малые</v>
      </c>
      <c r="E1258">
        <f>VLOOKUP(A1258,Лист2!A:E,4,0)</f>
        <v>2.5</v>
      </c>
      <c r="F1258" s="12">
        <f t="shared" si="87"/>
        <v>2958000</v>
      </c>
      <c r="G1258">
        <f t="shared" si="88"/>
        <v>5096800</v>
      </c>
      <c r="H1258">
        <f t="shared" si="89"/>
        <v>1183200</v>
      </c>
    </row>
    <row r="1259" spans="1:8">
      <c r="A1259" t="s">
        <v>18</v>
      </c>
      <c r="B1259">
        <v>94800000</v>
      </c>
      <c r="C1259">
        <v>115501000</v>
      </c>
      <c r="D1259" t="str">
        <f>VLOOKUP(A1259,Лист2!A:E,5,0)</f>
        <v>малые</v>
      </c>
      <c r="E1259">
        <f>VLOOKUP(A1259,Лист2!A:E,4,0)</f>
        <v>2.5</v>
      </c>
      <c r="F1259" s="12">
        <f t="shared" si="87"/>
        <v>-20701000</v>
      </c>
      <c r="G1259">
        <f t="shared" si="88"/>
        <v>37920000</v>
      </c>
      <c r="H1259">
        <f t="shared" si="89"/>
        <v>-8280400</v>
      </c>
    </row>
    <row r="1260" spans="1:8">
      <c r="A1260" t="s">
        <v>18</v>
      </c>
      <c r="B1260">
        <v>8302000</v>
      </c>
      <c r="C1260">
        <v>6494000</v>
      </c>
      <c r="D1260" t="str">
        <f>VLOOKUP(A1260,Лист2!A:E,5,0)</f>
        <v>малые</v>
      </c>
      <c r="E1260">
        <f>VLOOKUP(A1260,Лист2!A:E,4,0)</f>
        <v>2.5</v>
      </c>
      <c r="F1260" s="12">
        <f t="shared" si="87"/>
        <v>1808000</v>
      </c>
      <c r="G1260">
        <f t="shared" si="88"/>
        <v>3320800</v>
      </c>
      <c r="H1260">
        <f t="shared" si="89"/>
        <v>723200</v>
      </c>
    </row>
    <row r="1261" spans="1:8">
      <c r="A1261" t="s">
        <v>18</v>
      </c>
      <c r="B1261">
        <v>242000</v>
      </c>
      <c r="C1261">
        <v>4000</v>
      </c>
      <c r="D1261" t="str">
        <f>VLOOKUP(A1261,Лист2!A:E,5,0)</f>
        <v>малые</v>
      </c>
      <c r="E1261">
        <f>VLOOKUP(A1261,Лист2!A:E,4,0)</f>
        <v>2.5</v>
      </c>
      <c r="F1261" s="12">
        <f t="shared" si="87"/>
        <v>238000</v>
      </c>
      <c r="G1261">
        <f t="shared" si="88"/>
        <v>96800</v>
      </c>
      <c r="H1261">
        <f t="shared" si="89"/>
        <v>95200</v>
      </c>
    </row>
    <row r="1262" spans="1:8">
      <c r="A1262" t="s">
        <v>18</v>
      </c>
      <c r="B1262">
        <v>646000</v>
      </c>
      <c r="C1262">
        <v>649000</v>
      </c>
      <c r="D1262" t="str">
        <f>VLOOKUP(A1262,Лист2!A:E,5,0)</f>
        <v>малые</v>
      </c>
      <c r="E1262">
        <f>VLOOKUP(A1262,Лист2!A:E,4,0)</f>
        <v>2.5</v>
      </c>
      <c r="F1262" s="12">
        <f t="shared" si="87"/>
        <v>-3000</v>
      </c>
      <c r="G1262">
        <f t="shared" si="88"/>
        <v>258400</v>
      </c>
      <c r="H1262">
        <f t="shared" si="89"/>
        <v>-1200</v>
      </c>
    </row>
    <row r="1263" spans="1:8">
      <c r="A1263" t="s">
        <v>18</v>
      </c>
      <c r="B1263">
        <v>828000</v>
      </c>
      <c r="C1263">
        <v>3001000</v>
      </c>
      <c r="D1263" t="str">
        <f>VLOOKUP(A1263,Лист2!A:E,5,0)</f>
        <v>малые</v>
      </c>
      <c r="E1263">
        <f>VLOOKUP(A1263,Лист2!A:E,4,0)</f>
        <v>2.5</v>
      </c>
      <c r="F1263" s="12">
        <f t="shared" si="87"/>
        <v>-2173000</v>
      </c>
      <c r="G1263">
        <f t="shared" si="88"/>
        <v>331200</v>
      </c>
      <c r="H1263">
        <f t="shared" si="89"/>
        <v>-869200</v>
      </c>
    </row>
    <row r="1264" spans="1:8">
      <c r="A1264" t="s">
        <v>18</v>
      </c>
      <c r="B1264">
        <v>10904000</v>
      </c>
      <c r="C1264">
        <v>11361000</v>
      </c>
      <c r="D1264" t="str">
        <f>VLOOKUP(A1264,Лист2!A:E,5,0)</f>
        <v>малые</v>
      </c>
      <c r="E1264">
        <f>VLOOKUP(A1264,Лист2!A:E,4,0)</f>
        <v>2.5</v>
      </c>
      <c r="F1264" s="12">
        <f t="shared" si="87"/>
        <v>-457000</v>
      </c>
      <c r="G1264">
        <f t="shared" si="88"/>
        <v>4361600</v>
      </c>
      <c r="H1264">
        <f t="shared" si="89"/>
        <v>-182800</v>
      </c>
    </row>
    <row r="1265" spans="1:8">
      <c r="A1265" t="s">
        <v>18</v>
      </c>
      <c r="B1265">
        <v>2984000</v>
      </c>
      <c r="C1265">
        <v>2823000</v>
      </c>
      <c r="D1265" t="str">
        <f>VLOOKUP(A1265,Лист2!A:E,5,0)</f>
        <v>малые</v>
      </c>
      <c r="E1265">
        <f>VLOOKUP(A1265,Лист2!A:E,4,0)</f>
        <v>2.5</v>
      </c>
      <c r="F1265" s="12">
        <f t="shared" si="87"/>
        <v>161000</v>
      </c>
      <c r="G1265">
        <f t="shared" si="88"/>
        <v>1193600</v>
      </c>
      <c r="H1265">
        <f t="shared" si="89"/>
        <v>64400</v>
      </c>
    </row>
    <row r="1266" spans="1:8">
      <c r="A1266" t="s">
        <v>18</v>
      </c>
      <c r="B1266">
        <v>3435000</v>
      </c>
      <c r="C1266">
        <v>1157000</v>
      </c>
      <c r="D1266" t="str">
        <f>VLOOKUP(A1266,Лист2!A:E,5,0)</f>
        <v>малые</v>
      </c>
      <c r="E1266">
        <f>VLOOKUP(A1266,Лист2!A:E,4,0)</f>
        <v>2.5</v>
      </c>
      <c r="F1266" s="12">
        <f t="shared" si="87"/>
        <v>2278000</v>
      </c>
      <c r="G1266">
        <f t="shared" si="88"/>
        <v>1374000</v>
      </c>
      <c r="H1266">
        <f t="shared" si="89"/>
        <v>911200</v>
      </c>
    </row>
    <row r="1267" spans="1:8">
      <c r="A1267" t="s">
        <v>18</v>
      </c>
      <c r="B1267">
        <v>17463000</v>
      </c>
      <c r="C1267">
        <v>14738000</v>
      </c>
      <c r="D1267" t="str">
        <f>VLOOKUP(A1267,Лист2!A:E,5,0)</f>
        <v>малые</v>
      </c>
      <c r="E1267">
        <f>VLOOKUP(A1267,Лист2!A:E,4,0)</f>
        <v>2.5</v>
      </c>
      <c r="F1267" s="12">
        <f t="shared" si="87"/>
        <v>2725000</v>
      </c>
      <c r="G1267">
        <f t="shared" si="88"/>
        <v>6985200</v>
      </c>
      <c r="H1267">
        <f t="shared" si="89"/>
        <v>1090000</v>
      </c>
    </row>
    <row r="1268" spans="1:8">
      <c r="A1268" t="s">
        <v>18</v>
      </c>
      <c r="B1268">
        <v>38543000</v>
      </c>
      <c r="C1268">
        <v>45893000</v>
      </c>
      <c r="D1268" t="str">
        <f>VLOOKUP(A1268,Лист2!A:E,5,0)</f>
        <v>малые</v>
      </c>
      <c r="E1268">
        <f>VLOOKUP(A1268,Лист2!A:E,4,0)</f>
        <v>2.5</v>
      </c>
      <c r="F1268" s="12">
        <f t="shared" si="87"/>
        <v>-7350000</v>
      </c>
      <c r="G1268">
        <f t="shared" si="88"/>
        <v>15417200</v>
      </c>
      <c r="H1268">
        <f t="shared" si="89"/>
        <v>-2940000</v>
      </c>
    </row>
    <row r="1269" spans="1:8">
      <c r="A1269" t="s">
        <v>18</v>
      </c>
      <c r="B1269">
        <v>3243000</v>
      </c>
      <c r="C1269">
        <v>3145000</v>
      </c>
      <c r="D1269" t="str">
        <f>VLOOKUP(A1269,Лист2!A:E,5,0)</f>
        <v>малые</v>
      </c>
      <c r="E1269">
        <f>VLOOKUP(A1269,Лист2!A:E,4,0)</f>
        <v>2.5</v>
      </c>
      <c r="F1269" s="12">
        <f t="shared" si="87"/>
        <v>98000</v>
      </c>
      <c r="G1269">
        <f t="shared" si="88"/>
        <v>1297200</v>
      </c>
      <c r="H1269">
        <f t="shared" si="89"/>
        <v>39200</v>
      </c>
    </row>
    <row r="1270" spans="1:8">
      <c r="A1270" t="s">
        <v>18</v>
      </c>
      <c r="B1270">
        <v>8936000</v>
      </c>
      <c r="C1270">
        <v>9617000</v>
      </c>
      <c r="D1270" t="str">
        <f>VLOOKUP(A1270,Лист2!A:E,5,0)</f>
        <v>малые</v>
      </c>
      <c r="E1270">
        <f>VLOOKUP(A1270,Лист2!A:E,4,0)</f>
        <v>2.5</v>
      </c>
      <c r="F1270" s="12">
        <f t="shared" si="87"/>
        <v>-681000</v>
      </c>
      <c r="G1270">
        <f t="shared" si="88"/>
        <v>3574400</v>
      </c>
      <c r="H1270">
        <f t="shared" si="89"/>
        <v>-272400</v>
      </c>
    </row>
    <row r="1271" spans="1:8">
      <c r="A1271" t="s">
        <v>18</v>
      </c>
      <c r="B1271">
        <v>214000</v>
      </c>
      <c r="C1271">
        <v>297000</v>
      </c>
      <c r="D1271" t="str">
        <f>VLOOKUP(A1271,Лист2!A:E,5,0)</f>
        <v>малые</v>
      </c>
      <c r="E1271">
        <f>VLOOKUP(A1271,Лист2!A:E,4,0)</f>
        <v>2.5</v>
      </c>
      <c r="F1271" s="12">
        <f t="shared" si="87"/>
        <v>-83000</v>
      </c>
      <c r="G1271">
        <f t="shared" si="88"/>
        <v>85600</v>
      </c>
      <c r="H1271">
        <f t="shared" si="89"/>
        <v>-33200</v>
      </c>
    </row>
    <row r="1272" spans="1:8">
      <c r="A1272" t="s">
        <v>18</v>
      </c>
      <c r="B1272">
        <v>1281000</v>
      </c>
      <c r="C1272">
        <v>1287000</v>
      </c>
      <c r="D1272" t="str">
        <f>VLOOKUP(A1272,Лист2!A:E,5,0)</f>
        <v>малые</v>
      </c>
      <c r="E1272">
        <f>VLOOKUP(A1272,Лист2!A:E,4,0)</f>
        <v>2.5</v>
      </c>
      <c r="F1272" s="12">
        <f t="shared" ref="F1272:F1310" si="90">B1272-C1272</f>
        <v>-6000</v>
      </c>
      <c r="G1272">
        <f t="shared" ref="G1272:G1310" si="91">B1272/E1272</f>
        <v>512400</v>
      </c>
      <c r="H1272">
        <f t="shared" ref="H1272:H1310" si="92">F1272/E1272</f>
        <v>-2400</v>
      </c>
    </row>
    <row r="1273" spans="1:8">
      <c r="A1273" t="s">
        <v>18</v>
      </c>
      <c r="B1273">
        <v>24730000</v>
      </c>
      <c r="C1273">
        <v>24779000</v>
      </c>
      <c r="D1273" t="str">
        <f>VLOOKUP(A1273,Лист2!A:E,5,0)</f>
        <v>малые</v>
      </c>
      <c r="E1273">
        <f>VLOOKUP(A1273,Лист2!A:E,4,0)</f>
        <v>2.5</v>
      </c>
      <c r="F1273" s="12">
        <f t="shared" si="90"/>
        <v>-49000</v>
      </c>
      <c r="G1273">
        <f t="shared" si="91"/>
        <v>9892000</v>
      </c>
      <c r="H1273">
        <f t="shared" si="92"/>
        <v>-19600</v>
      </c>
    </row>
    <row r="1274" spans="1:8">
      <c r="A1274" t="s">
        <v>18</v>
      </c>
      <c r="B1274">
        <v>3463000</v>
      </c>
      <c r="C1274">
        <v>5580000</v>
      </c>
      <c r="D1274" t="str">
        <f>VLOOKUP(A1274,Лист2!A:E,5,0)</f>
        <v>малые</v>
      </c>
      <c r="E1274">
        <f>VLOOKUP(A1274,Лист2!A:E,4,0)</f>
        <v>2.5</v>
      </c>
      <c r="F1274" s="12">
        <f t="shared" si="90"/>
        <v>-2117000</v>
      </c>
      <c r="G1274">
        <f t="shared" si="91"/>
        <v>1385200</v>
      </c>
      <c r="H1274">
        <f t="shared" si="92"/>
        <v>-846800</v>
      </c>
    </row>
    <row r="1275" spans="1:8">
      <c r="A1275" t="s">
        <v>18</v>
      </c>
      <c r="B1275">
        <v>5842000</v>
      </c>
      <c r="C1275">
        <v>5293000</v>
      </c>
      <c r="D1275" t="str">
        <f>VLOOKUP(A1275,Лист2!A:E,5,0)</f>
        <v>малые</v>
      </c>
      <c r="E1275">
        <f>VLOOKUP(A1275,Лист2!A:E,4,0)</f>
        <v>2.5</v>
      </c>
      <c r="F1275" s="12">
        <f t="shared" si="90"/>
        <v>549000</v>
      </c>
      <c r="G1275">
        <f t="shared" si="91"/>
        <v>2336800</v>
      </c>
      <c r="H1275">
        <f t="shared" si="92"/>
        <v>219600</v>
      </c>
    </row>
    <row r="1276" spans="1:8">
      <c r="A1276" t="s">
        <v>77</v>
      </c>
      <c r="B1276">
        <v>7904000</v>
      </c>
      <c r="C1276">
        <v>8423000</v>
      </c>
      <c r="D1276" t="str">
        <f>VLOOKUP(A1276,Лист2!A:E,5,0)</f>
        <v>малые</v>
      </c>
      <c r="E1276">
        <f>VLOOKUP(A1276,Лист2!A:E,4,0)</f>
        <v>8</v>
      </c>
      <c r="F1276" s="12">
        <f t="shared" si="90"/>
        <v>-519000</v>
      </c>
      <c r="G1276">
        <f t="shared" si="91"/>
        <v>988000</v>
      </c>
      <c r="H1276">
        <f t="shared" si="92"/>
        <v>-64875</v>
      </c>
    </row>
    <row r="1277" spans="1:8">
      <c r="A1277" t="s">
        <v>18</v>
      </c>
      <c r="B1277">
        <v>20000</v>
      </c>
      <c r="C1277">
        <v>42000</v>
      </c>
      <c r="D1277" t="str">
        <f>VLOOKUP(A1277,Лист2!A:E,5,0)</f>
        <v>малые</v>
      </c>
      <c r="E1277">
        <f>VLOOKUP(A1277,Лист2!A:E,4,0)</f>
        <v>2.5</v>
      </c>
      <c r="F1277" s="12">
        <f t="shared" si="90"/>
        <v>-22000</v>
      </c>
      <c r="G1277">
        <f t="shared" si="91"/>
        <v>8000</v>
      </c>
      <c r="H1277">
        <f t="shared" si="92"/>
        <v>-8800</v>
      </c>
    </row>
    <row r="1278" spans="1:8">
      <c r="A1278" t="s">
        <v>18</v>
      </c>
      <c r="B1278">
        <v>2857000</v>
      </c>
      <c r="C1278">
        <v>1508000</v>
      </c>
      <c r="D1278" t="str">
        <f>VLOOKUP(A1278,Лист2!A:E,5,0)</f>
        <v>малые</v>
      </c>
      <c r="E1278">
        <f>VLOOKUP(A1278,Лист2!A:E,4,0)</f>
        <v>2.5</v>
      </c>
      <c r="F1278" s="12">
        <f t="shared" si="90"/>
        <v>1349000</v>
      </c>
      <c r="G1278">
        <f t="shared" si="91"/>
        <v>1142800</v>
      </c>
      <c r="H1278">
        <f t="shared" si="92"/>
        <v>539600</v>
      </c>
    </row>
    <row r="1279" spans="1:8">
      <c r="A1279" t="s">
        <v>18</v>
      </c>
      <c r="B1279">
        <v>3098000</v>
      </c>
      <c r="C1279">
        <v>2897000</v>
      </c>
      <c r="D1279" t="str">
        <f>VLOOKUP(A1279,Лист2!A:E,5,0)</f>
        <v>малые</v>
      </c>
      <c r="E1279">
        <f>VLOOKUP(A1279,Лист2!A:E,4,0)</f>
        <v>2.5</v>
      </c>
      <c r="F1279" s="12">
        <f t="shared" si="90"/>
        <v>201000</v>
      </c>
      <c r="G1279">
        <f t="shared" si="91"/>
        <v>1239200</v>
      </c>
      <c r="H1279">
        <f t="shared" si="92"/>
        <v>80400</v>
      </c>
    </row>
    <row r="1280" spans="1:8">
      <c r="A1280" t="s">
        <v>18</v>
      </c>
      <c r="B1280">
        <v>4015000</v>
      </c>
      <c r="C1280">
        <v>2830000</v>
      </c>
      <c r="D1280" t="str">
        <f>VLOOKUP(A1280,Лист2!A:E,5,0)</f>
        <v>малые</v>
      </c>
      <c r="E1280">
        <f>VLOOKUP(A1280,Лист2!A:E,4,0)</f>
        <v>2.5</v>
      </c>
      <c r="F1280" s="12">
        <f t="shared" si="90"/>
        <v>1185000</v>
      </c>
      <c r="G1280">
        <f t="shared" si="91"/>
        <v>1606000</v>
      </c>
      <c r="H1280">
        <f t="shared" si="92"/>
        <v>474000</v>
      </c>
    </row>
    <row r="1281" spans="1:8">
      <c r="A1281" t="s">
        <v>77</v>
      </c>
      <c r="B1281">
        <v>4497000</v>
      </c>
      <c r="C1281">
        <v>4277000</v>
      </c>
      <c r="D1281" t="str">
        <f>VLOOKUP(A1281,Лист2!A:E,5,0)</f>
        <v>малые</v>
      </c>
      <c r="E1281">
        <f>VLOOKUP(A1281,Лист2!A:E,4,0)</f>
        <v>8</v>
      </c>
      <c r="F1281" s="12">
        <f t="shared" si="90"/>
        <v>220000</v>
      </c>
      <c r="G1281">
        <f t="shared" si="91"/>
        <v>562125</v>
      </c>
      <c r="H1281">
        <f t="shared" si="92"/>
        <v>27500</v>
      </c>
    </row>
    <row r="1282" spans="1:8">
      <c r="A1282" t="s">
        <v>77</v>
      </c>
      <c r="B1282">
        <v>11768000</v>
      </c>
      <c r="C1282">
        <v>14028000</v>
      </c>
      <c r="D1282" t="str">
        <f>VLOOKUP(A1282,Лист2!A:E,5,0)</f>
        <v>малые</v>
      </c>
      <c r="E1282">
        <f>VLOOKUP(A1282,Лист2!A:E,4,0)</f>
        <v>8</v>
      </c>
      <c r="F1282" s="12">
        <f t="shared" si="90"/>
        <v>-2260000</v>
      </c>
      <c r="G1282">
        <f t="shared" si="91"/>
        <v>1471000</v>
      </c>
      <c r="H1282">
        <f t="shared" si="92"/>
        <v>-282500</v>
      </c>
    </row>
    <row r="1283" spans="1:8">
      <c r="A1283" t="s">
        <v>18</v>
      </c>
      <c r="B1283">
        <v>28906000</v>
      </c>
      <c r="C1283">
        <v>25265000</v>
      </c>
      <c r="D1283" t="str">
        <f>VLOOKUP(A1283,Лист2!A:E,5,0)</f>
        <v>малые</v>
      </c>
      <c r="E1283">
        <f>VLOOKUP(A1283,Лист2!A:E,4,0)</f>
        <v>2.5</v>
      </c>
      <c r="F1283" s="12">
        <f t="shared" si="90"/>
        <v>3641000</v>
      </c>
      <c r="G1283">
        <f t="shared" si="91"/>
        <v>11562400</v>
      </c>
      <c r="H1283">
        <f t="shared" si="92"/>
        <v>1456400</v>
      </c>
    </row>
    <row r="1284" spans="1:8">
      <c r="A1284" t="s">
        <v>18</v>
      </c>
      <c r="B1284">
        <v>1381000</v>
      </c>
      <c r="C1284">
        <v>1383000</v>
      </c>
      <c r="D1284" t="str">
        <f>VLOOKUP(A1284,Лист2!A:E,5,0)</f>
        <v>малые</v>
      </c>
      <c r="E1284">
        <f>VLOOKUP(A1284,Лист2!A:E,4,0)</f>
        <v>2.5</v>
      </c>
      <c r="F1284" s="12">
        <f t="shared" si="90"/>
        <v>-2000</v>
      </c>
      <c r="G1284">
        <f t="shared" si="91"/>
        <v>552400</v>
      </c>
      <c r="H1284">
        <f t="shared" si="92"/>
        <v>-800</v>
      </c>
    </row>
    <row r="1285" spans="1:8">
      <c r="A1285" t="s">
        <v>18</v>
      </c>
      <c r="B1285">
        <v>50000</v>
      </c>
      <c r="C1285">
        <v>80000</v>
      </c>
      <c r="D1285" t="str">
        <f>VLOOKUP(A1285,Лист2!A:E,5,0)</f>
        <v>малые</v>
      </c>
      <c r="E1285">
        <f>VLOOKUP(A1285,Лист2!A:E,4,0)</f>
        <v>2.5</v>
      </c>
      <c r="F1285" s="12">
        <f t="shared" si="90"/>
        <v>-30000</v>
      </c>
      <c r="G1285">
        <f t="shared" si="91"/>
        <v>20000</v>
      </c>
      <c r="H1285">
        <f t="shared" si="92"/>
        <v>-12000</v>
      </c>
    </row>
    <row r="1286" spans="1:8">
      <c r="A1286" t="s">
        <v>18</v>
      </c>
      <c r="B1286">
        <v>534000</v>
      </c>
      <c r="C1286">
        <v>504000</v>
      </c>
      <c r="D1286" t="str">
        <f>VLOOKUP(A1286,Лист2!A:E,5,0)</f>
        <v>малые</v>
      </c>
      <c r="E1286">
        <f>VLOOKUP(A1286,Лист2!A:E,4,0)</f>
        <v>2.5</v>
      </c>
      <c r="F1286" s="12">
        <f t="shared" si="90"/>
        <v>30000</v>
      </c>
      <c r="G1286">
        <f t="shared" si="91"/>
        <v>213600</v>
      </c>
      <c r="H1286">
        <f t="shared" si="92"/>
        <v>12000</v>
      </c>
    </row>
    <row r="1287" spans="1:8">
      <c r="A1287" t="s">
        <v>18</v>
      </c>
      <c r="B1287">
        <v>2225000</v>
      </c>
      <c r="C1287">
        <v>2099000</v>
      </c>
      <c r="D1287" t="str">
        <f>VLOOKUP(A1287,Лист2!A:E,5,0)</f>
        <v>малые</v>
      </c>
      <c r="E1287">
        <f>VLOOKUP(A1287,Лист2!A:E,4,0)</f>
        <v>2.5</v>
      </c>
      <c r="F1287" s="12">
        <f t="shared" si="90"/>
        <v>126000</v>
      </c>
      <c r="G1287">
        <f t="shared" si="91"/>
        <v>890000</v>
      </c>
      <c r="H1287">
        <f t="shared" si="92"/>
        <v>50400</v>
      </c>
    </row>
    <row r="1288" spans="1:8">
      <c r="A1288" t="s">
        <v>18</v>
      </c>
      <c r="B1288">
        <v>1745000</v>
      </c>
      <c r="C1288">
        <v>1664000</v>
      </c>
      <c r="D1288" t="str">
        <f>VLOOKUP(A1288,Лист2!A:E,5,0)</f>
        <v>малые</v>
      </c>
      <c r="E1288">
        <f>VLOOKUP(A1288,Лист2!A:E,4,0)</f>
        <v>2.5</v>
      </c>
      <c r="F1288" s="12">
        <f t="shared" si="90"/>
        <v>81000</v>
      </c>
      <c r="G1288">
        <f t="shared" si="91"/>
        <v>698000</v>
      </c>
      <c r="H1288">
        <f t="shared" si="92"/>
        <v>32400</v>
      </c>
    </row>
    <row r="1289" spans="1:8">
      <c r="A1289" t="s">
        <v>18</v>
      </c>
      <c r="B1289">
        <v>989000</v>
      </c>
      <c r="C1289">
        <v>559000</v>
      </c>
      <c r="D1289" t="str">
        <f>VLOOKUP(A1289,Лист2!A:E,5,0)</f>
        <v>малые</v>
      </c>
      <c r="E1289">
        <f>VLOOKUP(A1289,Лист2!A:E,4,0)</f>
        <v>2.5</v>
      </c>
      <c r="F1289" s="12">
        <f t="shared" si="90"/>
        <v>430000</v>
      </c>
      <c r="G1289">
        <f t="shared" si="91"/>
        <v>395600</v>
      </c>
      <c r="H1289">
        <f t="shared" si="92"/>
        <v>172000</v>
      </c>
    </row>
    <row r="1290" spans="1:8">
      <c r="A1290" t="s">
        <v>18</v>
      </c>
      <c r="B1290">
        <v>830000</v>
      </c>
      <c r="C1290">
        <v>869000</v>
      </c>
      <c r="D1290" t="str">
        <f>VLOOKUP(A1290,Лист2!A:E,5,0)</f>
        <v>малые</v>
      </c>
      <c r="E1290">
        <f>VLOOKUP(A1290,Лист2!A:E,4,0)</f>
        <v>2.5</v>
      </c>
      <c r="F1290" s="12">
        <f t="shared" si="90"/>
        <v>-39000</v>
      </c>
      <c r="G1290">
        <f t="shared" si="91"/>
        <v>332000</v>
      </c>
      <c r="H1290">
        <f t="shared" si="92"/>
        <v>-15600</v>
      </c>
    </row>
    <row r="1291" spans="1:8">
      <c r="A1291" t="s">
        <v>18</v>
      </c>
      <c r="B1291">
        <v>2930000</v>
      </c>
      <c r="C1291">
        <v>2635000</v>
      </c>
      <c r="D1291" t="str">
        <f>VLOOKUP(A1291,Лист2!A:E,5,0)</f>
        <v>малые</v>
      </c>
      <c r="E1291">
        <f>VLOOKUP(A1291,Лист2!A:E,4,0)</f>
        <v>2.5</v>
      </c>
      <c r="F1291" s="12">
        <f t="shared" si="90"/>
        <v>295000</v>
      </c>
      <c r="G1291">
        <f t="shared" si="91"/>
        <v>1172000</v>
      </c>
      <c r="H1291">
        <f t="shared" si="92"/>
        <v>118000</v>
      </c>
    </row>
    <row r="1292" spans="1:8">
      <c r="A1292" t="s">
        <v>18</v>
      </c>
      <c r="B1292">
        <v>813000</v>
      </c>
      <c r="C1292">
        <v>809000</v>
      </c>
      <c r="D1292" t="str">
        <f>VLOOKUP(A1292,Лист2!A:E,5,0)</f>
        <v>малые</v>
      </c>
      <c r="E1292">
        <f>VLOOKUP(A1292,Лист2!A:E,4,0)</f>
        <v>2.5</v>
      </c>
      <c r="F1292" s="12">
        <f t="shared" si="90"/>
        <v>4000</v>
      </c>
      <c r="G1292">
        <f t="shared" si="91"/>
        <v>325200</v>
      </c>
      <c r="H1292">
        <f t="shared" si="92"/>
        <v>1600</v>
      </c>
    </row>
    <row r="1293" spans="1:8">
      <c r="A1293" t="s">
        <v>18</v>
      </c>
      <c r="B1293">
        <v>1582000</v>
      </c>
      <c r="C1293">
        <v>1535000</v>
      </c>
      <c r="D1293" t="str">
        <f>VLOOKUP(A1293,Лист2!A:E,5,0)</f>
        <v>малые</v>
      </c>
      <c r="E1293">
        <f>VLOOKUP(A1293,Лист2!A:E,4,0)</f>
        <v>2.5</v>
      </c>
      <c r="F1293" s="12">
        <f t="shared" si="90"/>
        <v>47000</v>
      </c>
      <c r="G1293">
        <f t="shared" si="91"/>
        <v>632800</v>
      </c>
      <c r="H1293">
        <f t="shared" si="92"/>
        <v>18800</v>
      </c>
    </row>
    <row r="1294" spans="1:8">
      <c r="A1294" t="s">
        <v>18</v>
      </c>
      <c r="B1294">
        <v>196230000</v>
      </c>
      <c r="C1294">
        <v>172977000</v>
      </c>
      <c r="D1294" t="str">
        <f>VLOOKUP(A1294,Лист2!A:E,5,0)</f>
        <v>малые</v>
      </c>
      <c r="E1294">
        <f>VLOOKUP(A1294,Лист2!A:E,4,0)</f>
        <v>2.5</v>
      </c>
      <c r="F1294" s="12">
        <f t="shared" si="90"/>
        <v>23253000</v>
      </c>
      <c r="G1294">
        <f t="shared" si="91"/>
        <v>78492000</v>
      </c>
      <c r="H1294">
        <f t="shared" si="92"/>
        <v>9301200</v>
      </c>
    </row>
    <row r="1295" spans="1:8">
      <c r="A1295" t="s">
        <v>18</v>
      </c>
      <c r="B1295">
        <v>1234000</v>
      </c>
      <c r="C1295">
        <v>1270000</v>
      </c>
      <c r="D1295" t="str">
        <f>VLOOKUP(A1295,Лист2!A:E,5,0)</f>
        <v>малые</v>
      </c>
      <c r="E1295">
        <f>VLOOKUP(A1295,Лист2!A:E,4,0)</f>
        <v>2.5</v>
      </c>
      <c r="F1295" s="12">
        <f t="shared" si="90"/>
        <v>-36000</v>
      </c>
      <c r="G1295">
        <f t="shared" si="91"/>
        <v>493600</v>
      </c>
      <c r="H1295">
        <f t="shared" si="92"/>
        <v>-14400</v>
      </c>
    </row>
    <row r="1296" spans="1:8">
      <c r="A1296" t="s">
        <v>18</v>
      </c>
      <c r="B1296">
        <v>5030000</v>
      </c>
      <c r="C1296">
        <v>6742000</v>
      </c>
      <c r="D1296" t="str">
        <f>VLOOKUP(A1296,Лист2!A:E,5,0)</f>
        <v>малые</v>
      </c>
      <c r="E1296">
        <f>VLOOKUP(A1296,Лист2!A:E,4,0)</f>
        <v>2.5</v>
      </c>
      <c r="F1296" s="12">
        <f t="shared" si="90"/>
        <v>-1712000</v>
      </c>
      <c r="G1296">
        <f t="shared" si="91"/>
        <v>2012000</v>
      </c>
      <c r="H1296">
        <f t="shared" si="92"/>
        <v>-684800</v>
      </c>
    </row>
    <row r="1297" spans="1:8">
      <c r="A1297" t="s">
        <v>18</v>
      </c>
      <c r="B1297">
        <v>197000</v>
      </c>
      <c r="C1297">
        <v>211000</v>
      </c>
      <c r="D1297" t="str">
        <f>VLOOKUP(A1297,Лист2!A:E,5,0)</f>
        <v>малые</v>
      </c>
      <c r="E1297">
        <f>VLOOKUP(A1297,Лист2!A:E,4,0)</f>
        <v>2.5</v>
      </c>
      <c r="F1297" s="12">
        <f t="shared" si="90"/>
        <v>-14000</v>
      </c>
      <c r="G1297">
        <f t="shared" si="91"/>
        <v>78800</v>
      </c>
      <c r="H1297">
        <f t="shared" si="92"/>
        <v>-5600</v>
      </c>
    </row>
    <row r="1298" spans="1:8">
      <c r="A1298" t="s">
        <v>18</v>
      </c>
      <c r="B1298">
        <v>575000</v>
      </c>
      <c r="C1298">
        <v>593000</v>
      </c>
      <c r="D1298" t="str">
        <f>VLOOKUP(A1298,Лист2!A:E,5,0)</f>
        <v>малые</v>
      </c>
      <c r="E1298">
        <f>VLOOKUP(A1298,Лист2!A:E,4,0)</f>
        <v>2.5</v>
      </c>
      <c r="F1298" s="12">
        <f t="shared" si="90"/>
        <v>-18000</v>
      </c>
      <c r="G1298">
        <f t="shared" si="91"/>
        <v>230000</v>
      </c>
      <c r="H1298">
        <f t="shared" si="92"/>
        <v>-7200</v>
      </c>
    </row>
    <row r="1299" spans="1:8">
      <c r="A1299" t="s">
        <v>18</v>
      </c>
      <c r="B1299">
        <v>5465000</v>
      </c>
      <c r="C1299">
        <v>5341000</v>
      </c>
      <c r="D1299" t="str">
        <f>VLOOKUP(A1299,Лист2!A:E,5,0)</f>
        <v>малые</v>
      </c>
      <c r="E1299">
        <f>VLOOKUP(A1299,Лист2!A:E,4,0)</f>
        <v>2.5</v>
      </c>
      <c r="F1299" s="12">
        <f t="shared" si="90"/>
        <v>124000</v>
      </c>
      <c r="G1299">
        <f t="shared" si="91"/>
        <v>2186000</v>
      </c>
      <c r="H1299">
        <f t="shared" si="92"/>
        <v>49600</v>
      </c>
    </row>
    <row r="1300" spans="1:8">
      <c r="A1300" t="s">
        <v>18</v>
      </c>
      <c r="B1300">
        <v>731000</v>
      </c>
      <c r="C1300">
        <v>950000</v>
      </c>
      <c r="D1300" t="str">
        <f>VLOOKUP(A1300,Лист2!A:E,5,0)</f>
        <v>малые</v>
      </c>
      <c r="E1300">
        <f>VLOOKUP(A1300,Лист2!A:E,4,0)</f>
        <v>2.5</v>
      </c>
      <c r="F1300" s="12">
        <f t="shared" si="90"/>
        <v>-219000</v>
      </c>
      <c r="G1300">
        <f t="shared" si="91"/>
        <v>292400</v>
      </c>
      <c r="H1300">
        <f t="shared" si="92"/>
        <v>-87600</v>
      </c>
    </row>
    <row r="1301" spans="1:8">
      <c r="A1301" t="s">
        <v>18</v>
      </c>
      <c r="B1301">
        <v>1203000</v>
      </c>
      <c r="C1301">
        <v>1250000</v>
      </c>
      <c r="D1301" t="str">
        <f>VLOOKUP(A1301,Лист2!A:E,5,0)</f>
        <v>малые</v>
      </c>
      <c r="E1301">
        <f>VLOOKUP(A1301,Лист2!A:E,4,0)</f>
        <v>2.5</v>
      </c>
      <c r="F1301" s="12">
        <f t="shared" si="90"/>
        <v>-47000</v>
      </c>
      <c r="G1301">
        <f t="shared" si="91"/>
        <v>481200</v>
      </c>
      <c r="H1301">
        <f t="shared" si="92"/>
        <v>-18800</v>
      </c>
    </row>
    <row r="1302" spans="1:8">
      <c r="A1302" t="s">
        <v>18</v>
      </c>
      <c r="B1302">
        <v>817000</v>
      </c>
      <c r="C1302">
        <v>779000</v>
      </c>
      <c r="D1302" t="str">
        <f>VLOOKUP(A1302,Лист2!A:E,5,0)</f>
        <v>малые</v>
      </c>
      <c r="E1302">
        <f>VLOOKUP(A1302,Лист2!A:E,4,0)</f>
        <v>2.5</v>
      </c>
      <c r="F1302" s="12">
        <f t="shared" si="90"/>
        <v>38000</v>
      </c>
      <c r="G1302">
        <f t="shared" si="91"/>
        <v>326800</v>
      </c>
      <c r="H1302">
        <f t="shared" si="92"/>
        <v>15200</v>
      </c>
    </row>
    <row r="1303" spans="1:8">
      <c r="A1303" t="s">
        <v>18</v>
      </c>
      <c r="B1303">
        <v>271000</v>
      </c>
      <c r="C1303">
        <v>534000</v>
      </c>
      <c r="D1303" t="str">
        <f>VLOOKUP(A1303,Лист2!A:E,5,0)</f>
        <v>малые</v>
      </c>
      <c r="E1303">
        <f>VLOOKUP(A1303,Лист2!A:E,4,0)</f>
        <v>2.5</v>
      </c>
      <c r="F1303" s="12">
        <f t="shared" si="90"/>
        <v>-263000</v>
      </c>
      <c r="G1303">
        <f t="shared" si="91"/>
        <v>108400</v>
      </c>
      <c r="H1303">
        <f t="shared" si="92"/>
        <v>-105200</v>
      </c>
    </row>
    <row r="1304" spans="1:8">
      <c r="A1304" t="s">
        <v>18</v>
      </c>
      <c r="B1304">
        <v>2060000</v>
      </c>
      <c r="C1304">
        <v>1996000</v>
      </c>
      <c r="D1304" t="str">
        <f>VLOOKUP(A1304,Лист2!A:E,5,0)</f>
        <v>малые</v>
      </c>
      <c r="E1304">
        <f>VLOOKUP(A1304,Лист2!A:E,4,0)</f>
        <v>2.5</v>
      </c>
      <c r="F1304" s="12">
        <f t="shared" si="90"/>
        <v>64000</v>
      </c>
      <c r="G1304">
        <f t="shared" si="91"/>
        <v>824000</v>
      </c>
      <c r="H1304">
        <f t="shared" si="92"/>
        <v>25600</v>
      </c>
    </row>
    <row r="1305" spans="1:8">
      <c r="A1305" t="s">
        <v>18</v>
      </c>
      <c r="B1305">
        <v>45297000</v>
      </c>
      <c r="C1305">
        <v>44529000</v>
      </c>
      <c r="D1305" t="str">
        <f>VLOOKUP(A1305,Лист2!A:E,5,0)</f>
        <v>малые</v>
      </c>
      <c r="E1305">
        <f>VLOOKUP(A1305,Лист2!A:E,4,0)</f>
        <v>2.5</v>
      </c>
      <c r="F1305" s="12">
        <f t="shared" si="90"/>
        <v>768000</v>
      </c>
      <c r="G1305">
        <f t="shared" si="91"/>
        <v>18118800</v>
      </c>
      <c r="H1305">
        <f t="shared" si="92"/>
        <v>307200</v>
      </c>
    </row>
    <row r="1306" spans="1:8">
      <c r="A1306" t="s">
        <v>18</v>
      </c>
      <c r="B1306">
        <v>510000</v>
      </c>
      <c r="C1306">
        <v>522000</v>
      </c>
      <c r="D1306" t="str">
        <f>VLOOKUP(A1306,Лист2!A:E,5,0)</f>
        <v>малые</v>
      </c>
      <c r="E1306">
        <f>VLOOKUP(A1306,Лист2!A:E,4,0)</f>
        <v>2.5</v>
      </c>
      <c r="F1306" s="12">
        <f t="shared" si="90"/>
        <v>-12000</v>
      </c>
      <c r="G1306">
        <f t="shared" si="91"/>
        <v>204000</v>
      </c>
      <c r="H1306">
        <f t="shared" si="92"/>
        <v>-4800</v>
      </c>
    </row>
    <row r="1307" spans="1:8">
      <c r="A1307" t="s">
        <v>18</v>
      </c>
      <c r="B1307">
        <v>2150000</v>
      </c>
      <c r="C1307">
        <v>2172000</v>
      </c>
      <c r="D1307" t="str">
        <f>VLOOKUP(A1307,Лист2!A:E,5,0)</f>
        <v>малые</v>
      </c>
      <c r="E1307">
        <f>VLOOKUP(A1307,Лист2!A:E,4,0)</f>
        <v>2.5</v>
      </c>
      <c r="F1307" s="12">
        <f t="shared" si="90"/>
        <v>-22000</v>
      </c>
      <c r="G1307">
        <f t="shared" si="91"/>
        <v>860000</v>
      </c>
      <c r="H1307">
        <f t="shared" si="92"/>
        <v>-8800</v>
      </c>
    </row>
    <row r="1308" spans="1:8">
      <c r="A1308" t="s">
        <v>18</v>
      </c>
      <c r="B1308">
        <v>1370000</v>
      </c>
      <c r="C1308">
        <v>1581000</v>
      </c>
      <c r="D1308" t="str">
        <f>VLOOKUP(A1308,Лист2!A:E,5,0)</f>
        <v>малые</v>
      </c>
      <c r="E1308">
        <f>VLOOKUP(A1308,Лист2!A:E,4,0)</f>
        <v>2.5</v>
      </c>
      <c r="F1308" s="12">
        <f t="shared" si="90"/>
        <v>-211000</v>
      </c>
      <c r="G1308">
        <f t="shared" si="91"/>
        <v>548000</v>
      </c>
      <c r="H1308">
        <f t="shared" si="92"/>
        <v>-84400</v>
      </c>
    </row>
    <row r="1309" spans="1:8">
      <c r="A1309" t="s">
        <v>18</v>
      </c>
      <c r="B1309">
        <v>2869000</v>
      </c>
      <c r="C1309">
        <v>2797000</v>
      </c>
      <c r="D1309" t="str">
        <f>VLOOKUP(A1309,Лист2!A:E,5,0)</f>
        <v>малые</v>
      </c>
      <c r="E1309">
        <f>VLOOKUP(A1309,Лист2!A:E,4,0)</f>
        <v>2.5</v>
      </c>
      <c r="F1309" s="12">
        <f t="shared" si="90"/>
        <v>72000</v>
      </c>
      <c r="G1309">
        <f t="shared" si="91"/>
        <v>1147600</v>
      </c>
      <c r="H1309">
        <f t="shared" si="92"/>
        <v>28800</v>
      </c>
    </row>
    <row r="1310" spans="1:8">
      <c r="A1310" t="s">
        <v>18</v>
      </c>
      <c r="B1310">
        <v>804000</v>
      </c>
      <c r="C1310">
        <v>674000</v>
      </c>
      <c r="D1310" t="str">
        <f>VLOOKUP(A1310,Лист2!A:E,5,0)</f>
        <v>малые</v>
      </c>
      <c r="E1310">
        <f>VLOOKUP(A1310,Лист2!A:E,4,0)</f>
        <v>2.5</v>
      </c>
      <c r="F1310" s="12">
        <f t="shared" si="90"/>
        <v>130000</v>
      </c>
      <c r="G1310">
        <f t="shared" si="91"/>
        <v>321600</v>
      </c>
      <c r="H1310">
        <f t="shared" si="92"/>
        <v>52000</v>
      </c>
    </row>
    <row r="1311" spans="1:8">
      <c r="A1311" t="s">
        <v>22</v>
      </c>
      <c r="B1311">
        <v>16616000</v>
      </c>
      <c r="C1311">
        <v>18101000</v>
      </c>
      <c r="D1311" t="str">
        <f>VLOOKUP(A1311,Лист2!A:E,5,0)</f>
        <v>малые</v>
      </c>
      <c r="E1311">
        <f>VLOOKUP(A1311,Лист2!A:E,4,0)</f>
        <v>13</v>
      </c>
      <c r="F1311" s="12">
        <f t="shared" ref="F1311:F1355" si="93">B1311-C1311</f>
        <v>-1485000</v>
      </c>
      <c r="G1311">
        <f t="shared" ref="G1311:G1355" si="94">B1311/E1311</f>
        <v>1278153.8461538462</v>
      </c>
      <c r="H1311">
        <f t="shared" ref="H1311:H1355" si="95">F1311/E1311</f>
        <v>-114230.76923076923</v>
      </c>
    </row>
    <row r="1312" spans="1:8">
      <c r="A1312" t="s">
        <v>22</v>
      </c>
      <c r="B1312">
        <v>18308000</v>
      </c>
      <c r="C1312">
        <v>18705000</v>
      </c>
      <c r="D1312" t="str">
        <f>VLOOKUP(A1312,Лист2!A:E,5,0)</f>
        <v>малые</v>
      </c>
      <c r="E1312">
        <f>VLOOKUP(A1312,Лист2!A:E,4,0)</f>
        <v>13</v>
      </c>
      <c r="F1312" s="12">
        <f t="shared" si="93"/>
        <v>-397000</v>
      </c>
      <c r="G1312">
        <f t="shared" si="94"/>
        <v>1408307.6923076923</v>
      </c>
      <c r="H1312">
        <f t="shared" si="95"/>
        <v>-30538.461538461539</v>
      </c>
    </row>
    <row r="1313" spans="1:8">
      <c r="A1313" t="s">
        <v>18</v>
      </c>
      <c r="B1313">
        <v>73000</v>
      </c>
      <c r="C1313">
        <v>175000</v>
      </c>
      <c r="D1313" t="str">
        <f>VLOOKUP(A1313,Лист2!A:E,5,0)</f>
        <v>малые</v>
      </c>
      <c r="E1313">
        <f>VLOOKUP(A1313,Лист2!A:E,4,0)</f>
        <v>2.5</v>
      </c>
      <c r="F1313" s="12">
        <f t="shared" si="93"/>
        <v>-102000</v>
      </c>
      <c r="G1313">
        <f t="shared" si="94"/>
        <v>29200</v>
      </c>
      <c r="H1313">
        <f t="shared" si="95"/>
        <v>-40800</v>
      </c>
    </row>
    <row r="1314" spans="1:8">
      <c r="A1314" t="s">
        <v>18</v>
      </c>
      <c r="B1314">
        <v>31000</v>
      </c>
      <c r="C1314">
        <v>31000</v>
      </c>
      <c r="D1314" t="str">
        <f>VLOOKUP(A1314,Лист2!A:E,5,0)</f>
        <v>малые</v>
      </c>
      <c r="E1314">
        <f>VLOOKUP(A1314,Лист2!A:E,4,0)</f>
        <v>2.5</v>
      </c>
      <c r="F1314" s="12">
        <f t="shared" si="93"/>
        <v>0</v>
      </c>
      <c r="G1314">
        <f t="shared" si="94"/>
        <v>12400</v>
      </c>
      <c r="H1314">
        <f t="shared" si="95"/>
        <v>0</v>
      </c>
    </row>
    <row r="1315" spans="1:8">
      <c r="A1315" t="s">
        <v>18</v>
      </c>
      <c r="B1315">
        <v>13232000</v>
      </c>
      <c r="C1315">
        <v>15410000</v>
      </c>
      <c r="D1315" t="str">
        <f>VLOOKUP(A1315,Лист2!A:E,5,0)</f>
        <v>малые</v>
      </c>
      <c r="E1315">
        <f>VLOOKUP(A1315,Лист2!A:E,4,0)</f>
        <v>2.5</v>
      </c>
      <c r="F1315" s="12">
        <f t="shared" si="93"/>
        <v>-2178000</v>
      </c>
      <c r="G1315">
        <f t="shared" si="94"/>
        <v>5292800</v>
      </c>
      <c r="H1315">
        <f t="shared" si="95"/>
        <v>-871200</v>
      </c>
    </row>
    <row r="1316" spans="1:8">
      <c r="A1316" t="s">
        <v>18</v>
      </c>
      <c r="B1316">
        <v>277000</v>
      </c>
      <c r="C1316">
        <v>282000</v>
      </c>
      <c r="D1316" t="str">
        <f>VLOOKUP(A1316,Лист2!A:E,5,0)</f>
        <v>малые</v>
      </c>
      <c r="E1316">
        <f>VLOOKUP(A1316,Лист2!A:E,4,0)</f>
        <v>2.5</v>
      </c>
      <c r="F1316" s="12">
        <f t="shared" si="93"/>
        <v>-5000</v>
      </c>
      <c r="G1316">
        <f t="shared" si="94"/>
        <v>110800</v>
      </c>
      <c r="H1316">
        <f t="shared" si="95"/>
        <v>-2000</v>
      </c>
    </row>
    <row r="1317" spans="1:8">
      <c r="A1317" t="s">
        <v>18</v>
      </c>
      <c r="B1317">
        <v>345000</v>
      </c>
      <c r="C1317">
        <v>348000</v>
      </c>
      <c r="D1317" t="str">
        <f>VLOOKUP(A1317,Лист2!A:E,5,0)</f>
        <v>малые</v>
      </c>
      <c r="E1317">
        <f>VLOOKUP(A1317,Лист2!A:E,4,0)</f>
        <v>2.5</v>
      </c>
      <c r="F1317" s="12">
        <f t="shared" si="93"/>
        <v>-3000</v>
      </c>
      <c r="G1317">
        <f t="shared" si="94"/>
        <v>138000</v>
      </c>
      <c r="H1317">
        <f t="shared" si="95"/>
        <v>-1200</v>
      </c>
    </row>
    <row r="1318" spans="1:8">
      <c r="A1318" t="s">
        <v>18</v>
      </c>
      <c r="B1318">
        <v>8521000</v>
      </c>
      <c r="C1318">
        <v>8430000</v>
      </c>
      <c r="D1318" t="str">
        <f>VLOOKUP(A1318,Лист2!A:E,5,0)</f>
        <v>малые</v>
      </c>
      <c r="E1318">
        <f>VLOOKUP(A1318,Лист2!A:E,4,0)</f>
        <v>2.5</v>
      </c>
      <c r="F1318" s="12">
        <f t="shared" si="93"/>
        <v>91000</v>
      </c>
      <c r="G1318">
        <f t="shared" si="94"/>
        <v>3408400</v>
      </c>
      <c r="H1318">
        <f t="shared" si="95"/>
        <v>36400</v>
      </c>
    </row>
    <row r="1319" spans="1:8">
      <c r="A1319" t="s">
        <v>18</v>
      </c>
      <c r="B1319">
        <v>11018000</v>
      </c>
      <c r="C1319">
        <v>16168000</v>
      </c>
      <c r="D1319" t="str">
        <f>VLOOKUP(A1319,Лист2!A:E,5,0)</f>
        <v>малые</v>
      </c>
      <c r="E1319">
        <f>VLOOKUP(A1319,Лист2!A:E,4,0)</f>
        <v>2.5</v>
      </c>
      <c r="F1319" s="12">
        <f t="shared" si="93"/>
        <v>-5150000</v>
      </c>
      <c r="G1319">
        <f t="shared" si="94"/>
        <v>4407200</v>
      </c>
      <c r="H1319">
        <f t="shared" si="95"/>
        <v>-2060000</v>
      </c>
    </row>
    <row r="1320" spans="1:8">
      <c r="A1320" t="s">
        <v>18</v>
      </c>
      <c r="B1320">
        <v>13213000</v>
      </c>
      <c r="C1320">
        <v>14049000</v>
      </c>
      <c r="D1320" t="str">
        <f>VLOOKUP(A1320,Лист2!A:E,5,0)</f>
        <v>малые</v>
      </c>
      <c r="E1320">
        <f>VLOOKUP(A1320,Лист2!A:E,4,0)</f>
        <v>2.5</v>
      </c>
      <c r="F1320" s="12">
        <f t="shared" si="93"/>
        <v>-836000</v>
      </c>
      <c r="G1320">
        <f t="shared" si="94"/>
        <v>5285200</v>
      </c>
      <c r="H1320">
        <f t="shared" si="95"/>
        <v>-334400</v>
      </c>
    </row>
    <row r="1321" spans="1:8">
      <c r="A1321" t="s">
        <v>18</v>
      </c>
      <c r="B1321">
        <v>193000</v>
      </c>
      <c r="C1321">
        <v>163000</v>
      </c>
      <c r="D1321" t="str">
        <f>VLOOKUP(A1321,Лист2!A:E,5,0)</f>
        <v>малые</v>
      </c>
      <c r="E1321">
        <f>VLOOKUP(A1321,Лист2!A:E,4,0)</f>
        <v>2.5</v>
      </c>
      <c r="F1321" s="12">
        <f t="shared" si="93"/>
        <v>30000</v>
      </c>
      <c r="G1321">
        <f t="shared" si="94"/>
        <v>77200</v>
      </c>
      <c r="H1321">
        <f t="shared" si="95"/>
        <v>12000</v>
      </c>
    </row>
    <row r="1322" spans="1:8">
      <c r="A1322" t="s">
        <v>77</v>
      </c>
      <c r="B1322">
        <v>272246000</v>
      </c>
      <c r="C1322">
        <v>273568000</v>
      </c>
      <c r="D1322" t="str">
        <f>VLOOKUP(A1322,Лист2!A:E,5,0)</f>
        <v>малые</v>
      </c>
      <c r="E1322">
        <f>VLOOKUP(A1322,Лист2!A:E,4,0)</f>
        <v>8</v>
      </c>
      <c r="F1322" s="12">
        <f t="shared" si="93"/>
        <v>-1322000</v>
      </c>
      <c r="G1322">
        <f t="shared" si="94"/>
        <v>34030750</v>
      </c>
      <c r="H1322">
        <f t="shared" si="95"/>
        <v>-165250</v>
      </c>
    </row>
    <row r="1323" spans="1:8">
      <c r="A1323" t="s">
        <v>18</v>
      </c>
      <c r="B1323">
        <v>12633000</v>
      </c>
      <c r="C1323">
        <v>7153000</v>
      </c>
      <c r="D1323" t="str">
        <f>VLOOKUP(A1323,Лист2!A:E,5,0)</f>
        <v>малые</v>
      </c>
      <c r="E1323">
        <f>VLOOKUP(A1323,Лист2!A:E,4,0)</f>
        <v>2.5</v>
      </c>
      <c r="F1323" s="12">
        <f t="shared" si="93"/>
        <v>5480000</v>
      </c>
      <c r="G1323">
        <f t="shared" si="94"/>
        <v>5053200</v>
      </c>
      <c r="H1323">
        <f t="shared" si="95"/>
        <v>2192000</v>
      </c>
    </row>
    <row r="1324" spans="1:8">
      <c r="A1324" t="s">
        <v>18</v>
      </c>
      <c r="B1324">
        <v>91000</v>
      </c>
      <c r="C1324">
        <v>92000</v>
      </c>
      <c r="D1324" t="str">
        <f>VLOOKUP(A1324,Лист2!A:E,5,0)</f>
        <v>малые</v>
      </c>
      <c r="E1324">
        <f>VLOOKUP(A1324,Лист2!A:E,4,0)</f>
        <v>2.5</v>
      </c>
      <c r="F1324" s="12">
        <f t="shared" si="93"/>
        <v>-1000</v>
      </c>
      <c r="G1324">
        <f t="shared" si="94"/>
        <v>36400</v>
      </c>
      <c r="H1324">
        <f t="shared" si="95"/>
        <v>-400</v>
      </c>
    </row>
    <row r="1325" spans="1:8">
      <c r="A1325" t="s">
        <v>18</v>
      </c>
      <c r="B1325">
        <v>1884000</v>
      </c>
      <c r="C1325">
        <v>1907000</v>
      </c>
      <c r="D1325" t="str">
        <f>VLOOKUP(A1325,Лист2!A:E,5,0)</f>
        <v>малые</v>
      </c>
      <c r="E1325">
        <f>VLOOKUP(A1325,Лист2!A:E,4,0)</f>
        <v>2.5</v>
      </c>
      <c r="F1325" s="12">
        <f t="shared" si="93"/>
        <v>-23000</v>
      </c>
      <c r="G1325">
        <f t="shared" si="94"/>
        <v>753600</v>
      </c>
      <c r="H1325">
        <f t="shared" si="95"/>
        <v>-9200</v>
      </c>
    </row>
    <row r="1326" spans="1:8">
      <c r="A1326" t="s">
        <v>18</v>
      </c>
      <c r="B1326">
        <v>273000</v>
      </c>
      <c r="C1326">
        <v>233000</v>
      </c>
      <c r="D1326" t="str">
        <f>VLOOKUP(A1326,Лист2!A:E,5,0)</f>
        <v>малые</v>
      </c>
      <c r="E1326">
        <f>VLOOKUP(A1326,Лист2!A:E,4,0)</f>
        <v>2.5</v>
      </c>
      <c r="F1326" s="12">
        <f t="shared" si="93"/>
        <v>40000</v>
      </c>
      <c r="G1326">
        <f t="shared" si="94"/>
        <v>109200</v>
      </c>
      <c r="H1326">
        <f t="shared" si="95"/>
        <v>16000</v>
      </c>
    </row>
    <row r="1327" spans="1:8">
      <c r="A1327" t="s">
        <v>18</v>
      </c>
      <c r="B1327">
        <v>6000</v>
      </c>
      <c r="C1327">
        <v>6000</v>
      </c>
      <c r="D1327" t="str">
        <f>VLOOKUP(A1327,Лист2!A:E,5,0)</f>
        <v>малые</v>
      </c>
      <c r="E1327">
        <f>VLOOKUP(A1327,Лист2!A:E,4,0)</f>
        <v>2.5</v>
      </c>
      <c r="F1327" s="12">
        <f t="shared" si="93"/>
        <v>0</v>
      </c>
      <c r="G1327">
        <f t="shared" si="94"/>
        <v>2400</v>
      </c>
      <c r="H1327">
        <f t="shared" si="95"/>
        <v>0</v>
      </c>
    </row>
    <row r="1328" spans="1:8">
      <c r="A1328" t="s">
        <v>18</v>
      </c>
      <c r="B1328">
        <v>510000</v>
      </c>
      <c r="C1328">
        <v>481000</v>
      </c>
      <c r="D1328" t="str">
        <f>VLOOKUP(A1328,Лист2!A:E,5,0)</f>
        <v>малые</v>
      </c>
      <c r="E1328">
        <f>VLOOKUP(A1328,Лист2!A:E,4,0)</f>
        <v>2.5</v>
      </c>
      <c r="F1328" s="12">
        <f t="shared" si="93"/>
        <v>29000</v>
      </c>
      <c r="G1328">
        <f t="shared" si="94"/>
        <v>204000</v>
      </c>
      <c r="H1328">
        <f t="shared" si="95"/>
        <v>11600</v>
      </c>
    </row>
    <row r="1329" spans="1:8">
      <c r="A1329" t="s">
        <v>18</v>
      </c>
      <c r="B1329">
        <v>2655000</v>
      </c>
      <c r="C1329">
        <v>3653000</v>
      </c>
      <c r="D1329" t="str">
        <f>VLOOKUP(A1329,Лист2!A:E,5,0)</f>
        <v>малые</v>
      </c>
      <c r="E1329">
        <f>VLOOKUP(A1329,Лист2!A:E,4,0)</f>
        <v>2.5</v>
      </c>
      <c r="F1329" s="12">
        <f t="shared" si="93"/>
        <v>-998000</v>
      </c>
      <c r="G1329">
        <f t="shared" si="94"/>
        <v>1062000</v>
      </c>
      <c r="H1329">
        <f t="shared" si="95"/>
        <v>-399200</v>
      </c>
    </row>
    <row r="1330" spans="1:8">
      <c r="A1330" t="s">
        <v>18</v>
      </c>
      <c r="B1330">
        <v>27390000</v>
      </c>
      <c r="C1330">
        <v>29284000</v>
      </c>
      <c r="D1330" t="str">
        <f>VLOOKUP(A1330,Лист2!A:E,5,0)</f>
        <v>малые</v>
      </c>
      <c r="E1330">
        <f>VLOOKUP(A1330,Лист2!A:E,4,0)</f>
        <v>2.5</v>
      </c>
      <c r="F1330" s="12">
        <f t="shared" si="93"/>
        <v>-1894000</v>
      </c>
      <c r="G1330">
        <f t="shared" si="94"/>
        <v>10956000</v>
      </c>
      <c r="H1330">
        <f t="shared" si="95"/>
        <v>-757600</v>
      </c>
    </row>
    <row r="1331" spans="1:8">
      <c r="A1331" t="s">
        <v>18</v>
      </c>
      <c r="B1331">
        <v>4107000</v>
      </c>
      <c r="C1331">
        <v>4237000</v>
      </c>
      <c r="D1331" t="str">
        <f>VLOOKUP(A1331,Лист2!A:E,5,0)</f>
        <v>малые</v>
      </c>
      <c r="E1331">
        <f>VLOOKUP(A1331,Лист2!A:E,4,0)</f>
        <v>2.5</v>
      </c>
      <c r="F1331" s="12">
        <f t="shared" si="93"/>
        <v>-130000</v>
      </c>
      <c r="G1331">
        <f t="shared" si="94"/>
        <v>1642800</v>
      </c>
      <c r="H1331">
        <f t="shared" si="95"/>
        <v>-52000</v>
      </c>
    </row>
    <row r="1332" spans="1:8">
      <c r="A1332" t="s">
        <v>18</v>
      </c>
      <c r="B1332">
        <v>1541000</v>
      </c>
      <c r="C1332">
        <v>1541000</v>
      </c>
      <c r="D1332" t="str">
        <f>VLOOKUP(A1332,Лист2!A:E,5,0)</f>
        <v>малые</v>
      </c>
      <c r="E1332">
        <f>VLOOKUP(A1332,Лист2!A:E,4,0)</f>
        <v>2.5</v>
      </c>
      <c r="F1332" s="12">
        <f t="shared" si="93"/>
        <v>0</v>
      </c>
      <c r="G1332">
        <f t="shared" si="94"/>
        <v>616400</v>
      </c>
      <c r="H1332">
        <f t="shared" si="95"/>
        <v>0</v>
      </c>
    </row>
    <row r="1333" spans="1:8">
      <c r="A1333" t="s">
        <v>18</v>
      </c>
      <c r="B1333">
        <v>1044000</v>
      </c>
      <c r="C1333">
        <v>766000</v>
      </c>
      <c r="D1333" t="str">
        <f>VLOOKUP(A1333,Лист2!A:E,5,0)</f>
        <v>малые</v>
      </c>
      <c r="E1333">
        <f>VLOOKUP(A1333,Лист2!A:E,4,0)</f>
        <v>2.5</v>
      </c>
      <c r="F1333" s="12">
        <f t="shared" si="93"/>
        <v>278000</v>
      </c>
      <c r="G1333">
        <f t="shared" si="94"/>
        <v>417600</v>
      </c>
      <c r="H1333">
        <f t="shared" si="95"/>
        <v>111200</v>
      </c>
    </row>
    <row r="1334" spans="1:8">
      <c r="A1334" t="s">
        <v>18</v>
      </c>
      <c r="B1334">
        <v>57749000</v>
      </c>
      <c r="C1334">
        <v>101501000</v>
      </c>
      <c r="D1334" t="str">
        <f>VLOOKUP(A1334,Лист2!A:E,5,0)</f>
        <v>малые</v>
      </c>
      <c r="E1334">
        <f>VLOOKUP(A1334,Лист2!A:E,4,0)</f>
        <v>2.5</v>
      </c>
      <c r="F1334" s="12">
        <f t="shared" si="93"/>
        <v>-43752000</v>
      </c>
      <c r="G1334">
        <f t="shared" si="94"/>
        <v>23099600</v>
      </c>
      <c r="H1334">
        <f t="shared" si="95"/>
        <v>-17500800</v>
      </c>
    </row>
    <row r="1335" spans="1:8">
      <c r="A1335" t="s">
        <v>18</v>
      </c>
      <c r="B1335">
        <v>2513000</v>
      </c>
      <c r="C1335">
        <v>2562000</v>
      </c>
      <c r="D1335" t="str">
        <f>VLOOKUP(A1335,Лист2!A:E,5,0)</f>
        <v>малые</v>
      </c>
      <c r="E1335">
        <f>VLOOKUP(A1335,Лист2!A:E,4,0)</f>
        <v>2.5</v>
      </c>
      <c r="F1335" s="12">
        <f t="shared" si="93"/>
        <v>-49000</v>
      </c>
      <c r="G1335">
        <f t="shared" si="94"/>
        <v>1005200</v>
      </c>
      <c r="H1335">
        <f t="shared" si="95"/>
        <v>-19600</v>
      </c>
    </row>
    <row r="1336" spans="1:8">
      <c r="A1336" t="s">
        <v>18</v>
      </c>
      <c r="B1336">
        <v>41000</v>
      </c>
      <c r="C1336">
        <v>35000</v>
      </c>
      <c r="D1336" t="str">
        <f>VLOOKUP(A1336,Лист2!A:E,5,0)</f>
        <v>малые</v>
      </c>
      <c r="E1336">
        <f>VLOOKUP(A1336,Лист2!A:E,4,0)</f>
        <v>2.5</v>
      </c>
      <c r="F1336" s="12">
        <f t="shared" si="93"/>
        <v>6000</v>
      </c>
      <c r="G1336">
        <f t="shared" si="94"/>
        <v>16400</v>
      </c>
      <c r="H1336">
        <f t="shared" si="95"/>
        <v>2400</v>
      </c>
    </row>
    <row r="1337" spans="1:8">
      <c r="A1337" t="s">
        <v>18</v>
      </c>
      <c r="B1337">
        <v>571000</v>
      </c>
      <c r="C1337">
        <v>705000</v>
      </c>
      <c r="D1337" t="str">
        <f>VLOOKUP(A1337,Лист2!A:E,5,0)</f>
        <v>малые</v>
      </c>
      <c r="E1337">
        <f>VLOOKUP(A1337,Лист2!A:E,4,0)</f>
        <v>2.5</v>
      </c>
      <c r="F1337" s="12">
        <f t="shared" si="93"/>
        <v>-134000</v>
      </c>
      <c r="G1337">
        <f t="shared" si="94"/>
        <v>228400</v>
      </c>
      <c r="H1337">
        <f t="shared" si="95"/>
        <v>-53600</v>
      </c>
    </row>
    <row r="1338" spans="1:8">
      <c r="A1338" t="s">
        <v>18</v>
      </c>
      <c r="B1338">
        <v>2368000</v>
      </c>
      <c r="C1338">
        <v>2397000</v>
      </c>
      <c r="D1338" t="str">
        <f>VLOOKUP(A1338,Лист2!A:E,5,0)</f>
        <v>малые</v>
      </c>
      <c r="E1338">
        <f>VLOOKUP(A1338,Лист2!A:E,4,0)</f>
        <v>2.5</v>
      </c>
      <c r="F1338" s="12">
        <f t="shared" si="93"/>
        <v>-29000</v>
      </c>
      <c r="G1338">
        <f t="shared" si="94"/>
        <v>947200</v>
      </c>
      <c r="H1338">
        <f t="shared" si="95"/>
        <v>-11600</v>
      </c>
    </row>
    <row r="1339" spans="1:8">
      <c r="A1339" t="s">
        <v>18</v>
      </c>
      <c r="B1339">
        <v>4914000</v>
      </c>
      <c r="C1339">
        <v>3579000</v>
      </c>
      <c r="D1339" t="str">
        <f>VLOOKUP(A1339,Лист2!A:E,5,0)</f>
        <v>малые</v>
      </c>
      <c r="E1339">
        <f>VLOOKUP(A1339,Лист2!A:E,4,0)</f>
        <v>2.5</v>
      </c>
      <c r="F1339" s="12">
        <f t="shared" si="93"/>
        <v>1335000</v>
      </c>
      <c r="G1339">
        <f t="shared" si="94"/>
        <v>1965600</v>
      </c>
      <c r="H1339">
        <f t="shared" si="95"/>
        <v>534000</v>
      </c>
    </row>
    <row r="1340" spans="1:8">
      <c r="A1340" t="s">
        <v>18</v>
      </c>
      <c r="B1340">
        <v>12591000</v>
      </c>
      <c r="C1340">
        <v>10489000</v>
      </c>
      <c r="D1340" t="str">
        <f>VLOOKUP(A1340,Лист2!A:E,5,0)</f>
        <v>малые</v>
      </c>
      <c r="E1340">
        <f>VLOOKUP(A1340,Лист2!A:E,4,0)</f>
        <v>2.5</v>
      </c>
      <c r="F1340" s="12">
        <f t="shared" si="93"/>
        <v>2102000</v>
      </c>
      <c r="G1340">
        <f t="shared" si="94"/>
        <v>5036400</v>
      </c>
      <c r="H1340">
        <f t="shared" si="95"/>
        <v>840800</v>
      </c>
    </row>
    <row r="1341" spans="1:8">
      <c r="A1341" t="s">
        <v>18</v>
      </c>
      <c r="B1341">
        <v>185000</v>
      </c>
      <c r="C1341">
        <v>186000</v>
      </c>
      <c r="D1341" t="str">
        <f>VLOOKUP(A1341,Лист2!A:E,5,0)</f>
        <v>малые</v>
      </c>
      <c r="E1341">
        <f>VLOOKUP(A1341,Лист2!A:E,4,0)</f>
        <v>2.5</v>
      </c>
      <c r="F1341" s="12">
        <f t="shared" si="93"/>
        <v>-1000</v>
      </c>
      <c r="G1341">
        <f t="shared" si="94"/>
        <v>74000</v>
      </c>
      <c r="H1341">
        <f t="shared" si="95"/>
        <v>-400</v>
      </c>
    </row>
    <row r="1342" spans="1:8">
      <c r="A1342" t="s">
        <v>18</v>
      </c>
      <c r="B1342">
        <v>480000</v>
      </c>
      <c r="C1342">
        <v>460000</v>
      </c>
      <c r="D1342" t="str">
        <f>VLOOKUP(A1342,Лист2!A:E,5,0)</f>
        <v>малые</v>
      </c>
      <c r="E1342">
        <f>VLOOKUP(A1342,Лист2!A:E,4,0)</f>
        <v>2.5</v>
      </c>
      <c r="F1342" s="12">
        <f t="shared" si="93"/>
        <v>20000</v>
      </c>
      <c r="G1342">
        <f t="shared" si="94"/>
        <v>192000</v>
      </c>
      <c r="H1342">
        <f t="shared" si="95"/>
        <v>8000</v>
      </c>
    </row>
    <row r="1343" spans="1:8">
      <c r="A1343" t="s">
        <v>18</v>
      </c>
      <c r="B1343">
        <v>2061000</v>
      </c>
      <c r="C1343">
        <v>2061000</v>
      </c>
      <c r="D1343" t="str">
        <f>VLOOKUP(A1343,Лист2!A:E,5,0)</f>
        <v>малые</v>
      </c>
      <c r="E1343">
        <f>VLOOKUP(A1343,Лист2!A:E,4,0)</f>
        <v>2.5</v>
      </c>
      <c r="F1343" s="12">
        <f t="shared" si="93"/>
        <v>0</v>
      </c>
      <c r="G1343">
        <f t="shared" si="94"/>
        <v>824400</v>
      </c>
      <c r="H1343">
        <f t="shared" si="95"/>
        <v>0</v>
      </c>
    </row>
    <row r="1344" spans="1:8">
      <c r="A1344" t="s">
        <v>18</v>
      </c>
      <c r="B1344">
        <v>275000</v>
      </c>
      <c r="C1344">
        <v>272000</v>
      </c>
      <c r="D1344" t="str">
        <f>VLOOKUP(A1344,Лист2!A:E,5,0)</f>
        <v>малые</v>
      </c>
      <c r="E1344">
        <f>VLOOKUP(A1344,Лист2!A:E,4,0)</f>
        <v>2.5</v>
      </c>
      <c r="F1344" s="12">
        <f t="shared" si="93"/>
        <v>3000</v>
      </c>
      <c r="G1344">
        <f t="shared" si="94"/>
        <v>110000</v>
      </c>
      <c r="H1344">
        <f t="shared" si="95"/>
        <v>1200</v>
      </c>
    </row>
    <row r="1345" spans="1:8">
      <c r="A1345" t="s">
        <v>18</v>
      </c>
      <c r="B1345">
        <v>606000</v>
      </c>
      <c r="C1345">
        <v>585000</v>
      </c>
      <c r="D1345" t="str">
        <f>VLOOKUP(A1345,Лист2!A:E,5,0)</f>
        <v>малые</v>
      </c>
      <c r="E1345">
        <f>VLOOKUP(A1345,Лист2!A:E,4,0)</f>
        <v>2.5</v>
      </c>
      <c r="F1345" s="12">
        <f t="shared" si="93"/>
        <v>21000</v>
      </c>
      <c r="G1345">
        <f t="shared" si="94"/>
        <v>242400</v>
      </c>
      <c r="H1345">
        <f t="shared" si="95"/>
        <v>8400</v>
      </c>
    </row>
    <row r="1346" spans="1:8">
      <c r="A1346" t="s">
        <v>22</v>
      </c>
      <c r="B1346">
        <v>15307000</v>
      </c>
      <c r="C1346">
        <v>13198000</v>
      </c>
      <c r="D1346" t="str">
        <f>VLOOKUP(A1346,Лист2!A:E,5,0)</f>
        <v>малые</v>
      </c>
      <c r="E1346">
        <f>VLOOKUP(A1346,Лист2!A:E,4,0)</f>
        <v>13</v>
      </c>
      <c r="F1346" s="12">
        <f t="shared" si="93"/>
        <v>2109000</v>
      </c>
      <c r="G1346">
        <f t="shared" si="94"/>
        <v>1177461.5384615385</v>
      </c>
      <c r="H1346">
        <f t="shared" si="95"/>
        <v>162230.76923076922</v>
      </c>
    </row>
    <row r="1347" spans="1:8">
      <c r="A1347" t="s">
        <v>18</v>
      </c>
      <c r="B1347">
        <v>2035000</v>
      </c>
      <c r="C1347">
        <v>1511000</v>
      </c>
      <c r="D1347" t="str">
        <f>VLOOKUP(A1347,Лист2!A:E,5,0)</f>
        <v>малые</v>
      </c>
      <c r="E1347">
        <f>VLOOKUP(A1347,Лист2!A:E,4,0)</f>
        <v>2.5</v>
      </c>
      <c r="F1347" s="12">
        <f t="shared" si="93"/>
        <v>524000</v>
      </c>
      <c r="G1347">
        <f t="shared" si="94"/>
        <v>814000</v>
      </c>
      <c r="H1347">
        <f t="shared" si="95"/>
        <v>209600</v>
      </c>
    </row>
    <row r="1348" spans="1:8">
      <c r="A1348" t="s">
        <v>18</v>
      </c>
      <c r="B1348">
        <v>820000</v>
      </c>
      <c r="C1348">
        <v>537000</v>
      </c>
      <c r="D1348" t="str">
        <f>VLOOKUP(A1348,Лист2!A:E,5,0)</f>
        <v>малые</v>
      </c>
      <c r="E1348">
        <f>VLOOKUP(A1348,Лист2!A:E,4,0)</f>
        <v>2.5</v>
      </c>
      <c r="F1348" s="12">
        <f t="shared" si="93"/>
        <v>283000</v>
      </c>
      <c r="G1348">
        <f t="shared" si="94"/>
        <v>328000</v>
      </c>
      <c r="H1348">
        <f t="shared" si="95"/>
        <v>113200</v>
      </c>
    </row>
    <row r="1349" spans="1:8">
      <c r="A1349" t="s">
        <v>18</v>
      </c>
      <c r="B1349">
        <v>24258000</v>
      </c>
      <c r="C1349">
        <v>25635000</v>
      </c>
      <c r="D1349" t="str">
        <f>VLOOKUP(A1349,Лист2!A:E,5,0)</f>
        <v>малые</v>
      </c>
      <c r="E1349">
        <f>VLOOKUP(A1349,Лист2!A:E,4,0)</f>
        <v>2.5</v>
      </c>
      <c r="F1349" s="12">
        <f t="shared" si="93"/>
        <v>-1377000</v>
      </c>
      <c r="G1349">
        <f t="shared" si="94"/>
        <v>9703200</v>
      </c>
      <c r="H1349">
        <f t="shared" si="95"/>
        <v>-550800</v>
      </c>
    </row>
    <row r="1350" spans="1:8">
      <c r="A1350" t="s">
        <v>18</v>
      </c>
      <c r="B1350">
        <v>7980000</v>
      </c>
      <c r="C1350">
        <v>7111000</v>
      </c>
      <c r="D1350" t="str">
        <f>VLOOKUP(A1350,Лист2!A:E,5,0)</f>
        <v>малые</v>
      </c>
      <c r="E1350">
        <f>VLOOKUP(A1350,Лист2!A:E,4,0)</f>
        <v>2.5</v>
      </c>
      <c r="F1350" s="12">
        <f t="shared" si="93"/>
        <v>869000</v>
      </c>
      <c r="G1350">
        <f t="shared" si="94"/>
        <v>3192000</v>
      </c>
      <c r="H1350">
        <f t="shared" si="95"/>
        <v>347600</v>
      </c>
    </row>
    <row r="1351" spans="1:8">
      <c r="A1351" t="s">
        <v>18</v>
      </c>
      <c r="B1351">
        <v>1564000</v>
      </c>
      <c r="C1351">
        <v>1553000</v>
      </c>
      <c r="D1351" t="str">
        <f>VLOOKUP(A1351,Лист2!A:E,5,0)</f>
        <v>малые</v>
      </c>
      <c r="E1351">
        <f>VLOOKUP(A1351,Лист2!A:E,4,0)</f>
        <v>2.5</v>
      </c>
      <c r="F1351" s="12">
        <f t="shared" si="93"/>
        <v>11000</v>
      </c>
      <c r="G1351">
        <f t="shared" si="94"/>
        <v>625600</v>
      </c>
      <c r="H1351">
        <f t="shared" si="95"/>
        <v>4400</v>
      </c>
    </row>
    <row r="1352" spans="1:8">
      <c r="A1352" t="s">
        <v>18</v>
      </c>
      <c r="B1352">
        <v>7522000</v>
      </c>
      <c r="C1352">
        <v>6588000</v>
      </c>
      <c r="D1352" t="str">
        <f>VLOOKUP(A1352,Лист2!A:E,5,0)</f>
        <v>малые</v>
      </c>
      <c r="E1352">
        <f>VLOOKUP(A1352,Лист2!A:E,4,0)</f>
        <v>2.5</v>
      </c>
      <c r="F1352" s="12">
        <f t="shared" si="93"/>
        <v>934000</v>
      </c>
      <c r="G1352">
        <f t="shared" si="94"/>
        <v>3008800</v>
      </c>
      <c r="H1352">
        <f t="shared" si="95"/>
        <v>373600</v>
      </c>
    </row>
    <row r="1353" spans="1:8">
      <c r="A1353" t="s">
        <v>18</v>
      </c>
      <c r="B1353">
        <v>9121000</v>
      </c>
      <c r="C1353">
        <v>9121000</v>
      </c>
      <c r="D1353" t="str">
        <f>VLOOKUP(A1353,Лист2!A:E,5,0)</f>
        <v>малые</v>
      </c>
      <c r="E1353">
        <f>VLOOKUP(A1353,Лист2!A:E,4,0)</f>
        <v>2.5</v>
      </c>
      <c r="F1353" s="12">
        <f t="shared" si="93"/>
        <v>0</v>
      </c>
      <c r="G1353">
        <f t="shared" si="94"/>
        <v>3648400</v>
      </c>
      <c r="H1353">
        <f t="shared" si="95"/>
        <v>0</v>
      </c>
    </row>
    <row r="1354" spans="1:8">
      <c r="A1354" t="s">
        <v>18</v>
      </c>
      <c r="B1354">
        <v>2525000</v>
      </c>
      <c r="C1354">
        <v>2657000</v>
      </c>
      <c r="D1354" t="str">
        <f>VLOOKUP(A1354,Лист2!A:E,5,0)</f>
        <v>малые</v>
      </c>
      <c r="E1354">
        <f>VLOOKUP(A1354,Лист2!A:E,4,0)</f>
        <v>2.5</v>
      </c>
      <c r="F1354" s="12">
        <f t="shared" si="93"/>
        <v>-132000</v>
      </c>
      <c r="G1354">
        <f t="shared" si="94"/>
        <v>1010000</v>
      </c>
      <c r="H1354">
        <f t="shared" si="95"/>
        <v>-52800</v>
      </c>
    </row>
    <row r="1355" spans="1:8">
      <c r="A1355" t="s">
        <v>18</v>
      </c>
      <c r="B1355">
        <v>489000</v>
      </c>
      <c r="C1355">
        <v>535000</v>
      </c>
      <c r="D1355" t="str">
        <f>VLOOKUP(A1355,Лист2!A:E,5,0)</f>
        <v>малые</v>
      </c>
      <c r="E1355">
        <f>VLOOKUP(A1355,Лист2!A:E,4,0)</f>
        <v>2.5</v>
      </c>
      <c r="F1355" s="12">
        <f t="shared" si="93"/>
        <v>-46000</v>
      </c>
      <c r="G1355">
        <f t="shared" si="94"/>
        <v>195600</v>
      </c>
      <c r="H1355">
        <f t="shared" si="95"/>
        <v>-18400</v>
      </c>
    </row>
    <row r="1356" spans="1:8">
      <c r="A1356" t="s">
        <v>18</v>
      </c>
      <c r="B1356">
        <v>3453000</v>
      </c>
      <c r="C1356">
        <v>3119000</v>
      </c>
      <c r="D1356" t="str">
        <f>VLOOKUP(A1356,Лист2!A:E,5,0)</f>
        <v>малые</v>
      </c>
      <c r="E1356">
        <f>VLOOKUP(A1356,Лист2!A:E,4,0)</f>
        <v>2.5</v>
      </c>
      <c r="F1356" s="12">
        <f t="shared" ref="F1356:F1401" si="96">B1356-C1356</f>
        <v>334000</v>
      </c>
      <c r="G1356">
        <f t="shared" ref="G1356:G1401" si="97">B1356/E1356</f>
        <v>1381200</v>
      </c>
      <c r="H1356">
        <f t="shared" ref="H1356:H1401" si="98">F1356/E1356</f>
        <v>133600</v>
      </c>
    </row>
    <row r="1357" spans="1:8">
      <c r="A1357" t="s">
        <v>18</v>
      </c>
      <c r="B1357">
        <v>2817000</v>
      </c>
      <c r="C1357">
        <v>3095000</v>
      </c>
      <c r="D1357" t="str">
        <f>VLOOKUP(A1357,Лист2!A:E,5,0)</f>
        <v>малые</v>
      </c>
      <c r="E1357">
        <f>VLOOKUP(A1357,Лист2!A:E,4,0)</f>
        <v>2.5</v>
      </c>
      <c r="F1357" s="12">
        <f t="shared" si="96"/>
        <v>-278000</v>
      </c>
      <c r="G1357">
        <f t="shared" si="97"/>
        <v>1126800</v>
      </c>
      <c r="H1357">
        <f t="shared" si="98"/>
        <v>-111200</v>
      </c>
    </row>
    <row r="1358" spans="1:8">
      <c r="A1358" t="s">
        <v>18</v>
      </c>
      <c r="B1358">
        <v>101586000</v>
      </c>
      <c r="C1358">
        <v>97996000</v>
      </c>
      <c r="D1358" t="str">
        <f>VLOOKUP(A1358,Лист2!A:E,5,0)</f>
        <v>малые</v>
      </c>
      <c r="E1358">
        <f>VLOOKUP(A1358,Лист2!A:E,4,0)</f>
        <v>2.5</v>
      </c>
      <c r="F1358" s="12">
        <f t="shared" si="96"/>
        <v>3590000</v>
      </c>
      <c r="G1358">
        <f t="shared" si="97"/>
        <v>40634400</v>
      </c>
      <c r="H1358">
        <f t="shared" si="98"/>
        <v>1436000</v>
      </c>
    </row>
    <row r="1359" spans="1:8">
      <c r="A1359" t="s">
        <v>18</v>
      </c>
      <c r="B1359">
        <v>388000</v>
      </c>
      <c r="C1359">
        <v>454000</v>
      </c>
      <c r="D1359" t="str">
        <f>VLOOKUP(A1359,Лист2!A:E,5,0)</f>
        <v>малые</v>
      </c>
      <c r="E1359">
        <f>VLOOKUP(A1359,Лист2!A:E,4,0)</f>
        <v>2.5</v>
      </c>
      <c r="F1359" s="12">
        <f t="shared" si="96"/>
        <v>-66000</v>
      </c>
      <c r="G1359">
        <f t="shared" si="97"/>
        <v>155200</v>
      </c>
      <c r="H1359">
        <f t="shared" si="98"/>
        <v>-26400</v>
      </c>
    </row>
    <row r="1360" spans="1:8">
      <c r="A1360" t="s">
        <v>22</v>
      </c>
      <c r="B1360">
        <v>17659000</v>
      </c>
      <c r="C1360">
        <v>16839000</v>
      </c>
      <c r="D1360" t="str">
        <f>VLOOKUP(A1360,Лист2!A:E,5,0)</f>
        <v>малые</v>
      </c>
      <c r="E1360">
        <f>VLOOKUP(A1360,Лист2!A:E,4,0)</f>
        <v>13</v>
      </c>
      <c r="F1360" s="12">
        <f t="shared" si="96"/>
        <v>820000</v>
      </c>
      <c r="G1360">
        <f t="shared" si="97"/>
        <v>1358384.6153846155</v>
      </c>
      <c r="H1360">
        <f t="shared" si="98"/>
        <v>63076.923076923078</v>
      </c>
    </row>
    <row r="1361" spans="1:8">
      <c r="A1361" t="s">
        <v>18</v>
      </c>
      <c r="B1361">
        <v>3148000</v>
      </c>
      <c r="C1361">
        <v>2915000</v>
      </c>
      <c r="D1361" t="str">
        <f>VLOOKUP(A1361,Лист2!A:E,5,0)</f>
        <v>малые</v>
      </c>
      <c r="E1361">
        <f>VLOOKUP(A1361,Лист2!A:E,4,0)</f>
        <v>2.5</v>
      </c>
      <c r="F1361" s="12">
        <f t="shared" si="96"/>
        <v>233000</v>
      </c>
      <c r="G1361">
        <f t="shared" si="97"/>
        <v>1259200</v>
      </c>
      <c r="H1361">
        <f t="shared" si="98"/>
        <v>93200</v>
      </c>
    </row>
    <row r="1362" spans="1:8">
      <c r="A1362" t="s">
        <v>18</v>
      </c>
      <c r="B1362">
        <v>455000</v>
      </c>
      <c r="C1362">
        <v>602000</v>
      </c>
      <c r="D1362" t="str">
        <f>VLOOKUP(A1362,Лист2!A:E,5,0)</f>
        <v>малые</v>
      </c>
      <c r="E1362">
        <f>VLOOKUP(A1362,Лист2!A:E,4,0)</f>
        <v>2.5</v>
      </c>
      <c r="F1362" s="12">
        <f t="shared" si="96"/>
        <v>-147000</v>
      </c>
      <c r="G1362">
        <f t="shared" si="97"/>
        <v>182000</v>
      </c>
      <c r="H1362">
        <f t="shared" si="98"/>
        <v>-58800</v>
      </c>
    </row>
    <row r="1363" spans="1:8">
      <c r="A1363" t="s">
        <v>18</v>
      </c>
      <c r="B1363">
        <v>850000</v>
      </c>
      <c r="C1363">
        <v>850000</v>
      </c>
      <c r="D1363" t="str">
        <f>VLOOKUP(A1363,Лист2!A:E,5,0)</f>
        <v>малые</v>
      </c>
      <c r="E1363">
        <f>VLOOKUP(A1363,Лист2!A:E,4,0)</f>
        <v>2.5</v>
      </c>
      <c r="F1363" s="12">
        <f t="shared" si="96"/>
        <v>0</v>
      </c>
      <c r="G1363">
        <f t="shared" si="97"/>
        <v>340000</v>
      </c>
      <c r="H1363">
        <f t="shared" si="98"/>
        <v>0</v>
      </c>
    </row>
    <row r="1364" spans="1:8">
      <c r="A1364" t="s">
        <v>18</v>
      </c>
      <c r="B1364">
        <v>264000</v>
      </c>
      <c r="C1364">
        <v>259000</v>
      </c>
      <c r="D1364" t="str">
        <f>VLOOKUP(A1364,Лист2!A:E,5,0)</f>
        <v>малые</v>
      </c>
      <c r="E1364">
        <f>VLOOKUP(A1364,Лист2!A:E,4,0)</f>
        <v>2.5</v>
      </c>
      <c r="F1364" s="12">
        <f t="shared" si="96"/>
        <v>5000</v>
      </c>
      <c r="G1364">
        <f t="shared" si="97"/>
        <v>105600</v>
      </c>
      <c r="H1364">
        <f t="shared" si="98"/>
        <v>2000</v>
      </c>
    </row>
    <row r="1365" spans="1:8">
      <c r="A1365" t="s">
        <v>18</v>
      </c>
      <c r="B1365">
        <v>4985000</v>
      </c>
      <c r="C1365">
        <v>4969000</v>
      </c>
      <c r="D1365" t="str">
        <f>VLOOKUP(A1365,Лист2!A:E,5,0)</f>
        <v>малые</v>
      </c>
      <c r="E1365">
        <f>VLOOKUP(A1365,Лист2!A:E,4,0)</f>
        <v>2.5</v>
      </c>
      <c r="F1365" s="12">
        <f t="shared" si="96"/>
        <v>16000</v>
      </c>
      <c r="G1365">
        <f t="shared" si="97"/>
        <v>1994000</v>
      </c>
      <c r="H1365">
        <f t="shared" si="98"/>
        <v>6400</v>
      </c>
    </row>
    <row r="1366" spans="1:8">
      <c r="A1366" t="s">
        <v>18</v>
      </c>
      <c r="B1366">
        <v>9959000</v>
      </c>
      <c r="C1366">
        <v>8422000</v>
      </c>
      <c r="D1366" t="str">
        <f>VLOOKUP(A1366,Лист2!A:E,5,0)</f>
        <v>малые</v>
      </c>
      <c r="E1366">
        <f>VLOOKUP(A1366,Лист2!A:E,4,0)</f>
        <v>2.5</v>
      </c>
      <c r="F1366" s="12">
        <f t="shared" si="96"/>
        <v>1537000</v>
      </c>
      <c r="G1366">
        <f t="shared" si="97"/>
        <v>3983600</v>
      </c>
      <c r="H1366">
        <f t="shared" si="98"/>
        <v>614800</v>
      </c>
    </row>
    <row r="1367" spans="1:8">
      <c r="A1367" t="s">
        <v>18</v>
      </c>
      <c r="B1367">
        <v>18041000</v>
      </c>
      <c r="C1367">
        <v>16722000</v>
      </c>
      <c r="D1367" t="str">
        <f>VLOOKUP(A1367,Лист2!A:E,5,0)</f>
        <v>малые</v>
      </c>
      <c r="E1367">
        <f>VLOOKUP(A1367,Лист2!A:E,4,0)</f>
        <v>2.5</v>
      </c>
      <c r="F1367" s="12">
        <f t="shared" si="96"/>
        <v>1319000</v>
      </c>
      <c r="G1367">
        <f t="shared" si="97"/>
        <v>7216400</v>
      </c>
      <c r="H1367">
        <f t="shared" si="98"/>
        <v>527600</v>
      </c>
    </row>
    <row r="1368" spans="1:8">
      <c r="A1368" t="s">
        <v>18</v>
      </c>
      <c r="B1368">
        <v>9634000</v>
      </c>
      <c r="C1368">
        <v>9133000</v>
      </c>
      <c r="D1368" t="str">
        <f>VLOOKUP(A1368,Лист2!A:E,5,0)</f>
        <v>малые</v>
      </c>
      <c r="E1368">
        <f>VLOOKUP(A1368,Лист2!A:E,4,0)</f>
        <v>2.5</v>
      </c>
      <c r="F1368" s="12">
        <f t="shared" si="96"/>
        <v>501000</v>
      </c>
      <c r="G1368">
        <f t="shared" si="97"/>
        <v>3853600</v>
      </c>
      <c r="H1368">
        <f t="shared" si="98"/>
        <v>200400</v>
      </c>
    </row>
    <row r="1369" spans="1:8">
      <c r="A1369" t="s">
        <v>18</v>
      </c>
      <c r="B1369">
        <v>1985000</v>
      </c>
      <c r="C1369">
        <v>1821000</v>
      </c>
      <c r="D1369" t="str">
        <f>VLOOKUP(A1369,Лист2!A:E,5,0)</f>
        <v>малые</v>
      </c>
      <c r="E1369">
        <f>VLOOKUP(A1369,Лист2!A:E,4,0)</f>
        <v>2.5</v>
      </c>
      <c r="F1369" s="12">
        <f t="shared" si="96"/>
        <v>164000</v>
      </c>
      <c r="G1369">
        <f t="shared" si="97"/>
        <v>794000</v>
      </c>
      <c r="H1369">
        <f t="shared" si="98"/>
        <v>65600</v>
      </c>
    </row>
    <row r="1370" spans="1:8">
      <c r="A1370" t="s">
        <v>18</v>
      </c>
      <c r="B1370">
        <v>10000</v>
      </c>
      <c r="C1370">
        <v>10000</v>
      </c>
      <c r="D1370" t="str">
        <f>VLOOKUP(A1370,Лист2!A:E,5,0)</f>
        <v>малые</v>
      </c>
      <c r="E1370">
        <f>VLOOKUP(A1370,Лист2!A:E,4,0)</f>
        <v>2.5</v>
      </c>
      <c r="F1370" s="12">
        <f t="shared" si="96"/>
        <v>0</v>
      </c>
      <c r="G1370">
        <f t="shared" si="97"/>
        <v>4000</v>
      </c>
      <c r="H1370">
        <f t="shared" si="98"/>
        <v>0</v>
      </c>
    </row>
    <row r="1371" spans="1:8">
      <c r="A1371" t="s">
        <v>18</v>
      </c>
      <c r="B1371">
        <v>532000</v>
      </c>
      <c r="C1371">
        <v>399000</v>
      </c>
      <c r="D1371" t="str">
        <f>VLOOKUP(A1371,Лист2!A:E,5,0)</f>
        <v>малые</v>
      </c>
      <c r="E1371">
        <f>VLOOKUP(A1371,Лист2!A:E,4,0)</f>
        <v>2.5</v>
      </c>
      <c r="F1371" s="12">
        <f t="shared" si="96"/>
        <v>133000</v>
      </c>
      <c r="G1371">
        <f t="shared" si="97"/>
        <v>212800</v>
      </c>
      <c r="H1371">
        <f t="shared" si="98"/>
        <v>53200</v>
      </c>
    </row>
    <row r="1372" spans="1:8">
      <c r="A1372" t="s">
        <v>18</v>
      </c>
      <c r="B1372">
        <v>44412000</v>
      </c>
      <c r="C1372">
        <v>42630000</v>
      </c>
      <c r="D1372" t="str">
        <f>VLOOKUP(A1372,Лист2!A:E,5,0)</f>
        <v>малые</v>
      </c>
      <c r="E1372">
        <f>VLOOKUP(A1372,Лист2!A:E,4,0)</f>
        <v>2.5</v>
      </c>
      <c r="F1372" s="12">
        <f t="shared" si="96"/>
        <v>1782000</v>
      </c>
      <c r="G1372">
        <f t="shared" si="97"/>
        <v>17764800</v>
      </c>
      <c r="H1372">
        <f t="shared" si="98"/>
        <v>712800</v>
      </c>
    </row>
    <row r="1373" spans="1:8">
      <c r="A1373" t="s">
        <v>18</v>
      </c>
      <c r="B1373">
        <v>227000</v>
      </c>
      <c r="C1373">
        <v>201000</v>
      </c>
      <c r="D1373" t="str">
        <f>VLOOKUP(A1373,Лист2!A:E,5,0)</f>
        <v>малые</v>
      </c>
      <c r="E1373">
        <f>VLOOKUP(A1373,Лист2!A:E,4,0)</f>
        <v>2.5</v>
      </c>
      <c r="F1373" s="12">
        <f t="shared" si="96"/>
        <v>26000</v>
      </c>
      <c r="G1373">
        <f t="shared" si="97"/>
        <v>90800</v>
      </c>
      <c r="H1373">
        <f t="shared" si="98"/>
        <v>10400</v>
      </c>
    </row>
    <row r="1374" spans="1:8">
      <c r="A1374" t="s">
        <v>18</v>
      </c>
      <c r="B1374">
        <v>1598000</v>
      </c>
      <c r="C1374">
        <v>1380000</v>
      </c>
      <c r="D1374" t="str">
        <f>VLOOKUP(A1374,Лист2!A:E,5,0)</f>
        <v>малые</v>
      </c>
      <c r="E1374">
        <f>VLOOKUP(A1374,Лист2!A:E,4,0)</f>
        <v>2.5</v>
      </c>
      <c r="F1374" s="12">
        <f t="shared" si="96"/>
        <v>218000</v>
      </c>
      <c r="G1374">
        <f t="shared" si="97"/>
        <v>639200</v>
      </c>
      <c r="H1374">
        <f t="shared" si="98"/>
        <v>87200</v>
      </c>
    </row>
    <row r="1375" spans="1:8">
      <c r="A1375" t="s">
        <v>18</v>
      </c>
      <c r="B1375">
        <v>1673000</v>
      </c>
      <c r="C1375">
        <v>1756000</v>
      </c>
      <c r="D1375" t="str">
        <f>VLOOKUP(A1375,Лист2!A:E,5,0)</f>
        <v>малые</v>
      </c>
      <c r="E1375">
        <f>VLOOKUP(A1375,Лист2!A:E,4,0)</f>
        <v>2.5</v>
      </c>
      <c r="F1375" s="12">
        <f t="shared" si="96"/>
        <v>-83000</v>
      </c>
      <c r="G1375">
        <f t="shared" si="97"/>
        <v>669200</v>
      </c>
      <c r="H1375">
        <f t="shared" si="98"/>
        <v>-33200</v>
      </c>
    </row>
    <row r="1376" spans="1:8">
      <c r="A1376" t="s">
        <v>18</v>
      </c>
      <c r="B1376">
        <v>380000</v>
      </c>
      <c r="C1376">
        <v>346000</v>
      </c>
      <c r="D1376" t="str">
        <f>VLOOKUP(A1376,Лист2!A:E,5,0)</f>
        <v>малые</v>
      </c>
      <c r="E1376">
        <f>VLOOKUP(A1376,Лист2!A:E,4,0)</f>
        <v>2.5</v>
      </c>
      <c r="F1376" s="12">
        <f t="shared" si="96"/>
        <v>34000</v>
      </c>
      <c r="G1376">
        <f t="shared" si="97"/>
        <v>152000</v>
      </c>
      <c r="H1376">
        <f t="shared" si="98"/>
        <v>13600</v>
      </c>
    </row>
    <row r="1377" spans="1:8">
      <c r="A1377" t="s">
        <v>18</v>
      </c>
      <c r="B1377">
        <v>894000</v>
      </c>
      <c r="C1377">
        <v>903000</v>
      </c>
      <c r="D1377" t="str">
        <f>VLOOKUP(A1377,Лист2!A:E,5,0)</f>
        <v>малые</v>
      </c>
      <c r="E1377">
        <f>VLOOKUP(A1377,Лист2!A:E,4,0)</f>
        <v>2.5</v>
      </c>
      <c r="F1377" s="12">
        <f t="shared" si="96"/>
        <v>-9000</v>
      </c>
      <c r="G1377">
        <f t="shared" si="97"/>
        <v>357600</v>
      </c>
      <c r="H1377">
        <f t="shared" si="98"/>
        <v>-3600</v>
      </c>
    </row>
    <row r="1378" spans="1:8">
      <c r="A1378" t="s">
        <v>18</v>
      </c>
      <c r="B1378">
        <v>312000</v>
      </c>
      <c r="C1378">
        <v>293000</v>
      </c>
      <c r="D1378" t="str">
        <f>VLOOKUP(A1378,Лист2!A:E,5,0)</f>
        <v>малые</v>
      </c>
      <c r="E1378">
        <f>VLOOKUP(A1378,Лист2!A:E,4,0)</f>
        <v>2.5</v>
      </c>
      <c r="F1378" s="12">
        <f t="shared" si="96"/>
        <v>19000</v>
      </c>
      <c r="G1378">
        <f t="shared" si="97"/>
        <v>124800</v>
      </c>
      <c r="H1378">
        <f t="shared" si="98"/>
        <v>7600</v>
      </c>
    </row>
    <row r="1379" spans="1:8">
      <c r="A1379" t="s">
        <v>18</v>
      </c>
      <c r="B1379">
        <v>1654000</v>
      </c>
      <c r="C1379">
        <v>1993000</v>
      </c>
      <c r="D1379" t="str">
        <f>VLOOKUP(A1379,Лист2!A:E,5,0)</f>
        <v>малые</v>
      </c>
      <c r="E1379">
        <f>VLOOKUP(A1379,Лист2!A:E,4,0)</f>
        <v>2.5</v>
      </c>
      <c r="F1379" s="12">
        <f t="shared" si="96"/>
        <v>-339000</v>
      </c>
      <c r="G1379">
        <f t="shared" si="97"/>
        <v>661600</v>
      </c>
      <c r="H1379">
        <f t="shared" si="98"/>
        <v>-135600</v>
      </c>
    </row>
    <row r="1380" spans="1:8">
      <c r="A1380" t="s">
        <v>18</v>
      </c>
      <c r="B1380">
        <v>90000</v>
      </c>
      <c r="C1380">
        <v>90000</v>
      </c>
      <c r="D1380" t="str">
        <f>VLOOKUP(A1380,Лист2!A:E,5,0)</f>
        <v>малые</v>
      </c>
      <c r="E1380">
        <f>VLOOKUP(A1380,Лист2!A:E,4,0)</f>
        <v>2.5</v>
      </c>
      <c r="F1380" s="12">
        <f t="shared" si="96"/>
        <v>0</v>
      </c>
      <c r="G1380">
        <f t="shared" si="97"/>
        <v>36000</v>
      </c>
      <c r="H1380">
        <f t="shared" si="98"/>
        <v>0</v>
      </c>
    </row>
    <row r="1381" spans="1:8">
      <c r="A1381" t="s">
        <v>18</v>
      </c>
      <c r="B1381">
        <v>652000</v>
      </c>
      <c r="C1381">
        <v>558000</v>
      </c>
      <c r="D1381" t="str">
        <f>VLOOKUP(A1381,Лист2!A:E,5,0)</f>
        <v>малые</v>
      </c>
      <c r="E1381">
        <f>VLOOKUP(A1381,Лист2!A:E,4,0)</f>
        <v>2.5</v>
      </c>
      <c r="F1381" s="12">
        <f t="shared" si="96"/>
        <v>94000</v>
      </c>
      <c r="G1381">
        <f t="shared" si="97"/>
        <v>260800</v>
      </c>
      <c r="H1381">
        <f t="shared" si="98"/>
        <v>37600</v>
      </c>
    </row>
    <row r="1382" spans="1:8">
      <c r="A1382" t="s">
        <v>18</v>
      </c>
      <c r="B1382">
        <v>6832000</v>
      </c>
      <c r="C1382">
        <v>6658000</v>
      </c>
      <c r="D1382" t="str">
        <f>VLOOKUP(A1382,Лист2!A:E,5,0)</f>
        <v>малые</v>
      </c>
      <c r="E1382">
        <f>VLOOKUP(A1382,Лист2!A:E,4,0)</f>
        <v>2.5</v>
      </c>
      <c r="F1382" s="12">
        <f t="shared" si="96"/>
        <v>174000</v>
      </c>
      <c r="G1382">
        <f t="shared" si="97"/>
        <v>2732800</v>
      </c>
      <c r="H1382">
        <f t="shared" si="98"/>
        <v>69600</v>
      </c>
    </row>
    <row r="1383" spans="1:8">
      <c r="A1383" t="s">
        <v>22</v>
      </c>
      <c r="B1383">
        <v>649800000</v>
      </c>
      <c r="C1383">
        <v>476535000</v>
      </c>
      <c r="D1383" t="str">
        <f>VLOOKUP(A1383,Лист2!A:E,5,0)</f>
        <v>малые</v>
      </c>
      <c r="E1383">
        <f>VLOOKUP(A1383,Лист2!A:E,4,0)</f>
        <v>13</v>
      </c>
      <c r="F1383" s="12">
        <f t="shared" si="96"/>
        <v>173265000</v>
      </c>
      <c r="G1383">
        <f t="shared" si="97"/>
        <v>49984615.384615384</v>
      </c>
      <c r="H1383">
        <f t="shared" si="98"/>
        <v>13328076.923076924</v>
      </c>
    </row>
    <row r="1384" spans="1:8">
      <c r="A1384" t="s">
        <v>18</v>
      </c>
      <c r="B1384">
        <v>342000</v>
      </c>
      <c r="C1384">
        <v>310000</v>
      </c>
      <c r="D1384" t="str">
        <f>VLOOKUP(A1384,Лист2!A:E,5,0)</f>
        <v>малые</v>
      </c>
      <c r="E1384">
        <f>VLOOKUP(A1384,Лист2!A:E,4,0)</f>
        <v>2.5</v>
      </c>
      <c r="F1384" s="12">
        <f t="shared" si="96"/>
        <v>32000</v>
      </c>
      <c r="G1384">
        <f t="shared" si="97"/>
        <v>136800</v>
      </c>
      <c r="H1384">
        <f t="shared" si="98"/>
        <v>12800</v>
      </c>
    </row>
    <row r="1385" spans="1:8">
      <c r="A1385" t="s">
        <v>18</v>
      </c>
      <c r="B1385">
        <v>7500000</v>
      </c>
      <c r="C1385">
        <v>8164000</v>
      </c>
      <c r="D1385" t="str">
        <f>VLOOKUP(A1385,Лист2!A:E,5,0)</f>
        <v>малые</v>
      </c>
      <c r="E1385">
        <f>VLOOKUP(A1385,Лист2!A:E,4,0)</f>
        <v>2.5</v>
      </c>
      <c r="F1385" s="12">
        <f t="shared" si="96"/>
        <v>-664000</v>
      </c>
      <c r="G1385">
        <f t="shared" si="97"/>
        <v>3000000</v>
      </c>
      <c r="H1385">
        <f t="shared" si="98"/>
        <v>-265600</v>
      </c>
    </row>
    <row r="1386" spans="1:8">
      <c r="A1386" t="s">
        <v>18</v>
      </c>
      <c r="B1386">
        <v>536000</v>
      </c>
      <c r="C1386">
        <v>696000</v>
      </c>
      <c r="D1386" t="str">
        <f>VLOOKUP(A1386,Лист2!A:E,5,0)</f>
        <v>малые</v>
      </c>
      <c r="E1386">
        <f>VLOOKUP(A1386,Лист2!A:E,4,0)</f>
        <v>2.5</v>
      </c>
      <c r="F1386" s="12">
        <f t="shared" si="96"/>
        <v>-160000</v>
      </c>
      <c r="G1386">
        <f t="shared" si="97"/>
        <v>214400</v>
      </c>
      <c r="H1386">
        <f t="shared" si="98"/>
        <v>-64000</v>
      </c>
    </row>
    <row r="1387" spans="1:8">
      <c r="A1387" t="s">
        <v>18</v>
      </c>
      <c r="B1387">
        <v>4816000</v>
      </c>
      <c r="C1387">
        <v>2631000</v>
      </c>
      <c r="D1387" t="str">
        <f>VLOOKUP(A1387,Лист2!A:E,5,0)</f>
        <v>малые</v>
      </c>
      <c r="E1387">
        <f>VLOOKUP(A1387,Лист2!A:E,4,0)</f>
        <v>2.5</v>
      </c>
      <c r="F1387" s="12">
        <f t="shared" si="96"/>
        <v>2185000</v>
      </c>
      <c r="G1387">
        <f t="shared" si="97"/>
        <v>1926400</v>
      </c>
      <c r="H1387">
        <f t="shared" si="98"/>
        <v>874000</v>
      </c>
    </row>
    <row r="1388" spans="1:8">
      <c r="A1388" t="s">
        <v>18</v>
      </c>
      <c r="B1388">
        <v>327000</v>
      </c>
      <c r="C1388">
        <v>378000</v>
      </c>
      <c r="D1388" t="str">
        <f>VLOOKUP(A1388,Лист2!A:E,5,0)</f>
        <v>малые</v>
      </c>
      <c r="E1388">
        <f>VLOOKUP(A1388,Лист2!A:E,4,0)</f>
        <v>2.5</v>
      </c>
      <c r="F1388" s="12">
        <f t="shared" si="96"/>
        <v>-51000</v>
      </c>
      <c r="G1388">
        <f t="shared" si="97"/>
        <v>130800</v>
      </c>
      <c r="H1388">
        <f t="shared" si="98"/>
        <v>-20400</v>
      </c>
    </row>
    <row r="1389" spans="1:8">
      <c r="A1389" t="s">
        <v>22</v>
      </c>
      <c r="B1389">
        <v>5774000</v>
      </c>
      <c r="C1389">
        <v>5737000</v>
      </c>
      <c r="D1389" t="str">
        <f>VLOOKUP(A1389,Лист2!A:E,5,0)</f>
        <v>малые</v>
      </c>
      <c r="E1389">
        <f>VLOOKUP(A1389,Лист2!A:E,4,0)</f>
        <v>13</v>
      </c>
      <c r="F1389" s="12">
        <f t="shared" si="96"/>
        <v>37000</v>
      </c>
      <c r="G1389">
        <f t="shared" si="97"/>
        <v>444153.84615384613</v>
      </c>
      <c r="H1389">
        <f t="shared" si="98"/>
        <v>2846.1538461538462</v>
      </c>
    </row>
    <row r="1390" spans="1:8">
      <c r="A1390" t="s">
        <v>18</v>
      </c>
      <c r="B1390">
        <v>2313000</v>
      </c>
      <c r="C1390">
        <v>2336000</v>
      </c>
      <c r="D1390" t="str">
        <f>VLOOKUP(A1390,Лист2!A:E,5,0)</f>
        <v>малые</v>
      </c>
      <c r="E1390">
        <f>VLOOKUP(A1390,Лист2!A:E,4,0)</f>
        <v>2.5</v>
      </c>
      <c r="F1390" s="12">
        <f t="shared" si="96"/>
        <v>-23000</v>
      </c>
      <c r="G1390">
        <f t="shared" si="97"/>
        <v>925200</v>
      </c>
      <c r="H1390">
        <f t="shared" si="98"/>
        <v>-9200</v>
      </c>
    </row>
    <row r="1391" spans="1:8">
      <c r="A1391" t="s">
        <v>18</v>
      </c>
      <c r="B1391">
        <v>779000</v>
      </c>
      <c r="C1391">
        <v>1018000</v>
      </c>
      <c r="D1391" t="str">
        <f>VLOOKUP(A1391,Лист2!A:E,5,0)</f>
        <v>малые</v>
      </c>
      <c r="E1391">
        <f>VLOOKUP(A1391,Лист2!A:E,4,0)</f>
        <v>2.5</v>
      </c>
      <c r="F1391" s="12">
        <f t="shared" si="96"/>
        <v>-239000</v>
      </c>
      <c r="G1391">
        <f t="shared" si="97"/>
        <v>311600</v>
      </c>
      <c r="H1391">
        <f t="shared" si="98"/>
        <v>-95600</v>
      </c>
    </row>
    <row r="1392" spans="1:8">
      <c r="A1392" t="s">
        <v>18</v>
      </c>
      <c r="B1392">
        <v>155000</v>
      </c>
      <c r="C1392">
        <v>164000</v>
      </c>
      <c r="D1392" t="str">
        <f>VLOOKUP(A1392,Лист2!A:E,5,0)</f>
        <v>малые</v>
      </c>
      <c r="E1392">
        <f>VLOOKUP(A1392,Лист2!A:E,4,0)</f>
        <v>2.5</v>
      </c>
      <c r="F1392" s="12">
        <f t="shared" si="96"/>
        <v>-9000</v>
      </c>
      <c r="G1392">
        <f t="shared" si="97"/>
        <v>62000</v>
      </c>
      <c r="H1392">
        <f t="shared" si="98"/>
        <v>-3600</v>
      </c>
    </row>
    <row r="1393" spans="1:8">
      <c r="A1393" t="s">
        <v>18</v>
      </c>
      <c r="B1393">
        <v>2266000</v>
      </c>
      <c r="C1393">
        <v>2219000</v>
      </c>
      <c r="D1393" t="str">
        <f>VLOOKUP(A1393,Лист2!A:E,5,0)</f>
        <v>малые</v>
      </c>
      <c r="E1393">
        <f>VLOOKUP(A1393,Лист2!A:E,4,0)</f>
        <v>2.5</v>
      </c>
      <c r="F1393" s="12">
        <f t="shared" si="96"/>
        <v>47000</v>
      </c>
      <c r="G1393">
        <f t="shared" si="97"/>
        <v>906400</v>
      </c>
      <c r="H1393">
        <f t="shared" si="98"/>
        <v>18800</v>
      </c>
    </row>
    <row r="1394" spans="1:8">
      <c r="A1394" t="s">
        <v>77</v>
      </c>
      <c r="B1394">
        <v>25023000</v>
      </c>
      <c r="C1394">
        <v>26654000</v>
      </c>
      <c r="D1394" t="str">
        <f>VLOOKUP(A1394,Лист2!A:E,5,0)</f>
        <v>малые</v>
      </c>
      <c r="E1394">
        <f>VLOOKUP(A1394,Лист2!A:E,4,0)</f>
        <v>8</v>
      </c>
      <c r="F1394" s="12">
        <f t="shared" si="96"/>
        <v>-1631000</v>
      </c>
      <c r="G1394">
        <f t="shared" si="97"/>
        <v>3127875</v>
      </c>
      <c r="H1394">
        <f t="shared" si="98"/>
        <v>-203875</v>
      </c>
    </row>
    <row r="1395" spans="1:8">
      <c r="A1395" t="s">
        <v>18</v>
      </c>
      <c r="B1395">
        <v>300000</v>
      </c>
      <c r="C1395">
        <v>298000</v>
      </c>
      <c r="D1395" t="str">
        <f>VLOOKUP(A1395,Лист2!A:E,5,0)</f>
        <v>малые</v>
      </c>
      <c r="E1395">
        <f>VLOOKUP(A1395,Лист2!A:E,4,0)</f>
        <v>2.5</v>
      </c>
      <c r="F1395" s="12">
        <f t="shared" si="96"/>
        <v>2000</v>
      </c>
      <c r="G1395">
        <f t="shared" si="97"/>
        <v>120000</v>
      </c>
      <c r="H1395">
        <f t="shared" si="98"/>
        <v>800</v>
      </c>
    </row>
    <row r="1396" spans="1:8">
      <c r="A1396" t="s">
        <v>18</v>
      </c>
      <c r="B1396">
        <v>309615000</v>
      </c>
      <c r="C1396">
        <v>9840000</v>
      </c>
      <c r="D1396" t="str">
        <f>VLOOKUP(A1396,Лист2!A:E,5,0)</f>
        <v>малые</v>
      </c>
      <c r="E1396">
        <f>VLOOKUP(A1396,Лист2!A:E,4,0)</f>
        <v>2.5</v>
      </c>
      <c r="F1396" s="12">
        <f t="shared" si="96"/>
        <v>299775000</v>
      </c>
      <c r="G1396">
        <f t="shared" si="97"/>
        <v>123846000</v>
      </c>
      <c r="H1396">
        <f t="shared" si="98"/>
        <v>119910000</v>
      </c>
    </row>
    <row r="1397" spans="1:8">
      <c r="A1397" t="s">
        <v>18</v>
      </c>
      <c r="B1397">
        <v>79256000</v>
      </c>
      <c r="C1397">
        <v>66543000</v>
      </c>
      <c r="D1397" t="str">
        <f>VLOOKUP(A1397,Лист2!A:E,5,0)</f>
        <v>малые</v>
      </c>
      <c r="E1397">
        <f>VLOOKUP(A1397,Лист2!A:E,4,0)</f>
        <v>2.5</v>
      </c>
      <c r="F1397" s="12">
        <f t="shared" si="96"/>
        <v>12713000</v>
      </c>
      <c r="G1397">
        <f t="shared" si="97"/>
        <v>31702400</v>
      </c>
      <c r="H1397">
        <f t="shared" si="98"/>
        <v>5085200</v>
      </c>
    </row>
    <row r="1398" spans="1:8">
      <c r="A1398" t="s">
        <v>18</v>
      </c>
      <c r="B1398">
        <v>536000</v>
      </c>
      <c r="C1398">
        <v>765000</v>
      </c>
      <c r="D1398" t="str">
        <f>VLOOKUP(A1398,Лист2!A:E,5,0)</f>
        <v>малые</v>
      </c>
      <c r="E1398">
        <f>VLOOKUP(A1398,Лист2!A:E,4,0)</f>
        <v>2.5</v>
      </c>
      <c r="F1398" s="12">
        <f t="shared" si="96"/>
        <v>-229000</v>
      </c>
      <c r="G1398">
        <f t="shared" si="97"/>
        <v>214400</v>
      </c>
      <c r="H1398">
        <f t="shared" si="98"/>
        <v>-91600</v>
      </c>
    </row>
    <row r="1399" spans="1:8">
      <c r="A1399" t="s">
        <v>18</v>
      </c>
      <c r="B1399">
        <v>1653000</v>
      </c>
      <c r="C1399">
        <v>476000</v>
      </c>
      <c r="D1399" t="str">
        <f>VLOOKUP(A1399,Лист2!A:E,5,0)</f>
        <v>малые</v>
      </c>
      <c r="E1399">
        <f>VLOOKUP(A1399,Лист2!A:E,4,0)</f>
        <v>2.5</v>
      </c>
      <c r="F1399" s="12">
        <f t="shared" si="96"/>
        <v>1177000</v>
      </c>
      <c r="G1399">
        <f t="shared" si="97"/>
        <v>661200</v>
      </c>
      <c r="H1399">
        <f t="shared" si="98"/>
        <v>470800</v>
      </c>
    </row>
    <row r="1400" spans="1:8">
      <c r="A1400" t="s">
        <v>18</v>
      </c>
      <c r="B1400">
        <v>640000</v>
      </c>
      <c r="C1400">
        <v>611000</v>
      </c>
      <c r="D1400" t="str">
        <f>VLOOKUP(A1400,Лист2!A:E,5,0)</f>
        <v>малые</v>
      </c>
      <c r="E1400">
        <f>VLOOKUP(A1400,Лист2!A:E,4,0)</f>
        <v>2.5</v>
      </c>
      <c r="F1400" s="12">
        <f t="shared" si="96"/>
        <v>29000</v>
      </c>
      <c r="G1400">
        <f t="shared" si="97"/>
        <v>256000</v>
      </c>
      <c r="H1400">
        <f t="shared" si="98"/>
        <v>11600</v>
      </c>
    </row>
    <row r="1401" spans="1:8">
      <c r="A1401" t="s">
        <v>18</v>
      </c>
      <c r="B1401">
        <v>3148000</v>
      </c>
      <c r="C1401">
        <v>2982000</v>
      </c>
      <c r="D1401" t="str">
        <f>VLOOKUP(A1401,Лист2!A:E,5,0)</f>
        <v>малые</v>
      </c>
      <c r="E1401">
        <f>VLOOKUP(A1401,Лист2!A:E,4,0)</f>
        <v>2.5</v>
      </c>
      <c r="F1401" s="12">
        <f t="shared" si="96"/>
        <v>166000</v>
      </c>
      <c r="G1401">
        <f t="shared" si="97"/>
        <v>1259200</v>
      </c>
      <c r="H1401">
        <f t="shared" si="98"/>
        <v>66400</v>
      </c>
    </row>
    <row r="1402" spans="1:8">
      <c r="A1402" t="s">
        <v>18</v>
      </c>
      <c r="B1402">
        <v>42742000</v>
      </c>
      <c r="C1402">
        <v>42742000</v>
      </c>
      <c r="D1402" t="str">
        <f>VLOOKUP(A1402,Лист2!A:E,5,0)</f>
        <v>малые</v>
      </c>
      <c r="E1402">
        <f>VLOOKUP(A1402,Лист2!A:E,4,0)</f>
        <v>2.5</v>
      </c>
      <c r="F1402" s="12">
        <f t="shared" ref="F1402:F1439" si="99">B1402-C1402</f>
        <v>0</v>
      </c>
      <c r="G1402">
        <f t="shared" ref="G1402:G1439" si="100">B1402/E1402</f>
        <v>17096800</v>
      </c>
      <c r="H1402">
        <f t="shared" ref="H1402:H1439" si="101">F1402/E1402</f>
        <v>0</v>
      </c>
    </row>
    <row r="1403" spans="1:8">
      <c r="A1403" t="s">
        <v>18</v>
      </c>
      <c r="B1403">
        <v>52000</v>
      </c>
      <c r="C1403">
        <v>52000</v>
      </c>
      <c r="D1403" t="str">
        <f>VLOOKUP(A1403,Лист2!A:E,5,0)</f>
        <v>малые</v>
      </c>
      <c r="E1403">
        <f>VLOOKUP(A1403,Лист2!A:E,4,0)</f>
        <v>2.5</v>
      </c>
      <c r="F1403" s="12">
        <f t="shared" si="99"/>
        <v>0</v>
      </c>
      <c r="G1403">
        <f t="shared" si="100"/>
        <v>20800</v>
      </c>
      <c r="H1403">
        <f t="shared" si="101"/>
        <v>0</v>
      </c>
    </row>
    <row r="1404" spans="1:8">
      <c r="A1404" t="s">
        <v>18</v>
      </c>
      <c r="B1404">
        <v>15311000</v>
      </c>
      <c r="C1404">
        <v>15303000</v>
      </c>
      <c r="D1404" t="str">
        <f>VLOOKUP(A1404,Лист2!A:E,5,0)</f>
        <v>малые</v>
      </c>
      <c r="E1404">
        <f>VLOOKUP(A1404,Лист2!A:E,4,0)</f>
        <v>2.5</v>
      </c>
      <c r="F1404" s="12">
        <f t="shared" si="99"/>
        <v>8000</v>
      </c>
      <c r="G1404">
        <f t="shared" si="100"/>
        <v>6124400</v>
      </c>
      <c r="H1404">
        <f t="shared" si="101"/>
        <v>3200</v>
      </c>
    </row>
    <row r="1405" spans="1:8">
      <c r="A1405" t="s">
        <v>18</v>
      </c>
      <c r="B1405">
        <v>14011000</v>
      </c>
      <c r="C1405">
        <v>14322000</v>
      </c>
      <c r="D1405" t="str">
        <f>VLOOKUP(A1405,Лист2!A:E,5,0)</f>
        <v>малые</v>
      </c>
      <c r="E1405">
        <f>VLOOKUP(A1405,Лист2!A:E,4,0)</f>
        <v>2.5</v>
      </c>
      <c r="F1405" s="12">
        <f t="shared" si="99"/>
        <v>-311000</v>
      </c>
      <c r="G1405">
        <f t="shared" si="100"/>
        <v>5604400</v>
      </c>
      <c r="H1405">
        <f t="shared" si="101"/>
        <v>-124400</v>
      </c>
    </row>
    <row r="1406" spans="1:8">
      <c r="A1406" t="s">
        <v>23</v>
      </c>
      <c r="B1406">
        <v>9297000</v>
      </c>
      <c r="C1406">
        <v>7709000</v>
      </c>
      <c r="D1406" t="str">
        <f>VLOOKUP(A1406,Лист2!A:E,5,0)</f>
        <v>средние</v>
      </c>
      <c r="E1406">
        <f>VLOOKUP(A1406,Лист2!A:E,4,0)</f>
        <v>75.5</v>
      </c>
      <c r="F1406" s="12">
        <f t="shared" si="99"/>
        <v>1588000</v>
      </c>
      <c r="G1406">
        <f t="shared" si="100"/>
        <v>123139.07284768212</v>
      </c>
      <c r="H1406">
        <f t="shared" si="101"/>
        <v>21033.112582781458</v>
      </c>
    </row>
    <row r="1407" spans="1:8">
      <c r="A1407" t="s">
        <v>18</v>
      </c>
      <c r="B1407">
        <v>1142000</v>
      </c>
      <c r="C1407">
        <v>1065000</v>
      </c>
      <c r="D1407" t="str">
        <f>VLOOKUP(A1407,Лист2!A:E,5,0)</f>
        <v>малые</v>
      </c>
      <c r="E1407">
        <f>VLOOKUP(A1407,Лист2!A:E,4,0)</f>
        <v>2.5</v>
      </c>
      <c r="F1407" s="12">
        <f t="shared" si="99"/>
        <v>77000</v>
      </c>
      <c r="G1407">
        <f t="shared" si="100"/>
        <v>456800</v>
      </c>
      <c r="H1407">
        <f t="shared" si="101"/>
        <v>30800</v>
      </c>
    </row>
    <row r="1408" spans="1:8">
      <c r="A1408" t="s">
        <v>18</v>
      </c>
      <c r="B1408">
        <v>2000</v>
      </c>
      <c r="C1408">
        <v>2000</v>
      </c>
      <c r="D1408" t="str">
        <f>VLOOKUP(A1408,Лист2!A:E,5,0)</f>
        <v>малые</v>
      </c>
      <c r="E1408">
        <f>VLOOKUP(A1408,Лист2!A:E,4,0)</f>
        <v>2.5</v>
      </c>
      <c r="F1408" s="12">
        <f t="shared" si="99"/>
        <v>0</v>
      </c>
      <c r="G1408">
        <f t="shared" si="100"/>
        <v>800</v>
      </c>
      <c r="H1408">
        <f t="shared" si="101"/>
        <v>0</v>
      </c>
    </row>
    <row r="1409" spans="1:8">
      <c r="A1409" t="s">
        <v>22</v>
      </c>
      <c r="B1409">
        <v>3003000</v>
      </c>
      <c r="C1409">
        <v>2938000</v>
      </c>
      <c r="D1409" t="str">
        <f>VLOOKUP(A1409,Лист2!A:E,5,0)</f>
        <v>малые</v>
      </c>
      <c r="E1409">
        <f>VLOOKUP(A1409,Лист2!A:E,4,0)</f>
        <v>13</v>
      </c>
      <c r="F1409" s="12">
        <f t="shared" si="99"/>
        <v>65000</v>
      </c>
      <c r="G1409">
        <f t="shared" si="100"/>
        <v>231000</v>
      </c>
      <c r="H1409">
        <f t="shared" si="101"/>
        <v>5000</v>
      </c>
    </row>
    <row r="1410" spans="1:8">
      <c r="A1410" t="s">
        <v>18</v>
      </c>
      <c r="B1410">
        <v>54000</v>
      </c>
      <c r="C1410">
        <v>60000</v>
      </c>
      <c r="D1410" t="str">
        <f>VLOOKUP(A1410,Лист2!A:E,5,0)</f>
        <v>малые</v>
      </c>
      <c r="E1410">
        <f>VLOOKUP(A1410,Лист2!A:E,4,0)</f>
        <v>2.5</v>
      </c>
      <c r="F1410" s="12">
        <f t="shared" si="99"/>
        <v>-6000</v>
      </c>
      <c r="G1410">
        <f t="shared" si="100"/>
        <v>21600</v>
      </c>
      <c r="H1410">
        <f t="shared" si="101"/>
        <v>-2400</v>
      </c>
    </row>
    <row r="1411" spans="1:8">
      <c r="A1411" t="s">
        <v>18</v>
      </c>
      <c r="B1411">
        <v>598000</v>
      </c>
      <c r="C1411">
        <v>3578000</v>
      </c>
      <c r="D1411" t="str">
        <f>VLOOKUP(A1411,Лист2!A:E,5,0)</f>
        <v>малые</v>
      </c>
      <c r="E1411">
        <f>VLOOKUP(A1411,Лист2!A:E,4,0)</f>
        <v>2.5</v>
      </c>
      <c r="F1411" s="12">
        <f t="shared" si="99"/>
        <v>-2980000</v>
      </c>
      <c r="G1411">
        <f t="shared" si="100"/>
        <v>239200</v>
      </c>
      <c r="H1411">
        <f t="shared" si="101"/>
        <v>-1192000</v>
      </c>
    </row>
    <row r="1412" spans="1:8">
      <c r="A1412" t="s">
        <v>18</v>
      </c>
      <c r="B1412">
        <v>17166000</v>
      </c>
      <c r="C1412">
        <v>16894000</v>
      </c>
      <c r="D1412" t="str">
        <f>VLOOKUP(A1412,Лист2!A:E,5,0)</f>
        <v>малые</v>
      </c>
      <c r="E1412">
        <f>VLOOKUP(A1412,Лист2!A:E,4,0)</f>
        <v>2.5</v>
      </c>
      <c r="F1412" s="12">
        <f t="shared" si="99"/>
        <v>272000</v>
      </c>
      <c r="G1412">
        <f t="shared" si="100"/>
        <v>6866400</v>
      </c>
      <c r="H1412">
        <f t="shared" si="101"/>
        <v>108800</v>
      </c>
    </row>
    <row r="1413" spans="1:8">
      <c r="A1413" t="s">
        <v>18</v>
      </c>
      <c r="B1413">
        <v>166983000</v>
      </c>
      <c r="C1413">
        <v>165862000</v>
      </c>
      <c r="D1413" t="str">
        <f>VLOOKUP(A1413,Лист2!A:E,5,0)</f>
        <v>малые</v>
      </c>
      <c r="E1413">
        <f>VLOOKUP(A1413,Лист2!A:E,4,0)</f>
        <v>2.5</v>
      </c>
      <c r="F1413" s="12">
        <f t="shared" si="99"/>
        <v>1121000</v>
      </c>
      <c r="G1413">
        <f t="shared" si="100"/>
        <v>66793200</v>
      </c>
      <c r="H1413">
        <f t="shared" si="101"/>
        <v>448400</v>
      </c>
    </row>
    <row r="1414" spans="1:8">
      <c r="A1414" t="s">
        <v>18</v>
      </c>
      <c r="B1414">
        <v>651000</v>
      </c>
      <c r="C1414">
        <v>980000</v>
      </c>
      <c r="D1414" t="str">
        <f>VLOOKUP(A1414,Лист2!A:E,5,0)</f>
        <v>малые</v>
      </c>
      <c r="E1414">
        <f>VLOOKUP(A1414,Лист2!A:E,4,0)</f>
        <v>2.5</v>
      </c>
      <c r="F1414" s="12">
        <f t="shared" si="99"/>
        <v>-329000</v>
      </c>
      <c r="G1414">
        <f t="shared" si="100"/>
        <v>260400</v>
      </c>
      <c r="H1414">
        <f t="shared" si="101"/>
        <v>-131600</v>
      </c>
    </row>
    <row r="1415" spans="1:8">
      <c r="A1415" t="s">
        <v>18</v>
      </c>
      <c r="B1415">
        <v>92140000</v>
      </c>
      <c r="C1415">
        <v>51634000</v>
      </c>
      <c r="D1415" t="str">
        <f>VLOOKUP(A1415,Лист2!A:E,5,0)</f>
        <v>малые</v>
      </c>
      <c r="E1415">
        <f>VLOOKUP(A1415,Лист2!A:E,4,0)</f>
        <v>2.5</v>
      </c>
      <c r="F1415" s="12">
        <f t="shared" si="99"/>
        <v>40506000</v>
      </c>
      <c r="G1415">
        <f t="shared" si="100"/>
        <v>36856000</v>
      </c>
      <c r="H1415">
        <f t="shared" si="101"/>
        <v>16202400</v>
      </c>
    </row>
    <row r="1416" spans="1:8">
      <c r="A1416" t="s">
        <v>18</v>
      </c>
      <c r="B1416">
        <v>2117000</v>
      </c>
      <c r="C1416">
        <v>2109000</v>
      </c>
      <c r="D1416" t="str">
        <f>VLOOKUP(A1416,Лист2!A:E,5,0)</f>
        <v>малые</v>
      </c>
      <c r="E1416">
        <f>VLOOKUP(A1416,Лист2!A:E,4,0)</f>
        <v>2.5</v>
      </c>
      <c r="F1416" s="12">
        <f t="shared" si="99"/>
        <v>8000</v>
      </c>
      <c r="G1416">
        <f t="shared" si="100"/>
        <v>846800</v>
      </c>
      <c r="H1416">
        <f t="shared" si="101"/>
        <v>3200</v>
      </c>
    </row>
    <row r="1417" spans="1:8">
      <c r="A1417" t="s">
        <v>18</v>
      </c>
      <c r="B1417">
        <v>90000</v>
      </c>
      <c r="C1417">
        <v>90000</v>
      </c>
      <c r="D1417" t="str">
        <f>VLOOKUP(A1417,Лист2!A:E,5,0)</f>
        <v>малые</v>
      </c>
      <c r="E1417">
        <f>VLOOKUP(A1417,Лист2!A:E,4,0)</f>
        <v>2.5</v>
      </c>
      <c r="F1417" s="12">
        <f t="shared" si="99"/>
        <v>0</v>
      </c>
      <c r="G1417">
        <f t="shared" si="100"/>
        <v>36000</v>
      </c>
      <c r="H1417">
        <f t="shared" si="101"/>
        <v>0</v>
      </c>
    </row>
    <row r="1418" spans="1:8">
      <c r="A1418" t="s">
        <v>77</v>
      </c>
      <c r="B1418">
        <v>123626000</v>
      </c>
      <c r="C1418">
        <v>154644000</v>
      </c>
      <c r="D1418" t="str">
        <f>VLOOKUP(A1418,Лист2!A:E,5,0)</f>
        <v>малые</v>
      </c>
      <c r="E1418">
        <f>VLOOKUP(A1418,Лист2!A:E,4,0)</f>
        <v>8</v>
      </c>
      <c r="F1418" s="12">
        <f t="shared" si="99"/>
        <v>-31018000</v>
      </c>
      <c r="G1418">
        <f t="shared" si="100"/>
        <v>15453250</v>
      </c>
      <c r="H1418">
        <f t="shared" si="101"/>
        <v>-3877250</v>
      </c>
    </row>
    <row r="1419" spans="1:8">
      <c r="A1419" t="s">
        <v>18</v>
      </c>
      <c r="B1419">
        <v>574000</v>
      </c>
      <c r="C1419">
        <v>883000</v>
      </c>
      <c r="D1419" t="str">
        <f>VLOOKUP(A1419,Лист2!A:E,5,0)</f>
        <v>малые</v>
      </c>
      <c r="E1419">
        <f>VLOOKUP(A1419,Лист2!A:E,4,0)</f>
        <v>2.5</v>
      </c>
      <c r="F1419" s="12">
        <f t="shared" si="99"/>
        <v>-309000</v>
      </c>
      <c r="G1419">
        <f t="shared" si="100"/>
        <v>229600</v>
      </c>
      <c r="H1419">
        <f t="shared" si="101"/>
        <v>-123600</v>
      </c>
    </row>
    <row r="1420" spans="1:8">
      <c r="A1420" t="s">
        <v>18</v>
      </c>
      <c r="B1420">
        <v>1757000</v>
      </c>
      <c r="C1420">
        <v>1764000</v>
      </c>
      <c r="D1420" t="str">
        <f>VLOOKUP(A1420,Лист2!A:E,5,0)</f>
        <v>малые</v>
      </c>
      <c r="E1420">
        <f>VLOOKUP(A1420,Лист2!A:E,4,0)</f>
        <v>2.5</v>
      </c>
      <c r="F1420" s="12">
        <f t="shared" si="99"/>
        <v>-7000</v>
      </c>
      <c r="G1420">
        <f t="shared" si="100"/>
        <v>702800</v>
      </c>
      <c r="H1420">
        <f t="shared" si="101"/>
        <v>-2800</v>
      </c>
    </row>
    <row r="1421" spans="1:8">
      <c r="A1421" t="s">
        <v>18</v>
      </c>
      <c r="B1421">
        <v>43000</v>
      </c>
      <c r="C1421">
        <v>14000</v>
      </c>
      <c r="D1421" t="str">
        <f>VLOOKUP(A1421,Лист2!A:E,5,0)</f>
        <v>малые</v>
      </c>
      <c r="E1421">
        <f>VLOOKUP(A1421,Лист2!A:E,4,0)</f>
        <v>2.5</v>
      </c>
      <c r="F1421" s="12">
        <f t="shared" si="99"/>
        <v>29000</v>
      </c>
      <c r="G1421">
        <f t="shared" si="100"/>
        <v>17200</v>
      </c>
      <c r="H1421">
        <f t="shared" si="101"/>
        <v>11600</v>
      </c>
    </row>
    <row r="1422" spans="1:8">
      <c r="A1422" t="s">
        <v>18</v>
      </c>
      <c r="B1422">
        <v>2065000</v>
      </c>
      <c r="C1422">
        <v>1452000</v>
      </c>
      <c r="D1422" t="str">
        <f>VLOOKUP(A1422,Лист2!A:E,5,0)</f>
        <v>малые</v>
      </c>
      <c r="E1422">
        <f>VLOOKUP(A1422,Лист2!A:E,4,0)</f>
        <v>2.5</v>
      </c>
      <c r="F1422" s="12">
        <f t="shared" si="99"/>
        <v>613000</v>
      </c>
      <c r="G1422">
        <f t="shared" si="100"/>
        <v>826000</v>
      </c>
      <c r="H1422">
        <f t="shared" si="101"/>
        <v>245200</v>
      </c>
    </row>
    <row r="1423" spans="1:8">
      <c r="A1423" t="s">
        <v>18</v>
      </c>
      <c r="B1423">
        <v>9534000</v>
      </c>
      <c r="C1423">
        <v>9317000</v>
      </c>
      <c r="D1423" t="str">
        <f>VLOOKUP(A1423,Лист2!A:E,5,0)</f>
        <v>малые</v>
      </c>
      <c r="E1423">
        <f>VLOOKUP(A1423,Лист2!A:E,4,0)</f>
        <v>2.5</v>
      </c>
      <c r="F1423" s="12">
        <f t="shared" si="99"/>
        <v>217000</v>
      </c>
      <c r="G1423">
        <f t="shared" si="100"/>
        <v>3813600</v>
      </c>
      <c r="H1423">
        <f t="shared" si="101"/>
        <v>86800</v>
      </c>
    </row>
    <row r="1424" spans="1:8">
      <c r="A1424" t="s">
        <v>18</v>
      </c>
      <c r="B1424">
        <v>527000</v>
      </c>
      <c r="C1424">
        <v>590000</v>
      </c>
      <c r="D1424" t="str">
        <f>VLOOKUP(A1424,Лист2!A:E,5,0)</f>
        <v>малые</v>
      </c>
      <c r="E1424">
        <f>VLOOKUP(A1424,Лист2!A:E,4,0)</f>
        <v>2.5</v>
      </c>
      <c r="F1424" s="12">
        <f t="shared" si="99"/>
        <v>-63000</v>
      </c>
      <c r="G1424">
        <f t="shared" si="100"/>
        <v>210800</v>
      </c>
      <c r="H1424">
        <f t="shared" si="101"/>
        <v>-25200</v>
      </c>
    </row>
    <row r="1425" spans="1:8">
      <c r="A1425" t="s">
        <v>18</v>
      </c>
      <c r="B1425">
        <v>351000</v>
      </c>
      <c r="C1425">
        <v>192000</v>
      </c>
      <c r="D1425" t="str">
        <f>VLOOKUP(A1425,Лист2!A:E,5,0)</f>
        <v>малые</v>
      </c>
      <c r="E1425">
        <f>VLOOKUP(A1425,Лист2!A:E,4,0)</f>
        <v>2.5</v>
      </c>
      <c r="F1425" s="12">
        <f t="shared" si="99"/>
        <v>159000</v>
      </c>
      <c r="G1425">
        <f t="shared" si="100"/>
        <v>140400</v>
      </c>
      <c r="H1425">
        <f t="shared" si="101"/>
        <v>63600</v>
      </c>
    </row>
    <row r="1426" spans="1:8">
      <c r="A1426" t="s">
        <v>18</v>
      </c>
      <c r="B1426">
        <v>619000</v>
      </c>
      <c r="C1426">
        <v>652000</v>
      </c>
      <c r="D1426" t="str">
        <f>VLOOKUP(A1426,Лист2!A:E,5,0)</f>
        <v>малые</v>
      </c>
      <c r="E1426">
        <f>VLOOKUP(A1426,Лист2!A:E,4,0)</f>
        <v>2.5</v>
      </c>
      <c r="F1426" s="12">
        <f t="shared" si="99"/>
        <v>-33000</v>
      </c>
      <c r="G1426">
        <f t="shared" si="100"/>
        <v>247600</v>
      </c>
      <c r="H1426">
        <f t="shared" si="101"/>
        <v>-13200</v>
      </c>
    </row>
    <row r="1427" spans="1:8">
      <c r="A1427" t="s">
        <v>18</v>
      </c>
      <c r="B1427">
        <v>8000</v>
      </c>
      <c r="C1427">
        <v>9000</v>
      </c>
      <c r="D1427" t="str">
        <f>VLOOKUP(A1427,Лист2!A:E,5,0)</f>
        <v>малые</v>
      </c>
      <c r="E1427">
        <f>VLOOKUP(A1427,Лист2!A:E,4,0)</f>
        <v>2.5</v>
      </c>
      <c r="F1427" s="12">
        <f t="shared" si="99"/>
        <v>-1000</v>
      </c>
      <c r="G1427">
        <f t="shared" si="100"/>
        <v>3200</v>
      </c>
      <c r="H1427">
        <f t="shared" si="101"/>
        <v>-400</v>
      </c>
    </row>
    <row r="1428" spans="1:8">
      <c r="A1428" t="s">
        <v>18</v>
      </c>
      <c r="B1428">
        <v>19328000</v>
      </c>
      <c r="C1428">
        <v>19441000</v>
      </c>
      <c r="D1428" t="str">
        <f>VLOOKUP(A1428,Лист2!A:E,5,0)</f>
        <v>малые</v>
      </c>
      <c r="E1428">
        <f>VLOOKUP(A1428,Лист2!A:E,4,0)</f>
        <v>2.5</v>
      </c>
      <c r="F1428" s="12">
        <f t="shared" si="99"/>
        <v>-113000</v>
      </c>
      <c r="G1428">
        <f t="shared" si="100"/>
        <v>7731200</v>
      </c>
      <c r="H1428">
        <f t="shared" si="101"/>
        <v>-45200</v>
      </c>
    </row>
    <row r="1429" spans="1:8">
      <c r="A1429" t="s">
        <v>18</v>
      </c>
      <c r="B1429">
        <v>140000</v>
      </c>
      <c r="C1429">
        <v>128000</v>
      </c>
      <c r="D1429" t="str">
        <f>VLOOKUP(A1429,Лист2!A:E,5,0)</f>
        <v>малые</v>
      </c>
      <c r="E1429">
        <f>VLOOKUP(A1429,Лист2!A:E,4,0)</f>
        <v>2.5</v>
      </c>
      <c r="F1429" s="12">
        <f t="shared" si="99"/>
        <v>12000</v>
      </c>
      <c r="G1429">
        <f t="shared" si="100"/>
        <v>56000</v>
      </c>
      <c r="H1429">
        <f t="shared" si="101"/>
        <v>4800</v>
      </c>
    </row>
    <row r="1430" spans="1:8">
      <c r="A1430" t="s">
        <v>18</v>
      </c>
      <c r="B1430">
        <v>65000</v>
      </c>
      <c r="C1430">
        <v>65000</v>
      </c>
      <c r="D1430" t="str">
        <f>VLOOKUP(A1430,Лист2!A:E,5,0)</f>
        <v>малые</v>
      </c>
      <c r="E1430">
        <f>VLOOKUP(A1430,Лист2!A:E,4,0)</f>
        <v>2.5</v>
      </c>
      <c r="F1430" s="12">
        <f t="shared" si="99"/>
        <v>0</v>
      </c>
      <c r="G1430">
        <f t="shared" si="100"/>
        <v>26000</v>
      </c>
      <c r="H1430">
        <f t="shared" si="101"/>
        <v>0</v>
      </c>
    </row>
    <row r="1431" spans="1:8">
      <c r="A1431" t="s">
        <v>18</v>
      </c>
      <c r="B1431">
        <v>3781000</v>
      </c>
      <c r="C1431">
        <v>3819000</v>
      </c>
      <c r="D1431" t="str">
        <f>VLOOKUP(A1431,Лист2!A:E,5,0)</f>
        <v>малые</v>
      </c>
      <c r="E1431">
        <f>VLOOKUP(A1431,Лист2!A:E,4,0)</f>
        <v>2.5</v>
      </c>
      <c r="F1431" s="12">
        <f t="shared" si="99"/>
        <v>-38000</v>
      </c>
      <c r="G1431">
        <f t="shared" si="100"/>
        <v>1512400</v>
      </c>
      <c r="H1431">
        <f t="shared" si="101"/>
        <v>-15200</v>
      </c>
    </row>
    <row r="1432" spans="1:8">
      <c r="A1432" t="s">
        <v>18</v>
      </c>
      <c r="B1432">
        <v>1956000</v>
      </c>
      <c r="C1432">
        <v>1907000</v>
      </c>
      <c r="D1432" t="str">
        <f>VLOOKUP(A1432,Лист2!A:E,5,0)</f>
        <v>малые</v>
      </c>
      <c r="E1432">
        <f>VLOOKUP(A1432,Лист2!A:E,4,0)</f>
        <v>2.5</v>
      </c>
      <c r="F1432" s="12">
        <f t="shared" si="99"/>
        <v>49000</v>
      </c>
      <c r="G1432">
        <f t="shared" si="100"/>
        <v>782400</v>
      </c>
      <c r="H1432">
        <f t="shared" si="101"/>
        <v>19600</v>
      </c>
    </row>
    <row r="1433" spans="1:8">
      <c r="A1433" t="s">
        <v>18</v>
      </c>
      <c r="B1433">
        <v>55000</v>
      </c>
      <c r="C1433">
        <v>55000</v>
      </c>
      <c r="D1433" t="str">
        <f>VLOOKUP(A1433,Лист2!A:E,5,0)</f>
        <v>малые</v>
      </c>
      <c r="E1433">
        <f>VLOOKUP(A1433,Лист2!A:E,4,0)</f>
        <v>2.5</v>
      </c>
      <c r="F1433" s="12">
        <f t="shared" si="99"/>
        <v>0</v>
      </c>
      <c r="G1433">
        <f t="shared" si="100"/>
        <v>22000</v>
      </c>
      <c r="H1433">
        <f t="shared" si="101"/>
        <v>0</v>
      </c>
    </row>
    <row r="1434" spans="1:8">
      <c r="A1434" t="s">
        <v>18</v>
      </c>
      <c r="B1434">
        <v>703000</v>
      </c>
      <c r="C1434">
        <v>831000</v>
      </c>
      <c r="D1434" t="str">
        <f>VLOOKUP(A1434,Лист2!A:E,5,0)</f>
        <v>малые</v>
      </c>
      <c r="E1434">
        <f>VLOOKUP(A1434,Лист2!A:E,4,0)</f>
        <v>2.5</v>
      </c>
      <c r="F1434" s="12">
        <f t="shared" si="99"/>
        <v>-128000</v>
      </c>
      <c r="G1434">
        <f t="shared" si="100"/>
        <v>281200</v>
      </c>
      <c r="H1434">
        <f t="shared" si="101"/>
        <v>-51200</v>
      </c>
    </row>
    <row r="1435" spans="1:8">
      <c r="A1435" t="s">
        <v>18</v>
      </c>
      <c r="B1435">
        <v>71000</v>
      </c>
      <c r="C1435">
        <v>71000</v>
      </c>
      <c r="D1435" t="str">
        <f>VLOOKUP(A1435,Лист2!A:E,5,0)</f>
        <v>малые</v>
      </c>
      <c r="E1435">
        <f>VLOOKUP(A1435,Лист2!A:E,4,0)</f>
        <v>2.5</v>
      </c>
      <c r="F1435" s="12">
        <f t="shared" si="99"/>
        <v>0</v>
      </c>
      <c r="G1435">
        <f t="shared" si="100"/>
        <v>28400</v>
      </c>
      <c r="H1435">
        <f t="shared" si="101"/>
        <v>0</v>
      </c>
    </row>
    <row r="1436" spans="1:8">
      <c r="A1436" t="s">
        <v>302</v>
      </c>
      <c r="B1436">
        <v>67915000</v>
      </c>
      <c r="C1436">
        <v>67459000</v>
      </c>
      <c r="D1436" t="str">
        <f>VLOOKUP(A1436,Лист2!A:E,5,0)</f>
        <v>средние</v>
      </c>
      <c r="E1436">
        <f>VLOOKUP(A1436,Лист2!A:E,4,0)</f>
        <v>125.5</v>
      </c>
      <c r="F1436" s="12">
        <f t="shared" si="99"/>
        <v>456000</v>
      </c>
      <c r="G1436">
        <f t="shared" si="100"/>
        <v>541155.37848605576</v>
      </c>
      <c r="H1436">
        <f t="shared" si="101"/>
        <v>3633.4661354581672</v>
      </c>
    </row>
    <row r="1437" spans="1:8">
      <c r="A1437" t="s">
        <v>18</v>
      </c>
      <c r="B1437">
        <v>508000</v>
      </c>
      <c r="C1437">
        <v>88000</v>
      </c>
      <c r="D1437" t="str">
        <f>VLOOKUP(A1437,Лист2!A:E,5,0)</f>
        <v>малые</v>
      </c>
      <c r="E1437">
        <f>VLOOKUP(A1437,Лист2!A:E,4,0)</f>
        <v>2.5</v>
      </c>
      <c r="F1437" s="12">
        <f t="shared" si="99"/>
        <v>420000</v>
      </c>
      <c r="G1437">
        <f t="shared" si="100"/>
        <v>203200</v>
      </c>
      <c r="H1437">
        <f t="shared" si="101"/>
        <v>168000</v>
      </c>
    </row>
    <row r="1438" spans="1:8">
      <c r="A1438" t="s">
        <v>18</v>
      </c>
      <c r="B1438">
        <v>5000000</v>
      </c>
      <c r="C1438">
        <v>3601000</v>
      </c>
      <c r="D1438" t="str">
        <f>VLOOKUP(A1438,Лист2!A:E,5,0)</f>
        <v>малые</v>
      </c>
      <c r="E1438">
        <f>VLOOKUP(A1438,Лист2!A:E,4,0)</f>
        <v>2.5</v>
      </c>
      <c r="F1438" s="12">
        <f t="shared" si="99"/>
        <v>1399000</v>
      </c>
      <c r="G1438">
        <f t="shared" si="100"/>
        <v>2000000</v>
      </c>
      <c r="H1438">
        <f t="shared" si="101"/>
        <v>559600</v>
      </c>
    </row>
    <row r="1439" spans="1:8">
      <c r="A1439" t="s">
        <v>18</v>
      </c>
      <c r="B1439">
        <v>245000</v>
      </c>
      <c r="C1439">
        <v>264000</v>
      </c>
      <c r="D1439" t="str">
        <f>VLOOKUP(A1439,Лист2!A:E,5,0)</f>
        <v>малые</v>
      </c>
      <c r="E1439">
        <f>VLOOKUP(A1439,Лист2!A:E,4,0)</f>
        <v>2.5</v>
      </c>
      <c r="F1439" s="12">
        <f t="shared" si="99"/>
        <v>-19000</v>
      </c>
      <c r="G1439">
        <f t="shared" si="100"/>
        <v>98000</v>
      </c>
      <c r="H1439">
        <f t="shared" si="101"/>
        <v>-7600</v>
      </c>
    </row>
    <row r="1440" spans="1:8">
      <c r="A1440" t="s">
        <v>18</v>
      </c>
      <c r="B1440">
        <v>5000</v>
      </c>
      <c r="C1440">
        <v>4000</v>
      </c>
      <c r="D1440" t="str">
        <f>VLOOKUP(A1440,Лист2!A:E,5,0)</f>
        <v>малые</v>
      </c>
      <c r="E1440">
        <f>VLOOKUP(A1440,Лист2!A:E,4,0)</f>
        <v>2.5</v>
      </c>
      <c r="F1440" s="12">
        <f t="shared" ref="F1440:F1487" si="102">B1440-C1440</f>
        <v>1000</v>
      </c>
      <c r="G1440">
        <f t="shared" ref="G1440:G1487" si="103">B1440/E1440</f>
        <v>2000</v>
      </c>
      <c r="H1440">
        <f t="shared" ref="H1440:H1487" si="104">F1440/E1440</f>
        <v>400</v>
      </c>
    </row>
    <row r="1441" spans="1:8">
      <c r="A1441" t="s">
        <v>18</v>
      </c>
      <c r="B1441">
        <v>808000</v>
      </c>
      <c r="C1441">
        <v>493000</v>
      </c>
      <c r="D1441" t="str">
        <f>VLOOKUP(A1441,Лист2!A:E,5,0)</f>
        <v>малые</v>
      </c>
      <c r="E1441">
        <f>VLOOKUP(A1441,Лист2!A:E,4,0)</f>
        <v>2.5</v>
      </c>
      <c r="F1441" s="12">
        <f t="shared" si="102"/>
        <v>315000</v>
      </c>
      <c r="G1441">
        <f t="shared" si="103"/>
        <v>323200</v>
      </c>
      <c r="H1441">
        <f t="shared" si="104"/>
        <v>126000</v>
      </c>
    </row>
    <row r="1442" spans="1:8">
      <c r="A1442" t="s">
        <v>18</v>
      </c>
      <c r="B1442">
        <v>17000</v>
      </c>
      <c r="C1442">
        <v>17000</v>
      </c>
      <c r="D1442" t="str">
        <f>VLOOKUP(A1442,Лист2!A:E,5,0)</f>
        <v>малые</v>
      </c>
      <c r="E1442">
        <f>VLOOKUP(A1442,Лист2!A:E,4,0)</f>
        <v>2.5</v>
      </c>
      <c r="F1442" s="12">
        <f t="shared" si="102"/>
        <v>0</v>
      </c>
      <c r="G1442">
        <f t="shared" si="103"/>
        <v>6800</v>
      </c>
      <c r="H1442">
        <f t="shared" si="104"/>
        <v>0</v>
      </c>
    </row>
    <row r="1443" spans="1:8">
      <c r="A1443" t="s">
        <v>18</v>
      </c>
      <c r="B1443">
        <v>191000</v>
      </c>
      <c r="C1443">
        <v>30000</v>
      </c>
      <c r="D1443" t="str">
        <f>VLOOKUP(A1443,Лист2!A:E,5,0)</f>
        <v>малые</v>
      </c>
      <c r="E1443">
        <f>VLOOKUP(A1443,Лист2!A:E,4,0)</f>
        <v>2.5</v>
      </c>
      <c r="F1443" s="12">
        <f t="shared" si="102"/>
        <v>161000</v>
      </c>
      <c r="G1443">
        <f t="shared" si="103"/>
        <v>76400</v>
      </c>
      <c r="H1443">
        <f t="shared" si="104"/>
        <v>64400</v>
      </c>
    </row>
    <row r="1444" spans="1:8">
      <c r="A1444" t="s">
        <v>18</v>
      </c>
      <c r="B1444">
        <v>2213000</v>
      </c>
      <c r="C1444">
        <v>827000</v>
      </c>
      <c r="D1444" t="str">
        <f>VLOOKUP(A1444,Лист2!A:E,5,0)</f>
        <v>малые</v>
      </c>
      <c r="E1444">
        <f>VLOOKUP(A1444,Лист2!A:E,4,0)</f>
        <v>2.5</v>
      </c>
      <c r="F1444" s="12">
        <f t="shared" si="102"/>
        <v>1386000</v>
      </c>
      <c r="G1444">
        <f t="shared" si="103"/>
        <v>885200</v>
      </c>
      <c r="H1444">
        <f t="shared" si="104"/>
        <v>554400</v>
      </c>
    </row>
    <row r="1445" spans="1:8">
      <c r="A1445" t="s">
        <v>18</v>
      </c>
      <c r="B1445">
        <v>19783000</v>
      </c>
      <c r="C1445">
        <v>19384000</v>
      </c>
      <c r="D1445" t="str">
        <f>VLOOKUP(A1445,Лист2!A:E,5,0)</f>
        <v>малые</v>
      </c>
      <c r="E1445">
        <f>VLOOKUP(A1445,Лист2!A:E,4,0)</f>
        <v>2.5</v>
      </c>
      <c r="F1445" s="12">
        <f t="shared" si="102"/>
        <v>399000</v>
      </c>
      <c r="G1445">
        <f t="shared" si="103"/>
        <v>7913200</v>
      </c>
      <c r="H1445">
        <f t="shared" si="104"/>
        <v>159600</v>
      </c>
    </row>
    <row r="1446" spans="1:8">
      <c r="A1446" t="s">
        <v>18</v>
      </c>
      <c r="B1446">
        <v>28613000</v>
      </c>
      <c r="C1446">
        <v>28635000</v>
      </c>
      <c r="D1446" t="str">
        <f>VLOOKUP(A1446,Лист2!A:E,5,0)</f>
        <v>малые</v>
      </c>
      <c r="E1446">
        <f>VLOOKUP(A1446,Лист2!A:E,4,0)</f>
        <v>2.5</v>
      </c>
      <c r="F1446" s="12">
        <f t="shared" si="102"/>
        <v>-22000</v>
      </c>
      <c r="G1446">
        <f t="shared" si="103"/>
        <v>11445200</v>
      </c>
      <c r="H1446">
        <f t="shared" si="104"/>
        <v>-8800</v>
      </c>
    </row>
    <row r="1447" spans="1:8">
      <c r="A1447" t="s">
        <v>22</v>
      </c>
      <c r="B1447">
        <v>7947000</v>
      </c>
      <c r="C1447">
        <v>9887000</v>
      </c>
      <c r="D1447" t="str">
        <f>VLOOKUP(A1447,Лист2!A:E,5,0)</f>
        <v>малые</v>
      </c>
      <c r="E1447">
        <f>VLOOKUP(A1447,Лист2!A:E,4,0)</f>
        <v>13</v>
      </c>
      <c r="F1447" s="12">
        <f t="shared" si="102"/>
        <v>-1940000</v>
      </c>
      <c r="G1447">
        <f t="shared" si="103"/>
        <v>611307.69230769225</v>
      </c>
      <c r="H1447">
        <f t="shared" si="104"/>
        <v>-149230.76923076922</v>
      </c>
    </row>
    <row r="1448" spans="1:8">
      <c r="A1448" t="s">
        <v>18</v>
      </c>
      <c r="B1448">
        <v>593000</v>
      </c>
      <c r="C1448">
        <v>578000</v>
      </c>
      <c r="D1448" t="str">
        <f>VLOOKUP(A1448,Лист2!A:E,5,0)</f>
        <v>малые</v>
      </c>
      <c r="E1448">
        <f>VLOOKUP(A1448,Лист2!A:E,4,0)</f>
        <v>2.5</v>
      </c>
      <c r="F1448" s="12">
        <f t="shared" si="102"/>
        <v>15000</v>
      </c>
      <c r="G1448">
        <f t="shared" si="103"/>
        <v>237200</v>
      </c>
      <c r="H1448">
        <f t="shared" si="104"/>
        <v>6000</v>
      </c>
    </row>
    <row r="1449" spans="1:8">
      <c r="A1449" t="s">
        <v>18</v>
      </c>
      <c r="B1449">
        <v>60000</v>
      </c>
      <c r="C1449">
        <v>4000</v>
      </c>
      <c r="D1449" t="str">
        <f>VLOOKUP(A1449,Лист2!A:E,5,0)</f>
        <v>малые</v>
      </c>
      <c r="E1449">
        <f>VLOOKUP(A1449,Лист2!A:E,4,0)</f>
        <v>2.5</v>
      </c>
      <c r="F1449" s="12">
        <f t="shared" si="102"/>
        <v>56000</v>
      </c>
      <c r="G1449">
        <f t="shared" si="103"/>
        <v>24000</v>
      </c>
      <c r="H1449">
        <f t="shared" si="104"/>
        <v>22400</v>
      </c>
    </row>
    <row r="1450" spans="1:8">
      <c r="A1450" t="s">
        <v>18</v>
      </c>
      <c r="B1450">
        <v>35294000</v>
      </c>
      <c r="C1450">
        <v>20817000</v>
      </c>
      <c r="D1450" t="str">
        <f>VLOOKUP(A1450,Лист2!A:E,5,0)</f>
        <v>малые</v>
      </c>
      <c r="E1450">
        <f>VLOOKUP(A1450,Лист2!A:E,4,0)</f>
        <v>2.5</v>
      </c>
      <c r="F1450" s="12">
        <f t="shared" si="102"/>
        <v>14477000</v>
      </c>
      <c r="G1450">
        <f t="shared" si="103"/>
        <v>14117600</v>
      </c>
      <c r="H1450">
        <f t="shared" si="104"/>
        <v>5790800</v>
      </c>
    </row>
    <row r="1451" spans="1:8">
      <c r="A1451" t="s">
        <v>18</v>
      </c>
      <c r="B1451">
        <v>2740400</v>
      </c>
      <c r="C1451">
        <v>3298191</v>
      </c>
      <c r="D1451" t="str">
        <f>VLOOKUP(A1451,Лист2!A:E,5,0)</f>
        <v>малые</v>
      </c>
      <c r="E1451">
        <f>VLOOKUP(A1451,Лист2!A:E,4,0)</f>
        <v>2.5</v>
      </c>
      <c r="F1451" s="12">
        <f t="shared" si="102"/>
        <v>-557791</v>
      </c>
      <c r="G1451">
        <f t="shared" si="103"/>
        <v>1096160</v>
      </c>
      <c r="H1451">
        <f t="shared" si="104"/>
        <v>-223116.4</v>
      </c>
    </row>
    <row r="1452" spans="1:8">
      <c r="A1452" t="s">
        <v>18</v>
      </c>
      <c r="B1452">
        <v>2674000</v>
      </c>
      <c r="C1452">
        <v>820000</v>
      </c>
      <c r="D1452" t="str">
        <f>VLOOKUP(A1452,Лист2!A:E,5,0)</f>
        <v>малые</v>
      </c>
      <c r="E1452">
        <f>VLOOKUP(A1452,Лист2!A:E,4,0)</f>
        <v>2.5</v>
      </c>
      <c r="F1452" s="12">
        <f t="shared" si="102"/>
        <v>1854000</v>
      </c>
      <c r="G1452">
        <f t="shared" si="103"/>
        <v>1069600</v>
      </c>
      <c r="H1452">
        <f t="shared" si="104"/>
        <v>741600</v>
      </c>
    </row>
    <row r="1453" spans="1:8">
      <c r="A1453" t="s">
        <v>18</v>
      </c>
      <c r="B1453">
        <v>3780000</v>
      </c>
      <c r="C1453">
        <v>7491000</v>
      </c>
      <c r="D1453" t="str">
        <f>VLOOKUP(A1453,Лист2!A:E,5,0)</f>
        <v>малые</v>
      </c>
      <c r="E1453">
        <f>VLOOKUP(A1453,Лист2!A:E,4,0)</f>
        <v>2.5</v>
      </c>
      <c r="F1453" s="12">
        <f t="shared" si="102"/>
        <v>-3711000</v>
      </c>
      <c r="G1453">
        <f t="shared" si="103"/>
        <v>1512000</v>
      </c>
      <c r="H1453">
        <f t="shared" si="104"/>
        <v>-1484400</v>
      </c>
    </row>
    <row r="1454" spans="1:8">
      <c r="A1454" t="s">
        <v>18</v>
      </c>
      <c r="B1454">
        <v>31156000</v>
      </c>
      <c r="C1454">
        <v>29506000</v>
      </c>
      <c r="D1454" t="str">
        <f>VLOOKUP(A1454,Лист2!A:E,5,0)</f>
        <v>малые</v>
      </c>
      <c r="E1454">
        <f>VLOOKUP(A1454,Лист2!A:E,4,0)</f>
        <v>2.5</v>
      </c>
      <c r="F1454" s="12">
        <f t="shared" si="102"/>
        <v>1650000</v>
      </c>
      <c r="G1454">
        <f t="shared" si="103"/>
        <v>12462400</v>
      </c>
      <c r="H1454">
        <f t="shared" si="104"/>
        <v>660000</v>
      </c>
    </row>
    <row r="1455" spans="1:8">
      <c r="A1455" t="s">
        <v>18</v>
      </c>
      <c r="B1455">
        <v>2767000</v>
      </c>
      <c r="C1455">
        <v>2711000</v>
      </c>
      <c r="D1455" t="str">
        <f>VLOOKUP(A1455,Лист2!A:E,5,0)</f>
        <v>малые</v>
      </c>
      <c r="E1455">
        <f>VLOOKUP(A1455,Лист2!A:E,4,0)</f>
        <v>2.5</v>
      </c>
      <c r="F1455" s="12">
        <f t="shared" si="102"/>
        <v>56000</v>
      </c>
      <c r="G1455">
        <f t="shared" si="103"/>
        <v>1106800</v>
      </c>
      <c r="H1455">
        <f t="shared" si="104"/>
        <v>22400</v>
      </c>
    </row>
    <row r="1456" spans="1:8">
      <c r="A1456" t="s">
        <v>18</v>
      </c>
      <c r="B1456">
        <v>80000</v>
      </c>
      <c r="C1456">
        <v>80000</v>
      </c>
      <c r="D1456" t="str">
        <f>VLOOKUP(A1456,Лист2!A:E,5,0)</f>
        <v>малые</v>
      </c>
      <c r="E1456">
        <f>VLOOKUP(A1456,Лист2!A:E,4,0)</f>
        <v>2.5</v>
      </c>
      <c r="F1456" s="12">
        <f t="shared" si="102"/>
        <v>0</v>
      </c>
      <c r="G1456">
        <f t="shared" si="103"/>
        <v>32000</v>
      </c>
      <c r="H1456">
        <f t="shared" si="104"/>
        <v>0</v>
      </c>
    </row>
    <row r="1457" spans="1:8">
      <c r="A1457" t="s">
        <v>18</v>
      </c>
      <c r="B1457">
        <v>235000</v>
      </c>
      <c r="C1457">
        <v>205000</v>
      </c>
      <c r="D1457" t="str">
        <f>VLOOKUP(A1457,Лист2!A:E,5,0)</f>
        <v>малые</v>
      </c>
      <c r="E1457">
        <f>VLOOKUP(A1457,Лист2!A:E,4,0)</f>
        <v>2.5</v>
      </c>
      <c r="F1457" s="12">
        <f t="shared" si="102"/>
        <v>30000</v>
      </c>
      <c r="G1457">
        <f t="shared" si="103"/>
        <v>94000</v>
      </c>
      <c r="H1457">
        <f t="shared" si="104"/>
        <v>12000</v>
      </c>
    </row>
    <row r="1458" spans="1:8">
      <c r="A1458" t="s">
        <v>18</v>
      </c>
      <c r="B1458">
        <v>836000</v>
      </c>
      <c r="C1458">
        <v>888000</v>
      </c>
      <c r="D1458" t="str">
        <f>VLOOKUP(A1458,Лист2!A:E,5,0)</f>
        <v>малые</v>
      </c>
      <c r="E1458">
        <f>VLOOKUP(A1458,Лист2!A:E,4,0)</f>
        <v>2.5</v>
      </c>
      <c r="F1458" s="12">
        <f t="shared" si="102"/>
        <v>-52000</v>
      </c>
      <c r="G1458">
        <f t="shared" si="103"/>
        <v>334400</v>
      </c>
      <c r="H1458">
        <f t="shared" si="104"/>
        <v>-20800</v>
      </c>
    </row>
    <row r="1459" spans="1:8">
      <c r="A1459" t="s">
        <v>18</v>
      </c>
      <c r="B1459">
        <v>208000</v>
      </c>
      <c r="C1459">
        <v>95000</v>
      </c>
      <c r="D1459" t="str">
        <f>VLOOKUP(A1459,Лист2!A:E,5,0)</f>
        <v>малые</v>
      </c>
      <c r="E1459">
        <f>VLOOKUP(A1459,Лист2!A:E,4,0)</f>
        <v>2.5</v>
      </c>
      <c r="F1459" s="12">
        <f t="shared" si="102"/>
        <v>113000</v>
      </c>
      <c r="G1459">
        <f t="shared" si="103"/>
        <v>83200</v>
      </c>
      <c r="H1459">
        <f t="shared" si="104"/>
        <v>45200</v>
      </c>
    </row>
    <row r="1460" spans="1:8">
      <c r="A1460" t="s">
        <v>18</v>
      </c>
      <c r="B1460">
        <v>2192000</v>
      </c>
      <c r="C1460">
        <v>1834000</v>
      </c>
      <c r="D1460" t="str">
        <f>VLOOKUP(A1460,Лист2!A:E,5,0)</f>
        <v>малые</v>
      </c>
      <c r="E1460">
        <f>VLOOKUP(A1460,Лист2!A:E,4,0)</f>
        <v>2.5</v>
      </c>
      <c r="F1460" s="12">
        <f t="shared" si="102"/>
        <v>358000</v>
      </c>
      <c r="G1460">
        <f t="shared" si="103"/>
        <v>876800</v>
      </c>
      <c r="H1460">
        <f t="shared" si="104"/>
        <v>143200</v>
      </c>
    </row>
    <row r="1461" spans="1:8">
      <c r="A1461" t="s">
        <v>18</v>
      </c>
      <c r="B1461">
        <v>62000</v>
      </c>
      <c r="C1461">
        <v>57000</v>
      </c>
      <c r="D1461" t="str">
        <f>VLOOKUP(A1461,Лист2!A:E,5,0)</f>
        <v>малые</v>
      </c>
      <c r="E1461">
        <f>VLOOKUP(A1461,Лист2!A:E,4,0)</f>
        <v>2.5</v>
      </c>
      <c r="F1461" s="12">
        <f t="shared" si="102"/>
        <v>5000</v>
      </c>
      <c r="G1461">
        <f t="shared" si="103"/>
        <v>24800</v>
      </c>
      <c r="H1461">
        <f t="shared" si="104"/>
        <v>2000</v>
      </c>
    </row>
    <row r="1462" spans="1:8">
      <c r="A1462" t="s">
        <v>18</v>
      </c>
      <c r="B1462">
        <v>5604000</v>
      </c>
      <c r="C1462">
        <v>17206000</v>
      </c>
      <c r="D1462" t="str">
        <f>VLOOKUP(A1462,Лист2!A:E,5,0)</f>
        <v>малые</v>
      </c>
      <c r="E1462">
        <f>VLOOKUP(A1462,Лист2!A:E,4,0)</f>
        <v>2.5</v>
      </c>
      <c r="F1462" s="12">
        <f t="shared" si="102"/>
        <v>-11602000</v>
      </c>
      <c r="G1462">
        <f t="shared" si="103"/>
        <v>2241600</v>
      </c>
      <c r="H1462">
        <f t="shared" si="104"/>
        <v>-4640800</v>
      </c>
    </row>
    <row r="1463" spans="1:8">
      <c r="A1463" t="s">
        <v>18</v>
      </c>
      <c r="B1463">
        <v>663000</v>
      </c>
      <c r="C1463">
        <v>663000</v>
      </c>
      <c r="D1463" t="str">
        <f>VLOOKUP(A1463,Лист2!A:E,5,0)</f>
        <v>малые</v>
      </c>
      <c r="E1463">
        <f>VLOOKUP(A1463,Лист2!A:E,4,0)</f>
        <v>2.5</v>
      </c>
      <c r="F1463" s="12">
        <f t="shared" si="102"/>
        <v>0</v>
      </c>
      <c r="G1463">
        <f t="shared" si="103"/>
        <v>265200</v>
      </c>
      <c r="H1463">
        <f t="shared" si="104"/>
        <v>0</v>
      </c>
    </row>
    <row r="1464" spans="1:8">
      <c r="A1464" t="s">
        <v>77</v>
      </c>
      <c r="B1464">
        <v>10753000</v>
      </c>
      <c r="C1464">
        <v>10174000</v>
      </c>
      <c r="D1464" t="str">
        <f>VLOOKUP(A1464,Лист2!A:E,5,0)</f>
        <v>малые</v>
      </c>
      <c r="E1464">
        <f>VLOOKUP(A1464,Лист2!A:E,4,0)</f>
        <v>8</v>
      </c>
      <c r="F1464" s="12">
        <f t="shared" si="102"/>
        <v>579000</v>
      </c>
      <c r="G1464">
        <f t="shared" si="103"/>
        <v>1344125</v>
      </c>
      <c r="H1464">
        <f t="shared" si="104"/>
        <v>72375</v>
      </c>
    </row>
    <row r="1465" spans="1:8">
      <c r="A1465" t="s">
        <v>18</v>
      </c>
      <c r="B1465">
        <v>260000</v>
      </c>
      <c r="C1465">
        <v>288000</v>
      </c>
      <c r="D1465" t="str">
        <f>VLOOKUP(A1465,Лист2!A:E,5,0)</f>
        <v>малые</v>
      </c>
      <c r="E1465">
        <f>VLOOKUP(A1465,Лист2!A:E,4,0)</f>
        <v>2.5</v>
      </c>
      <c r="F1465" s="12">
        <f t="shared" si="102"/>
        <v>-28000</v>
      </c>
      <c r="G1465">
        <f t="shared" si="103"/>
        <v>104000</v>
      </c>
      <c r="H1465">
        <f t="shared" si="104"/>
        <v>-11200</v>
      </c>
    </row>
    <row r="1466" spans="1:8">
      <c r="A1466" t="s">
        <v>22</v>
      </c>
      <c r="B1466">
        <v>1537000</v>
      </c>
      <c r="C1466">
        <v>1535000</v>
      </c>
      <c r="D1466" t="str">
        <f>VLOOKUP(A1466,Лист2!A:E,5,0)</f>
        <v>малые</v>
      </c>
      <c r="E1466">
        <f>VLOOKUP(A1466,Лист2!A:E,4,0)</f>
        <v>13</v>
      </c>
      <c r="F1466" s="12">
        <f t="shared" si="102"/>
        <v>2000</v>
      </c>
      <c r="G1466">
        <f t="shared" si="103"/>
        <v>118230.76923076923</v>
      </c>
      <c r="H1466">
        <f t="shared" si="104"/>
        <v>153.84615384615384</v>
      </c>
    </row>
    <row r="1467" spans="1:8">
      <c r="A1467" t="s">
        <v>18</v>
      </c>
      <c r="B1467">
        <v>2500000</v>
      </c>
      <c r="C1467">
        <v>2500000</v>
      </c>
      <c r="D1467" t="str">
        <f>VLOOKUP(A1467,Лист2!A:E,5,0)</f>
        <v>малые</v>
      </c>
      <c r="E1467">
        <f>VLOOKUP(A1467,Лист2!A:E,4,0)</f>
        <v>2.5</v>
      </c>
      <c r="F1467" s="12">
        <f t="shared" si="102"/>
        <v>0</v>
      </c>
      <c r="G1467">
        <f t="shared" si="103"/>
        <v>1000000</v>
      </c>
      <c r="H1467">
        <f t="shared" si="104"/>
        <v>0</v>
      </c>
    </row>
    <row r="1468" spans="1:8">
      <c r="A1468" t="s">
        <v>18</v>
      </c>
      <c r="B1468">
        <v>277000</v>
      </c>
      <c r="C1468">
        <v>21000</v>
      </c>
      <c r="D1468" t="str">
        <f>VLOOKUP(A1468,Лист2!A:E,5,0)</f>
        <v>малые</v>
      </c>
      <c r="E1468">
        <f>VLOOKUP(A1468,Лист2!A:E,4,0)</f>
        <v>2.5</v>
      </c>
      <c r="F1468" s="12">
        <f t="shared" si="102"/>
        <v>256000</v>
      </c>
      <c r="G1468">
        <f t="shared" si="103"/>
        <v>110800</v>
      </c>
      <c r="H1468">
        <f t="shared" si="104"/>
        <v>102400</v>
      </c>
    </row>
    <row r="1469" spans="1:8">
      <c r="A1469" t="s">
        <v>18</v>
      </c>
      <c r="B1469">
        <v>2299000</v>
      </c>
      <c r="C1469">
        <v>2297000</v>
      </c>
      <c r="D1469" t="str">
        <f>VLOOKUP(A1469,Лист2!A:E,5,0)</f>
        <v>малые</v>
      </c>
      <c r="E1469">
        <f>VLOOKUP(A1469,Лист2!A:E,4,0)</f>
        <v>2.5</v>
      </c>
      <c r="F1469" s="12">
        <f t="shared" si="102"/>
        <v>2000</v>
      </c>
      <c r="G1469">
        <f t="shared" si="103"/>
        <v>919600</v>
      </c>
      <c r="H1469">
        <f t="shared" si="104"/>
        <v>800</v>
      </c>
    </row>
    <row r="1470" spans="1:8">
      <c r="A1470" t="s">
        <v>18</v>
      </c>
      <c r="B1470">
        <v>6122000</v>
      </c>
      <c r="C1470">
        <v>5796000</v>
      </c>
      <c r="D1470" t="str">
        <f>VLOOKUP(A1470,Лист2!A:E,5,0)</f>
        <v>малые</v>
      </c>
      <c r="E1470">
        <f>VLOOKUP(A1470,Лист2!A:E,4,0)</f>
        <v>2.5</v>
      </c>
      <c r="F1470" s="12">
        <f t="shared" si="102"/>
        <v>326000</v>
      </c>
      <c r="G1470">
        <f t="shared" si="103"/>
        <v>2448800</v>
      </c>
      <c r="H1470">
        <f t="shared" si="104"/>
        <v>130400</v>
      </c>
    </row>
    <row r="1471" spans="1:8">
      <c r="A1471" t="s">
        <v>18</v>
      </c>
      <c r="B1471">
        <v>1234000</v>
      </c>
      <c r="C1471">
        <v>1360000</v>
      </c>
      <c r="D1471" t="str">
        <f>VLOOKUP(A1471,Лист2!A:E,5,0)</f>
        <v>малые</v>
      </c>
      <c r="E1471">
        <f>VLOOKUP(A1471,Лист2!A:E,4,0)</f>
        <v>2.5</v>
      </c>
      <c r="F1471" s="12">
        <f t="shared" si="102"/>
        <v>-126000</v>
      </c>
      <c r="G1471">
        <f t="shared" si="103"/>
        <v>493600</v>
      </c>
      <c r="H1471">
        <f t="shared" si="104"/>
        <v>-50400</v>
      </c>
    </row>
    <row r="1472" spans="1:8">
      <c r="A1472" t="s">
        <v>18</v>
      </c>
      <c r="B1472">
        <v>206445000</v>
      </c>
      <c r="C1472">
        <v>177683000</v>
      </c>
      <c r="D1472" t="str">
        <f>VLOOKUP(A1472,Лист2!A:E,5,0)</f>
        <v>малые</v>
      </c>
      <c r="E1472">
        <f>VLOOKUP(A1472,Лист2!A:E,4,0)</f>
        <v>2.5</v>
      </c>
      <c r="F1472" s="12">
        <f t="shared" si="102"/>
        <v>28762000</v>
      </c>
      <c r="G1472">
        <f t="shared" si="103"/>
        <v>82578000</v>
      </c>
      <c r="H1472">
        <f t="shared" si="104"/>
        <v>11504800</v>
      </c>
    </row>
    <row r="1473" spans="1:8">
      <c r="A1473" t="s">
        <v>18</v>
      </c>
      <c r="B1473">
        <v>800000</v>
      </c>
      <c r="C1473">
        <v>702000</v>
      </c>
      <c r="D1473" t="str">
        <f>VLOOKUP(A1473,Лист2!A:E,5,0)</f>
        <v>малые</v>
      </c>
      <c r="E1473">
        <f>VLOOKUP(A1473,Лист2!A:E,4,0)</f>
        <v>2.5</v>
      </c>
      <c r="F1473" s="12">
        <f t="shared" si="102"/>
        <v>98000</v>
      </c>
      <c r="G1473">
        <f t="shared" si="103"/>
        <v>320000</v>
      </c>
      <c r="H1473">
        <f t="shared" si="104"/>
        <v>39200</v>
      </c>
    </row>
    <row r="1474" spans="1:8">
      <c r="A1474" t="s">
        <v>18</v>
      </c>
      <c r="B1474">
        <v>1060000</v>
      </c>
      <c r="C1474">
        <v>1195000</v>
      </c>
      <c r="D1474" t="str">
        <f>VLOOKUP(A1474,Лист2!A:E,5,0)</f>
        <v>малые</v>
      </c>
      <c r="E1474">
        <f>VLOOKUP(A1474,Лист2!A:E,4,0)</f>
        <v>2.5</v>
      </c>
      <c r="F1474" s="12">
        <f t="shared" si="102"/>
        <v>-135000</v>
      </c>
      <c r="G1474">
        <f t="shared" si="103"/>
        <v>424000</v>
      </c>
      <c r="H1474">
        <f t="shared" si="104"/>
        <v>-54000</v>
      </c>
    </row>
    <row r="1475" spans="1:8">
      <c r="A1475" t="s">
        <v>18</v>
      </c>
      <c r="B1475">
        <v>1390000</v>
      </c>
      <c r="C1475">
        <v>1411000</v>
      </c>
      <c r="D1475" t="str">
        <f>VLOOKUP(A1475,Лист2!A:E,5,0)</f>
        <v>малые</v>
      </c>
      <c r="E1475">
        <f>VLOOKUP(A1475,Лист2!A:E,4,0)</f>
        <v>2.5</v>
      </c>
      <c r="F1475" s="12">
        <f t="shared" si="102"/>
        <v>-21000</v>
      </c>
      <c r="G1475">
        <f t="shared" si="103"/>
        <v>556000</v>
      </c>
      <c r="H1475">
        <f t="shared" si="104"/>
        <v>-8400</v>
      </c>
    </row>
    <row r="1476" spans="1:8">
      <c r="A1476" t="s">
        <v>18</v>
      </c>
      <c r="B1476">
        <v>3579000</v>
      </c>
      <c r="C1476">
        <v>3579000</v>
      </c>
      <c r="D1476" t="str">
        <f>VLOOKUP(A1476,Лист2!A:E,5,0)</f>
        <v>малые</v>
      </c>
      <c r="E1476">
        <f>VLOOKUP(A1476,Лист2!A:E,4,0)</f>
        <v>2.5</v>
      </c>
      <c r="F1476" s="12">
        <f t="shared" si="102"/>
        <v>0</v>
      </c>
      <c r="G1476">
        <f t="shared" si="103"/>
        <v>1431600</v>
      </c>
      <c r="H1476">
        <f t="shared" si="104"/>
        <v>0</v>
      </c>
    </row>
    <row r="1477" spans="1:8">
      <c r="A1477" t="s">
        <v>18</v>
      </c>
      <c r="B1477">
        <v>78000</v>
      </c>
      <c r="C1477">
        <v>104000</v>
      </c>
      <c r="D1477" t="str">
        <f>VLOOKUP(A1477,Лист2!A:E,5,0)</f>
        <v>малые</v>
      </c>
      <c r="E1477">
        <f>VLOOKUP(A1477,Лист2!A:E,4,0)</f>
        <v>2.5</v>
      </c>
      <c r="F1477" s="12">
        <f t="shared" si="102"/>
        <v>-26000</v>
      </c>
      <c r="G1477">
        <f t="shared" si="103"/>
        <v>31200</v>
      </c>
      <c r="H1477">
        <f t="shared" si="104"/>
        <v>-10400</v>
      </c>
    </row>
    <row r="1478" spans="1:8">
      <c r="A1478" t="s">
        <v>18</v>
      </c>
      <c r="B1478">
        <v>2037000</v>
      </c>
      <c r="C1478">
        <v>3738000</v>
      </c>
      <c r="D1478" t="str">
        <f>VLOOKUP(A1478,Лист2!A:E,5,0)</f>
        <v>малые</v>
      </c>
      <c r="E1478">
        <f>VLOOKUP(A1478,Лист2!A:E,4,0)</f>
        <v>2.5</v>
      </c>
      <c r="F1478" s="12">
        <f t="shared" si="102"/>
        <v>-1701000</v>
      </c>
      <c r="G1478">
        <f t="shared" si="103"/>
        <v>814800</v>
      </c>
      <c r="H1478">
        <f t="shared" si="104"/>
        <v>-680400</v>
      </c>
    </row>
    <row r="1479" spans="1:8">
      <c r="A1479" t="s">
        <v>18</v>
      </c>
      <c r="B1479">
        <v>20993000</v>
      </c>
      <c r="C1479">
        <v>20993000</v>
      </c>
      <c r="D1479" t="str">
        <f>VLOOKUP(A1479,Лист2!A:E,5,0)</f>
        <v>малые</v>
      </c>
      <c r="E1479">
        <f>VLOOKUP(A1479,Лист2!A:E,4,0)</f>
        <v>2.5</v>
      </c>
      <c r="F1479" s="12">
        <f t="shared" si="102"/>
        <v>0</v>
      </c>
      <c r="G1479">
        <f t="shared" si="103"/>
        <v>8397200</v>
      </c>
      <c r="H1479">
        <f t="shared" si="104"/>
        <v>0</v>
      </c>
    </row>
    <row r="1480" spans="1:8">
      <c r="A1480" t="s">
        <v>18</v>
      </c>
      <c r="B1480">
        <v>496000</v>
      </c>
      <c r="C1480">
        <v>803000</v>
      </c>
      <c r="D1480" t="str">
        <f>VLOOKUP(A1480,Лист2!A:E,5,0)</f>
        <v>малые</v>
      </c>
      <c r="E1480">
        <f>VLOOKUP(A1480,Лист2!A:E,4,0)</f>
        <v>2.5</v>
      </c>
      <c r="F1480" s="12">
        <f t="shared" si="102"/>
        <v>-307000</v>
      </c>
      <c r="G1480">
        <f t="shared" si="103"/>
        <v>198400</v>
      </c>
      <c r="H1480">
        <f t="shared" si="104"/>
        <v>-122800</v>
      </c>
    </row>
    <row r="1481" spans="1:8">
      <c r="A1481" t="s">
        <v>77</v>
      </c>
      <c r="B1481">
        <v>17897000</v>
      </c>
      <c r="C1481">
        <v>18335000</v>
      </c>
      <c r="D1481" t="str">
        <f>VLOOKUP(A1481,Лист2!A:E,5,0)</f>
        <v>малые</v>
      </c>
      <c r="E1481">
        <f>VLOOKUP(A1481,Лист2!A:E,4,0)</f>
        <v>8</v>
      </c>
      <c r="F1481" s="12">
        <f t="shared" si="102"/>
        <v>-438000</v>
      </c>
      <c r="G1481">
        <f t="shared" si="103"/>
        <v>2237125</v>
      </c>
      <c r="H1481">
        <f t="shared" si="104"/>
        <v>-54750</v>
      </c>
    </row>
    <row r="1482" spans="1:8">
      <c r="A1482" t="s">
        <v>18</v>
      </c>
      <c r="B1482">
        <v>5899000</v>
      </c>
      <c r="C1482">
        <v>4717000</v>
      </c>
      <c r="D1482" t="str">
        <f>VLOOKUP(A1482,Лист2!A:E,5,0)</f>
        <v>малые</v>
      </c>
      <c r="E1482">
        <f>VLOOKUP(A1482,Лист2!A:E,4,0)</f>
        <v>2.5</v>
      </c>
      <c r="F1482" s="12">
        <f t="shared" si="102"/>
        <v>1182000</v>
      </c>
      <c r="G1482">
        <f t="shared" si="103"/>
        <v>2359600</v>
      </c>
      <c r="H1482">
        <f t="shared" si="104"/>
        <v>472800</v>
      </c>
    </row>
    <row r="1483" spans="1:8">
      <c r="A1483" t="s">
        <v>18</v>
      </c>
      <c r="B1483">
        <v>60000</v>
      </c>
      <c r="C1483">
        <v>8000</v>
      </c>
      <c r="D1483" t="str">
        <f>VLOOKUP(A1483,Лист2!A:E,5,0)</f>
        <v>малые</v>
      </c>
      <c r="E1483">
        <f>VLOOKUP(A1483,Лист2!A:E,4,0)</f>
        <v>2.5</v>
      </c>
      <c r="F1483" s="12">
        <f t="shared" si="102"/>
        <v>52000</v>
      </c>
      <c r="G1483">
        <f t="shared" si="103"/>
        <v>24000</v>
      </c>
      <c r="H1483">
        <f t="shared" si="104"/>
        <v>20800</v>
      </c>
    </row>
    <row r="1484" spans="1:8">
      <c r="A1484" t="s">
        <v>18</v>
      </c>
      <c r="B1484">
        <v>19000</v>
      </c>
      <c r="C1484">
        <v>19000</v>
      </c>
      <c r="D1484" t="str">
        <f>VLOOKUP(A1484,Лист2!A:E,5,0)</f>
        <v>малые</v>
      </c>
      <c r="E1484">
        <f>VLOOKUP(A1484,Лист2!A:E,4,0)</f>
        <v>2.5</v>
      </c>
      <c r="F1484" s="12">
        <f t="shared" si="102"/>
        <v>0</v>
      </c>
      <c r="G1484">
        <f t="shared" si="103"/>
        <v>7600</v>
      </c>
      <c r="H1484">
        <f t="shared" si="104"/>
        <v>0</v>
      </c>
    </row>
    <row r="1485" spans="1:8">
      <c r="A1485" t="s">
        <v>18</v>
      </c>
      <c r="B1485">
        <v>256477000</v>
      </c>
      <c r="C1485">
        <v>297625000</v>
      </c>
      <c r="D1485" t="str">
        <f>VLOOKUP(A1485,Лист2!A:E,5,0)</f>
        <v>малые</v>
      </c>
      <c r="E1485">
        <f>VLOOKUP(A1485,Лист2!A:E,4,0)</f>
        <v>2.5</v>
      </c>
      <c r="F1485" s="12">
        <f t="shared" si="102"/>
        <v>-41148000</v>
      </c>
      <c r="G1485">
        <f t="shared" si="103"/>
        <v>102590800</v>
      </c>
      <c r="H1485">
        <f t="shared" si="104"/>
        <v>-16459200</v>
      </c>
    </row>
    <row r="1486" spans="1:8">
      <c r="A1486" t="s">
        <v>18</v>
      </c>
      <c r="B1486">
        <v>40033000</v>
      </c>
      <c r="C1486">
        <v>40380000</v>
      </c>
      <c r="D1486" t="str">
        <f>VLOOKUP(A1486,Лист2!A:E,5,0)</f>
        <v>малые</v>
      </c>
      <c r="E1486">
        <f>VLOOKUP(A1486,Лист2!A:E,4,0)</f>
        <v>2.5</v>
      </c>
      <c r="F1486" s="12">
        <f t="shared" si="102"/>
        <v>-347000</v>
      </c>
      <c r="G1486">
        <f t="shared" si="103"/>
        <v>16013200</v>
      </c>
      <c r="H1486">
        <f t="shared" si="104"/>
        <v>-138800</v>
      </c>
    </row>
    <row r="1487" spans="1:8">
      <c r="A1487" t="s">
        <v>18</v>
      </c>
      <c r="B1487">
        <v>1147209000</v>
      </c>
      <c r="C1487">
        <v>850870000</v>
      </c>
      <c r="D1487" t="str">
        <f>VLOOKUP(A1487,Лист2!A:E,5,0)</f>
        <v>малые</v>
      </c>
      <c r="E1487">
        <f>VLOOKUP(A1487,Лист2!A:E,4,0)</f>
        <v>2.5</v>
      </c>
      <c r="F1487" s="12">
        <f t="shared" si="102"/>
        <v>296339000</v>
      </c>
      <c r="G1487">
        <f t="shared" si="103"/>
        <v>458883600</v>
      </c>
      <c r="H1487">
        <f t="shared" si="104"/>
        <v>118535600</v>
      </c>
    </row>
    <row r="1488" spans="1:8">
      <c r="A1488" t="s">
        <v>18</v>
      </c>
      <c r="B1488">
        <v>985000</v>
      </c>
      <c r="C1488">
        <v>934000</v>
      </c>
      <c r="D1488" t="str">
        <f>VLOOKUP(A1488,Лист2!A:E,5,0)</f>
        <v>малые</v>
      </c>
      <c r="E1488">
        <f>VLOOKUP(A1488,Лист2!A:E,4,0)</f>
        <v>2.5</v>
      </c>
      <c r="F1488" s="12">
        <f t="shared" ref="F1488:F1534" si="105">B1488-C1488</f>
        <v>51000</v>
      </c>
      <c r="G1488">
        <f t="shared" ref="G1488:G1534" si="106">B1488/E1488</f>
        <v>394000</v>
      </c>
      <c r="H1488">
        <f t="shared" ref="H1488:H1534" si="107">F1488/E1488</f>
        <v>20400</v>
      </c>
    </row>
    <row r="1489" spans="1:8">
      <c r="A1489" t="s">
        <v>18</v>
      </c>
      <c r="B1489">
        <v>7000000</v>
      </c>
      <c r="C1489">
        <v>7015000</v>
      </c>
      <c r="D1489" t="str">
        <f>VLOOKUP(A1489,Лист2!A:E,5,0)</f>
        <v>малые</v>
      </c>
      <c r="E1489">
        <f>VLOOKUP(A1489,Лист2!A:E,4,0)</f>
        <v>2.5</v>
      </c>
      <c r="F1489" s="12">
        <f t="shared" si="105"/>
        <v>-15000</v>
      </c>
      <c r="G1489">
        <f t="shared" si="106"/>
        <v>2800000</v>
      </c>
      <c r="H1489">
        <f t="shared" si="107"/>
        <v>-6000</v>
      </c>
    </row>
    <row r="1490" spans="1:8">
      <c r="A1490" t="s">
        <v>18</v>
      </c>
      <c r="B1490">
        <v>2182000</v>
      </c>
      <c r="C1490">
        <v>2354000</v>
      </c>
      <c r="D1490" t="str">
        <f>VLOOKUP(A1490,Лист2!A:E,5,0)</f>
        <v>малые</v>
      </c>
      <c r="E1490">
        <f>VLOOKUP(A1490,Лист2!A:E,4,0)</f>
        <v>2.5</v>
      </c>
      <c r="F1490" s="12">
        <f t="shared" si="105"/>
        <v>-172000</v>
      </c>
      <c r="G1490">
        <f t="shared" si="106"/>
        <v>872800</v>
      </c>
      <c r="H1490">
        <f t="shared" si="107"/>
        <v>-68800</v>
      </c>
    </row>
    <row r="1491" spans="1:8">
      <c r="A1491" t="s">
        <v>18</v>
      </c>
      <c r="B1491">
        <v>216592000</v>
      </c>
      <c r="C1491">
        <v>220023000</v>
      </c>
      <c r="D1491" t="str">
        <f>VLOOKUP(A1491,Лист2!A:E,5,0)</f>
        <v>малые</v>
      </c>
      <c r="E1491">
        <f>VLOOKUP(A1491,Лист2!A:E,4,0)</f>
        <v>2.5</v>
      </c>
      <c r="F1491" s="12">
        <f t="shared" si="105"/>
        <v>-3431000</v>
      </c>
      <c r="G1491">
        <f t="shared" si="106"/>
        <v>86636800</v>
      </c>
      <c r="H1491">
        <f t="shared" si="107"/>
        <v>-1372400</v>
      </c>
    </row>
    <row r="1492" spans="1:8">
      <c r="A1492" t="s">
        <v>18</v>
      </c>
      <c r="B1492">
        <v>1844000</v>
      </c>
      <c r="C1492">
        <v>1502000</v>
      </c>
      <c r="D1492" t="str">
        <f>VLOOKUP(A1492,Лист2!A:E,5,0)</f>
        <v>малые</v>
      </c>
      <c r="E1492">
        <f>VLOOKUP(A1492,Лист2!A:E,4,0)</f>
        <v>2.5</v>
      </c>
      <c r="F1492" s="12">
        <f t="shared" si="105"/>
        <v>342000</v>
      </c>
      <c r="G1492">
        <f t="shared" si="106"/>
        <v>737600</v>
      </c>
      <c r="H1492">
        <f t="shared" si="107"/>
        <v>136800</v>
      </c>
    </row>
    <row r="1493" spans="1:8">
      <c r="A1493" t="s">
        <v>18</v>
      </c>
      <c r="B1493">
        <v>4775000</v>
      </c>
      <c r="C1493">
        <v>4708000</v>
      </c>
      <c r="D1493" t="str">
        <f>VLOOKUP(A1493,Лист2!A:E,5,0)</f>
        <v>малые</v>
      </c>
      <c r="E1493">
        <f>VLOOKUP(A1493,Лист2!A:E,4,0)</f>
        <v>2.5</v>
      </c>
      <c r="F1493" s="12">
        <f t="shared" si="105"/>
        <v>67000</v>
      </c>
      <c r="G1493">
        <f t="shared" si="106"/>
        <v>1910000</v>
      </c>
      <c r="H1493">
        <f t="shared" si="107"/>
        <v>26800</v>
      </c>
    </row>
    <row r="1494" spans="1:8">
      <c r="A1494" t="s">
        <v>18</v>
      </c>
      <c r="B1494">
        <v>33000</v>
      </c>
      <c r="C1494">
        <v>47000</v>
      </c>
      <c r="D1494" t="str">
        <f>VLOOKUP(A1494,Лист2!A:E,5,0)</f>
        <v>малые</v>
      </c>
      <c r="E1494">
        <f>VLOOKUP(A1494,Лист2!A:E,4,0)</f>
        <v>2.5</v>
      </c>
      <c r="F1494" s="12">
        <f t="shared" si="105"/>
        <v>-14000</v>
      </c>
      <c r="G1494">
        <f t="shared" si="106"/>
        <v>13200</v>
      </c>
      <c r="H1494">
        <f t="shared" si="107"/>
        <v>-5600</v>
      </c>
    </row>
    <row r="1495" spans="1:8">
      <c r="A1495" t="s">
        <v>18</v>
      </c>
      <c r="B1495">
        <v>8773000</v>
      </c>
      <c r="C1495">
        <v>5991000</v>
      </c>
      <c r="D1495" t="str">
        <f>VLOOKUP(A1495,Лист2!A:E,5,0)</f>
        <v>малые</v>
      </c>
      <c r="E1495">
        <f>VLOOKUP(A1495,Лист2!A:E,4,0)</f>
        <v>2.5</v>
      </c>
      <c r="F1495" s="12">
        <f t="shared" si="105"/>
        <v>2782000</v>
      </c>
      <c r="G1495">
        <f t="shared" si="106"/>
        <v>3509200</v>
      </c>
      <c r="H1495">
        <f t="shared" si="107"/>
        <v>1112800</v>
      </c>
    </row>
    <row r="1496" spans="1:8">
      <c r="A1496" t="s">
        <v>18</v>
      </c>
      <c r="B1496">
        <v>805000</v>
      </c>
      <c r="C1496">
        <v>96000</v>
      </c>
      <c r="D1496" t="str">
        <f>VLOOKUP(A1496,Лист2!A:E,5,0)</f>
        <v>малые</v>
      </c>
      <c r="E1496">
        <f>VLOOKUP(A1496,Лист2!A:E,4,0)</f>
        <v>2.5</v>
      </c>
      <c r="F1496" s="12">
        <f t="shared" si="105"/>
        <v>709000</v>
      </c>
      <c r="G1496">
        <f t="shared" si="106"/>
        <v>322000</v>
      </c>
      <c r="H1496">
        <f t="shared" si="107"/>
        <v>283600</v>
      </c>
    </row>
    <row r="1497" spans="1:8">
      <c r="A1497" t="s">
        <v>18</v>
      </c>
      <c r="B1497">
        <v>420000</v>
      </c>
      <c r="C1497">
        <v>454000</v>
      </c>
      <c r="D1497" t="str">
        <f>VLOOKUP(A1497,Лист2!A:E,5,0)</f>
        <v>малые</v>
      </c>
      <c r="E1497">
        <f>VLOOKUP(A1497,Лист2!A:E,4,0)</f>
        <v>2.5</v>
      </c>
      <c r="F1497" s="12">
        <f t="shared" si="105"/>
        <v>-34000</v>
      </c>
      <c r="G1497">
        <f t="shared" si="106"/>
        <v>168000</v>
      </c>
      <c r="H1497">
        <f t="shared" si="107"/>
        <v>-13600</v>
      </c>
    </row>
    <row r="1498" spans="1:8">
      <c r="A1498" t="s">
        <v>18</v>
      </c>
      <c r="B1498">
        <v>1216000</v>
      </c>
      <c r="C1498">
        <v>1215000</v>
      </c>
      <c r="D1498" t="str">
        <f>VLOOKUP(A1498,Лист2!A:E,5,0)</f>
        <v>малые</v>
      </c>
      <c r="E1498">
        <f>VLOOKUP(A1498,Лист2!A:E,4,0)</f>
        <v>2.5</v>
      </c>
      <c r="F1498" s="12">
        <f t="shared" si="105"/>
        <v>1000</v>
      </c>
      <c r="G1498">
        <f t="shared" si="106"/>
        <v>486400</v>
      </c>
      <c r="H1498">
        <f t="shared" si="107"/>
        <v>400</v>
      </c>
    </row>
    <row r="1499" spans="1:8">
      <c r="A1499" t="s">
        <v>18</v>
      </c>
      <c r="B1499">
        <v>681000</v>
      </c>
      <c r="C1499">
        <v>833000</v>
      </c>
      <c r="D1499" t="str">
        <f>VLOOKUP(A1499,Лист2!A:E,5,0)</f>
        <v>малые</v>
      </c>
      <c r="E1499">
        <f>VLOOKUP(A1499,Лист2!A:E,4,0)</f>
        <v>2.5</v>
      </c>
      <c r="F1499" s="12">
        <f t="shared" si="105"/>
        <v>-152000</v>
      </c>
      <c r="G1499">
        <f t="shared" si="106"/>
        <v>272400</v>
      </c>
      <c r="H1499">
        <f t="shared" si="107"/>
        <v>-60800</v>
      </c>
    </row>
    <row r="1500" spans="1:8">
      <c r="A1500" t="s">
        <v>18</v>
      </c>
      <c r="B1500">
        <v>134860000</v>
      </c>
      <c r="C1500">
        <v>128879000</v>
      </c>
      <c r="D1500" t="str">
        <f>VLOOKUP(A1500,Лист2!A:E,5,0)</f>
        <v>малые</v>
      </c>
      <c r="E1500">
        <f>VLOOKUP(A1500,Лист2!A:E,4,0)</f>
        <v>2.5</v>
      </c>
      <c r="F1500" s="12">
        <f t="shared" si="105"/>
        <v>5981000</v>
      </c>
      <c r="G1500">
        <f t="shared" si="106"/>
        <v>53944000</v>
      </c>
      <c r="H1500">
        <f t="shared" si="107"/>
        <v>2392400</v>
      </c>
    </row>
    <row r="1501" spans="1:8">
      <c r="A1501" t="s">
        <v>18</v>
      </c>
      <c r="B1501">
        <v>2208000</v>
      </c>
      <c r="C1501">
        <v>2586000</v>
      </c>
      <c r="D1501" t="str">
        <f>VLOOKUP(A1501,Лист2!A:E,5,0)</f>
        <v>малые</v>
      </c>
      <c r="E1501">
        <f>VLOOKUP(A1501,Лист2!A:E,4,0)</f>
        <v>2.5</v>
      </c>
      <c r="F1501" s="12">
        <f t="shared" si="105"/>
        <v>-378000</v>
      </c>
      <c r="G1501">
        <f t="shared" si="106"/>
        <v>883200</v>
      </c>
      <c r="H1501">
        <f t="shared" si="107"/>
        <v>-151200</v>
      </c>
    </row>
    <row r="1502" spans="1:8">
      <c r="A1502" t="s">
        <v>18</v>
      </c>
      <c r="B1502">
        <v>387000</v>
      </c>
      <c r="C1502">
        <v>410000</v>
      </c>
      <c r="D1502" t="str">
        <f>VLOOKUP(A1502,Лист2!A:E,5,0)</f>
        <v>малые</v>
      </c>
      <c r="E1502">
        <f>VLOOKUP(A1502,Лист2!A:E,4,0)</f>
        <v>2.5</v>
      </c>
      <c r="F1502" s="12">
        <f t="shared" si="105"/>
        <v>-23000</v>
      </c>
      <c r="G1502">
        <f t="shared" si="106"/>
        <v>154800</v>
      </c>
      <c r="H1502">
        <f t="shared" si="107"/>
        <v>-9200</v>
      </c>
    </row>
    <row r="1503" spans="1:8">
      <c r="A1503" t="s">
        <v>18</v>
      </c>
      <c r="B1503">
        <v>74000</v>
      </c>
      <c r="C1503">
        <v>55000</v>
      </c>
      <c r="D1503" t="str">
        <f>VLOOKUP(A1503,Лист2!A:E,5,0)</f>
        <v>малые</v>
      </c>
      <c r="E1503">
        <f>VLOOKUP(A1503,Лист2!A:E,4,0)</f>
        <v>2.5</v>
      </c>
      <c r="F1503" s="12">
        <f t="shared" si="105"/>
        <v>19000</v>
      </c>
      <c r="G1503">
        <f t="shared" si="106"/>
        <v>29600</v>
      </c>
      <c r="H1503">
        <f t="shared" si="107"/>
        <v>7600</v>
      </c>
    </row>
    <row r="1504" spans="1:8">
      <c r="A1504" t="s">
        <v>23</v>
      </c>
      <c r="B1504">
        <v>64631000</v>
      </c>
      <c r="C1504">
        <v>55875000</v>
      </c>
      <c r="D1504" t="str">
        <f>VLOOKUP(A1504,Лист2!A:E,5,0)</f>
        <v>средние</v>
      </c>
      <c r="E1504">
        <f>VLOOKUP(A1504,Лист2!A:E,4,0)</f>
        <v>75.5</v>
      </c>
      <c r="F1504" s="12">
        <f t="shared" si="105"/>
        <v>8756000</v>
      </c>
      <c r="G1504">
        <f t="shared" si="106"/>
        <v>856039.73509933776</v>
      </c>
      <c r="H1504">
        <f t="shared" si="107"/>
        <v>115973.50993377484</v>
      </c>
    </row>
    <row r="1505" spans="1:8">
      <c r="A1505" t="s">
        <v>18</v>
      </c>
      <c r="B1505">
        <v>656000</v>
      </c>
      <c r="C1505">
        <v>676000</v>
      </c>
      <c r="D1505" t="str">
        <f>VLOOKUP(A1505,Лист2!A:E,5,0)</f>
        <v>малые</v>
      </c>
      <c r="E1505">
        <f>VLOOKUP(A1505,Лист2!A:E,4,0)</f>
        <v>2.5</v>
      </c>
      <c r="F1505" s="12">
        <f t="shared" si="105"/>
        <v>-20000</v>
      </c>
      <c r="G1505">
        <f t="shared" si="106"/>
        <v>262400</v>
      </c>
      <c r="H1505">
        <f t="shared" si="107"/>
        <v>-8000</v>
      </c>
    </row>
    <row r="1506" spans="1:8">
      <c r="A1506" t="s">
        <v>22</v>
      </c>
      <c r="B1506">
        <v>24601000</v>
      </c>
      <c r="C1506">
        <v>24558000</v>
      </c>
      <c r="D1506" t="str">
        <f>VLOOKUP(A1506,Лист2!A:E,5,0)</f>
        <v>малые</v>
      </c>
      <c r="E1506">
        <f>VLOOKUP(A1506,Лист2!A:E,4,0)</f>
        <v>13</v>
      </c>
      <c r="F1506" s="12">
        <f t="shared" si="105"/>
        <v>43000</v>
      </c>
      <c r="G1506">
        <f t="shared" si="106"/>
        <v>1892384.6153846155</v>
      </c>
      <c r="H1506">
        <f t="shared" si="107"/>
        <v>3307.6923076923076</v>
      </c>
    </row>
    <row r="1507" spans="1:8">
      <c r="A1507" t="s">
        <v>22</v>
      </c>
      <c r="B1507">
        <v>63245000</v>
      </c>
      <c r="C1507">
        <v>60782000</v>
      </c>
      <c r="D1507" t="str">
        <f>VLOOKUP(A1507,Лист2!A:E,5,0)</f>
        <v>малые</v>
      </c>
      <c r="E1507">
        <f>VLOOKUP(A1507,Лист2!A:E,4,0)</f>
        <v>13</v>
      </c>
      <c r="F1507" s="12">
        <f t="shared" si="105"/>
        <v>2463000</v>
      </c>
      <c r="G1507">
        <f t="shared" si="106"/>
        <v>4865000</v>
      </c>
      <c r="H1507">
        <f t="shared" si="107"/>
        <v>189461.53846153847</v>
      </c>
    </row>
    <row r="1508" spans="1:8">
      <c r="A1508" t="s">
        <v>18</v>
      </c>
      <c r="B1508">
        <v>7163000</v>
      </c>
      <c r="C1508">
        <v>9294000</v>
      </c>
      <c r="D1508" t="str">
        <f>VLOOKUP(A1508,Лист2!A:E,5,0)</f>
        <v>малые</v>
      </c>
      <c r="E1508">
        <f>VLOOKUP(A1508,Лист2!A:E,4,0)</f>
        <v>2.5</v>
      </c>
      <c r="F1508" s="12">
        <f t="shared" si="105"/>
        <v>-2131000</v>
      </c>
      <c r="G1508">
        <f t="shared" si="106"/>
        <v>2865200</v>
      </c>
      <c r="H1508">
        <f t="shared" si="107"/>
        <v>-852400</v>
      </c>
    </row>
    <row r="1509" spans="1:8">
      <c r="A1509" t="s">
        <v>18</v>
      </c>
      <c r="B1509">
        <v>909000</v>
      </c>
      <c r="C1509">
        <v>1467000</v>
      </c>
      <c r="D1509" t="str">
        <f>VLOOKUP(A1509,Лист2!A:E,5,0)</f>
        <v>малые</v>
      </c>
      <c r="E1509">
        <f>VLOOKUP(A1509,Лист2!A:E,4,0)</f>
        <v>2.5</v>
      </c>
      <c r="F1509" s="12">
        <f t="shared" si="105"/>
        <v>-558000</v>
      </c>
      <c r="G1509">
        <f t="shared" si="106"/>
        <v>363600</v>
      </c>
      <c r="H1509">
        <f t="shared" si="107"/>
        <v>-223200</v>
      </c>
    </row>
    <row r="1510" spans="1:8">
      <c r="A1510" t="s">
        <v>18</v>
      </c>
      <c r="B1510">
        <v>360000</v>
      </c>
      <c r="C1510">
        <v>352000</v>
      </c>
      <c r="D1510" t="str">
        <f>VLOOKUP(A1510,Лист2!A:E,5,0)</f>
        <v>малые</v>
      </c>
      <c r="E1510">
        <f>VLOOKUP(A1510,Лист2!A:E,4,0)</f>
        <v>2.5</v>
      </c>
      <c r="F1510" s="12">
        <f t="shared" si="105"/>
        <v>8000</v>
      </c>
      <c r="G1510">
        <f t="shared" si="106"/>
        <v>144000</v>
      </c>
      <c r="H1510">
        <f t="shared" si="107"/>
        <v>3200</v>
      </c>
    </row>
    <row r="1511" spans="1:8">
      <c r="A1511" t="s">
        <v>18</v>
      </c>
      <c r="B1511">
        <v>9194000</v>
      </c>
      <c r="C1511">
        <v>118023000</v>
      </c>
      <c r="D1511" t="str">
        <f>VLOOKUP(A1511,Лист2!A:E,5,0)</f>
        <v>малые</v>
      </c>
      <c r="E1511">
        <f>VLOOKUP(A1511,Лист2!A:E,4,0)</f>
        <v>2.5</v>
      </c>
      <c r="F1511" s="12">
        <f t="shared" si="105"/>
        <v>-108829000</v>
      </c>
      <c r="G1511">
        <f t="shared" si="106"/>
        <v>3677600</v>
      </c>
      <c r="H1511">
        <f t="shared" si="107"/>
        <v>-43531600</v>
      </c>
    </row>
    <row r="1512" spans="1:8">
      <c r="A1512" t="s">
        <v>18</v>
      </c>
      <c r="B1512">
        <v>15816000</v>
      </c>
      <c r="C1512">
        <v>13572000</v>
      </c>
      <c r="D1512" t="str">
        <f>VLOOKUP(A1512,Лист2!A:E,5,0)</f>
        <v>малые</v>
      </c>
      <c r="E1512">
        <f>VLOOKUP(A1512,Лист2!A:E,4,0)</f>
        <v>2.5</v>
      </c>
      <c r="F1512" s="12">
        <f t="shared" si="105"/>
        <v>2244000</v>
      </c>
      <c r="G1512">
        <f t="shared" si="106"/>
        <v>6326400</v>
      </c>
      <c r="H1512">
        <f t="shared" si="107"/>
        <v>897600</v>
      </c>
    </row>
    <row r="1513" spans="1:8">
      <c r="A1513" t="s">
        <v>18</v>
      </c>
      <c r="B1513">
        <v>2456000</v>
      </c>
      <c r="C1513">
        <v>2281000</v>
      </c>
      <c r="D1513" t="str">
        <f>VLOOKUP(A1513,Лист2!A:E,5,0)</f>
        <v>малые</v>
      </c>
      <c r="E1513">
        <f>VLOOKUP(A1513,Лист2!A:E,4,0)</f>
        <v>2.5</v>
      </c>
      <c r="F1513" s="12">
        <f t="shared" si="105"/>
        <v>175000</v>
      </c>
      <c r="G1513">
        <f t="shared" si="106"/>
        <v>982400</v>
      </c>
      <c r="H1513">
        <f t="shared" si="107"/>
        <v>70000</v>
      </c>
    </row>
    <row r="1514" spans="1:8">
      <c r="A1514" t="s">
        <v>18</v>
      </c>
      <c r="B1514">
        <v>2236000</v>
      </c>
      <c r="C1514">
        <v>2213000</v>
      </c>
      <c r="D1514" t="str">
        <f>VLOOKUP(A1514,Лист2!A:E,5,0)</f>
        <v>малые</v>
      </c>
      <c r="E1514">
        <f>VLOOKUP(A1514,Лист2!A:E,4,0)</f>
        <v>2.5</v>
      </c>
      <c r="F1514" s="12">
        <f t="shared" si="105"/>
        <v>23000</v>
      </c>
      <c r="G1514">
        <f t="shared" si="106"/>
        <v>894400</v>
      </c>
      <c r="H1514">
        <f t="shared" si="107"/>
        <v>9200</v>
      </c>
    </row>
    <row r="1515" spans="1:8">
      <c r="A1515" t="s">
        <v>18</v>
      </c>
      <c r="B1515">
        <v>868000</v>
      </c>
      <c r="C1515">
        <v>625000</v>
      </c>
      <c r="D1515" t="str">
        <f>VLOOKUP(A1515,Лист2!A:E,5,0)</f>
        <v>малые</v>
      </c>
      <c r="E1515">
        <f>VLOOKUP(A1515,Лист2!A:E,4,0)</f>
        <v>2.5</v>
      </c>
      <c r="F1515" s="12">
        <f t="shared" si="105"/>
        <v>243000</v>
      </c>
      <c r="G1515">
        <f t="shared" si="106"/>
        <v>347200</v>
      </c>
      <c r="H1515">
        <f t="shared" si="107"/>
        <v>97200</v>
      </c>
    </row>
    <row r="1516" spans="1:8">
      <c r="A1516" t="s">
        <v>18</v>
      </c>
      <c r="B1516">
        <v>3452000</v>
      </c>
      <c r="C1516">
        <v>3359000</v>
      </c>
      <c r="D1516" t="str">
        <f>VLOOKUP(A1516,Лист2!A:E,5,0)</f>
        <v>малые</v>
      </c>
      <c r="E1516">
        <f>VLOOKUP(A1516,Лист2!A:E,4,0)</f>
        <v>2.5</v>
      </c>
      <c r="F1516" s="12">
        <f t="shared" si="105"/>
        <v>93000</v>
      </c>
      <c r="G1516">
        <f t="shared" si="106"/>
        <v>1380800</v>
      </c>
      <c r="H1516">
        <f t="shared" si="107"/>
        <v>37200</v>
      </c>
    </row>
    <row r="1517" spans="1:8">
      <c r="A1517" t="s">
        <v>18</v>
      </c>
      <c r="B1517">
        <v>2517000</v>
      </c>
      <c r="C1517">
        <v>283000</v>
      </c>
      <c r="D1517" t="str">
        <f>VLOOKUP(A1517,Лист2!A:E,5,0)</f>
        <v>малые</v>
      </c>
      <c r="E1517">
        <f>VLOOKUP(A1517,Лист2!A:E,4,0)</f>
        <v>2.5</v>
      </c>
      <c r="F1517" s="12">
        <f t="shared" si="105"/>
        <v>2234000</v>
      </c>
      <c r="G1517">
        <f t="shared" si="106"/>
        <v>1006800</v>
      </c>
      <c r="H1517">
        <f t="shared" si="107"/>
        <v>893600</v>
      </c>
    </row>
    <row r="1518" spans="1:8">
      <c r="A1518" t="s">
        <v>18</v>
      </c>
      <c r="B1518">
        <v>3879000</v>
      </c>
      <c r="C1518">
        <v>2602000</v>
      </c>
      <c r="D1518" t="str">
        <f>VLOOKUP(A1518,Лист2!A:E,5,0)</f>
        <v>малые</v>
      </c>
      <c r="E1518">
        <f>VLOOKUP(A1518,Лист2!A:E,4,0)</f>
        <v>2.5</v>
      </c>
      <c r="F1518" s="12">
        <f t="shared" si="105"/>
        <v>1277000</v>
      </c>
      <c r="G1518">
        <f t="shared" si="106"/>
        <v>1551600</v>
      </c>
      <c r="H1518">
        <f t="shared" si="107"/>
        <v>510800</v>
      </c>
    </row>
    <row r="1519" spans="1:8">
      <c r="A1519" t="s">
        <v>18</v>
      </c>
      <c r="B1519">
        <v>8489000</v>
      </c>
      <c r="C1519">
        <v>7036000</v>
      </c>
      <c r="D1519" t="str">
        <f>VLOOKUP(A1519,Лист2!A:E,5,0)</f>
        <v>малые</v>
      </c>
      <c r="E1519">
        <f>VLOOKUP(A1519,Лист2!A:E,4,0)</f>
        <v>2.5</v>
      </c>
      <c r="F1519" s="12">
        <f t="shared" si="105"/>
        <v>1453000</v>
      </c>
      <c r="G1519">
        <f t="shared" si="106"/>
        <v>3395600</v>
      </c>
      <c r="H1519">
        <f t="shared" si="107"/>
        <v>581200</v>
      </c>
    </row>
    <row r="1520" spans="1:8">
      <c r="A1520" t="s">
        <v>18</v>
      </c>
      <c r="B1520">
        <v>1254000</v>
      </c>
      <c r="C1520">
        <v>1296000</v>
      </c>
      <c r="D1520" t="str">
        <f>VLOOKUP(A1520,Лист2!A:E,5,0)</f>
        <v>малые</v>
      </c>
      <c r="E1520">
        <f>VLOOKUP(A1520,Лист2!A:E,4,0)</f>
        <v>2.5</v>
      </c>
      <c r="F1520" s="12">
        <f t="shared" si="105"/>
        <v>-42000</v>
      </c>
      <c r="G1520">
        <f t="shared" si="106"/>
        <v>501600</v>
      </c>
      <c r="H1520">
        <f t="shared" si="107"/>
        <v>-16800</v>
      </c>
    </row>
    <row r="1521" spans="1:8">
      <c r="A1521" t="s">
        <v>18</v>
      </c>
      <c r="B1521">
        <v>174000</v>
      </c>
      <c r="C1521">
        <v>124000</v>
      </c>
      <c r="D1521" t="str">
        <f>VLOOKUP(A1521,Лист2!A:E,5,0)</f>
        <v>малые</v>
      </c>
      <c r="E1521">
        <f>VLOOKUP(A1521,Лист2!A:E,4,0)</f>
        <v>2.5</v>
      </c>
      <c r="F1521" s="12">
        <f t="shared" si="105"/>
        <v>50000</v>
      </c>
      <c r="G1521">
        <f t="shared" si="106"/>
        <v>69600</v>
      </c>
      <c r="H1521">
        <f t="shared" si="107"/>
        <v>20000</v>
      </c>
    </row>
    <row r="1522" spans="1:8">
      <c r="A1522" t="s">
        <v>18</v>
      </c>
      <c r="B1522">
        <v>28465000</v>
      </c>
      <c r="C1522">
        <v>19185000</v>
      </c>
      <c r="D1522" t="str">
        <f>VLOOKUP(A1522,Лист2!A:E,5,0)</f>
        <v>малые</v>
      </c>
      <c r="E1522">
        <f>VLOOKUP(A1522,Лист2!A:E,4,0)</f>
        <v>2.5</v>
      </c>
      <c r="F1522" s="12">
        <f t="shared" si="105"/>
        <v>9280000</v>
      </c>
      <c r="G1522">
        <f t="shared" si="106"/>
        <v>11386000</v>
      </c>
      <c r="H1522">
        <f t="shared" si="107"/>
        <v>3712000</v>
      </c>
    </row>
    <row r="1523" spans="1:8">
      <c r="A1523" t="s">
        <v>18</v>
      </c>
      <c r="B1523">
        <v>5253000</v>
      </c>
      <c r="C1523">
        <v>5234000</v>
      </c>
      <c r="D1523" t="str">
        <f>VLOOKUP(A1523,Лист2!A:E,5,0)</f>
        <v>малые</v>
      </c>
      <c r="E1523">
        <f>VLOOKUP(A1523,Лист2!A:E,4,0)</f>
        <v>2.5</v>
      </c>
      <c r="F1523" s="12">
        <f t="shared" si="105"/>
        <v>19000</v>
      </c>
      <c r="G1523">
        <f t="shared" si="106"/>
        <v>2101200</v>
      </c>
      <c r="H1523">
        <f t="shared" si="107"/>
        <v>7600</v>
      </c>
    </row>
    <row r="1524" spans="1:8">
      <c r="A1524" t="s">
        <v>18</v>
      </c>
      <c r="B1524">
        <v>2750000</v>
      </c>
      <c r="C1524">
        <v>2750000</v>
      </c>
      <c r="D1524" t="str">
        <f>VLOOKUP(A1524,Лист2!A:E,5,0)</f>
        <v>малые</v>
      </c>
      <c r="E1524">
        <f>VLOOKUP(A1524,Лист2!A:E,4,0)</f>
        <v>2.5</v>
      </c>
      <c r="F1524" s="12">
        <f t="shared" si="105"/>
        <v>0</v>
      </c>
      <c r="G1524">
        <f t="shared" si="106"/>
        <v>1100000</v>
      </c>
      <c r="H1524">
        <f t="shared" si="107"/>
        <v>0</v>
      </c>
    </row>
    <row r="1525" spans="1:8">
      <c r="A1525" t="s">
        <v>18</v>
      </c>
      <c r="B1525">
        <v>2178000</v>
      </c>
      <c r="C1525">
        <v>1692000</v>
      </c>
      <c r="D1525" t="str">
        <f>VLOOKUP(A1525,Лист2!A:E,5,0)</f>
        <v>малые</v>
      </c>
      <c r="E1525">
        <f>VLOOKUP(A1525,Лист2!A:E,4,0)</f>
        <v>2.5</v>
      </c>
      <c r="F1525" s="12">
        <f t="shared" si="105"/>
        <v>486000</v>
      </c>
      <c r="G1525">
        <f t="shared" si="106"/>
        <v>871200</v>
      </c>
      <c r="H1525">
        <f t="shared" si="107"/>
        <v>194400</v>
      </c>
    </row>
    <row r="1526" spans="1:8">
      <c r="A1526" t="s">
        <v>18</v>
      </c>
      <c r="B1526">
        <v>707000</v>
      </c>
      <c r="C1526">
        <v>118000</v>
      </c>
      <c r="D1526" t="str">
        <f>VLOOKUP(A1526,Лист2!A:E,5,0)</f>
        <v>малые</v>
      </c>
      <c r="E1526">
        <f>VLOOKUP(A1526,Лист2!A:E,4,0)</f>
        <v>2.5</v>
      </c>
      <c r="F1526" s="12">
        <f t="shared" si="105"/>
        <v>589000</v>
      </c>
      <c r="G1526">
        <f t="shared" si="106"/>
        <v>282800</v>
      </c>
      <c r="H1526">
        <f t="shared" si="107"/>
        <v>235600</v>
      </c>
    </row>
    <row r="1527" spans="1:8">
      <c r="A1527" t="s">
        <v>18</v>
      </c>
      <c r="B1527">
        <v>504000</v>
      </c>
      <c r="C1527">
        <v>464000</v>
      </c>
      <c r="D1527" t="str">
        <f>VLOOKUP(A1527,Лист2!A:E,5,0)</f>
        <v>малые</v>
      </c>
      <c r="E1527">
        <f>VLOOKUP(A1527,Лист2!A:E,4,0)</f>
        <v>2.5</v>
      </c>
      <c r="F1527" s="12">
        <f t="shared" si="105"/>
        <v>40000</v>
      </c>
      <c r="G1527">
        <f t="shared" si="106"/>
        <v>201600</v>
      </c>
      <c r="H1527">
        <f t="shared" si="107"/>
        <v>16000</v>
      </c>
    </row>
    <row r="1528" spans="1:8">
      <c r="A1528" t="s">
        <v>18</v>
      </c>
      <c r="B1528">
        <v>4990000</v>
      </c>
      <c r="C1528">
        <v>4980000</v>
      </c>
      <c r="D1528" t="str">
        <f>VLOOKUP(A1528,Лист2!A:E,5,0)</f>
        <v>малые</v>
      </c>
      <c r="E1528">
        <f>VLOOKUP(A1528,Лист2!A:E,4,0)</f>
        <v>2.5</v>
      </c>
      <c r="F1528" s="12">
        <f t="shared" si="105"/>
        <v>10000</v>
      </c>
      <c r="G1528">
        <f t="shared" si="106"/>
        <v>1996000</v>
      </c>
      <c r="H1528">
        <f t="shared" si="107"/>
        <v>4000</v>
      </c>
    </row>
    <row r="1529" spans="1:8">
      <c r="A1529" t="s">
        <v>18</v>
      </c>
      <c r="B1529">
        <v>829000</v>
      </c>
      <c r="C1529">
        <v>829000</v>
      </c>
      <c r="D1529" t="str">
        <f>VLOOKUP(A1529,Лист2!A:E,5,0)</f>
        <v>малые</v>
      </c>
      <c r="E1529">
        <f>VLOOKUP(A1529,Лист2!A:E,4,0)</f>
        <v>2.5</v>
      </c>
      <c r="F1529" s="12">
        <f t="shared" si="105"/>
        <v>0</v>
      </c>
      <c r="G1529">
        <f t="shared" si="106"/>
        <v>331600</v>
      </c>
      <c r="H1529">
        <f t="shared" si="107"/>
        <v>0</v>
      </c>
    </row>
    <row r="1530" spans="1:8">
      <c r="A1530" t="s">
        <v>18</v>
      </c>
      <c r="B1530">
        <v>465000</v>
      </c>
      <c r="C1530">
        <v>462000</v>
      </c>
      <c r="D1530" t="str">
        <f>VLOOKUP(A1530,Лист2!A:E,5,0)</f>
        <v>малые</v>
      </c>
      <c r="E1530">
        <f>VLOOKUP(A1530,Лист2!A:E,4,0)</f>
        <v>2.5</v>
      </c>
      <c r="F1530" s="12">
        <f t="shared" si="105"/>
        <v>3000</v>
      </c>
      <c r="G1530">
        <f t="shared" si="106"/>
        <v>186000</v>
      </c>
      <c r="H1530">
        <f t="shared" si="107"/>
        <v>1200</v>
      </c>
    </row>
    <row r="1531" spans="1:8">
      <c r="A1531" t="s">
        <v>18</v>
      </c>
      <c r="B1531">
        <v>508000</v>
      </c>
      <c r="C1531">
        <v>508000</v>
      </c>
      <c r="D1531" t="str">
        <f>VLOOKUP(A1531,Лист2!A:E,5,0)</f>
        <v>малые</v>
      </c>
      <c r="E1531">
        <f>VLOOKUP(A1531,Лист2!A:E,4,0)</f>
        <v>2.5</v>
      </c>
      <c r="F1531" s="12">
        <f t="shared" si="105"/>
        <v>0</v>
      </c>
      <c r="G1531">
        <f t="shared" si="106"/>
        <v>203200</v>
      </c>
      <c r="H1531">
        <f t="shared" si="107"/>
        <v>0</v>
      </c>
    </row>
    <row r="1532" spans="1:8">
      <c r="A1532" t="s">
        <v>18</v>
      </c>
      <c r="B1532">
        <v>550000</v>
      </c>
      <c r="C1532">
        <v>643000</v>
      </c>
      <c r="D1532" t="str">
        <f>VLOOKUP(A1532,Лист2!A:E,5,0)</f>
        <v>малые</v>
      </c>
      <c r="E1532">
        <f>VLOOKUP(A1532,Лист2!A:E,4,0)</f>
        <v>2.5</v>
      </c>
      <c r="F1532" s="12">
        <f t="shared" si="105"/>
        <v>-93000</v>
      </c>
      <c r="G1532">
        <f t="shared" si="106"/>
        <v>220000</v>
      </c>
      <c r="H1532">
        <f t="shared" si="107"/>
        <v>-37200</v>
      </c>
    </row>
    <row r="1533" spans="1:8">
      <c r="A1533" t="s">
        <v>18</v>
      </c>
      <c r="B1533">
        <v>1231000</v>
      </c>
      <c r="C1533">
        <v>1117000</v>
      </c>
      <c r="D1533" t="str">
        <f>VLOOKUP(A1533,Лист2!A:E,5,0)</f>
        <v>малые</v>
      </c>
      <c r="E1533">
        <f>VLOOKUP(A1533,Лист2!A:E,4,0)</f>
        <v>2.5</v>
      </c>
      <c r="F1533" s="12">
        <f t="shared" si="105"/>
        <v>114000</v>
      </c>
      <c r="G1533">
        <f t="shared" si="106"/>
        <v>492400</v>
      </c>
      <c r="H1533">
        <f t="shared" si="107"/>
        <v>45600</v>
      </c>
    </row>
    <row r="1534" spans="1:8">
      <c r="A1534" t="s">
        <v>18</v>
      </c>
      <c r="B1534">
        <v>821000</v>
      </c>
      <c r="C1534">
        <v>821000</v>
      </c>
      <c r="D1534" t="str">
        <f>VLOOKUP(A1534,Лист2!A:E,5,0)</f>
        <v>малые</v>
      </c>
      <c r="E1534">
        <f>VLOOKUP(A1534,Лист2!A:E,4,0)</f>
        <v>2.5</v>
      </c>
      <c r="F1534" s="12">
        <f t="shared" si="105"/>
        <v>0</v>
      </c>
      <c r="G1534">
        <f t="shared" si="106"/>
        <v>328400</v>
      </c>
      <c r="H1534">
        <f t="shared" si="107"/>
        <v>0</v>
      </c>
    </row>
    <row r="1535" spans="1:8">
      <c r="A1535" t="s">
        <v>18</v>
      </c>
      <c r="B1535">
        <v>1466000</v>
      </c>
      <c r="C1535">
        <v>1466000</v>
      </c>
      <c r="D1535" t="str">
        <f>VLOOKUP(A1535,Лист2!A:E,5,0)</f>
        <v>малые</v>
      </c>
      <c r="E1535">
        <f>VLOOKUP(A1535,Лист2!A:E,4,0)</f>
        <v>2.5</v>
      </c>
      <c r="F1535" s="12">
        <f t="shared" ref="F1535:F1578" si="108">B1535-C1535</f>
        <v>0</v>
      </c>
      <c r="G1535">
        <f t="shared" ref="G1535:G1578" si="109">B1535/E1535</f>
        <v>586400</v>
      </c>
      <c r="H1535">
        <f t="shared" ref="H1535:H1578" si="110">F1535/E1535</f>
        <v>0</v>
      </c>
    </row>
    <row r="1536" spans="1:8">
      <c r="A1536" t="s">
        <v>18</v>
      </c>
      <c r="B1536">
        <v>130000</v>
      </c>
      <c r="C1536">
        <v>19000</v>
      </c>
      <c r="D1536" t="str">
        <f>VLOOKUP(A1536,Лист2!A:E,5,0)</f>
        <v>малые</v>
      </c>
      <c r="E1536">
        <f>VLOOKUP(A1536,Лист2!A:E,4,0)</f>
        <v>2.5</v>
      </c>
      <c r="F1536" s="12">
        <f t="shared" si="108"/>
        <v>111000</v>
      </c>
      <c r="G1536">
        <f t="shared" si="109"/>
        <v>52000</v>
      </c>
      <c r="H1536">
        <f t="shared" si="110"/>
        <v>44400</v>
      </c>
    </row>
    <row r="1537" spans="1:8">
      <c r="A1537" t="s">
        <v>18</v>
      </c>
      <c r="B1537">
        <v>464000</v>
      </c>
      <c r="C1537">
        <v>464000</v>
      </c>
      <c r="D1537" t="str">
        <f>VLOOKUP(A1537,Лист2!A:E,5,0)</f>
        <v>малые</v>
      </c>
      <c r="E1537">
        <f>VLOOKUP(A1537,Лист2!A:E,4,0)</f>
        <v>2.5</v>
      </c>
      <c r="F1537" s="12">
        <f t="shared" si="108"/>
        <v>0</v>
      </c>
      <c r="G1537">
        <f t="shared" si="109"/>
        <v>185600</v>
      </c>
      <c r="H1537">
        <f t="shared" si="110"/>
        <v>0</v>
      </c>
    </row>
    <row r="1538" spans="1:8">
      <c r="A1538" t="s">
        <v>18</v>
      </c>
      <c r="B1538">
        <v>38879000</v>
      </c>
      <c r="C1538">
        <v>38214000</v>
      </c>
      <c r="D1538" t="str">
        <f>VLOOKUP(A1538,Лист2!A:E,5,0)</f>
        <v>малые</v>
      </c>
      <c r="E1538">
        <f>VLOOKUP(A1538,Лист2!A:E,4,0)</f>
        <v>2.5</v>
      </c>
      <c r="F1538" s="12">
        <f t="shared" si="108"/>
        <v>665000</v>
      </c>
      <c r="G1538">
        <f t="shared" si="109"/>
        <v>15551600</v>
      </c>
      <c r="H1538">
        <f t="shared" si="110"/>
        <v>266000</v>
      </c>
    </row>
    <row r="1539" spans="1:8">
      <c r="A1539" t="s">
        <v>18</v>
      </c>
      <c r="B1539">
        <v>1660000</v>
      </c>
      <c r="C1539">
        <v>2196000</v>
      </c>
      <c r="D1539" t="str">
        <f>VLOOKUP(A1539,Лист2!A:E,5,0)</f>
        <v>малые</v>
      </c>
      <c r="E1539">
        <f>VLOOKUP(A1539,Лист2!A:E,4,0)</f>
        <v>2.5</v>
      </c>
      <c r="F1539" s="12">
        <f t="shared" si="108"/>
        <v>-536000</v>
      </c>
      <c r="G1539">
        <f t="shared" si="109"/>
        <v>664000</v>
      </c>
      <c r="H1539">
        <f t="shared" si="110"/>
        <v>-214400</v>
      </c>
    </row>
    <row r="1540" spans="1:8">
      <c r="A1540" t="s">
        <v>18</v>
      </c>
      <c r="B1540">
        <v>12556000</v>
      </c>
      <c r="C1540">
        <v>9213000</v>
      </c>
      <c r="D1540" t="str">
        <f>VLOOKUP(A1540,Лист2!A:E,5,0)</f>
        <v>малые</v>
      </c>
      <c r="E1540">
        <f>VLOOKUP(A1540,Лист2!A:E,4,0)</f>
        <v>2.5</v>
      </c>
      <c r="F1540" s="12">
        <f t="shared" si="108"/>
        <v>3343000</v>
      </c>
      <c r="G1540">
        <f t="shared" si="109"/>
        <v>5022400</v>
      </c>
      <c r="H1540">
        <f t="shared" si="110"/>
        <v>1337200</v>
      </c>
    </row>
    <row r="1541" spans="1:8">
      <c r="A1541" t="s">
        <v>77</v>
      </c>
      <c r="B1541">
        <v>3843000</v>
      </c>
      <c r="C1541">
        <v>3559000</v>
      </c>
      <c r="D1541" t="str">
        <f>VLOOKUP(A1541,Лист2!A:E,5,0)</f>
        <v>малые</v>
      </c>
      <c r="E1541">
        <f>VLOOKUP(A1541,Лист2!A:E,4,0)</f>
        <v>8</v>
      </c>
      <c r="F1541" s="12">
        <f t="shared" si="108"/>
        <v>284000</v>
      </c>
      <c r="G1541">
        <f t="shared" si="109"/>
        <v>480375</v>
      </c>
      <c r="H1541">
        <f t="shared" si="110"/>
        <v>35500</v>
      </c>
    </row>
    <row r="1542" spans="1:8">
      <c r="A1542" t="s">
        <v>18</v>
      </c>
      <c r="B1542">
        <v>2454000</v>
      </c>
      <c r="C1542">
        <v>2461000</v>
      </c>
      <c r="D1542" t="str">
        <f>VLOOKUP(A1542,Лист2!A:E,5,0)</f>
        <v>малые</v>
      </c>
      <c r="E1542">
        <f>VLOOKUP(A1542,Лист2!A:E,4,0)</f>
        <v>2.5</v>
      </c>
      <c r="F1542" s="12">
        <f t="shared" si="108"/>
        <v>-7000</v>
      </c>
      <c r="G1542">
        <f t="shared" si="109"/>
        <v>981600</v>
      </c>
      <c r="H1542">
        <f t="shared" si="110"/>
        <v>-2800</v>
      </c>
    </row>
    <row r="1543" spans="1:8">
      <c r="A1543" t="s">
        <v>18</v>
      </c>
      <c r="B1543">
        <v>16245000</v>
      </c>
      <c r="C1543">
        <v>1433000</v>
      </c>
      <c r="D1543" t="str">
        <f>VLOOKUP(A1543,Лист2!A:E,5,0)</f>
        <v>малые</v>
      </c>
      <c r="E1543">
        <f>VLOOKUP(A1543,Лист2!A:E,4,0)</f>
        <v>2.5</v>
      </c>
      <c r="F1543" s="12">
        <f t="shared" si="108"/>
        <v>14812000</v>
      </c>
      <c r="G1543">
        <f t="shared" si="109"/>
        <v>6498000</v>
      </c>
      <c r="H1543">
        <f t="shared" si="110"/>
        <v>5924800</v>
      </c>
    </row>
    <row r="1544" spans="1:8">
      <c r="A1544" t="s">
        <v>18</v>
      </c>
      <c r="B1544">
        <v>10183000</v>
      </c>
      <c r="C1544">
        <v>10233000</v>
      </c>
      <c r="D1544" t="str">
        <f>VLOOKUP(A1544,Лист2!A:E,5,0)</f>
        <v>малые</v>
      </c>
      <c r="E1544">
        <f>VLOOKUP(A1544,Лист2!A:E,4,0)</f>
        <v>2.5</v>
      </c>
      <c r="F1544" s="12">
        <f t="shared" si="108"/>
        <v>-50000</v>
      </c>
      <c r="G1544">
        <f t="shared" si="109"/>
        <v>4073200</v>
      </c>
      <c r="H1544">
        <f t="shared" si="110"/>
        <v>-20000</v>
      </c>
    </row>
    <row r="1545" spans="1:8">
      <c r="A1545" t="s">
        <v>18</v>
      </c>
      <c r="B1545">
        <v>50000</v>
      </c>
      <c r="C1545">
        <v>125000</v>
      </c>
      <c r="D1545" t="str">
        <f>VLOOKUP(A1545,Лист2!A:E,5,0)</f>
        <v>малые</v>
      </c>
      <c r="E1545">
        <f>VLOOKUP(A1545,Лист2!A:E,4,0)</f>
        <v>2.5</v>
      </c>
      <c r="F1545" s="12">
        <f t="shared" si="108"/>
        <v>-75000</v>
      </c>
      <c r="G1545">
        <f t="shared" si="109"/>
        <v>20000</v>
      </c>
      <c r="H1545">
        <f t="shared" si="110"/>
        <v>-30000</v>
      </c>
    </row>
    <row r="1546" spans="1:8">
      <c r="A1546" t="s">
        <v>18</v>
      </c>
      <c r="B1546">
        <v>5547000</v>
      </c>
      <c r="C1546">
        <v>5720000</v>
      </c>
      <c r="D1546" t="str">
        <f>VLOOKUP(A1546,Лист2!A:E,5,0)</f>
        <v>малые</v>
      </c>
      <c r="E1546">
        <f>VLOOKUP(A1546,Лист2!A:E,4,0)</f>
        <v>2.5</v>
      </c>
      <c r="F1546" s="12">
        <f t="shared" si="108"/>
        <v>-173000</v>
      </c>
      <c r="G1546">
        <f t="shared" si="109"/>
        <v>2218800</v>
      </c>
      <c r="H1546">
        <f t="shared" si="110"/>
        <v>-69200</v>
      </c>
    </row>
    <row r="1547" spans="1:8">
      <c r="A1547" t="s">
        <v>18</v>
      </c>
      <c r="B1547">
        <v>5527000</v>
      </c>
      <c r="C1547">
        <v>3073000</v>
      </c>
      <c r="D1547" t="str">
        <f>VLOOKUP(A1547,Лист2!A:E,5,0)</f>
        <v>малые</v>
      </c>
      <c r="E1547">
        <f>VLOOKUP(A1547,Лист2!A:E,4,0)</f>
        <v>2.5</v>
      </c>
      <c r="F1547" s="12">
        <f t="shared" si="108"/>
        <v>2454000</v>
      </c>
      <c r="G1547">
        <f t="shared" si="109"/>
        <v>2210800</v>
      </c>
      <c r="H1547">
        <f t="shared" si="110"/>
        <v>981600</v>
      </c>
    </row>
    <row r="1548" spans="1:8">
      <c r="A1548" t="s">
        <v>18</v>
      </c>
      <c r="B1548">
        <v>3290000</v>
      </c>
      <c r="C1548">
        <v>4337000</v>
      </c>
      <c r="D1548" t="str">
        <f>VLOOKUP(A1548,Лист2!A:E,5,0)</f>
        <v>малые</v>
      </c>
      <c r="E1548">
        <f>VLOOKUP(A1548,Лист2!A:E,4,0)</f>
        <v>2.5</v>
      </c>
      <c r="F1548" s="12">
        <f t="shared" si="108"/>
        <v>-1047000</v>
      </c>
      <c r="G1548">
        <f t="shared" si="109"/>
        <v>1316000</v>
      </c>
      <c r="H1548">
        <f t="shared" si="110"/>
        <v>-418800</v>
      </c>
    </row>
    <row r="1549" spans="1:8">
      <c r="A1549" t="s">
        <v>18</v>
      </c>
      <c r="B1549">
        <v>143000</v>
      </c>
      <c r="C1549">
        <v>146000</v>
      </c>
      <c r="D1549" t="str">
        <f>VLOOKUP(A1549,Лист2!A:E,5,0)</f>
        <v>малые</v>
      </c>
      <c r="E1549">
        <f>VLOOKUP(A1549,Лист2!A:E,4,0)</f>
        <v>2.5</v>
      </c>
      <c r="F1549" s="12">
        <f t="shared" si="108"/>
        <v>-3000</v>
      </c>
      <c r="G1549">
        <f t="shared" si="109"/>
        <v>57200</v>
      </c>
      <c r="H1549">
        <f t="shared" si="110"/>
        <v>-1200</v>
      </c>
    </row>
    <row r="1550" spans="1:8">
      <c r="A1550" t="s">
        <v>18</v>
      </c>
      <c r="B1550">
        <v>317000</v>
      </c>
      <c r="C1550">
        <v>291000</v>
      </c>
      <c r="D1550" t="str">
        <f>VLOOKUP(A1550,Лист2!A:E,5,0)</f>
        <v>малые</v>
      </c>
      <c r="E1550">
        <f>VLOOKUP(A1550,Лист2!A:E,4,0)</f>
        <v>2.5</v>
      </c>
      <c r="F1550" s="12">
        <f t="shared" si="108"/>
        <v>26000</v>
      </c>
      <c r="G1550">
        <f t="shared" si="109"/>
        <v>126800</v>
      </c>
      <c r="H1550">
        <f t="shared" si="110"/>
        <v>10400</v>
      </c>
    </row>
    <row r="1551" spans="1:8">
      <c r="A1551" t="s">
        <v>18</v>
      </c>
      <c r="B1551">
        <v>5131000</v>
      </c>
      <c r="C1551">
        <v>3391000</v>
      </c>
      <c r="D1551" t="str">
        <f>VLOOKUP(A1551,Лист2!A:E,5,0)</f>
        <v>малые</v>
      </c>
      <c r="E1551">
        <f>VLOOKUP(A1551,Лист2!A:E,4,0)</f>
        <v>2.5</v>
      </c>
      <c r="F1551" s="12">
        <f t="shared" si="108"/>
        <v>1740000</v>
      </c>
      <c r="G1551">
        <f t="shared" si="109"/>
        <v>2052400</v>
      </c>
      <c r="H1551">
        <f t="shared" si="110"/>
        <v>696000</v>
      </c>
    </row>
    <row r="1552" spans="1:8">
      <c r="A1552" t="s">
        <v>18</v>
      </c>
      <c r="B1552">
        <v>6659000</v>
      </c>
      <c r="C1552">
        <v>4187000</v>
      </c>
      <c r="D1552" t="str">
        <f>VLOOKUP(A1552,Лист2!A:E,5,0)</f>
        <v>малые</v>
      </c>
      <c r="E1552">
        <f>VLOOKUP(A1552,Лист2!A:E,4,0)</f>
        <v>2.5</v>
      </c>
      <c r="F1552" s="12">
        <f t="shared" si="108"/>
        <v>2472000</v>
      </c>
      <c r="G1552">
        <f t="shared" si="109"/>
        <v>2663600</v>
      </c>
      <c r="H1552">
        <f t="shared" si="110"/>
        <v>988800</v>
      </c>
    </row>
    <row r="1553" spans="1:8">
      <c r="A1553" t="s">
        <v>18</v>
      </c>
      <c r="B1553">
        <v>4331000</v>
      </c>
      <c r="C1553">
        <v>4050000</v>
      </c>
      <c r="D1553" t="str">
        <f>VLOOKUP(A1553,Лист2!A:E,5,0)</f>
        <v>малые</v>
      </c>
      <c r="E1553">
        <f>VLOOKUP(A1553,Лист2!A:E,4,0)</f>
        <v>2.5</v>
      </c>
      <c r="F1553" s="12">
        <f t="shared" si="108"/>
        <v>281000</v>
      </c>
      <c r="G1553">
        <f t="shared" si="109"/>
        <v>1732400</v>
      </c>
      <c r="H1553">
        <f t="shared" si="110"/>
        <v>112400</v>
      </c>
    </row>
    <row r="1554" spans="1:8">
      <c r="A1554" t="s">
        <v>18</v>
      </c>
      <c r="B1554">
        <v>5525000</v>
      </c>
      <c r="C1554">
        <v>5525000</v>
      </c>
      <c r="D1554" t="str">
        <f>VLOOKUP(A1554,Лист2!A:E,5,0)</f>
        <v>малые</v>
      </c>
      <c r="E1554">
        <f>VLOOKUP(A1554,Лист2!A:E,4,0)</f>
        <v>2.5</v>
      </c>
      <c r="F1554" s="12">
        <f t="shared" si="108"/>
        <v>0</v>
      </c>
      <c r="G1554">
        <f t="shared" si="109"/>
        <v>2210000</v>
      </c>
      <c r="H1554">
        <f t="shared" si="110"/>
        <v>0</v>
      </c>
    </row>
    <row r="1555" spans="1:8">
      <c r="A1555" t="s">
        <v>18</v>
      </c>
      <c r="B1555">
        <v>5800000</v>
      </c>
      <c r="C1555">
        <v>5958000</v>
      </c>
      <c r="D1555" t="str">
        <f>VLOOKUP(A1555,Лист2!A:E,5,0)</f>
        <v>малые</v>
      </c>
      <c r="E1555">
        <f>VLOOKUP(A1555,Лист2!A:E,4,0)</f>
        <v>2.5</v>
      </c>
      <c r="F1555" s="12">
        <f t="shared" si="108"/>
        <v>-158000</v>
      </c>
      <c r="G1555">
        <f t="shared" si="109"/>
        <v>2320000</v>
      </c>
      <c r="H1555">
        <f t="shared" si="110"/>
        <v>-63200</v>
      </c>
    </row>
    <row r="1556" spans="1:8">
      <c r="A1556" t="s">
        <v>18</v>
      </c>
      <c r="B1556">
        <v>28000</v>
      </c>
      <c r="C1556">
        <v>33000</v>
      </c>
      <c r="D1556" t="str">
        <f>VLOOKUP(A1556,Лист2!A:E,5,0)</f>
        <v>малые</v>
      </c>
      <c r="E1556">
        <f>VLOOKUP(A1556,Лист2!A:E,4,0)</f>
        <v>2.5</v>
      </c>
      <c r="F1556" s="12">
        <f t="shared" si="108"/>
        <v>-5000</v>
      </c>
      <c r="G1556">
        <f t="shared" si="109"/>
        <v>11200</v>
      </c>
      <c r="H1556">
        <f t="shared" si="110"/>
        <v>-2000</v>
      </c>
    </row>
    <row r="1557" spans="1:8">
      <c r="A1557" t="s">
        <v>18</v>
      </c>
      <c r="B1557">
        <v>29000</v>
      </c>
      <c r="C1557">
        <v>105000</v>
      </c>
      <c r="D1557" t="str">
        <f>VLOOKUP(A1557,Лист2!A:E,5,0)</f>
        <v>малые</v>
      </c>
      <c r="E1557">
        <f>VLOOKUP(A1557,Лист2!A:E,4,0)</f>
        <v>2.5</v>
      </c>
      <c r="F1557" s="12">
        <f t="shared" si="108"/>
        <v>-76000</v>
      </c>
      <c r="G1557">
        <f t="shared" si="109"/>
        <v>11600</v>
      </c>
      <c r="H1557">
        <f t="shared" si="110"/>
        <v>-30400</v>
      </c>
    </row>
    <row r="1558" spans="1:8">
      <c r="A1558" t="s">
        <v>18</v>
      </c>
      <c r="B1558">
        <v>26318000</v>
      </c>
      <c r="C1558">
        <v>20740000</v>
      </c>
      <c r="D1558" t="str">
        <f>VLOOKUP(A1558,Лист2!A:E,5,0)</f>
        <v>малые</v>
      </c>
      <c r="E1558">
        <f>VLOOKUP(A1558,Лист2!A:E,4,0)</f>
        <v>2.5</v>
      </c>
      <c r="F1558" s="12">
        <f t="shared" si="108"/>
        <v>5578000</v>
      </c>
      <c r="G1558">
        <f t="shared" si="109"/>
        <v>10527200</v>
      </c>
      <c r="H1558">
        <f t="shared" si="110"/>
        <v>2231200</v>
      </c>
    </row>
    <row r="1559" spans="1:8">
      <c r="A1559" t="s">
        <v>22</v>
      </c>
      <c r="B1559">
        <v>77573000</v>
      </c>
      <c r="C1559">
        <v>73408000</v>
      </c>
      <c r="D1559" t="str">
        <f>VLOOKUP(A1559,Лист2!A:E,5,0)</f>
        <v>малые</v>
      </c>
      <c r="E1559">
        <f>VLOOKUP(A1559,Лист2!A:E,4,0)</f>
        <v>13</v>
      </c>
      <c r="F1559" s="12">
        <f t="shared" si="108"/>
        <v>4165000</v>
      </c>
      <c r="G1559">
        <f t="shared" si="109"/>
        <v>5967153.846153846</v>
      </c>
      <c r="H1559">
        <f t="shared" si="110"/>
        <v>320384.61538461538</v>
      </c>
    </row>
    <row r="1560" spans="1:8">
      <c r="A1560" t="s">
        <v>18</v>
      </c>
      <c r="B1560">
        <v>1482000</v>
      </c>
      <c r="C1560">
        <v>1266000</v>
      </c>
      <c r="D1560" t="str">
        <f>VLOOKUP(A1560,Лист2!A:E,5,0)</f>
        <v>малые</v>
      </c>
      <c r="E1560">
        <f>VLOOKUP(A1560,Лист2!A:E,4,0)</f>
        <v>2.5</v>
      </c>
      <c r="F1560" s="12">
        <f t="shared" si="108"/>
        <v>216000</v>
      </c>
      <c r="G1560">
        <f t="shared" si="109"/>
        <v>592800</v>
      </c>
      <c r="H1560">
        <f t="shared" si="110"/>
        <v>86400</v>
      </c>
    </row>
    <row r="1561" spans="1:8">
      <c r="A1561" t="s">
        <v>18</v>
      </c>
      <c r="B1561">
        <v>245000</v>
      </c>
      <c r="C1561">
        <v>245000</v>
      </c>
      <c r="D1561" t="str">
        <f>VLOOKUP(A1561,Лист2!A:E,5,0)</f>
        <v>малые</v>
      </c>
      <c r="E1561">
        <f>VLOOKUP(A1561,Лист2!A:E,4,0)</f>
        <v>2.5</v>
      </c>
      <c r="F1561" s="12">
        <f t="shared" si="108"/>
        <v>0</v>
      </c>
      <c r="G1561">
        <f t="shared" si="109"/>
        <v>98000</v>
      </c>
      <c r="H1561">
        <f t="shared" si="110"/>
        <v>0</v>
      </c>
    </row>
    <row r="1562" spans="1:8">
      <c r="A1562" t="s">
        <v>18</v>
      </c>
      <c r="B1562">
        <v>9968000</v>
      </c>
      <c r="C1562">
        <v>9022000</v>
      </c>
      <c r="D1562" t="str">
        <f>VLOOKUP(A1562,Лист2!A:E,5,0)</f>
        <v>малые</v>
      </c>
      <c r="E1562">
        <f>VLOOKUP(A1562,Лист2!A:E,4,0)</f>
        <v>2.5</v>
      </c>
      <c r="F1562" s="12">
        <f t="shared" si="108"/>
        <v>946000</v>
      </c>
      <c r="G1562">
        <f t="shared" si="109"/>
        <v>3987200</v>
      </c>
      <c r="H1562">
        <f t="shared" si="110"/>
        <v>378400</v>
      </c>
    </row>
    <row r="1563" spans="1:8">
      <c r="A1563" t="s">
        <v>18</v>
      </c>
      <c r="B1563">
        <v>4401000</v>
      </c>
      <c r="C1563">
        <v>4526000</v>
      </c>
      <c r="D1563" t="str">
        <f>VLOOKUP(A1563,Лист2!A:E,5,0)</f>
        <v>малые</v>
      </c>
      <c r="E1563">
        <f>VLOOKUP(A1563,Лист2!A:E,4,0)</f>
        <v>2.5</v>
      </c>
      <c r="F1563" s="12">
        <f t="shared" si="108"/>
        <v>-125000</v>
      </c>
      <c r="G1563">
        <f t="shared" si="109"/>
        <v>1760400</v>
      </c>
      <c r="H1563">
        <f t="shared" si="110"/>
        <v>-50000</v>
      </c>
    </row>
    <row r="1564" spans="1:8">
      <c r="A1564" t="s">
        <v>18</v>
      </c>
      <c r="B1564">
        <v>4341000</v>
      </c>
      <c r="C1564">
        <v>4442000</v>
      </c>
      <c r="D1564" t="str">
        <f>VLOOKUP(A1564,Лист2!A:E,5,0)</f>
        <v>малые</v>
      </c>
      <c r="E1564">
        <f>VLOOKUP(A1564,Лист2!A:E,4,0)</f>
        <v>2.5</v>
      </c>
      <c r="F1564" s="12">
        <f t="shared" si="108"/>
        <v>-101000</v>
      </c>
      <c r="G1564">
        <f t="shared" si="109"/>
        <v>1736400</v>
      </c>
      <c r="H1564">
        <f t="shared" si="110"/>
        <v>-40400</v>
      </c>
    </row>
    <row r="1565" spans="1:8">
      <c r="A1565" t="s">
        <v>18</v>
      </c>
      <c r="B1565">
        <v>8919000</v>
      </c>
      <c r="C1565">
        <v>7765000</v>
      </c>
      <c r="D1565" t="str">
        <f>VLOOKUP(A1565,Лист2!A:E,5,0)</f>
        <v>малые</v>
      </c>
      <c r="E1565">
        <f>VLOOKUP(A1565,Лист2!A:E,4,0)</f>
        <v>2.5</v>
      </c>
      <c r="F1565" s="12">
        <f t="shared" si="108"/>
        <v>1154000</v>
      </c>
      <c r="G1565">
        <f t="shared" si="109"/>
        <v>3567600</v>
      </c>
      <c r="H1565">
        <f t="shared" si="110"/>
        <v>461600</v>
      </c>
    </row>
    <row r="1566" spans="1:8">
      <c r="A1566" t="s">
        <v>18</v>
      </c>
      <c r="B1566">
        <v>9060000</v>
      </c>
      <c r="C1566">
        <v>9245000</v>
      </c>
      <c r="D1566" t="str">
        <f>VLOOKUP(A1566,Лист2!A:E,5,0)</f>
        <v>малые</v>
      </c>
      <c r="E1566">
        <f>VLOOKUP(A1566,Лист2!A:E,4,0)</f>
        <v>2.5</v>
      </c>
      <c r="F1566" s="12">
        <f t="shared" si="108"/>
        <v>-185000</v>
      </c>
      <c r="G1566">
        <f t="shared" si="109"/>
        <v>3624000</v>
      </c>
      <c r="H1566">
        <f t="shared" si="110"/>
        <v>-74000</v>
      </c>
    </row>
    <row r="1567" spans="1:8">
      <c r="A1567" t="s">
        <v>18</v>
      </c>
      <c r="B1567">
        <v>1788000</v>
      </c>
      <c r="C1567">
        <v>1764000</v>
      </c>
      <c r="D1567" t="str">
        <f>VLOOKUP(A1567,Лист2!A:E,5,0)</f>
        <v>малые</v>
      </c>
      <c r="E1567">
        <f>VLOOKUP(A1567,Лист2!A:E,4,0)</f>
        <v>2.5</v>
      </c>
      <c r="F1567" s="12">
        <f t="shared" si="108"/>
        <v>24000</v>
      </c>
      <c r="G1567">
        <f t="shared" si="109"/>
        <v>715200</v>
      </c>
      <c r="H1567">
        <f t="shared" si="110"/>
        <v>9600</v>
      </c>
    </row>
    <row r="1568" spans="1:8">
      <c r="A1568" t="s">
        <v>23</v>
      </c>
      <c r="B1568">
        <v>81043000</v>
      </c>
      <c r="C1568">
        <v>80721000</v>
      </c>
      <c r="D1568" t="str">
        <f>VLOOKUP(A1568,Лист2!A:E,5,0)</f>
        <v>средние</v>
      </c>
      <c r="E1568">
        <f>VLOOKUP(A1568,Лист2!A:E,4,0)</f>
        <v>75.5</v>
      </c>
      <c r="F1568" s="12">
        <f t="shared" si="108"/>
        <v>322000</v>
      </c>
      <c r="G1568">
        <f t="shared" si="109"/>
        <v>1073417.2185430464</v>
      </c>
      <c r="H1568">
        <f t="shared" si="110"/>
        <v>4264.9006622516554</v>
      </c>
    </row>
    <row r="1569" spans="1:8">
      <c r="A1569" t="s">
        <v>18</v>
      </c>
      <c r="B1569">
        <v>803000</v>
      </c>
      <c r="C1569">
        <v>811000</v>
      </c>
      <c r="D1569" t="str">
        <f>VLOOKUP(A1569,Лист2!A:E,5,0)</f>
        <v>малые</v>
      </c>
      <c r="E1569">
        <f>VLOOKUP(A1569,Лист2!A:E,4,0)</f>
        <v>2.5</v>
      </c>
      <c r="F1569" s="12">
        <f t="shared" si="108"/>
        <v>-8000</v>
      </c>
      <c r="G1569">
        <f t="shared" si="109"/>
        <v>321200</v>
      </c>
      <c r="H1569">
        <f t="shared" si="110"/>
        <v>-3200</v>
      </c>
    </row>
    <row r="1570" spans="1:8">
      <c r="A1570" t="s">
        <v>18</v>
      </c>
      <c r="B1570">
        <v>22214000</v>
      </c>
      <c r="C1570">
        <v>14294000</v>
      </c>
      <c r="D1570" t="str">
        <f>VLOOKUP(A1570,Лист2!A:E,5,0)</f>
        <v>малые</v>
      </c>
      <c r="E1570">
        <f>VLOOKUP(A1570,Лист2!A:E,4,0)</f>
        <v>2.5</v>
      </c>
      <c r="F1570" s="12">
        <f t="shared" si="108"/>
        <v>7920000</v>
      </c>
      <c r="G1570">
        <f t="shared" si="109"/>
        <v>8885600</v>
      </c>
      <c r="H1570">
        <f t="shared" si="110"/>
        <v>3168000</v>
      </c>
    </row>
    <row r="1571" spans="1:8">
      <c r="A1571" t="s">
        <v>22</v>
      </c>
      <c r="B1571">
        <v>23646000</v>
      </c>
      <c r="C1571">
        <v>21890000</v>
      </c>
      <c r="D1571" t="str">
        <f>VLOOKUP(A1571,Лист2!A:E,5,0)</f>
        <v>малые</v>
      </c>
      <c r="E1571">
        <f>VLOOKUP(A1571,Лист2!A:E,4,0)</f>
        <v>13</v>
      </c>
      <c r="F1571" s="12">
        <f t="shared" si="108"/>
        <v>1756000</v>
      </c>
      <c r="G1571">
        <f t="shared" si="109"/>
        <v>1818923.076923077</v>
      </c>
      <c r="H1571">
        <f t="shared" si="110"/>
        <v>135076.92307692306</v>
      </c>
    </row>
    <row r="1572" spans="1:8">
      <c r="A1572" t="s">
        <v>18</v>
      </c>
      <c r="B1572">
        <v>14600000</v>
      </c>
      <c r="C1572">
        <v>14552000</v>
      </c>
      <c r="D1572" t="str">
        <f>VLOOKUP(A1572,Лист2!A:E,5,0)</f>
        <v>малые</v>
      </c>
      <c r="E1572">
        <f>VLOOKUP(A1572,Лист2!A:E,4,0)</f>
        <v>2.5</v>
      </c>
      <c r="F1572" s="12">
        <f t="shared" si="108"/>
        <v>48000</v>
      </c>
      <c r="G1572">
        <f t="shared" si="109"/>
        <v>5840000</v>
      </c>
      <c r="H1572">
        <f t="shared" si="110"/>
        <v>19200</v>
      </c>
    </row>
    <row r="1573" spans="1:8">
      <c r="A1573" t="s">
        <v>18</v>
      </c>
      <c r="B1573">
        <v>3316000</v>
      </c>
      <c r="C1573">
        <v>3318000</v>
      </c>
      <c r="D1573" t="str">
        <f>VLOOKUP(A1573,Лист2!A:E,5,0)</f>
        <v>малые</v>
      </c>
      <c r="E1573">
        <f>VLOOKUP(A1573,Лист2!A:E,4,0)</f>
        <v>2.5</v>
      </c>
      <c r="F1573" s="12">
        <f t="shared" si="108"/>
        <v>-2000</v>
      </c>
      <c r="G1573">
        <f t="shared" si="109"/>
        <v>1326400</v>
      </c>
      <c r="H1573">
        <f t="shared" si="110"/>
        <v>-800</v>
      </c>
    </row>
    <row r="1574" spans="1:8">
      <c r="A1574" t="s">
        <v>18</v>
      </c>
      <c r="B1574">
        <v>18000</v>
      </c>
      <c r="C1574">
        <v>9000</v>
      </c>
      <c r="D1574" t="str">
        <f>VLOOKUP(A1574,Лист2!A:E,5,0)</f>
        <v>малые</v>
      </c>
      <c r="E1574">
        <f>VLOOKUP(A1574,Лист2!A:E,4,0)</f>
        <v>2.5</v>
      </c>
      <c r="F1574" s="12">
        <f t="shared" si="108"/>
        <v>9000</v>
      </c>
      <c r="G1574">
        <f t="shared" si="109"/>
        <v>7200</v>
      </c>
      <c r="H1574">
        <f t="shared" si="110"/>
        <v>3600</v>
      </c>
    </row>
    <row r="1575" spans="1:8">
      <c r="A1575" t="s">
        <v>18</v>
      </c>
      <c r="B1575">
        <v>2606000</v>
      </c>
      <c r="C1575">
        <v>2382000</v>
      </c>
      <c r="D1575" t="str">
        <f>VLOOKUP(A1575,Лист2!A:E,5,0)</f>
        <v>малые</v>
      </c>
      <c r="E1575">
        <f>VLOOKUP(A1575,Лист2!A:E,4,0)</f>
        <v>2.5</v>
      </c>
      <c r="F1575" s="12">
        <f t="shared" si="108"/>
        <v>224000</v>
      </c>
      <c r="G1575">
        <f t="shared" si="109"/>
        <v>1042400</v>
      </c>
      <c r="H1575">
        <f t="shared" si="110"/>
        <v>89600</v>
      </c>
    </row>
    <row r="1576" spans="1:8">
      <c r="A1576" t="s">
        <v>18</v>
      </c>
      <c r="B1576">
        <v>1592000</v>
      </c>
      <c r="C1576">
        <v>2310000</v>
      </c>
      <c r="D1576" t="str">
        <f>VLOOKUP(A1576,Лист2!A:E,5,0)</f>
        <v>малые</v>
      </c>
      <c r="E1576">
        <f>VLOOKUP(A1576,Лист2!A:E,4,0)</f>
        <v>2.5</v>
      </c>
      <c r="F1576" s="12">
        <f t="shared" si="108"/>
        <v>-718000</v>
      </c>
      <c r="G1576">
        <f t="shared" si="109"/>
        <v>636800</v>
      </c>
      <c r="H1576">
        <f t="shared" si="110"/>
        <v>-287200</v>
      </c>
    </row>
    <row r="1577" spans="1:8">
      <c r="A1577" t="s">
        <v>77</v>
      </c>
      <c r="B1577">
        <v>415495000</v>
      </c>
      <c r="C1577">
        <v>427203000</v>
      </c>
      <c r="D1577" t="str">
        <f>VLOOKUP(A1577,Лист2!A:E,5,0)</f>
        <v>малые</v>
      </c>
      <c r="E1577">
        <f>VLOOKUP(A1577,Лист2!A:E,4,0)</f>
        <v>8</v>
      </c>
      <c r="F1577" s="12">
        <f t="shared" si="108"/>
        <v>-11708000</v>
      </c>
      <c r="G1577">
        <f t="shared" si="109"/>
        <v>51936875</v>
      </c>
      <c r="H1577">
        <f t="shared" si="110"/>
        <v>-1463500</v>
      </c>
    </row>
    <row r="1578" spans="1:8">
      <c r="A1578" t="s">
        <v>18</v>
      </c>
      <c r="B1578">
        <v>4175000</v>
      </c>
      <c r="C1578">
        <v>4168000</v>
      </c>
      <c r="D1578" t="str">
        <f>VLOOKUP(A1578,Лист2!A:E,5,0)</f>
        <v>малые</v>
      </c>
      <c r="E1578">
        <f>VLOOKUP(A1578,Лист2!A:E,4,0)</f>
        <v>2.5</v>
      </c>
      <c r="F1578" s="12">
        <f t="shared" si="108"/>
        <v>7000</v>
      </c>
      <c r="G1578">
        <f t="shared" si="109"/>
        <v>1670000</v>
      </c>
      <c r="H1578">
        <f t="shared" si="110"/>
        <v>2800</v>
      </c>
    </row>
    <row r="1579" spans="1:8">
      <c r="A1579" t="s">
        <v>18</v>
      </c>
      <c r="B1579">
        <v>1078000</v>
      </c>
      <c r="C1579">
        <v>1095000</v>
      </c>
      <c r="D1579" t="str">
        <f>VLOOKUP(A1579,Лист2!A:E,5,0)</f>
        <v>малые</v>
      </c>
      <c r="E1579">
        <f>VLOOKUP(A1579,Лист2!A:E,4,0)</f>
        <v>2.5</v>
      </c>
      <c r="F1579" s="12">
        <f t="shared" ref="F1579:F1614" si="111">B1579-C1579</f>
        <v>-17000</v>
      </c>
      <c r="G1579">
        <f t="shared" ref="G1579:G1614" si="112">B1579/E1579</f>
        <v>431200</v>
      </c>
      <c r="H1579">
        <f t="shared" ref="H1579:H1614" si="113">F1579/E1579</f>
        <v>-6800</v>
      </c>
    </row>
    <row r="1580" spans="1:8">
      <c r="A1580" t="s">
        <v>22</v>
      </c>
      <c r="B1580">
        <v>2251000</v>
      </c>
      <c r="C1580">
        <v>2555000</v>
      </c>
      <c r="D1580" t="str">
        <f>VLOOKUP(A1580,Лист2!A:E,5,0)</f>
        <v>малые</v>
      </c>
      <c r="E1580">
        <f>VLOOKUP(A1580,Лист2!A:E,4,0)</f>
        <v>13</v>
      </c>
      <c r="F1580" s="12">
        <f t="shared" si="111"/>
        <v>-304000</v>
      </c>
      <c r="G1580">
        <f t="shared" si="112"/>
        <v>173153.84615384616</v>
      </c>
      <c r="H1580">
        <f t="shared" si="113"/>
        <v>-23384.615384615383</v>
      </c>
    </row>
    <row r="1581" spans="1:8">
      <c r="A1581" t="s">
        <v>18</v>
      </c>
      <c r="B1581">
        <v>7653000</v>
      </c>
      <c r="C1581">
        <v>8417000</v>
      </c>
      <c r="D1581" t="str">
        <f>VLOOKUP(A1581,Лист2!A:E,5,0)</f>
        <v>малые</v>
      </c>
      <c r="E1581">
        <f>VLOOKUP(A1581,Лист2!A:E,4,0)</f>
        <v>2.5</v>
      </c>
      <c r="F1581" s="12">
        <f t="shared" si="111"/>
        <v>-764000</v>
      </c>
      <c r="G1581">
        <f t="shared" si="112"/>
        <v>3061200</v>
      </c>
      <c r="H1581">
        <f t="shared" si="113"/>
        <v>-305600</v>
      </c>
    </row>
    <row r="1582" spans="1:8">
      <c r="A1582" t="s">
        <v>18</v>
      </c>
      <c r="B1582">
        <v>153000</v>
      </c>
      <c r="C1582">
        <v>155000</v>
      </c>
      <c r="D1582" t="str">
        <f>VLOOKUP(A1582,Лист2!A:E,5,0)</f>
        <v>малые</v>
      </c>
      <c r="E1582">
        <f>VLOOKUP(A1582,Лист2!A:E,4,0)</f>
        <v>2.5</v>
      </c>
      <c r="F1582" s="12">
        <f t="shared" si="111"/>
        <v>-2000</v>
      </c>
      <c r="G1582">
        <f t="shared" si="112"/>
        <v>61200</v>
      </c>
      <c r="H1582">
        <f t="shared" si="113"/>
        <v>-800</v>
      </c>
    </row>
    <row r="1583" spans="1:8">
      <c r="A1583" t="s">
        <v>18</v>
      </c>
      <c r="B1583">
        <v>527000</v>
      </c>
      <c r="C1583">
        <v>613000</v>
      </c>
      <c r="D1583" t="str">
        <f>VLOOKUP(A1583,Лист2!A:E,5,0)</f>
        <v>малые</v>
      </c>
      <c r="E1583">
        <f>VLOOKUP(A1583,Лист2!A:E,4,0)</f>
        <v>2.5</v>
      </c>
      <c r="F1583" s="12">
        <f t="shared" si="111"/>
        <v>-86000</v>
      </c>
      <c r="G1583">
        <f t="shared" si="112"/>
        <v>210800</v>
      </c>
      <c r="H1583">
        <f t="shared" si="113"/>
        <v>-34400</v>
      </c>
    </row>
    <row r="1584" spans="1:8">
      <c r="A1584" t="s">
        <v>18</v>
      </c>
      <c r="B1584">
        <v>890874</v>
      </c>
      <c r="C1584">
        <v>856414</v>
      </c>
      <c r="D1584" t="str">
        <f>VLOOKUP(A1584,Лист2!A:E,5,0)</f>
        <v>малые</v>
      </c>
      <c r="E1584">
        <f>VLOOKUP(A1584,Лист2!A:E,4,0)</f>
        <v>2.5</v>
      </c>
      <c r="F1584" s="12">
        <f t="shared" si="111"/>
        <v>34460</v>
      </c>
      <c r="G1584">
        <f t="shared" si="112"/>
        <v>356349.6</v>
      </c>
      <c r="H1584">
        <f t="shared" si="113"/>
        <v>13784</v>
      </c>
    </row>
    <row r="1585" spans="1:8">
      <c r="A1585" t="s">
        <v>77</v>
      </c>
      <c r="B1585">
        <v>2174000</v>
      </c>
      <c r="C1585">
        <v>2174000</v>
      </c>
      <c r="D1585" t="str">
        <f>VLOOKUP(A1585,Лист2!A:E,5,0)</f>
        <v>малые</v>
      </c>
      <c r="E1585">
        <f>VLOOKUP(A1585,Лист2!A:E,4,0)</f>
        <v>8</v>
      </c>
      <c r="F1585" s="12">
        <f t="shared" si="111"/>
        <v>0</v>
      </c>
      <c r="G1585">
        <f t="shared" si="112"/>
        <v>271750</v>
      </c>
      <c r="H1585">
        <f t="shared" si="113"/>
        <v>0</v>
      </c>
    </row>
    <row r="1586" spans="1:8">
      <c r="A1586" t="s">
        <v>18</v>
      </c>
      <c r="B1586">
        <v>5136000</v>
      </c>
      <c r="C1586">
        <v>33559000</v>
      </c>
      <c r="D1586" t="str">
        <f>VLOOKUP(A1586,Лист2!A:E,5,0)</f>
        <v>малые</v>
      </c>
      <c r="E1586">
        <f>VLOOKUP(A1586,Лист2!A:E,4,0)</f>
        <v>2.5</v>
      </c>
      <c r="F1586" s="12">
        <f t="shared" si="111"/>
        <v>-28423000</v>
      </c>
      <c r="G1586">
        <f t="shared" si="112"/>
        <v>2054400</v>
      </c>
      <c r="H1586">
        <f t="shared" si="113"/>
        <v>-11369200</v>
      </c>
    </row>
    <row r="1587" spans="1:8">
      <c r="A1587" t="s">
        <v>18</v>
      </c>
      <c r="B1587">
        <v>69835000</v>
      </c>
      <c r="C1587">
        <v>72426000</v>
      </c>
      <c r="D1587" t="str">
        <f>VLOOKUP(A1587,Лист2!A:E,5,0)</f>
        <v>малые</v>
      </c>
      <c r="E1587">
        <f>VLOOKUP(A1587,Лист2!A:E,4,0)</f>
        <v>2.5</v>
      </c>
      <c r="F1587" s="12">
        <f t="shared" si="111"/>
        <v>-2591000</v>
      </c>
      <c r="G1587">
        <f t="shared" si="112"/>
        <v>27934000</v>
      </c>
      <c r="H1587">
        <f t="shared" si="113"/>
        <v>-1036400</v>
      </c>
    </row>
    <row r="1588" spans="1:8">
      <c r="A1588" t="s">
        <v>18</v>
      </c>
      <c r="B1588">
        <v>18035000</v>
      </c>
      <c r="C1588">
        <v>17561000</v>
      </c>
      <c r="D1588" t="str">
        <f>VLOOKUP(A1588,Лист2!A:E,5,0)</f>
        <v>малые</v>
      </c>
      <c r="E1588">
        <f>VLOOKUP(A1588,Лист2!A:E,4,0)</f>
        <v>2.5</v>
      </c>
      <c r="F1588" s="12">
        <f t="shared" si="111"/>
        <v>474000</v>
      </c>
      <c r="G1588">
        <f t="shared" si="112"/>
        <v>7214000</v>
      </c>
      <c r="H1588">
        <f t="shared" si="113"/>
        <v>189600</v>
      </c>
    </row>
    <row r="1589" spans="1:8">
      <c r="A1589" t="s">
        <v>22</v>
      </c>
      <c r="B1589">
        <v>3710000</v>
      </c>
      <c r="C1589">
        <v>2233000</v>
      </c>
      <c r="D1589" t="str">
        <f>VLOOKUP(A1589,Лист2!A:E,5,0)</f>
        <v>малые</v>
      </c>
      <c r="E1589">
        <f>VLOOKUP(A1589,Лист2!A:E,4,0)</f>
        <v>13</v>
      </c>
      <c r="F1589" s="12">
        <f t="shared" si="111"/>
        <v>1477000</v>
      </c>
      <c r="G1589">
        <f t="shared" si="112"/>
        <v>285384.61538461538</v>
      </c>
      <c r="H1589">
        <f t="shared" si="113"/>
        <v>113615.38461538461</v>
      </c>
    </row>
    <row r="1590" spans="1:8">
      <c r="A1590" t="s">
        <v>18</v>
      </c>
      <c r="B1590">
        <v>1700000</v>
      </c>
      <c r="C1590">
        <v>1650000</v>
      </c>
      <c r="D1590" t="str">
        <f>VLOOKUP(A1590,Лист2!A:E,5,0)</f>
        <v>малые</v>
      </c>
      <c r="E1590">
        <f>VLOOKUP(A1590,Лист2!A:E,4,0)</f>
        <v>2.5</v>
      </c>
      <c r="F1590" s="12">
        <f t="shared" si="111"/>
        <v>50000</v>
      </c>
      <c r="G1590">
        <f t="shared" si="112"/>
        <v>680000</v>
      </c>
      <c r="H1590">
        <f t="shared" si="113"/>
        <v>20000</v>
      </c>
    </row>
    <row r="1591" spans="1:8">
      <c r="A1591" t="s">
        <v>18</v>
      </c>
      <c r="B1591">
        <v>8658000</v>
      </c>
      <c r="C1591">
        <v>7090000</v>
      </c>
      <c r="D1591" t="str">
        <f>VLOOKUP(A1591,Лист2!A:E,5,0)</f>
        <v>малые</v>
      </c>
      <c r="E1591">
        <f>VLOOKUP(A1591,Лист2!A:E,4,0)</f>
        <v>2.5</v>
      </c>
      <c r="F1591" s="12">
        <f t="shared" si="111"/>
        <v>1568000</v>
      </c>
      <c r="G1591">
        <f t="shared" si="112"/>
        <v>3463200</v>
      </c>
      <c r="H1591">
        <f t="shared" si="113"/>
        <v>627200</v>
      </c>
    </row>
    <row r="1592" spans="1:8">
      <c r="A1592" t="s">
        <v>18</v>
      </c>
      <c r="B1592">
        <v>1926000</v>
      </c>
      <c r="C1592">
        <v>2012000</v>
      </c>
      <c r="D1592" t="str">
        <f>VLOOKUP(A1592,Лист2!A:E,5,0)</f>
        <v>малые</v>
      </c>
      <c r="E1592">
        <f>VLOOKUP(A1592,Лист2!A:E,4,0)</f>
        <v>2.5</v>
      </c>
      <c r="F1592" s="12">
        <f t="shared" si="111"/>
        <v>-86000</v>
      </c>
      <c r="G1592">
        <f t="shared" si="112"/>
        <v>770400</v>
      </c>
      <c r="H1592">
        <f t="shared" si="113"/>
        <v>-34400</v>
      </c>
    </row>
    <row r="1593" spans="1:8">
      <c r="A1593" t="s">
        <v>18</v>
      </c>
      <c r="B1593">
        <v>11288000</v>
      </c>
      <c r="C1593">
        <v>11288000</v>
      </c>
      <c r="D1593" t="str">
        <f>VLOOKUP(A1593,Лист2!A:E,5,0)</f>
        <v>малые</v>
      </c>
      <c r="E1593">
        <f>VLOOKUP(A1593,Лист2!A:E,4,0)</f>
        <v>2.5</v>
      </c>
      <c r="F1593" s="12">
        <f t="shared" si="111"/>
        <v>0</v>
      </c>
      <c r="G1593">
        <f t="shared" si="112"/>
        <v>4515200</v>
      </c>
      <c r="H1593">
        <f t="shared" si="113"/>
        <v>0</v>
      </c>
    </row>
    <row r="1594" spans="1:8">
      <c r="A1594" t="s">
        <v>77</v>
      </c>
      <c r="B1594">
        <v>22122000</v>
      </c>
      <c r="C1594">
        <v>22904000</v>
      </c>
      <c r="D1594" t="str">
        <f>VLOOKUP(A1594,Лист2!A:E,5,0)</f>
        <v>малые</v>
      </c>
      <c r="E1594">
        <f>VLOOKUP(A1594,Лист2!A:E,4,0)</f>
        <v>8</v>
      </c>
      <c r="F1594" s="12">
        <f t="shared" si="111"/>
        <v>-782000</v>
      </c>
      <c r="G1594">
        <f t="shared" si="112"/>
        <v>2765250</v>
      </c>
      <c r="H1594">
        <f t="shared" si="113"/>
        <v>-97750</v>
      </c>
    </row>
    <row r="1595" spans="1:8">
      <c r="A1595" t="s">
        <v>18</v>
      </c>
      <c r="B1595">
        <v>118000</v>
      </c>
      <c r="C1595">
        <v>118000</v>
      </c>
      <c r="D1595" t="str">
        <f>VLOOKUP(A1595,Лист2!A:E,5,0)</f>
        <v>малые</v>
      </c>
      <c r="E1595">
        <f>VLOOKUP(A1595,Лист2!A:E,4,0)</f>
        <v>2.5</v>
      </c>
      <c r="F1595" s="12">
        <f t="shared" si="111"/>
        <v>0</v>
      </c>
      <c r="G1595">
        <f t="shared" si="112"/>
        <v>47200</v>
      </c>
      <c r="H1595">
        <f t="shared" si="113"/>
        <v>0</v>
      </c>
    </row>
    <row r="1596" spans="1:8">
      <c r="A1596" t="s">
        <v>18</v>
      </c>
      <c r="B1596">
        <v>217000</v>
      </c>
      <c r="C1596">
        <v>215000</v>
      </c>
      <c r="D1596" t="str">
        <f>VLOOKUP(A1596,Лист2!A:E,5,0)</f>
        <v>малые</v>
      </c>
      <c r="E1596">
        <f>VLOOKUP(A1596,Лист2!A:E,4,0)</f>
        <v>2.5</v>
      </c>
      <c r="F1596" s="12">
        <f t="shared" si="111"/>
        <v>2000</v>
      </c>
      <c r="G1596">
        <f t="shared" si="112"/>
        <v>86800</v>
      </c>
      <c r="H1596">
        <f t="shared" si="113"/>
        <v>800</v>
      </c>
    </row>
    <row r="1597" spans="1:8">
      <c r="A1597" t="s">
        <v>22</v>
      </c>
      <c r="B1597">
        <v>73700000</v>
      </c>
      <c r="C1597">
        <v>1193978000</v>
      </c>
      <c r="D1597" t="str">
        <f>VLOOKUP(A1597,Лист2!A:E,5,0)</f>
        <v>малые</v>
      </c>
      <c r="E1597">
        <f>VLOOKUP(A1597,Лист2!A:E,4,0)</f>
        <v>13</v>
      </c>
      <c r="F1597" s="12">
        <f t="shared" si="111"/>
        <v>-1120278000</v>
      </c>
      <c r="G1597">
        <f t="shared" si="112"/>
        <v>5669230.769230769</v>
      </c>
      <c r="H1597">
        <f t="shared" si="113"/>
        <v>-86175230.769230768</v>
      </c>
    </row>
    <row r="1598" spans="1:8">
      <c r="A1598" t="s">
        <v>18</v>
      </c>
      <c r="B1598">
        <v>32000</v>
      </c>
      <c r="C1598">
        <v>33000</v>
      </c>
      <c r="D1598" t="str">
        <f>VLOOKUP(A1598,Лист2!A:E,5,0)</f>
        <v>малые</v>
      </c>
      <c r="E1598">
        <f>VLOOKUP(A1598,Лист2!A:E,4,0)</f>
        <v>2.5</v>
      </c>
      <c r="F1598" s="12">
        <f t="shared" si="111"/>
        <v>-1000</v>
      </c>
      <c r="G1598">
        <f t="shared" si="112"/>
        <v>12800</v>
      </c>
      <c r="H1598">
        <f t="shared" si="113"/>
        <v>-400</v>
      </c>
    </row>
    <row r="1599" spans="1:8">
      <c r="A1599" t="s">
        <v>18</v>
      </c>
      <c r="B1599">
        <v>1243000</v>
      </c>
      <c r="C1599">
        <v>991000</v>
      </c>
      <c r="D1599" t="str">
        <f>VLOOKUP(A1599,Лист2!A:E,5,0)</f>
        <v>малые</v>
      </c>
      <c r="E1599">
        <f>VLOOKUP(A1599,Лист2!A:E,4,0)</f>
        <v>2.5</v>
      </c>
      <c r="F1599" s="12">
        <f t="shared" si="111"/>
        <v>252000</v>
      </c>
      <c r="G1599">
        <f t="shared" si="112"/>
        <v>497200</v>
      </c>
      <c r="H1599">
        <f t="shared" si="113"/>
        <v>100800</v>
      </c>
    </row>
    <row r="1600" spans="1:8">
      <c r="A1600" t="s">
        <v>18</v>
      </c>
      <c r="B1600">
        <v>95000</v>
      </c>
      <c r="C1600">
        <v>91000</v>
      </c>
      <c r="D1600" t="str">
        <f>VLOOKUP(A1600,Лист2!A:E,5,0)</f>
        <v>малые</v>
      </c>
      <c r="E1600">
        <f>VLOOKUP(A1600,Лист2!A:E,4,0)</f>
        <v>2.5</v>
      </c>
      <c r="F1600" s="12">
        <f t="shared" si="111"/>
        <v>4000</v>
      </c>
      <c r="G1600">
        <f t="shared" si="112"/>
        <v>38000</v>
      </c>
      <c r="H1600">
        <f t="shared" si="113"/>
        <v>1600</v>
      </c>
    </row>
    <row r="1601" spans="1:8">
      <c r="A1601" t="s">
        <v>18</v>
      </c>
      <c r="B1601">
        <v>769000</v>
      </c>
      <c r="C1601">
        <v>692000</v>
      </c>
      <c r="D1601" t="str">
        <f>VLOOKUP(A1601,Лист2!A:E,5,0)</f>
        <v>малые</v>
      </c>
      <c r="E1601">
        <f>VLOOKUP(A1601,Лист2!A:E,4,0)</f>
        <v>2.5</v>
      </c>
      <c r="F1601" s="12">
        <f t="shared" si="111"/>
        <v>77000</v>
      </c>
      <c r="G1601">
        <f t="shared" si="112"/>
        <v>307600</v>
      </c>
      <c r="H1601">
        <f t="shared" si="113"/>
        <v>30800</v>
      </c>
    </row>
    <row r="1602" spans="1:8">
      <c r="A1602" t="s">
        <v>18</v>
      </c>
      <c r="B1602">
        <v>460000</v>
      </c>
      <c r="C1602">
        <v>416000</v>
      </c>
      <c r="D1602" t="str">
        <f>VLOOKUP(A1602,Лист2!A:E,5,0)</f>
        <v>малые</v>
      </c>
      <c r="E1602">
        <f>VLOOKUP(A1602,Лист2!A:E,4,0)</f>
        <v>2.5</v>
      </c>
      <c r="F1602" s="12">
        <f t="shared" si="111"/>
        <v>44000</v>
      </c>
      <c r="G1602">
        <f t="shared" si="112"/>
        <v>184000</v>
      </c>
      <c r="H1602">
        <f t="shared" si="113"/>
        <v>17600</v>
      </c>
    </row>
    <row r="1603" spans="1:8">
      <c r="A1603" t="s">
        <v>18</v>
      </c>
      <c r="B1603">
        <v>2950000</v>
      </c>
      <c r="C1603">
        <v>5993000</v>
      </c>
      <c r="D1603" t="str">
        <f>VLOOKUP(A1603,Лист2!A:E,5,0)</f>
        <v>малые</v>
      </c>
      <c r="E1603">
        <f>VLOOKUP(A1603,Лист2!A:E,4,0)</f>
        <v>2.5</v>
      </c>
      <c r="F1603" s="12">
        <f t="shared" si="111"/>
        <v>-3043000</v>
      </c>
      <c r="G1603">
        <f t="shared" si="112"/>
        <v>1180000</v>
      </c>
      <c r="H1603">
        <f t="shared" si="113"/>
        <v>-1217200</v>
      </c>
    </row>
    <row r="1604" spans="1:8">
      <c r="A1604" t="s">
        <v>18</v>
      </c>
      <c r="B1604">
        <v>1205000</v>
      </c>
      <c r="C1604">
        <v>1267000</v>
      </c>
      <c r="D1604" t="str">
        <f>VLOOKUP(A1604,Лист2!A:E,5,0)</f>
        <v>малые</v>
      </c>
      <c r="E1604">
        <f>VLOOKUP(A1604,Лист2!A:E,4,0)</f>
        <v>2.5</v>
      </c>
      <c r="F1604" s="12">
        <f t="shared" si="111"/>
        <v>-62000</v>
      </c>
      <c r="G1604">
        <f t="shared" si="112"/>
        <v>482000</v>
      </c>
      <c r="H1604">
        <f t="shared" si="113"/>
        <v>-24800</v>
      </c>
    </row>
    <row r="1605" spans="1:8">
      <c r="A1605" t="s">
        <v>18</v>
      </c>
      <c r="B1605">
        <v>7336000</v>
      </c>
      <c r="C1605">
        <v>7040000</v>
      </c>
      <c r="D1605" t="str">
        <f>VLOOKUP(A1605,Лист2!A:E,5,0)</f>
        <v>малые</v>
      </c>
      <c r="E1605">
        <f>VLOOKUP(A1605,Лист2!A:E,4,0)</f>
        <v>2.5</v>
      </c>
      <c r="F1605" s="12">
        <f t="shared" si="111"/>
        <v>296000</v>
      </c>
      <c r="G1605">
        <f t="shared" si="112"/>
        <v>2934400</v>
      </c>
      <c r="H1605">
        <f t="shared" si="113"/>
        <v>118400</v>
      </c>
    </row>
    <row r="1606" spans="1:8">
      <c r="A1606" t="s">
        <v>18</v>
      </c>
      <c r="B1606">
        <v>629000</v>
      </c>
      <c r="C1606">
        <v>628000</v>
      </c>
      <c r="D1606" t="str">
        <f>VLOOKUP(A1606,Лист2!A:E,5,0)</f>
        <v>малые</v>
      </c>
      <c r="E1606">
        <f>VLOOKUP(A1606,Лист2!A:E,4,0)</f>
        <v>2.5</v>
      </c>
      <c r="F1606" s="12">
        <f t="shared" si="111"/>
        <v>1000</v>
      </c>
      <c r="G1606">
        <f t="shared" si="112"/>
        <v>251600</v>
      </c>
      <c r="H1606">
        <f t="shared" si="113"/>
        <v>400</v>
      </c>
    </row>
    <row r="1607" spans="1:8">
      <c r="A1607" t="s">
        <v>18</v>
      </c>
      <c r="B1607">
        <v>550000</v>
      </c>
      <c r="C1607">
        <v>790000</v>
      </c>
      <c r="D1607" t="str">
        <f>VLOOKUP(A1607,Лист2!A:E,5,0)</f>
        <v>малые</v>
      </c>
      <c r="E1607">
        <f>VLOOKUP(A1607,Лист2!A:E,4,0)</f>
        <v>2.5</v>
      </c>
      <c r="F1607" s="12">
        <f t="shared" si="111"/>
        <v>-240000</v>
      </c>
      <c r="G1607">
        <f t="shared" si="112"/>
        <v>220000</v>
      </c>
      <c r="H1607">
        <f t="shared" si="113"/>
        <v>-96000</v>
      </c>
    </row>
    <row r="1608" spans="1:8">
      <c r="A1608" t="s">
        <v>18</v>
      </c>
      <c r="B1608">
        <v>4000</v>
      </c>
      <c r="C1608">
        <v>8000</v>
      </c>
      <c r="D1608" t="str">
        <f>VLOOKUP(A1608,Лист2!A:E,5,0)</f>
        <v>малые</v>
      </c>
      <c r="E1608">
        <f>VLOOKUP(A1608,Лист2!A:E,4,0)</f>
        <v>2.5</v>
      </c>
      <c r="F1608" s="12">
        <f t="shared" si="111"/>
        <v>-4000</v>
      </c>
      <c r="G1608">
        <f t="shared" si="112"/>
        <v>1600</v>
      </c>
      <c r="H1608">
        <f t="shared" si="113"/>
        <v>-1600</v>
      </c>
    </row>
    <row r="1609" spans="1:8">
      <c r="A1609" t="s">
        <v>18</v>
      </c>
      <c r="B1609">
        <v>326000</v>
      </c>
      <c r="C1609">
        <v>377000</v>
      </c>
      <c r="D1609" t="str">
        <f>VLOOKUP(A1609,Лист2!A:E,5,0)</f>
        <v>малые</v>
      </c>
      <c r="E1609">
        <f>VLOOKUP(A1609,Лист2!A:E,4,0)</f>
        <v>2.5</v>
      </c>
      <c r="F1609" s="12">
        <f t="shared" si="111"/>
        <v>-51000</v>
      </c>
      <c r="G1609">
        <f t="shared" si="112"/>
        <v>130400</v>
      </c>
      <c r="H1609">
        <f t="shared" si="113"/>
        <v>-20400</v>
      </c>
    </row>
    <row r="1610" spans="1:8">
      <c r="A1610" t="s">
        <v>18</v>
      </c>
      <c r="B1610">
        <v>225000</v>
      </c>
      <c r="C1610">
        <v>225000</v>
      </c>
      <c r="D1610" t="str">
        <f>VLOOKUP(A1610,Лист2!A:E,5,0)</f>
        <v>малые</v>
      </c>
      <c r="E1610">
        <f>VLOOKUP(A1610,Лист2!A:E,4,0)</f>
        <v>2.5</v>
      </c>
      <c r="F1610" s="12">
        <f t="shared" si="111"/>
        <v>0</v>
      </c>
      <c r="G1610">
        <f t="shared" si="112"/>
        <v>90000</v>
      </c>
      <c r="H1610">
        <f t="shared" si="113"/>
        <v>0</v>
      </c>
    </row>
    <row r="1611" spans="1:8">
      <c r="A1611" t="s">
        <v>18</v>
      </c>
      <c r="B1611">
        <v>2305000</v>
      </c>
      <c r="C1611">
        <v>2305000</v>
      </c>
      <c r="D1611" t="str">
        <f>VLOOKUP(A1611,Лист2!A:E,5,0)</f>
        <v>малые</v>
      </c>
      <c r="E1611">
        <f>VLOOKUP(A1611,Лист2!A:E,4,0)</f>
        <v>2.5</v>
      </c>
      <c r="F1611" s="12">
        <f t="shared" si="111"/>
        <v>0</v>
      </c>
      <c r="G1611">
        <f t="shared" si="112"/>
        <v>922000</v>
      </c>
      <c r="H1611">
        <f t="shared" si="113"/>
        <v>0</v>
      </c>
    </row>
    <row r="1612" spans="1:8">
      <c r="A1612" t="s">
        <v>18</v>
      </c>
      <c r="B1612">
        <v>318000</v>
      </c>
      <c r="C1612">
        <v>338000</v>
      </c>
      <c r="D1612" t="str">
        <f>VLOOKUP(A1612,Лист2!A:E,5,0)</f>
        <v>малые</v>
      </c>
      <c r="E1612">
        <f>VLOOKUP(A1612,Лист2!A:E,4,0)</f>
        <v>2.5</v>
      </c>
      <c r="F1612" s="12">
        <f t="shared" si="111"/>
        <v>-20000</v>
      </c>
      <c r="G1612">
        <f t="shared" si="112"/>
        <v>127200</v>
      </c>
      <c r="H1612">
        <f t="shared" si="113"/>
        <v>-8000</v>
      </c>
    </row>
    <row r="1613" spans="1:8">
      <c r="A1613" t="s">
        <v>18</v>
      </c>
      <c r="B1613">
        <v>2579000</v>
      </c>
      <c r="C1613">
        <v>2038000</v>
      </c>
      <c r="D1613" t="str">
        <f>VLOOKUP(A1613,Лист2!A:E,5,0)</f>
        <v>малые</v>
      </c>
      <c r="E1613">
        <f>VLOOKUP(A1613,Лист2!A:E,4,0)</f>
        <v>2.5</v>
      </c>
      <c r="F1613" s="12">
        <f t="shared" si="111"/>
        <v>541000</v>
      </c>
      <c r="G1613">
        <f t="shared" si="112"/>
        <v>1031600</v>
      </c>
      <c r="H1613">
        <f t="shared" si="113"/>
        <v>216400</v>
      </c>
    </row>
    <row r="1614" spans="1:8">
      <c r="A1614" t="s">
        <v>18</v>
      </c>
      <c r="B1614">
        <v>1409000</v>
      </c>
      <c r="C1614">
        <v>1412000</v>
      </c>
      <c r="D1614" t="str">
        <f>VLOOKUP(A1614,Лист2!A:E,5,0)</f>
        <v>малые</v>
      </c>
      <c r="E1614">
        <f>VLOOKUP(A1614,Лист2!A:E,4,0)</f>
        <v>2.5</v>
      </c>
      <c r="F1614" s="12">
        <f t="shared" si="111"/>
        <v>-3000</v>
      </c>
      <c r="G1614">
        <f t="shared" si="112"/>
        <v>563600</v>
      </c>
      <c r="H1614">
        <f t="shared" si="113"/>
        <v>-1200</v>
      </c>
    </row>
    <row r="1615" spans="1:8">
      <c r="A1615" t="s">
        <v>18</v>
      </c>
      <c r="B1615">
        <v>17686000</v>
      </c>
      <c r="C1615">
        <v>17603000</v>
      </c>
      <c r="D1615" t="str">
        <f>VLOOKUP(A1615,Лист2!A:E,5,0)</f>
        <v>малые</v>
      </c>
      <c r="E1615">
        <f>VLOOKUP(A1615,Лист2!A:E,4,0)</f>
        <v>2.5</v>
      </c>
      <c r="F1615" s="12">
        <f t="shared" ref="F1615:F1658" si="114">B1615-C1615</f>
        <v>83000</v>
      </c>
      <c r="G1615">
        <f t="shared" ref="G1615:G1658" si="115">B1615/E1615</f>
        <v>7074400</v>
      </c>
      <c r="H1615">
        <f t="shared" ref="H1615:H1658" si="116">F1615/E1615</f>
        <v>33200</v>
      </c>
    </row>
    <row r="1616" spans="1:8">
      <c r="A1616" t="s">
        <v>18</v>
      </c>
      <c r="B1616">
        <v>350000</v>
      </c>
      <c r="C1616">
        <v>357000</v>
      </c>
      <c r="D1616" t="str">
        <f>VLOOKUP(A1616,Лист2!A:E,5,0)</f>
        <v>малые</v>
      </c>
      <c r="E1616">
        <f>VLOOKUP(A1616,Лист2!A:E,4,0)</f>
        <v>2.5</v>
      </c>
      <c r="F1616" s="12">
        <f t="shared" si="114"/>
        <v>-7000</v>
      </c>
      <c r="G1616">
        <f t="shared" si="115"/>
        <v>140000</v>
      </c>
      <c r="H1616">
        <f t="shared" si="116"/>
        <v>-2800</v>
      </c>
    </row>
    <row r="1617" spans="1:8">
      <c r="A1617" t="s">
        <v>18</v>
      </c>
      <c r="B1617">
        <v>1809000</v>
      </c>
      <c r="C1617">
        <v>2071000</v>
      </c>
      <c r="D1617" t="str">
        <f>VLOOKUP(A1617,Лист2!A:E,5,0)</f>
        <v>малые</v>
      </c>
      <c r="E1617">
        <f>VLOOKUP(A1617,Лист2!A:E,4,0)</f>
        <v>2.5</v>
      </c>
      <c r="F1617" s="12">
        <f t="shared" si="114"/>
        <v>-262000</v>
      </c>
      <c r="G1617">
        <f t="shared" si="115"/>
        <v>723600</v>
      </c>
      <c r="H1617">
        <f t="shared" si="116"/>
        <v>-104800</v>
      </c>
    </row>
    <row r="1618" spans="1:8">
      <c r="A1618" t="s">
        <v>18</v>
      </c>
      <c r="B1618">
        <v>1312000</v>
      </c>
      <c r="C1618">
        <v>1320000</v>
      </c>
      <c r="D1618" t="str">
        <f>VLOOKUP(A1618,Лист2!A:E,5,0)</f>
        <v>малые</v>
      </c>
      <c r="E1618">
        <f>VLOOKUP(A1618,Лист2!A:E,4,0)</f>
        <v>2.5</v>
      </c>
      <c r="F1618" s="12">
        <f t="shared" si="114"/>
        <v>-8000</v>
      </c>
      <c r="G1618">
        <f t="shared" si="115"/>
        <v>524800</v>
      </c>
      <c r="H1618">
        <f t="shared" si="116"/>
        <v>-3200</v>
      </c>
    </row>
    <row r="1619" spans="1:8">
      <c r="A1619" t="s">
        <v>18</v>
      </c>
      <c r="B1619">
        <v>29903000</v>
      </c>
      <c r="C1619">
        <v>45300000</v>
      </c>
      <c r="D1619" t="str">
        <f>VLOOKUP(A1619,Лист2!A:E,5,0)</f>
        <v>малые</v>
      </c>
      <c r="E1619">
        <f>VLOOKUP(A1619,Лист2!A:E,4,0)</f>
        <v>2.5</v>
      </c>
      <c r="F1619" s="12">
        <f t="shared" si="114"/>
        <v>-15397000</v>
      </c>
      <c r="G1619">
        <f t="shared" si="115"/>
        <v>11961200</v>
      </c>
      <c r="H1619">
        <f t="shared" si="116"/>
        <v>-6158800</v>
      </c>
    </row>
    <row r="1620" spans="1:8">
      <c r="A1620" t="s">
        <v>77</v>
      </c>
      <c r="B1620">
        <v>159615000</v>
      </c>
      <c r="C1620">
        <v>82060000</v>
      </c>
      <c r="D1620" t="str">
        <f>VLOOKUP(A1620,Лист2!A:E,5,0)</f>
        <v>малые</v>
      </c>
      <c r="E1620">
        <f>VLOOKUP(A1620,Лист2!A:E,4,0)</f>
        <v>8</v>
      </c>
      <c r="F1620" s="12">
        <f t="shared" si="114"/>
        <v>77555000</v>
      </c>
      <c r="G1620">
        <f t="shared" si="115"/>
        <v>19951875</v>
      </c>
      <c r="H1620">
        <f t="shared" si="116"/>
        <v>9694375</v>
      </c>
    </row>
    <row r="1621" spans="1:8">
      <c r="A1621" t="s">
        <v>18</v>
      </c>
      <c r="B1621">
        <v>5522000</v>
      </c>
      <c r="C1621">
        <v>5441000</v>
      </c>
      <c r="D1621" t="str">
        <f>VLOOKUP(A1621,Лист2!A:E,5,0)</f>
        <v>малые</v>
      </c>
      <c r="E1621">
        <f>VLOOKUP(A1621,Лист2!A:E,4,0)</f>
        <v>2.5</v>
      </c>
      <c r="F1621" s="12">
        <f t="shared" si="114"/>
        <v>81000</v>
      </c>
      <c r="G1621">
        <f t="shared" si="115"/>
        <v>2208800</v>
      </c>
      <c r="H1621">
        <f t="shared" si="116"/>
        <v>32400</v>
      </c>
    </row>
    <row r="1622" spans="1:8">
      <c r="A1622" t="s">
        <v>18</v>
      </c>
      <c r="B1622">
        <v>538000</v>
      </c>
      <c r="C1622">
        <v>562000</v>
      </c>
      <c r="D1622" t="str">
        <f>VLOOKUP(A1622,Лист2!A:E,5,0)</f>
        <v>малые</v>
      </c>
      <c r="E1622">
        <f>VLOOKUP(A1622,Лист2!A:E,4,0)</f>
        <v>2.5</v>
      </c>
      <c r="F1622" s="12">
        <f t="shared" si="114"/>
        <v>-24000</v>
      </c>
      <c r="G1622">
        <f t="shared" si="115"/>
        <v>215200</v>
      </c>
      <c r="H1622">
        <f t="shared" si="116"/>
        <v>-9600</v>
      </c>
    </row>
    <row r="1623" spans="1:8">
      <c r="A1623" t="s">
        <v>22</v>
      </c>
      <c r="B1623">
        <v>160000</v>
      </c>
      <c r="C1623">
        <v>811000</v>
      </c>
      <c r="D1623" t="str">
        <f>VLOOKUP(A1623,Лист2!A:E,5,0)</f>
        <v>малые</v>
      </c>
      <c r="E1623">
        <f>VLOOKUP(A1623,Лист2!A:E,4,0)</f>
        <v>13</v>
      </c>
      <c r="F1623" s="12">
        <f t="shared" si="114"/>
        <v>-651000</v>
      </c>
      <c r="G1623">
        <f t="shared" si="115"/>
        <v>12307.692307692309</v>
      </c>
      <c r="H1623">
        <f t="shared" si="116"/>
        <v>-50076.923076923078</v>
      </c>
    </row>
    <row r="1624" spans="1:8">
      <c r="A1624" t="s">
        <v>18</v>
      </c>
      <c r="B1624">
        <v>21000</v>
      </c>
      <c r="C1624">
        <v>21000</v>
      </c>
      <c r="D1624" t="str">
        <f>VLOOKUP(A1624,Лист2!A:E,5,0)</f>
        <v>малые</v>
      </c>
      <c r="E1624">
        <f>VLOOKUP(A1624,Лист2!A:E,4,0)</f>
        <v>2.5</v>
      </c>
      <c r="F1624" s="12">
        <f t="shared" si="114"/>
        <v>0</v>
      </c>
      <c r="G1624">
        <f t="shared" si="115"/>
        <v>8400</v>
      </c>
      <c r="H1624">
        <f t="shared" si="116"/>
        <v>0</v>
      </c>
    </row>
    <row r="1625" spans="1:8">
      <c r="A1625" t="s">
        <v>18</v>
      </c>
      <c r="B1625">
        <v>23000000</v>
      </c>
      <c r="C1625">
        <v>31215000</v>
      </c>
      <c r="D1625" t="str">
        <f>VLOOKUP(A1625,Лист2!A:E,5,0)</f>
        <v>малые</v>
      </c>
      <c r="E1625">
        <f>VLOOKUP(A1625,Лист2!A:E,4,0)</f>
        <v>2.5</v>
      </c>
      <c r="F1625" s="12">
        <f t="shared" si="114"/>
        <v>-8215000</v>
      </c>
      <c r="G1625">
        <f t="shared" si="115"/>
        <v>9200000</v>
      </c>
      <c r="H1625">
        <f t="shared" si="116"/>
        <v>-3286000</v>
      </c>
    </row>
    <row r="1626" spans="1:8">
      <c r="A1626" t="s">
        <v>23</v>
      </c>
      <c r="B1626">
        <v>3226282000</v>
      </c>
      <c r="C1626">
        <v>3029121000</v>
      </c>
      <c r="D1626" t="str">
        <f>VLOOKUP(A1626,Лист2!A:E,5,0)</f>
        <v>средние</v>
      </c>
      <c r="E1626">
        <f>VLOOKUP(A1626,Лист2!A:E,4,0)</f>
        <v>75.5</v>
      </c>
      <c r="F1626" s="12">
        <f t="shared" si="114"/>
        <v>197161000</v>
      </c>
      <c r="G1626">
        <f t="shared" si="115"/>
        <v>42732211.920529798</v>
      </c>
      <c r="H1626">
        <f t="shared" si="116"/>
        <v>2611403.9735099338</v>
      </c>
    </row>
    <row r="1627" spans="1:8">
      <c r="A1627" t="s">
        <v>18</v>
      </c>
      <c r="B1627">
        <v>23807000</v>
      </c>
      <c r="C1627">
        <v>13420000</v>
      </c>
      <c r="D1627" t="str">
        <f>VLOOKUP(A1627,Лист2!A:E,5,0)</f>
        <v>малые</v>
      </c>
      <c r="E1627">
        <f>VLOOKUP(A1627,Лист2!A:E,4,0)</f>
        <v>2.5</v>
      </c>
      <c r="F1627" s="12">
        <f t="shared" si="114"/>
        <v>10387000</v>
      </c>
      <c r="G1627">
        <f t="shared" si="115"/>
        <v>9522800</v>
      </c>
      <c r="H1627">
        <f t="shared" si="116"/>
        <v>4154800</v>
      </c>
    </row>
    <row r="1628" spans="1:8">
      <c r="A1628" t="s">
        <v>18</v>
      </c>
      <c r="B1628">
        <v>1503000</v>
      </c>
      <c r="C1628">
        <v>1299000</v>
      </c>
      <c r="D1628" t="str">
        <f>VLOOKUP(A1628,Лист2!A:E,5,0)</f>
        <v>малые</v>
      </c>
      <c r="E1628">
        <f>VLOOKUP(A1628,Лист2!A:E,4,0)</f>
        <v>2.5</v>
      </c>
      <c r="F1628" s="12">
        <f t="shared" si="114"/>
        <v>204000</v>
      </c>
      <c r="G1628">
        <f t="shared" si="115"/>
        <v>601200</v>
      </c>
      <c r="H1628">
        <f t="shared" si="116"/>
        <v>81600</v>
      </c>
    </row>
    <row r="1629" spans="1:8">
      <c r="A1629" t="s">
        <v>18</v>
      </c>
      <c r="B1629">
        <v>2369000</v>
      </c>
      <c r="C1629">
        <v>2273000</v>
      </c>
      <c r="D1629" t="str">
        <f>VLOOKUP(A1629,Лист2!A:E,5,0)</f>
        <v>малые</v>
      </c>
      <c r="E1629">
        <f>VLOOKUP(A1629,Лист2!A:E,4,0)</f>
        <v>2.5</v>
      </c>
      <c r="F1629" s="12">
        <f t="shared" si="114"/>
        <v>96000</v>
      </c>
      <c r="G1629">
        <f t="shared" si="115"/>
        <v>947600</v>
      </c>
      <c r="H1629">
        <f t="shared" si="116"/>
        <v>38400</v>
      </c>
    </row>
    <row r="1630" spans="1:8">
      <c r="A1630" t="s">
        <v>23</v>
      </c>
      <c r="B1630">
        <v>8061000</v>
      </c>
      <c r="C1630">
        <v>7663000</v>
      </c>
      <c r="D1630" t="str">
        <f>VLOOKUP(A1630,Лист2!A:E,5,0)</f>
        <v>средние</v>
      </c>
      <c r="E1630">
        <f>VLOOKUP(A1630,Лист2!A:E,4,0)</f>
        <v>75.5</v>
      </c>
      <c r="F1630" s="12">
        <f t="shared" si="114"/>
        <v>398000</v>
      </c>
      <c r="G1630">
        <f t="shared" si="115"/>
        <v>106768.21192052981</v>
      </c>
      <c r="H1630">
        <f t="shared" si="116"/>
        <v>5271.5231788079473</v>
      </c>
    </row>
    <row r="1631" spans="1:8">
      <c r="A1631" t="s">
        <v>77</v>
      </c>
      <c r="B1631">
        <v>263699000</v>
      </c>
      <c r="C1631">
        <v>255008000</v>
      </c>
      <c r="D1631" t="str">
        <f>VLOOKUP(A1631,Лист2!A:E,5,0)</f>
        <v>малые</v>
      </c>
      <c r="E1631">
        <f>VLOOKUP(A1631,Лист2!A:E,4,0)</f>
        <v>8</v>
      </c>
      <c r="F1631" s="12">
        <f t="shared" si="114"/>
        <v>8691000</v>
      </c>
      <c r="G1631">
        <f t="shared" si="115"/>
        <v>32962375</v>
      </c>
      <c r="H1631">
        <f t="shared" si="116"/>
        <v>1086375</v>
      </c>
    </row>
    <row r="1632" spans="1:8">
      <c r="A1632" t="s">
        <v>18</v>
      </c>
      <c r="B1632">
        <v>226000</v>
      </c>
      <c r="C1632">
        <v>4000</v>
      </c>
      <c r="D1632" t="str">
        <f>VLOOKUP(A1632,Лист2!A:E,5,0)</f>
        <v>малые</v>
      </c>
      <c r="E1632">
        <f>VLOOKUP(A1632,Лист2!A:E,4,0)</f>
        <v>2.5</v>
      </c>
      <c r="F1632" s="12">
        <f t="shared" si="114"/>
        <v>222000</v>
      </c>
      <c r="G1632">
        <f t="shared" si="115"/>
        <v>90400</v>
      </c>
      <c r="H1632">
        <f t="shared" si="116"/>
        <v>88800</v>
      </c>
    </row>
    <row r="1633" spans="1:8">
      <c r="A1633" t="s">
        <v>18</v>
      </c>
      <c r="B1633">
        <v>365000</v>
      </c>
      <c r="C1633">
        <v>410000</v>
      </c>
      <c r="D1633" t="str">
        <f>VLOOKUP(A1633,Лист2!A:E,5,0)</f>
        <v>малые</v>
      </c>
      <c r="E1633">
        <f>VLOOKUP(A1633,Лист2!A:E,4,0)</f>
        <v>2.5</v>
      </c>
      <c r="F1633" s="12">
        <f t="shared" si="114"/>
        <v>-45000</v>
      </c>
      <c r="G1633">
        <f t="shared" si="115"/>
        <v>146000</v>
      </c>
      <c r="H1633">
        <f t="shared" si="116"/>
        <v>-18000</v>
      </c>
    </row>
    <row r="1634" spans="1:8">
      <c r="A1634" t="s">
        <v>18</v>
      </c>
      <c r="B1634">
        <v>1342000</v>
      </c>
      <c r="C1634">
        <v>1293000</v>
      </c>
      <c r="D1634" t="str">
        <f>VLOOKUP(A1634,Лист2!A:E,5,0)</f>
        <v>малые</v>
      </c>
      <c r="E1634">
        <f>VLOOKUP(A1634,Лист2!A:E,4,0)</f>
        <v>2.5</v>
      </c>
      <c r="F1634" s="12">
        <f t="shared" si="114"/>
        <v>49000</v>
      </c>
      <c r="G1634">
        <f t="shared" si="115"/>
        <v>536800</v>
      </c>
      <c r="H1634">
        <f t="shared" si="116"/>
        <v>19600</v>
      </c>
    </row>
    <row r="1635" spans="1:8">
      <c r="A1635" t="s">
        <v>18</v>
      </c>
      <c r="B1635">
        <v>370000</v>
      </c>
      <c r="C1635">
        <v>43000</v>
      </c>
      <c r="D1635" t="str">
        <f>VLOOKUP(A1635,Лист2!A:E,5,0)</f>
        <v>малые</v>
      </c>
      <c r="E1635">
        <f>VLOOKUP(A1635,Лист2!A:E,4,0)</f>
        <v>2.5</v>
      </c>
      <c r="F1635" s="12">
        <f t="shared" si="114"/>
        <v>327000</v>
      </c>
      <c r="G1635">
        <f t="shared" si="115"/>
        <v>148000</v>
      </c>
      <c r="H1635">
        <f t="shared" si="116"/>
        <v>130800</v>
      </c>
    </row>
    <row r="1636" spans="1:8">
      <c r="A1636" t="s">
        <v>18</v>
      </c>
      <c r="B1636">
        <v>3209000</v>
      </c>
      <c r="C1636">
        <v>2846000</v>
      </c>
      <c r="D1636" t="str">
        <f>VLOOKUP(A1636,Лист2!A:E,5,0)</f>
        <v>малые</v>
      </c>
      <c r="E1636">
        <f>VLOOKUP(A1636,Лист2!A:E,4,0)</f>
        <v>2.5</v>
      </c>
      <c r="F1636" s="12">
        <f t="shared" si="114"/>
        <v>363000</v>
      </c>
      <c r="G1636">
        <f t="shared" si="115"/>
        <v>1283600</v>
      </c>
      <c r="H1636">
        <f t="shared" si="116"/>
        <v>145200</v>
      </c>
    </row>
    <row r="1637" spans="1:8">
      <c r="A1637" t="s">
        <v>18</v>
      </c>
      <c r="B1637">
        <v>3668000</v>
      </c>
      <c r="C1637">
        <v>3757000</v>
      </c>
      <c r="D1637" t="str">
        <f>VLOOKUP(A1637,Лист2!A:E,5,0)</f>
        <v>малые</v>
      </c>
      <c r="E1637">
        <f>VLOOKUP(A1637,Лист2!A:E,4,0)</f>
        <v>2.5</v>
      </c>
      <c r="F1637" s="12">
        <f t="shared" si="114"/>
        <v>-89000</v>
      </c>
      <c r="G1637">
        <f t="shared" si="115"/>
        <v>1467200</v>
      </c>
      <c r="H1637">
        <f t="shared" si="116"/>
        <v>-35600</v>
      </c>
    </row>
    <row r="1638" spans="1:8">
      <c r="A1638" t="s">
        <v>18</v>
      </c>
      <c r="B1638">
        <v>1585000</v>
      </c>
      <c r="C1638">
        <v>1564000</v>
      </c>
      <c r="D1638" t="str">
        <f>VLOOKUP(A1638,Лист2!A:E,5,0)</f>
        <v>малые</v>
      </c>
      <c r="E1638">
        <f>VLOOKUP(A1638,Лист2!A:E,4,0)</f>
        <v>2.5</v>
      </c>
      <c r="F1638" s="12">
        <f t="shared" si="114"/>
        <v>21000</v>
      </c>
      <c r="G1638">
        <f t="shared" si="115"/>
        <v>634000</v>
      </c>
      <c r="H1638">
        <f t="shared" si="116"/>
        <v>8400</v>
      </c>
    </row>
    <row r="1639" spans="1:8">
      <c r="A1639" t="s">
        <v>18</v>
      </c>
      <c r="B1639">
        <v>1241000</v>
      </c>
      <c r="C1639">
        <v>1240000</v>
      </c>
      <c r="D1639" t="str">
        <f>VLOOKUP(A1639,Лист2!A:E,5,0)</f>
        <v>малые</v>
      </c>
      <c r="E1639">
        <f>VLOOKUP(A1639,Лист2!A:E,4,0)</f>
        <v>2.5</v>
      </c>
      <c r="F1639" s="12">
        <f t="shared" si="114"/>
        <v>1000</v>
      </c>
      <c r="G1639">
        <f t="shared" si="115"/>
        <v>496400</v>
      </c>
      <c r="H1639">
        <f t="shared" si="116"/>
        <v>400</v>
      </c>
    </row>
    <row r="1640" spans="1:8">
      <c r="A1640" t="s">
        <v>18</v>
      </c>
      <c r="B1640">
        <v>624000</v>
      </c>
      <c r="C1640">
        <v>789000</v>
      </c>
      <c r="D1640" t="str">
        <f>VLOOKUP(A1640,Лист2!A:E,5,0)</f>
        <v>малые</v>
      </c>
      <c r="E1640">
        <f>VLOOKUP(A1640,Лист2!A:E,4,0)</f>
        <v>2.5</v>
      </c>
      <c r="F1640" s="12">
        <f t="shared" si="114"/>
        <v>-165000</v>
      </c>
      <c r="G1640">
        <f t="shared" si="115"/>
        <v>249600</v>
      </c>
      <c r="H1640">
        <f t="shared" si="116"/>
        <v>-66000</v>
      </c>
    </row>
    <row r="1641" spans="1:8">
      <c r="A1641" t="s">
        <v>18</v>
      </c>
      <c r="B1641">
        <v>1144000</v>
      </c>
      <c r="C1641">
        <v>1133000</v>
      </c>
      <c r="D1641" t="str">
        <f>VLOOKUP(A1641,Лист2!A:E,5,0)</f>
        <v>малые</v>
      </c>
      <c r="E1641">
        <f>VLOOKUP(A1641,Лист2!A:E,4,0)</f>
        <v>2.5</v>
      </c>
      <c r="F1641" s="12">
        <f t="shared" si="114"/>
        <v>11000</v>
      </c>
      <c r="G1641">
        <f t="shared" si="115"/>
        <v>457600</v>
      </c>
      <c r="H1641">
        <f t="shared" si="116"/>
        <v>4400</v>
      </c>
    </row>
    <row r="1642" spans="1:8">
      <c r="A1642" t="s">
        <v>18</v>
      </c>
      <c r="B1642">
        <v>1250000</v>
      </c>
      <c r="C1642">
        <v>132000</v>
      </c>
      <c r="D1642" t="str">
        <f>VLOOKUP(A1642,Лист2!A:E,5,0)</f>
        <v>малые</v>
      </c>
      <c r="E1642">
        <f>VLOOKUP(A1642,Лист2!A:E,4,0)</f>
        <v>2.5</v>
      </c>
      <c r="F1642" s="12">
        <f t="shared" si="114"/>
        <v>1118000</v>
      </c>
      <c r="G1642">
        <f t="shared" si="115"/>
        <v>500000</v>
      </c>
      <c r="H1642">
        <f t="shared" si="116"/>
        <v>447200</v>
      </c>
    </row>
    <row r="1643" spans="1:8">
      <c r="A1643" t="s">
        <v>18</v>
      </c>
      <c r="B1643">
        <v>1221000</v>
      </c>
      <c r="C1643">
        <v>1131000</v>
      </c>
      <c r="D1643" t="str">
        <f>VLOOKUP(A1643,Лист2!A:E,5,0)</f>
        <v>малые</v>
      </c>
      <c r="E1643">
        <f>VLOOKUP(A1643,Лист2!A:E,4,0)</f>
        <v>2.5</v>
      </c>
      <c r="F1643" s="12">
        <f t="shared" si="114"/>
        <v>90000</v>
      </c>
      <c r="G1643">
        <f t="shared" si="115"/>
        <v>488400</v>
      </c>
      <c r="H1643">
        <f t="shared" si="116"/>
        <v>36000</v>
      </c>
    </row>
    <row r="1644" spans="1:8">
      <c r="A1644" t="s">
        <v>18</v>
      </c>
      <c r="B1644">
        <v>398000</v>
      </c>
      <c r="C1644">
        <v>451000</v>
      </c>
      <c r="D1644" t="str">
        <f>VLOOKUP(A1644,Лист2!A:E,5,0)</f>
        <v>малые</v>
      </c>
      <c r="E1644">
        <f>VLOOKUP(A1644,Лист2!A:E,4,0)</f>
        <v>2.5</v>
      </c>
      <c r="F1644" s="12">
        <f t="shared" si="114"/>
        <v>-53000</v>
      </c>
      <c r="G1644">
        <f t="shared" si="115"/>
        <v>159200</v>
      </c>
      <c r="H1644">
        <f t="shared" si="116"/>
        <v>-21200</v>
      </c>
    </row>
    <row r="1645" spans="1:8">
      <c r="A1645" t="s">
        <v>18</v>
      </c>
      <c r="B1645">
        <v>20407000</v>
      </c>
      <c r="C1645">
        <v>17939000</v>
      </c>
      <c r="D1645" t="str">
        <f>VLOOKUP(A1645,Лист2!A:E,5,0)</f>
        <v>малые</v>
      </c>
      <c r="E1645">
        <f>VLOOKUP(A1645,Лист2!A:E,4,0)</f>
        <v>2.5</v>
      </c>
      <c r="F1645" s="12">
        <f t="shared" si="114"/>
        <v>2468000</v>
      </c>
      <c r="G1645">
        <f t="shared" si="115"/>
        <v>8162800</v>
      </c>
      <c r="H1645">
        <f t="shared" si="116"/>
        <v>987200</v>
      </c>
    </row>
    <row r="1646" spans="1:8">
      <c r="A1646" t="s">
        <v>18</v>
      </c>
      <c r="B1646">
        <v>1424000</v>
      </c>
      <c r="C1646">
        <v>1420000</v>
      </c>
      <c r="D1646" t="str">
        <f>VLOOKUP(A1646,Лист2!A:E,5,0)</f>
        <v>малые</v>
      </c>
      <c r="E1646">
        <f>VLOOKUP(A1646,Лист2!A:E,4,0)</f>
        <v>2.5</v>
      </c>
      <c r="F1646" s="12">
        <f t="shared" si="114"/>
        <v>4000</v>
      </c>
      <c r="G1646">
        <f t="shared" si="115"/>
        <v>569600</v>
      </c>
      <c r="H1646">
        <f t="shared" si="116"/>
        <v>1600</v>
      </c>
    </row>
    <row r="1647" spans="1:8">
      <c r="A1647" t="s">
        <v>18</v>
      </c>
      <c r="B1647">
        <v>1745000</v>
      </c>
      <c r="C1647">
        <v>1746000</v>
      </c>
      <c r="D1647" t="str">
        <f>VLOOKUP(A1647,Лист2!A:E,5,0)</f>
        <v>малые</v>
      </c>
      <c r="E1647">
        <f>VLOOKUP(A1647,Лист2!A:E,4,0)</f>
        <v>2.5</v>
      </c>
      <c r="F1647" s="12">
        <f t="shared" si="114"/>
        <v>-1000</v>
      </c>
      <c r="G1647">
        <f t="shared" si="115"/>
        <v>698000</v>
      </c>
      <c r="H1647">
        <f t="shared" si="116"/>
        <v>-400</v>
      </c>
    </row>
    <row r="1648" spans="1:8">
      <c r="A1648" t="s">
        <v>18</v>
      </c>
      <c r="B1648">
        <v>23271000</v>
      </c>
      <c r="C1648">
        <v>12868000</v>
      </c>
      <c r="D1648" t="str">
        <f>VLOOKUP(A1648,Лист2!A:E,5,0)</f>
        <v>малые</v>
      </c>
      <c r="E1648">
        <f>VLOOKUP(A1648,Лист2!A:E,4,0)</f>
        <v>2.5</v>
      </c>
      <c r="F1648" s="12">
        <f t="shared" si="114"/>
        <v>10403000</v>
      </c>
      <c r="G1648">
        <f t="shared" si="115"/>
        <v>9308400</v>
      </c>
      <c r="H1648">
        <f t="shared" si="116"/>
        <v>4161200</v>
      </c>
    </row>
    <row r="1649" spans="1:8">
      <c r="A1649" t="s">
        <v>18</v>
      </c>
      <c r="B1649">
        <v>2593000</v>
      </c>
      <c r="C1649">
        <v>2278000</v>
      </c>
      <c r="D1649" t="str">
        <f>VLOOKUP(A1649,Лист2!A:E,5,0)</f>
        <v>малые</v>
      </c>
      <c r="E1649">
        <f>VLOOKUP(A1649,Лист2!A:E,4,0)</f>
        <v>2.5</v>
      </c>
      <c r="F1649" s="12">
        <f t="shared" si="114"/>
        <v>315000</v>
      </c>
      <c r="G1649">
        <f t="shared" si="115"/>
        <v>1037200</v>
      </c>
      <c r="H1649">
        <f t="shared" si="116"/>
        <v>126000</v>
      </c>
    </row>
    <row r="1650" spans="1:8">
      <c r="A1650" t="s">
        <v>77</v>
      </c>
      <c r="B1650">
        <v>29187000</v>
      </c>
      <c r="C1650">
        <v>23176000</v>
      </c>
      <c r="D1650" t="str">
        <f>VLOOKUP(A1650,Лист2!A:E,5,0)</f>
        <v>малые</v>
      </c>
      <c r="E1650">
        <f>VLOOKUP(A1650,Лист2!A:E,4,0)</f>
        <v>8</v>
      </c>
      <c r="F1650" s="12">
        <f t="shared" si="114"/>
        <v>6011000</v>
      </c>
      <c r="G1650">
        <f t="shared" si="115"/>
        <v>3648375</v>
      </c>
      <c r="H1650">
        <f t="shared" si="116"/>
        <v>751375</v>
      </c>
    </row>
    <row r="1651" spans="1:8">
      <c r="A1651" t="s">
        <v>18</v>
      </c>
      <c r="B1651">
        <v>2747000</v>
      </c>
      <c r="C1651">
        <v>2727000</v>
      </c>
      <c r="D1651" t="str">
        <f>VLOOKUP(A1651,Лист2!A:E,5,0)</f>
        <v>малые</v>
      </c>
      <c r="E1651">
        <f>VLOOKUP(A1651,Лист2!A:E,4,0)</f>
        <v>2.5</v>
      </c>
      <c r="F1651" s="12">
        <f t="shared" si="114"/>
        <v>20000</v>
      </c>
      <c r="G1651">
        <f t="shared" si="115"/>
        <v>1098800</v>
      </c>
      <c r="H1651">
        <f t="shared" si="116"/>
        <v>8000</v>
      </c>
    </row>
    <row r="1652" spans="1:8">
      <c r="A1652" t="s">
        <v>18</v>
      </c>
      <c r="B1652">
        <v>5775000</v>
      </c>
      <c r="C1652">
        <v>5598000</v>
      </c>
      <c r="D1652" t="str">
        <f>VLOOKUP(A1652,Лист2!A:E,5,0)</f>
        <v>малые</v>
      </c>
      <c r="E1652">
        <f>VLOOKUP(A1652,Лист2!A:E,4,0)</f>
        <v>2.5</v>
      </c>
      <c r="F1652" s="12">
        <f t="shared" si="114"/>
        <v>177000</v>
      </c>
      <c r="G1652">
        <f t="shared" si="115"/>
        <v>2310000</v>
      </c>
      <c r="H1652">
        <f t="shared" si="116"/>
        <v>70800</v>
      </c>
    </row>
    <row r="1653" spans="1:8">
      <c r="A1653" t="s">
        <v>18</v>
      </c>
      <c r="B1653">
        <v>9176000</v>
      </c>
      <c r="C1653">
        <v>12611000</v>
      </c>
      <c r="D1653" t="str">
        <f>VLOOKUP(A1653,Лист2!A:E,5,0)</f>
        <v>малые</v>
      </c>
      <c r="E1653">
        <f>VLOOKUP(A1653,Лист2!A:E,4,0)</f>
        <v>2.5</v>
      </c>
      <c r="F1653" s="12">
        <f t="shared" si="114"/>
        <v>-3435000</v>
      </c>
      <c r="G1653">
        <f t="shared" si="115"/>
        <v>3670400</v>
      </c>
      <c r="H1653">
        <f t="shared" si="116"/>
        <v>-1374000</v>
      </c>
    </row>
    <row r="1654" spans="1:8">
      <c r="A1654" t="s">
        <v>18</v>
      </c>
      <c r="B1654">
        <v>604000</v>
      </c>
      <c r="C1654">
        <v>987000</v>
      </c>
      <c r="D1654" t="str">
        <f>VLOOKUP(A1654,Лист2!A:E,5,0)</f>
        <v>малые</v>
      </c>
      <c r="E1654">
        <f>VLOOKUP(A1654,Лист2!A:E,4,0)</f>
        <v>2.5</v>
      </c>
      <c r="F1654" s="12">
        <f t="shared" si="114"/>
        <v>-383000</v>
      </c>
      <c r="G1654">
        <f t="shared" si="115"/>
        <v>241600</v>
      </c>
      <c r="H1654">
        <f t="shared" si="116"/>
        <v>-153200</v>
      </c>
    </row>
    <row r="1655" spans="1:8">
      <c r="A1655" t="s">
        <v>18</v>
      </c>
      <c r="B1655">
        <v>118984000</v>
      </c>
      <c r="C1655">
        <v>38623000</v>
      </c>
      <c r="D1655" t="str">
        <f>VLOOKUP(A1655,Лист2!A:E,5,0)</f>
        <v>малые</v>
      </c>
      <c r="E1655">
        <f>VLOOKUP(A1655,Лист2!A:E,4,0)</f>
        <v>2.5</v>
      </c>
      <c r="F1655" s="12">
        <f t="shared" si="114"/>
        <v>80361000</v>
      </c>
      <c r="G1655">
        <f t="shared" si="115"/>
        <v>47593600</v>
      </c>
      <c r="H1655">
        <f t="shared" si="116"/>
        <v>32144400</v>
      </c>
    </row>
    <row r="1656" spans="1:8">
      <c r="A1656" t="s">
        <v>18</v>
      </c>
      <c r="B1656">
        <v>1031000</v>
      </c>
      <c r="C1656">
        <v>934000</v>
      </c>
      <c r="D1656" t="str">
        <f>VLOOKUP(A1656,Лист2!A:E,5,0)</f>
        <v>малые</v>
      </c>
      <c r="E1656">
        <f>VLOOKUP(A1656,Лист2!A:E,4,0)</f>
        <v>2.5</v>
      </c>
      <c r="F1656" s="12">
        <f t="shared" si="114"/>
        <v>97000</v>
      </c>
      <c r="G1656">
        <f t="shared" si="115"/>
        <v>412400</v>
      </c>
      <c r="H1656">
        <f t="shared" si="116"/>
        <v>38800</v>
      </c>
    </row>
    <row r="1657" spans="1:8">
      <c r="A1657" t="s">
        <v>18</v>
      </c>
      <c r="B1657">
        <v>8887000</v>
      </c>
      <c r="C1657">
        <v>8971000</v>
      </c>
      <c r="D1657" t="str">
        <f>VLOOKUP(A1657,Лист2!A:E,5,0)</f>
        <v>малые</v>
      </c>
      <c r="E1657">
        <f>VLOOKUP(A1657,Лист2!A:E,4,0)</f>
        <v>2.5</v>
      </c>
      <c r="F1657" s="12">
        <f t="shared" si="114"/>
        <v>-84000</v>
      </c>
      <c r="G1657">
        <f t="shared" si="115"/>
        <v>3554800</v>
      </c>
      <c r="H1657">
        <f t="shared" si="116"/>
        <v>-33600</v>
      </c>
    </row>
    <row r="1658" spans="1:8">
      <c r="A1658" t="s">
        <v>18</v>
      </c>
      <c r="B1658">
        <v>50000</v>
      </c>
      <c r="C1658">
        <v>59000</v>
      </c>
      <c r="D1658" t="str">
        <f>VLOOKUP(A1658,Лист2!A:E,5,0)</f>
        <v>малые</v>
      </c>
      <c r="E1658">
        <f>VLOOKUP(A1658,Лист2!A:E,4,0)</f>
        <v>2.5</v>
      </c>
      <c r="F1658" s="12">
        <f t="shared" si="114"/>
        <v>-9000</v>
      </c>
      <c r="G1658">
        <f t="shared" si="115"/>
        <v>20000</v>
      </c>
      <c r="H1658">
        <f t="shared" si="116"/>
        <v>-3600</v>
      </c>
    </row>
    <row r="1659" spans="1:8">
      <c r="A1659" t="s">
        <v>77</v>
      </c>
      <c r="B1659">
        <v>31765000</v>
      </c>
      <c r="C1659">
        <v>34134000</v>
      </c>
      <c r="D1659" t="str">
        <f>VLOOKUP(A1659,Лист2!A:E,5,0)</f>
        <v>малые</v>
      </c>
      <c r="E1659">
        <f>VLOOKUP(A1659,Лист2!A:E,4,0)</f>
        <v>8</v>
      </c>
      <c r="F1659" s="12">
        <f t="shared" ref="F1659:F1694" si="117">B1659-C1659</f>
        <v>-2369000</v>
      </c>
      <c r="G1659">
        <f t="shared" ref="G1659:G1694" si="118">B1659/E1659</f>
        <v>3970625</v>
      </c>
      <c r="H1659">
        <f t="shared" ref="H1659:H1694" si="119">F1659/E1659</f>
        <v>-296125</v>
      </c>
    </row>
    <row r="1660" spans="1:8">
      <c r="A1660" t="s">
        <v>18</v>
      </c>
      <c r="B1660">
        <v>561000</v>
      </c>
      <c r="C1660">
        <v>628000</v>
      </c>
      <c r="D1660" t="str">
        <f>VLOOKUP(A1660,Лист2!A:E,5,0)</f>
        <v>малые</v>
      </c>
      <c r="E1660">
        <f>VLOOKUP(A1660,Лист2!A:E,4,0)</f>
        <v>2.5</v>
      </c>
      <c r="F1660" s="12">
        <f t="shared" si="117"/>
        <v>-67000</v>
      </c>
      <c r="G1660">
        <f t="shared" si="118"/>
        <v>224400</v>
      </c>
      <c r="H1660">
        <f t="shared" si="119"/>
        <v>-26800</v>
      </c>
    </row>
    <row r="1661" spans="1:8">
      <c r="A1661" t="s">
        <v>18</v>
      </c>
      <c r="B1661">
        <v>764000</v>
      </c>
      <c r="C1661">
        <v>764000</v>
      </c>
      <c r="D1661" t="str">
        <f>VLOOKUP(A1661,Лист2!A:E,5,0)</f>
        <v>малые</v>
      </c>
      <c r="E1661">
        <f>VLOOKUP(A1661,Лист2!A:E,4,0)</f>
        <v>2.5</v>
      </c>
      <c r="F1661" s="12">
        <f t="shared" si="117"/>
        <v>0</v>
      </c>
      <c r="G1661">
        <f t="shared" si="118"/>
        <v>305600</v>
      </c>
      <c r="H1661">
        <f t="shared" si="119"/>
        <v>0</v>
      </c>
    </row>
    <row r="1662" spans="1:8">
      <c r="A1662" t="s">
        <v>18</v>
      </c>
      <c r="B1662">
        <v>5425000</v>
      </c>
      <c r="C1662">
        <v>5419000</v>
      </c>
      <c r="D1662" t="str">
        <f>VLOOKUP(A1662,Лист2!A:E,5,0)</f>
        <v>малые</v>
      </c>
      <c r="E1662">
        <f>VLOOKUP(A1662,Лист2!A:E,4,0)</f>
        <v>2.5</v>
      </c>
      <c r="F1662" s="12">
        <f t="shared" si="117"/>
        <v>6000</v>
      </c>
      <c r="G1662">
        <f t="shared" si="118"/>
        <v>2170000</v>
      </c>
      <c r="H1662">
        <f t="shared" si="119"/>
        <v>2400</v>
      </c>
    </row>
    <row r="1663" spans="1:8">
      <c r="A1663" t="s">
        <v>18</v>
      </c>
      <c r="B1663">
        <v>82308000</v>
      </c>
      <c r="C1663">
        <v>78395000</v>
      </c>
      <c r="D1663" t="str">
        <f>VLOOKUP(A1663,Лист2!A:E,5,0)</f>
        <v>малые</v>
      </c>
      <c r="E1663">
        <f>VLOOKUP(A1663,Лист2!A:E,4,0)</f>
        <v>2.5</v>
      </c>
      <c r="F1663" s="12">
        <f t="shared" si="117"/>
        <v>3913000</v>
      </c>
      <c r="G1663">
        <f t="shared" si="118"/>
        <v>32923200</v>
      </c>
      <c r="H1663">
        <f t="shared" si="119"/>
        <v>1565200</v>
      </c>
    </row>
    <row r="1664" spans="1:8">
      <c r="A1664" t="s">
        <v>18</v>
      </c>
      <c r="B1664">
        <v>12048000</v>
      </c>
      <c r="C1664">
        <v>12048000</v>
      </c>
      <c r="D1664" t="str">
        <f>VLOOKUP(A1664,Лист2!A:E,5,0)</f>
        <v>малые</v>
      </c>
      <c r="E1664">
        <f>VLOOKUP(A1664,Лист2!A:E,4,0)</f>
        <v>2.5</v>
      </c>
      <c r="F1664" s="12">
        <f t="shared" si="117"/>
        <v>0</v>
      </c>
      <c r="G1664">
        <f t="shared" si="118"/>
        <v>4819200</v>
      </c>
      <c r="H1664">
        <f t="shared" si="119"/>
        <v>0</v>
      </c>
    </row>
    <row r="1665" spans="1:8">
      <c r="A1665" t="s">
        <v>22</v>
      </c>
      <c r="B1665">
        <v>787000</v>
      </c>
      <c r="C1665">
        <v>2786000</v>
      </c>
      <c r="D1665" t="str">
        <f>VLOOKUP(A1665,Лист2!A:E,5,0)</f>
        <v>малые</v>
      </c>
      <c r="E1665">
        <f>VLOOKUP(A1665,Лист2!A:E,4,0)</f>
        <v>13</v>
      </c>
      <c r="F1665" s="12">
        <f t="shared" si="117"/>
        <v>-1999000</v>
      </c>
      <c r="G1665">
        <f t="shared" si="118"/>
        <v>60538.461538461539</v>
      </c>
      <c r="H1665">
        <f t="shared" si="119"/>
        <v>-153769.23076923078</v>
      </c>
    </row>
    <row r="1666" spans="1:8">
      <c r="A1666" t="s">
        <v>18</v>
      </c>
      <c r="B1666">
        <v>25905000</v>
      </c>
      <c r="C1666">
        <v>26371000</v>
      </c>
      <c r="D1666" t="str">
        <f>VLOOKUP(A1666,Лист2!A:E,5,0)</f>
        <v>малые</v>
      </c>
      <c r="E1666">
        <f>VLOOKUP(A1666,Лист2!A:E,4,0)</f>
        <v>2.5</v>
      </c>
      <c r="F1666" s="12">
        <f t="shared" si="117"/>
        <v>-466000</v>
      </c>
      <c r="G1666">
        <f t="shared" si="118"/>
        <v>10362000</v>
      </c>
      <c r="H1666">
        <f t="shared" si="119"/>
        <v>-186400</v>
      </c>
    </row>
    <row r="1667" spans="1:8">
      <c r="A1667" t="s">
        <v>22</v>
      </c>
      <c r="B1667">
        <v>5933000</v>
      </c>
      <c r="C1667">
        <v>6059000</v>
      </c>
      <c r="D1667" t="str">
        <f>VLOOKUP(A1667,Лист2!A:E,5,0)</f>
        <v>малые</v>
      </c>
      <c r="E1667">
        <f>VLOOKUP(A1667,Лист2!A:E,4,0)</f>
        <v>13</v>
      </c>
      <c r="F1667" s="12">
        <f t="shared" si="117"/>
        <v>-126000</v>
      </c>
      <c r="G1667">
        <f t="shared" si="118"/>
        <v>456384.61538461538</v>
      </c>
      <c r="H1667">
        <f t="shared" si="119"/>
        <v>-9692.3076923076915</v>
      </c>
    </row>
    <row r="1668" spans="1:8">
      <c r="A1668" t="s">
        <v>807</v>
      </c>
      <c r="B1668">
        <v>61367000</v>
      </c>
      <c r="C1668">
        <v>61661000</v>
      </c>
      <c r="D1668" t="str">
        <f>VLOOKUP(A1668,Лист2!A:E,5,0)</f>
        <v>средние</v>
      </c>
      <c r="E1668">
        <f>VLOOKUP(A1668,Лист2!A:E,4,0)</f>
        <v>175.5</v>
      </c>
      <c r="F1668" s="12">
        <f t="shared" si="117"/>
        <v>-294000</v>
      </c>
      <c r="G1668">
        <f t="shared" si="118"/>
        <v>349669.51566951565</v>
      </c>
      <c r="H1668">
        <f t="shared" si="119"/>
        <v>-1675.2136752136753</v>
      </c>
    </row>
    <row r="1669" spans="1:8">
      <c r="A1669" t="s">
        <v>18</v>
      </c>
      <c r="B1669">
        <v>1038000</v>
      </c>
      <c r="C1669">
        <v>1657000</v>
      </c>
      <c r="D1669" t="str">
        <f>VLOOKUP(A1669,Лист2!A:E,5,0)</f>
        <v>малые</v>
      </c>
      <c r="E1669">
        <f>VLOOKUP(A1669,Лист2!A:E,4,0)</f>
        <v>2.5</v>
      </c>
      <c r="F1669" s="12">
        <f t="shared" si="117"/>
        <v>-619000</v>
      </c>
      <c r="G1669">
        <f t="shared" si="118"/>
        <v>415200</v>
      </c>
      <c r="H1669">
        <f t="shared" si="119"/>
        <v>-247600</v>
      </c>
    </row>
    <row r="1670" spans="1:8">
      <c r="A1670" t="s">
        <v>23</v>
      </c>
      <c r="B1670">
        <v>25311000</v>
      </c>
      <c r="C1670">
        <v>25228000</v>
      </c>
      <c r="D1670" t="str">
        <f>VLOOKUP(A1670,Лист2!A:E,5,0)</f>
        <v>средние</v>
      </c>
      <c r="E1670">
        <f>VLOOKUP(A1670,Лист2!A:E,4,0)</f>
        <v>75.5</v>
      </c>
      <c r="F1670" s="12">
        <f t="shared" si="117"/>
        <v>83000</v>
      </c>
      <c r="G1670">
        <f t="shared" si="118"/>
        <v>335245.03311258281</v>
      </c>
      <c r="H1670">
        <f t="shared" si="119"/>
        <v>1099.3377483443708</v>
      </c>
    </row>
    <row r="1671" spans="1:8">
      <c r="A1671" t="s">
        <v>18</v>
      </c>
      <c r="B1671">
        <v>5070000</v>
      </c>
      <c r="C1671">
        <v>5510000</v>
      </c>
      <c r="D1671" t="str">
        <f>VLOOKUP(A1671,Лист2!A:E,5,0)</f>
        <v>малые</v>
      </c>
      <c r="E1671">
        <f>VLOOKUP(A1671,Лист2!A:E,4,0)</f>
        <v>2.5</v>
      </c>
      <c r="F1671" s="12">
        <f t="shared" si="117"/>
        <v>-440000</v>
      </c>
      <c r="G1671">
        <f t="shared" si="118"/>
        <v>2028000</v>
      </c>
      <c r="H1671">
        <f t="shared" si="119"/>
        <v>-176000</v>
      </c>
    </row>
    <row r="1672" spans="1:8">
      <c r="A1672" t="s">
        <v>18</v>
      </c>
      <c r="B1672">
        <v>3840000</v>
      </c>
      <c r="C1672">
        <v>3840000</v>
      </c>
      <c r="D1672" t="str">
        <f>VLOOKUP(A1672,Лист2!A:E,5,0)</f>
        <v>малые</v>
      </c>
      <c r="E1672">
        <f>VLOOKUP(A1672,Лист2!A:E,4,0)</f>
        <v>2.5</v>
      </c>
      <c r="F1672" s="12">
        <f t="shared" si="117"/>
        <v>0</v>
      </c>
      <c r="G1672">
        <f t="shared" si="118"/>
        <v>1536000</v>
      </c>
      <c r="H1672">
        <f t="shared" si="119"/>
        <v>0</v>
      </c>
    </row>
    <row r="1673" spans="1:8">
      <c r="A1673" t="s">
        <v>18</v>
      </c>
      <c r="B1673">
        <v>4185000</v>
      </c>
      <c r="C1673">
        <v>3606000</v>
      </c>
      <c r="D1673" t="str">
        <f>VLOOKUP(A1673,Лист2!A:E,5,0)</f>
        <v>малые</v>
      </c>
      <c r="E1673">
        <f>VLOOKUP(A1673,Лист2!A:E,4,0)</f>
        <v>2.5</v>
      </c>
      <c r="F1673" s="12">
        <f t="shared" si="117"/>
        <v>579000</v>
      </c>
      <c r="G1673">
        <f t="shared" si="118"/>
        <v>1674000</v>
      </c>
      <c r="H1673">
        <f t="shared" si="119"/>
        <v>231600</v>
      </c>
    </row>
    <row r="1674" spans="1:8">
      <c r="A1674" t="s">
        <v>22</v>
      </c>
      <c r="B1674">
        <v>1416000</v>
      </c>
      <c r="C1674">
        <v>1519000</v>
      </c>
      <c r="D1674" t="str">
        <f>VLOOKUP(A1674,Лист2!A:E,5,0)</f>
        <v>малые</v>
      </c>
      <c r="E1674">
        <f>VLOOKUP(A1674,Лист2!A:E,4,0)</f>
        <v>13</v>
      </c>
      <c r="F1674" s="12">
        <f t="shared" si="117"/>
        <v>-103000</v>
      </c>
      <c r="G1674">
        <f t="shared" si="118"/>
        <v>108923.07692307692</v>
      </c>
      <c r="H1674">
        <f t="shared" si="119"/>
        <v>-7923.0769230769229</v>
      </c>
    </row>
    <row r="1675" spans="1:8">
      <c r="A1675" t="s">
        <v>23</v>
      </c>
      <c r="B1675">
        <v>23834000</v>
      </c>
      <c r="C1675">
        <v>23717000</v>
      </c>
      <c r="D1675" t="str">
        <f>VLOOKUP(A1675,Лист2!A:E,5,0)</f>
        <v>средние</v>
      </c>
      <c r="E1675">
        <f>VLOOKUP(A1675,Лист2!A:E,4,0)</f>
        <v>75.5</v>
      </c>
      <c r="F1675" s="12">
        <f t="shared" si="117"/>
        <v>117000</v>
      </c>
      <c r="G1675">
        <f t="shared" si="118"/>
        <v>315682.11920529802</v>
      </c>
      <c r="H1675">
        <f t="shared" si="119"/>
        <v>1549.6688741721855</v>
      </c>
    </row>
    <row r="1676" spans="1:8">
      <c r="A1676" t="s">
        <v>23</v>
      </c>
      <c r="B1676">
        <v>29407000</v>
      </c>
      <c r="C1676">
        <v>28853000</v>
      </c>
      <c r="D1676" t="str">
        <f>VLOOKUP(A1676,Лист2!A:E,5,0)</f>
        <v>средние</v>
      </c>
      <c r="E1676">
        <f>VLOOKUP(A1676,Лист2!A:E,4,0)</f>
        <v>75.5</v>
      </c>
      <c r="F1676" s="12">
        <f t="shared" si="117"/>
        <v>554000</v>
      </c>
      <c r="G1676">
        <f t="shared" si="118"/>
        <v>389496.68874172185</v>
      </c>
      <c r="H1676">
        <f t="shared" si="119"/>
        <v>7337.7483443708607</v>
      </c>
    </row>
    <row r="1677" spans="1:8">
      <c r="A1677" t="s">
        <v>23</v>
      </c>
      <c r="B1677">
        <v>38447000</v>
      </c>
      <c r="C1677">
        <v>38389000</v>
      </c>
      <c r="D1677" t="str">
        <f>VLOOKUP(A1677,Лист2!A:E,5,0)</f>
        <v>средние</v>
      </c>
      <c r="E1677">
        <f>VLOOKUP(A1677,Лист2!A:E,4,0)</f>
        <v>75.5</v>
      </c>
      <c r="F1677" s="12">
        <f t="shared" si="117"/>
        <v>58000</v>
      </c>
      <c r="G1677">
        <f t="shared" si="118"/>
        <v>509231.78807947022</v>
      </c>
      <c r="H1677">
        <f t="shared" si="119"/>
        <v>768.21192052980132</v>
      </c>
    </row>
    <row r="1678" spans="1:8">
      <c r="A1678" t="s">
        <v>23</v>
      </c>
      <c r="B1678">
        <v>22798000</v>
      </c>
      <c r="C1678">
        <v>22374000</v>
      </c>
      <c r="D1678" t="str">
        <f>VLOOKUP(A1678,Лист2!A:E,5,0)</f>
        <v>средние</v>
      </c>
      <c r="E1678">
        <f>VLOOKUP(A1678,Лист2!A:E,4,0)</f>
        <v>75.5</v>
      </c>
      <c r="F1678" s="12">
        <f t="shared" si="117"/>
        <v>424000</v>
      </c>
      <c r="G1678">
        <f t="shared" si="118"/>
        <v>301960.26490066224</v>
      </c>
      <c r="H1678">
        <f t="shared" si="119"/>
        <v>5615.8940397350989</v>
      </c>
    </row>
    <row r="1679" spans="1:8">
      <c r="A1679" t="s">
        <v>23</v>
      </c>
      <c r="B1679">
        <v>19355000</v>
      </c>
      <c r="C1679">
        <v>17444000</v>
      </c>
      <c r="D1679" t="str">
        <f>VLOOKUP(A1679,Лист2!A:E,5,0)</f>
        <v>средние</v>
      </c>
      <c r="E1679">
        <f>VLOOKUP(A1679,Лист2!A:E,4,0)</f>
        <v>75.5</v>
      </c>
      <c r="F1679" s="12">
        <f t="shared" si="117"/>
        <v>1911000</v>
      </c>
      <c r="G1679">
        <f t="shared" si="118"/>
        <v>256357.61589403974</v>
      </c>
      <c r="H1679">
        <f t="shared" si="119"/>
        <v>25311.258278145695</v>
      </c>
    </row>
    <row r="1680" spans="1:8">
      <c r="A1680" t="s">
        <v>18</v>
      </c>
      <c r="B1680">
        <v>10400000</v>
      </c>
      <c r="C1680">
        <v>8102000</v>
      </c>
      <c r="D1680" t="str">
        <f>VLOOKUP(A1680,Лист2!A:E,5,0)</f>
        <v>малые</v>
      </c>
      <c r="E1680">
        <f>VLOOKUP(A1680,Лист2!A:E,4,0)</f>
        <v>2.5</v>
      </c>
      <c r="F1680" s="12">
        <f t="shared" si="117"/>
        <v>2298000</v>
      </c>
      <c r="G1680">
        <f t="shared" si="118"/>
        <v>4160000</v>
      </c>
      <c r="H1680">
        <f t="shared" si="119"/>
        <v>919200</v>
      </c>
    </row>
    <row r="1681" spans="1:8">
      <c r="A1681" t="s">
        <v>18</v>
      </c>
      <c r="B1681">
        <v>306000</v>
      </c>
      <c r="C1681">
        <v>92000</v>
      </c>
      <c r="D1681" t="str">
        <f>VLOOKUP(A1681,Лист2!A:E,5,0)</f>
        <v>малые</v>
      </c>
      <c r="E1681">
        <f>VLOOKUP(A1681,Лист2!A:E,4,0)</f>
        <v>2.5</v>
      </c>
      <c r="F1681" s="12">
        <f t="shared" si="117"/>
        <v>214000</v>
      </c>
      <c r="G1681">
        <f t="shared" si="118"/>
        <v>122400</v>
      </c>
      <c r="H1681">
        <f t="shared" si="119"/>
        <v>85600</v>
      </c>
    </row>
    <row r="1682" spans="1:8">
      <c r="A1682" t="s">
        <v>77</v>
      </c>
      <c r="B1682">
        <v>387000</v>
      </c>
      <c r="C1682">
        <v>543000</v>
      </c>
      <c r="D1682" t="str">
        <f>VLOOKUP(A1682,Лист2!A:E,5,0)</f>
        <v>малые</v>
      </c>
      <c r="E1682">
        <f>VLOOKUP(A1682,Лист2!A:E,4,0)</f>
        <v>8</v>
      </c>
      <c r="F1682" s="12">
        <f t="shared" si="117"/>
        <v>-156000</v>
      </c>
      <c r="G1682">
        <f t="shared" si="118"/>
        <v>48375</v>
      </c>
      <c r="H1682">
        <f t="shared" si="119"/>
        <v>-19500</v>
      </c>
    </row>
    <row r="1683" spans="1:8">
      <c r="A1683" t="s">
        <v>18</v>
      </c>
      <c r="B1683">
        <v>773000</v>
      </c>
      <c r="C1683">
        <v>779000</v>
      </c>
      <c r="D1683" t="str">
        <f>VLOOKUP(A1683,Лист2!A:E,5,0)</f>
        <v>малые</v>
      </c>
      <c r="E1683">
        <f>VLOOKUP(A1683,Лист2!A:E,4,0)</f>
        <v>2.5</v>
      </c>
      <c r="F1683" s="12">
        <f t="shared" si="117"/>
        <v>-6000</v>
      </c>
      <c r="G1683">
        <f t="shared" si="118"/>
        <v>309200</v>
      </c>
      <c r="H1683">
        <f t="shared" si="119"/>
        <v>-2400</v>
      </c>
    </row>
    <row r="1684" spans="1:8">
      <c r="A1684" t="s">
        <v>18</v>
      </c>
      <c r="B1684">
        <v>4131000</v>
      </c>
      <c r="C1684">
        <v>4118000</v>
      </c>
      <c r="D1684" t="str">
        <f>VLOOKUP(A1684,Лист2!A:E,5,0)</f>
        <v>малые</v>
      </c>
      <c r="E1684">
        <f>VLOOKUP(A1684,Лист2!A:E,4,0)</f>
        <v>2.5</v>
      </c>
      <c r="F1684" s="12">
        <f t="shared" si="117"/>
        <v>13000</v>
      </c>
      <c r="G1684">
        <f t="shared" si="118"/>
        <v>1652400</v>
      </c>
      <c r="H1684">
        <f t="shared" si="119"/>
        <v>5200</v>
      </c>
    </row>
    <row r="1685" spans="1:8">
      <c r="A1685" t="s">
        <v>18</v>
      </c>
      <c r="B1685">
        <v>595000</v>
      </c>
      <c r="C1685">
        <v>594000</v>
      </c>
      <c r="D1685" t="str">
        <f>VLOOKUP(A1685,Лист2!A:E,5,0)</f>
        <v>малые</v>
      </c>
      <c r="E1685">
        <f>VLOOKUP(A1685,Лист2!A:E,4,0)</f>
        <v>2.5</v>
      </c>
      <c r="F1685" s="12">
        <f t="shared" si="117"/>
        <v>1000</v>
      </c>
      <c r="G1685">
        <f t="shared" si="118"/>
        <v>238000</v>
      </c>
      <c r="H1685">
        <f t="shared" si="119"/>
        <v>400</v>
      </c>
    </row>
    <row r="1686" spans="1:8">
      <c r="A1686" t="s">
        <v>22</v>
      </c>
      <c r="B1686">
        <v>23321000</v>
      </c>
      <c r="C1686">
        <v>22731000</v>
      </c>
      <c r="D1686" t="str">
        <f>VLOOKUP(A1686,Лист2!A:E,5,0)</f>
        <v>малые</v>
      </c>
      <c r="E1686">
        <f>VLOOKUP(A1686,Лист2!A:E,4,0)</f>
        <v>13</v>
      </c>
      <c r="F1686" s="12">
        <f t="shared" si="117"/>
        <v>590000</v>
      </c>
      <c r="G1686">
        <f t="shared" si="118"/>
        <v>1793923.076923077</v>
      </c>
      <c r="H1686">
        <f t="shared" si="119"/>
        <v>45384.615384615383</v>
      </c>
    </row>
    <row r="1687" spans="1:8">
      <c r="A1687" t="s">
        <v>22</v>
      </c>
      <c r="B1687">
        <v>8030000</v>
      </c>
      <c r="C1687">
        <v>5350000</v>
      </c>
      <c r="D1687" t="str">
        <f>VLOOKUP(A1687,Лист2!A:E,5,0)</f>
        <v>малые</v>
      </c>
      <c r="E1687">
        <f>VLOOKUP(A1687,Лист2!A:E,4,0)</f>
        <v>13</v>
      </c>
      <c r="F1687" s="12">
        <f t="shared" si="117"/>
        <v>2680000</v>
      </c>
      <c r="G1687">
        <f t="shared" si="118"/>
        <v>617692.30769230775</v>
      </c>
      <c r="H1687">
        <f t="shared" si="119"/>
        <v>206153.84615384616</v>
      </c>
    </row>
    <row r="1688" spans="1:8">
      <c r="A1688" t="s">
        <v>18</v>
      </c>
      <c r="B1688">
        <v>1930000</v>
      </c>
      <c r="C1688">
        <v>1948000</v>
      </c>
      <c r="D1688" t="str">
        <f>VLOOKUP(A1688,Лист2!A:E,5,0)</f>
        <v>малые</v>
      </c>
      <c r="E1688">
        <f>VLOOKUP(A1688,Лист2!A:E,4,0)</f>
        <v>2.5</v>
      </c>
      <c r="F1688" s="12">
        <f t="shared" si="117"/>
        <v>-18000</v>
      </c>
      <c r="G1688">
        <f t="shared" si="118"/>
        <v>772000</v>
      </c>
      <c r="H1688">
        <f t="shared" si="119"/>
        <v>-7200</v>
      </c>
    </row>
    <row r="1689" spans="1:8">
      <c r="A1689" t="s">
        <v>18</v>
      </c>
      <c r="B1689">
        <v>48550000</v>
      </c>
      <c r="C1689">
        <v>50669000</v>
      </c>
      <c r="D1689" t="str">
        <f>VLOOKUP(A1689,Лист2!A:E,5,0)</f>
        <v>малые</v>
      </c>
      <c r="E1689">
        <f>VLOOKUP(A1689,Лист2!A:E,4,0)</f>
        <v>2.5</v>
      </c>
      <c r="F1689" s="12">
        <f t="shared" si="117"/>
        <v>-2119000</v>
      </c>
      <c r="G1689">
        <f t="shared" si="118"/>
        <v>19420000</v>
      </c>
      <c r="H1689">
        <f t="shared" si="119"/>
        <v>-847600</v>
      </c>
    </row>
    <row r="1690" spans="1:8">
      <c r="A1690" t="s">
        <v>18</v>
      </c>
      <c r="B1690">
        <v>925000</v>
      </c>
      <c r="C1690">
        <v>1035000</v>
      </c>
      <c r="D1690" t="str">
        <f>VLOOKUP(A1690,Лист2!A:E,5,0)</f>
        <v>малые</v>
      </c>
      <c r="E1690">
        <f>VLOOKUP(A1690,Лист2!A:E,4,0)</f>
        <v>2.5</v>
      </c>
      <c r="F1690" s="12">
        <f t="shared" si="117"/>
        <v>-110000</v>
      </c>
      <c r="G1690">
        <f t="shared" si="118"/>
        <v>370000</v>
      </c>
      <c r="H1690">
        <f t="shared" si="119"/>
        <v>-44000</v>
      </c>
    </row>
    <row r="1691" spans="1:8">
      <c r="A1691" t="s">
        <v>18</v>
      </c>
      <c r="B1691">
        <v>684000</v>
      </c>
      <c r="C1691">
        <v>775000</v>
      </c>
      <c r="D1691" t="str">
        <f>VLOOKUP(A1691,Лист2!A:E,5,0)</f>
        <v>малые</v>
      </c>
      <c r="E1691">
        <f>VLOOKUP(A1691,Лист2!A:E,4,0)</f>
        <v>2.5</v>
      </c>
      <c r="F1691" s="12">
        <f t="shared" si="117"/>
        <v>-91000</v>
      </c>
      <c r="G1691">
        <f t="shared" si="118"/>
        <v>273600</v>
      </c>
      <c r="H1691">
        <f t="shared" si="119"/>
        <v>-36400</v>
      </c>
    </row>
    <row r="1692" spans="1:8">
      <c r="A1692" t="s">
        <v>302</v>
      </c>
      <c r="B1692">
        <v>803889000</v>
      </c>
      <c r="C1692">
        <v>797290000</v>
      </c>
      <c r="D1692" t="str">
        <f>VLOOKUP(A1692,Лист2!A:E,5,0)</f>
        <v>средние</v>
      </c>
      <c r="E1692">
        <f>VLOOKUP(A1692,Лист2!A:E,4,0)</f>
        <v>125.5</v>
      </c>
      <c r="F1692" s="12">
        <f t="shared" si="117"/>
        <v>6599000</v>
      </c>
      <c r="G1692">
        <f t="shared" si="118"/>
        <v>6405490.0398406377</v>
      </c>
      <c r="H1692">
        <f t="shared" si="119"/>
        <v>52581.673306772907</v>
      </c>
    </row>
    <row r="1693" spans="1:8">
      <c r="A1693" t="s">
        <v>18</v>
      </c>
      <c r="B1693">
        <v>15604000</v>
      </c>
      <c r="C1693">
        <v>15641000</v>
      </c>
      <c r="D1693" t="str">
        <f>VLOOKUP(A1693,Лист2!A:E,5,0)</f>
        <v>малые</v>
      </c>
      <c r="E1693">
        <f>VLOOKUP(A1693,Лист2!A:E,4,0)</f>
        <v>2.5</v>
      </c>
      <c r="F1693" s="12">
        <f t="shared" si="117"/>
        <v>-37000</v>
      </c>
      <c r="G1693">
        <f t="shared" si="118"/>
        <v>6241600</v>
      </c>
      <c r="H1693">
        <f t="shared" si="119"/>
        <v>-14800</v>
      </c>
    </row>
    <row r="1694" spans="1:8">
      <c r="A1694" t="s">
        <v>18</v>
      </c>
      <c r="B1694">
        <v>9601000</v>
      </c>
      <c r="C1694">
        <v>8712000</v>
      </c>
      <c r="D1694" t="str">
        <f>VLOOKUP(A1694,Лист2!A:E,5,0)</f>
        <v>малые</v>
      </c>
      <c r="E1694">
        <f>VLOOKUP(A1694,Лист2!A:E,4,0)</f>
        <v>2.5</v>
      </c>
      <c r="F1694" s="12">
        <f t="shared" si="117"/>
        <v>889000</v>
      </c>
      <c r="G1694">
        <f t="shared" si="118"/>
        <v>3840400</v>
      </c>
      <c r="H1694">
        <f t="shared" si="119"/>
        <v>355600</v>
      </c>
    </row>
    <row r="1695" spans="1:8">
      <c r="A1695" t="s">
        <v>18</v>
      </c>
      <c r="B1695">
        <v>50000</v>
      </c>
      <c r="C1695">
        <v>50000</v>
      </c>
      <c r="D1695" t="str">
        <f>VLOOKUP(A1695,Лист2!A:E,5,0)</f>
        <v>малые</v>
      </c>
      <c r="E1695">
        <f>VLOOKUP(A1695,Лист2!A:E,4,0)</f>
        <v>2.5</v>
      </c>
      <c r="F1695" s="12">
        <f t="shared" ref="F1695:F1720" si="120">B1695-C1695</f>
        <v>0</v>
      </c>
      <c r="G1695">
        <f t="shared" ref="G1695:G1720" si="121">B1695/E1695</f>
        <v>20000</v>
      </c>
      <c r="H1695">
        <f t="shared" ref="H1695:H1720" si="122">F1695/E1695</f>
        <v>0</v>
      </c>
    </row>
    <row r="1696" spans="1:8">
      <c r="A1696" t="s">
        <v>18</v>
      </c>
      <c r="B1696">
        <v>569000</v>
      </c>
      <c r="C1696">
        <v>809000</v>
      </c>
      <c r="D1696" t="str">
        <f>VLOOKUP(A1696,Лист2!A:E,5,0)</f>
        <v>малые</v>
      </c>
      <c r="E1696">
        <f>VLOOKUP(A1696,Лист2!A:E,4,0)</f>
        <v>2.5</v>
      </c>
      <c r="F1696" s="12">
        <f t="shared" si="120"/>
        <v>-240000</v>
      </c>
      <c r="G1696">
        <f t="shared" si="121"/>
        <v>227600</v>
      </c>
      <c r="H1696">
        <f t="shared" si="122"/>
        <v>-96000</v>
      </c>
    </row>
    <row r="1697" spans="1:8">
      <c r="A1697" t="s">
        <v>18</v>
      </c>
      <c r="B1697">
        <v>2816000</v>
      </c>
      <c r="C1697">
        <v>2593000</v>
      </c>
      <c r="D1697" t="str">
        <f>VLOOKUP(A1697,Лист2!A:E,5,0)</f>
        <v>малые</v>
      </c>
      <c r="E1697">
        <f>VLOOKUP(A1697,Лист2!A:E,4,0)</f>
        <v>2.5</v>
      </c>
      <c r="F1697" s="12">
        <f t="shared" si="120"/>
        <v>223000</v>
      </c>
      <c r="G1697">
        <f t="shared" si="121"/>
        <v>1126400</v>
      </c>
      <c r="H1697">
        <f t="shared" si="122"/>
        <v>89200</v>
      </c>
    </row>
    <row r="1698" spans="1:8">
      <c r="A1698" t="s">
        <v>18</v>
      </c>
      <c r="B1698">
        <v>3203000</v>
      </c>
      <c r="C1698">
        <v>2795000</v>
      </c>
      <c r="D1698" t="str">
        <f>VLOOKUP(A1698,Лист2!A:E,5,0)</f>
        <v>малые</v>
      </c>
      <c r="E1698">
        <f>VLOOKUP(A1698,Лист2!A:E,4,0)</f>
        <v>2.5</v>
      </c>
      <c r="F1698" s="12">
        <f t="shared" si="120"/>
        <v>408000</v>
      </c>
      <c r="G1698">
        <f t="shared" si="121"/>
        <v>1281200</v>
      </c>
      <c r="H1698">
        <f t="shared" si="122"/>
        <v>163200</v>
      </c>
    </row>
    <row r="1699" spans="1:8">
      <c r="A1699" t="s">
        <v>18</v>
      </c>
      <c r="B1699">
        <v>746000</v>
      </c>
      <c r="C1699">
        <v>712000</v>
      </c>
      <c r="D1699" t="str">
        <f>VLOOKUP(A1699,Лист2!A:E,5,0)</f>
        <v>малые</v>
      </c>
      <c r="E1699">
        <f>VLOOKUP(A1699,Лист2!A:E,4,0)</f>
        <v>2.5</v>
      </c>
      <c r="F1699" s="12">
        <f t="shared" si="120"/>
        <v>34000</v>
      </c>
      <c r="G1699">
        <f t="shared" si="121"/>
        <v>298400</v>
      </c>
      <c r="H1699">
        <f t="shared" si="122"/>
        <v>13600</v>
      </c>
    </row>
    <row r="1700" spans="1:8">
      <c r="A1700" t="s">
        <v>18</v>
      </c>
      <c r="B1700">
        <v>15687000</v>
      </c>
      <c r="C1700">
        <v>16605000</v>
      </c>
      <c r="D1700" t="str">
        <f>VLOOKUP(A1700,Лист2!A:E,5,0)</f>
        <v>малые</v>
      </c>
      <c r="E1700">
        <f>VLOOKUP(A1700,Лист2!A:E,4,0)</f>
        <v>2.5</v>
      </c>
      <c r="F1700" s="12">
        <f t="shared" si="120"/>
        <v>-918000</v>
      </c>
      <c r="G1700">
        <f t="shared" si="121"/>
        <v>6274800</v>
      </c>
      <c r="H1700">
        <f t="shared" si="122"/>
        <v>-367200</v>
      </c>
    </row>
    <row r="1701" spans="1:8">
      <c r="A1701" t="s">
        <v>18</v>
      </c>
      <c r="B1701">
        <v>5072000</v>
      </c>
      <c r="C1701">
        <v>5210000</v>
      </c>
      <c r="D1701" t="str">
        <f>VLOOKUP(A1701,Лист2!A:E,5,0)</f>
        <v>малые</v>
      </c>
      <c r="E1701">
        <f>VLOOKUP(A1701,Лист2!A:E,4,0)</f>
        <v>2.5</v>
      </c>
      <c r="F1701" s="12">
        <f t="shared" si="120"/>
        <v>-138000</v>
      </c>
      <c r="G1701">
        <f t="shared" si="121"/>
        <v>2028800</v>
      </c>
      <c r="H1701">
        <f t="shared" si="122"/>
        <v>-55200</v>
      </c>
    </row>
    <row r="1702" spans="1:8">
      <c r="A1702" t="s">
        <v>18</v>
      </c>
      <c r="B1702">
        <v>1222000</v>
      </c>
      <c r="C1702">
        <v>1222000</v>
      </c>
      <c r="D1702" t="str">
        <f>VLOOKUP(A1702,Лист2!A:E,5,0)</f>
        <v>малые</v>
      </c>
      <c r="E1702">
        <f>VLOOKUP(A1702,Лист2!A:E,4,0)</f>
        <v>2.5</v>
      </c>
      <c r="F1702" s="12">
        <f t="shared" si="120"/>
        <v>0</v>
      </c>
      <c r="G1702">
        <f t="shared" si="121"/>
        <v>488800</v>
      </c>
      <c r="H1702">
        <f t="shared" si="122"/>
        <v>0</v>
      </c>
    </row>
    <row r="1703" spans="1:8">
      <c r="A1703" t="s">
        <v>22</v>
      </c>
      <c r="B1703">
        <v>82176000</v>
      </c>
      <c r="C1703">
        <v>20911000</v>
      </c>
      <c r="D1703" t="str">
        <f>VLOOKUP(A1703,Лист2!A:E,5,0)</f>
        <v>малые</v>
      </c>
      <c r="E1703">
        <f>VLOOKUP(A1703,Лист2!A:E,4,0)</f>
        <v>13</v>
      </c>
      <c r="F1703" s="12">
        <f t="shared" si="120"/>
        <v>61265000</v>
      </c>
      <c r="G1703">
        <f t="shared" si="121"/>
        <v>6321230.769230769</v>
      </c>
      <c r="H1703">
        <f t="shared" si="122"/>
        <v>4712692.307692308</v>
      </c>
    </row>
    <row r="1704" spans="1:8">
      <c r="A1704" t="s">
        <v>18</v>
      </c>
      <c r="B1704">
        <v>1791000</v>
      </c>
      <c r="C1704">
        <v>1875000</v>
      </c>
      <c r="D1704" t="str">
        <f>VLOOKUP(A1704,Лист2!A:E,5,0)</f>
        <v>малые</v>
      </c>
      <c r="E1704">
        <f>VLOOKUP(A1704,Лист2!A:E,4,0)</f>
        <v>2.5</v>
      </c>
      <c r="F1704" s="12">
        <f t="shared" si="120"/>
        <v>-84000</v>
      </c>
      <c r="G1704">
        <f t="shared" si="121"/>
        <v>716400</v>
      </c>
      <c r="H1704">
        <f t="shared" si="122"/>
        <v>-33600</v>
      </c>
    </row>
    <row r="1705" spans="1:8">
      <c r="A1705" t="s">
        <v>18</v>
      </c>
      <c r="B1705">
        <v>64000</v>
      </c>
      <c r="C1705">
        <v>64000</v>
      </c>
      <c r="D1705" t="str">
        <f>VLOOKUP(A1705,Лист2!A:E,5,0)</f>
        <v>малые</v>
      </c>
      <c r="E1705">
        <f>VLOOKUP(A1705,Лист2!A:E,4,0)</f>
        <v>2.5</v>
      </c>
      <c r="F1705" s="12">
        <f t="shared" si="120"/>
        <v>0</v>
      </c>
      <c r="G1705">
        <f t="shared" si="121"/>
        <v>25600</v>
      </c>
      <c r="H1705">
        <f t="shared" si="122"/>
        <v>0</v>
      </c>
    </row>
    <row r="1706" spans="1:8">
      <c r="A1706" t="s">
        <v>18</v>
      </c>
      <c r="B1706">
        <v>49813000</v>
      </c>
      <c r="C1706">
        <v>46691000</v>
      </c>
      <c r="D1706" t="str">
        <f>VLOOKUP(A1706,Лист2!A:E,5,0)</f>
        <v>малые</v>
      </c>
      <c r="E1706">
        <f>VLOOKUP(A1706,Лист2!A:E,4,0)</f>
        <v>2.5</v>
      </c>
      <c r="F1706" s="12">
        <f t="shared" si="120"/>
        <v>3122000</v>
      </c>
      <c r="G1706">
        <f t="shared" si="121"/>
        <v>19925200</v>
      </c>
      <c r="H1706">
        <f t="shared" si="122"/>
        <v>1248800</v>
      </c>
    </row>
    <row r="1707" spans="1:8">
      <c r="A1707" t="s">
        <v>18</v>
      </c>
      <c r="B1707">
        <v>200000</v>
      </c>
      <c r="C1707">
        <v>272000</v>
      </c>
      <c r="D1707" t="str">
        <f>VLOOKUP(A1707,Лист2!A:E,5,0)</f>
        <v>малые</v>
      </c>
      <c r="E1707">
        <f>VLOOKUP(A1707,Лист2!A:E,4,0)</f>
        <v>2.5</v>
      </c>
      <c r="F1707" s="12">
        <f t="shared" si="120"/>
        <v>-72000</v>
      </c>
      <c r="G1707">
        <f t="shared" si="121"/>
        <v>80000</v>
      </c>
      <c r="H1707">
        <f t="shared" si="122"/>
        <v>-28800</v>
      </c>
    </row>
    <row r="1708" spans="1:8">
      <c r="A1708" t="s">
        <v>23</v>
      </c>
      <c r="B1708">
        <v>17537000</v>
      </c>
      <c r="C1708">
        <v>17366000</v>
      </c>
      <c r="D1708" t="str">
        <f>VLOOKUP(A1708,Лист2!A:E,5,0)</f>
        <v>средние</v>
      </c>
      <c r="E1708">
        <f>VLOOKUP(A1708,Лист2!A:E,4,0)</f>
        <v>75.5</v>
      </c>
      <c r="F1708" s="12">
        <f t="shared" si="120"/>
        <v>171000</v>
      </c>
      <c r="G1708">
        <f t="shared" si="121"/>
        <v>232278.14569536425</v>
      </c>
      <c r="H1708">
        <f t="shared" si="122"/>
        <v>2264.9006622516558</v>
      </c>
    </row>
    <row r="1709" spans="1:8">
      <c r="A1709" t="s">
        <v>18</v>
      </c>
      <c r="B1709">
        <v>7328000</v>
      </c>
      <c r="C1709">
        <v>6879000</v>
      </c>
      <c r="D1709" t="str">
        <f>VLOOKUP(A1709,Лист2!A:E,5,0)</f>
        <v>малые</v>
      </c>
      <c r="E1709">
        <f>VLOOKUP(A1709,Лист2!A:E,4,0)</f>
        <v>2.5</v>
      </c>
      <c r="F1709" s="12">
        <f t="shared" si="120"/>
        <v>449000</v>
      </c>
      <c r="G1709">
        <f t="shared" si="121"/>
        <v>2931200</v>
      </c>
      <c r="H1709">
        <f t="shared" si="122"/>
        <v>179600</v>
      </c>
    </row>
    <row r="1710" spans="1:8">
      <c r="A1710" t="s">
        <v>18</v>
      </c>
      <c r="B1710">
        <v>256000</v>
      </c>
      <c r="C1710">
        <v>243000</v>
      </c>
      <c r="D1710" t="str">
        <f>VLOOKUP(A1710,Лист2!A:E,5,0)</f>
        <v>малые</v>
      </c>
      <c r="E1710">
        <f>VLOOKUP(A1710,Лист2!A:E,4,0)</f>
        <v>2.5</v>
      </c>
      <c r="F1710" s="12">
        <f t="shared" si="120"/>
        <v>13000</v>
      </c>
      <c r="G1710">
        <f t="shared" si="121"/>
        <v>102400</v>
      </c>
      <c r="H1710">
        <f t="shared" si="122"/>
        <v>5200</v>
      </c>
    </row>
    <row r="1711" spans="1:8">
      <c r="A1711" t="s">
        <v>77</v>
      </c>
      <c r="B1711">
        <v>12726000</v>
      </c>
      <c r="C1711">
        <v>12263000</v>
      </c>
      <c r="D1711" t="str">
        <f>VLOOKUP(A1711,Лист2!A:E,5,0)</f>
        <v>малые</v>
      </c>
      <c r="E1711">
        <f>VLOOKUP(A1711,Лист2!A:E,4,0)</f>
        <v>8</v>
      </c>
      <c r="F1711" s="12">
        <f t="shared" si="120"/>
        <v>463000</v>
      </c>
      <c r="G1711">
        <f t="shared" si="121"/>
        <v>1590750</v>
      </c>
      <c r="H1711">
        <f t="shared" si="122"/>
        <v>57875</v>
      </c>
    </row>
    <row r="1712" spans="1:8">
      <c r="A1712" t="s">
        <v>18</v>
      </c>
      <c r="B1712">
        <v>4635000</v>
      </c>
      <c r="C1712">
        <v>4917000</v>
      </c>
      <c r="D1712" t="str">
        <f>VLOOKUP(A1712,Лист2!A:E,5,0)</f>
        <v>малые</v>
      </c>
      <c r="E1712">
        <f>VLOOKUP(A1712,Лист2!A:E,4,0)</f>
        <v>2.5</v>
      </c>
      <c r="F1712" s="12">
        <f t="shared" si="120"/>
        <v>-282000</v>
      </c>
      <c r="G1712">
        <f t="shared" si="121"/>
        <v>1854000</v>
      </c>
      <c r="H1712">
        <f t="shared" si="122"/>
        <v>-112800</v>
      </c>
    </row>
    <row r="1713" spans="1:8">
      <c r="A1713" t="s">
        <v>18</v>
      </c>
      <c r="B1713">
        <v>3141000</v>
      </c>
      <c r="C1713">
        <v>3090000</v>
      </c>
      <c r="D1713" t="str">
        <f>VLOOKUP(A1713,Лист2!A:E,5,0)</f>
        <v>малые</v>
      </c>
      <c r="E1713">
        <f>VLOOKUP(A1713,Лист2!A:E,4,0)</f>
        <v>2.5</v>
      </c>
      <c r="F1713" s="12">
        <f t="shared" si="120"/>
        <v>51000</v>
      </c>
      <c r="G1713">
        <f t="shared" si="121"/>
        <v>1256400</v>
      </c>
      <c r="H1713">
        <f t="shared" si="122"/>
        <v>20400</v>
      </c>
    </row>
    <row r="1714" spans="1:8">
      <c r="A1714" t="s">
        <v>18</v>
      </c>
      <c r="B1714">
        <v>2915000</v>
      </c>
      <c r="C1714">
        <v>2794000</v>
      </c>
      <c r="D1714" t="str">
        <f>VLOOKUP(A1714,Лист2!A:E,5,0)</f>
        <v>малые</v>
      </c>
      <c r="E1714">
        <f>VLOOKUP(A1714,Лист2!A:E,4,0)</f>
        <v>2.5</v>
      </c>
      <c r="F1714" s="12">
        <f t="shared" si="120"/>
        <v>121000</v>
      </c>
      <c r="G1714">
        <f t="shared" si="121"/>
        <v>1166000</v>
      </c>
      <c r="H1714">
        <f t="shared" si="122"/>
        <v>48400</v>
      </c>
    </row>
    <row r="1715" spans="1:8">
      <c r="A1715" t="s">
        <v>18</v>
      </c>
      <c r="B1715">
        <v>699000</v>
      </c>
      <c r="C1715">
        <v>706000</v>
      </c>
      <c r="D1715" t="str">
        <f>VLOOKUP(A1715,Лист2!A:E,5,0)</f>
        <v>малые</v>
      </c>
      <c r="E1715">
        <f>VLOOKUP(A1715,Лист2!A:E,4,0)</f>
        <v>2.5</v>
      </c>
      <c r="F1715" s="12">
        <f t="shared" si="120"/>
        <v>-7000</v>
      </c>
      <c r="G1715">
        <f t="shared" si="121"/>
        <v>279600</v>
      </c>
      <c r="H1715">
        <f t="shared" si="122"/>
        <v>-2800</v>
      </c>
    </row>
    <row r="1716" spans="1:8">
      <c r="A1716" t="s">
        <v>18</v>
      </c>
      <c r="B1716">
        <v>39931000</v>
      </c>
      <c r="C1716">
        <v>40087000</v>
      </c>
      <c r="D1716" t="str">
        <f>VLOOKUP(A1716,Лист2!A:E,5,0)</f>
        <v>малые</v>
      </c>
      <c r="E1716">
        <f>VLOOKUP(A1716,Лист2!A:E,4,0)</f>
        <v>2.5</v>
      </c>
      <c r="F1716" s="12">
        <f t="shared" si="120"/>
        <v>-156000</v>
      </c>
      <c r="G1716">
        <f t="shared" si="121"/>
        <v>15972400</v>
      </c>
      <c r="H1716">
        <f t="shared" si="122"/>
        <v>-62400</v>
      </c>
    </row>
    <row r="1717" spans="1:8">
      <c r="A1717" t="s">
        <v>18</v>
      </c>
      <c r="B1717">
        <v>295000</v>
      </c>
      <c r="C1717">
        <v>295000</v>
      </c>
      <c r="D1717" t="str">
        <f>VLOOKUP(A1717,Лист2!A:E,5,0)</f>
        <v>малые</v>
      </c>
      <c r="E1717">
        <f>VLOOKUP(A1717,Лист2!A:E,4,0)</f>
        <v>2.5</v>
      </c>
      <c r="F1717" s="12">
        <f t="shared" si="120"/>
        <v>0</v>
      </c>
      <c r="G1717">
        <f t="shared" si="121"/>
        <v>118000</v>
      </c>
      <c r="H1717">
        <f t="shared" si="122"/>
        <v>0</v>
      </c>
    </row>
    <row r="1718" spans="1:8">
      <c r="A1718" t="s">
        <v>77</v>
      </c>
      <c r="B1718">
        <v>21745000</v>
      </c>
      <c r="C1718">
        <v>22882000</v>
      </c>
      <c r="D1718" t="str">
        <f>VLOOKUP(A1718,Лист2!A:E,5,0)</f>
        <v>малые</v>
      </c>
      <c r="E1718">
        <f>VLOOKUP(A1718,Лист2!A:E,4,0)</f>
        <v>8</v>
      </c>
      <c r="F1718" s="12">
        <f t="shared" si="120"/>
        <v>-1137000</v>
      </c>
      <c r="G1718">
        <f t="shared" si="121"/>
        <v>2718125</v>
      </c>
      <c r="H1718">
        <f t="shared" si="122"/>
        <v>-142125</v>
      </c>
    </row>
    <row r="1719" spans="1:8">
      <c r="A1719" t="s">
        <v>18</v>
      </c>
      <c r="B1719">
        <v>15065000</v>
      </c>
      <c r="C1719">
        <v>14492000</v>
      </c>
      <c r="D1719" t="str">
        <f>VLOOKUP(A1719,Лист2!A:E,5,0)</f>
        <v>малые</v>
      </c>
      <c r="E1719">
        <f>VLOOKUP(A1719,Лист2!A:E,4,0)</f>
        <v>2.5</v>
      </c>
      <c r="F1719" s="12">
        <f t="shared" si="120"/>
        <v>573000</v>
      </c>
      <c r="G1719">
        <f t="shared" si="121"/>
        <v>6026000</v>
      </c>
      <c r="H1719">
        <f t="shared" si="122"/>
        <v>229200</v>
      </c>
    </row>
    <row r="1720" spans="1:8">
      <c r="A1720" t="s">
        <v>18</v>
      </c>
      <c r="B1720">
        <v>10000</v>
      </c>
      <c r="C1720">
        <v>10000</v>
      </c>
      <c r="D1720" t="str">
        <f>VLOOKUP(A1720,Лист2!A:E,5,0)</f>
        <v>малые</v>
      </c>
      <c r="E1720">
        <f>VLOOKUP(A1720,Лист2!A:E,4,0)</f>
        <v>2.5</v>
      </c>
      <c r="F1720" s="12">
        <f t="shared" si="120"/>
        <v>0</v>
      </c>
      <c r="G1720">
        <f t="shared" si="121"/>
        <v>4000</v>
      </c>
      <c r="H1720">
        <f t="shared" si="122"/>
        <v>0</v>
      </c>
    </row>
  </sheetData>
  <autoFilter ref="A1:H1720" xr:uid="{8A58B46D-1E19-4AAF-A31A-0C40D92C53B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79BE-3FFF-4D6A-A982-95752AD19843}">
  <dimension ref="A1:I1771"/>
  <sheetViews>
    <sheetView zoomScale="80" zoomScaleNormal="80" workbookViewId="0">
      <selection activeCell="H2" sqref="H2"/>
    </sheetView>
  </sheetViews>
  <sheetFormatPr defaultRowHeight="15"/>
  <cols>
    <col min="1" max="1" width="18.42578125" customWidth="1"/>
    <col min="2" max="2" width="32" customWidth="1"/>
    <col min="3" max="3" width="31.7109375" customWidth="1"/>
    <col min="4" max="4" width="32" customWidth="1"/>
    <col min="5" max="5" width="8.5703125" bestFit="1" customWidth="1"/>
    <col min="6" max="6" width="16.5703125" bestFit="1" customWidth="1"/>
    <col min="7" max="7" width="23.140625" bestFit="1" customWidth="1"/>
    <col min="8" max="8" width="21.7109375" bestFit="1" customWidth="1"/>
    <col min="9" max="9" width="24.140625" bestFit="1" customWidth="1"/>
  </cols>
  <sheetData>
    <row r="1" spans="1:9">
      <c r="A1" s="1" t="s">
        <v>7901</v>
      </c>
      <c r="B1" s="1" t="s">
        <v>7890</v>
      </c>
      <c r="C1" s="1" t="s">
        <v>7891</v>
      </c>
      <c r="D1" s="1" t="s">
        <v>7892</v>
      </c>
      <c r="E1" t="s">
        <v>7899</v>
      </c>
      <c r="F1" t="s">
        <v>7900</v>
      </c>
      <c r="G1" t="s">
        <v>7893</v>
      </c>
      <c r="H1" t="s">
        <v>7894</v>
      </c>
      <c r="I1" t="s">
        <v>7895</v>
      </c>
    </row>
    <row r="2" spans="1:9">
      <c r="A2" s="3" t="s">
        <v>13</v>
      </c>
      <c r="B2" s="6" t="s">
        <v>18</v>
      </c>
      <c r="C2" s="5">
        <v>1533000</v>
      </c>
      <c r="D2" s="5">
        <v>1458000</v>
      </c>
      <c r="E2" t="s">
        <v>7896</v>
      </c>
      <c r="F2">
        <v>2.5</v>
      </c>
      <c r="G2" s="12">
        <v>75000</v>
      </c>
      <c r="H2">
        <v>613200</v>
      </c>
      <c r="I2">
        <v>30000</v>
      </c>
    </row>
    <row r="3" spans="1:9">
      <c r="A3" s="3" t="s">
        <v>13</v>
      </c>
      <c r="B3" s="6" t="s">
        <v>22</v>
      </c>
      <c r="C3" s="5">
        <v>754602000</v>
      </c>
      <c r="D3" s="5">
        <v>641697000</v>
      </c>
      <c r="E3" t="s">
        <v>7896</v>
      </c>
      <c r="F3">
        <v>13</v>
      </c>
      <c r="G3" s="12">
        <v>112905000</v>
      </c>
      <c r="H3">
        <v>58046307.692307696</v>
      </c>
      <c r="I3">
        <v>8685000</v>
      </c>
    </row>
    <row r="4" spans="1:9">
      <c r="A4" s="3" t="s">
        <v>13</v>
      </c>
      <c r="B4" s="6" t="s">
        <v>18</v>
      </c>
      <c r="C4" s="5">
        <v>5000000</v>
      </c>
      <c r="D4" s="5">
        <v>4516000</v>
      </c>
      <c r="E4" t="s">
        <v>7896</v>
      </c>
      <c r="F4">
        <v>2.5</v>
      </c>
      <c r="G4" s="12">
        <v>484000</v>
      </c>
      <c r="H4">
        <v>2000000</v>
      </c>
      <c r="I4">
        <v>193600</v>
      </c>
    </row>
    <row r="5" spans="1:9">
      <c r="A5" s="3" t="s">
        <v>13</v>
      </c>
      <c r="B5" s="6" t="s">
        <v>22</v>
      </c>
      <c r="C5" s="5">
        <v>27002000</v>
      </c>
      <c r="D5" s="5">
        <v>29355000</v>
      </c>
      <c r="E5" t="s">
        <v>7896</v>
      </c>
      <c r="F5">
        <v>13</v>
      </c>
      <c r="G5" s="12">
        <v>-2353000</v>
      </c>
      <c r="H5">
        <v>2077076.923076923</v>
      </c>
      <c r="I5">
        <v>-181000</v>
      </c>
    </row>
    <row r="6" spans="1:9">
      <c r="A6" s="3" t="s">
        <v>13</v>
      </c>
      <c r="B6" s="6" t="s">
        <v>18</v>
      </c>
      <c r="C6" s="5">
        <v>4280000</v>
      </c>
      <c r="D6" s="5">
        <v>4122000</v>
      </c>
      <c r="E6" t="s">
        <v>7896</v>
      </c>
      <c r="F6">
        <v>2.5</v>
      </c>
      <c r="G6" s="12">
        <v>158000</v>
      </c>
      <c r="H6">
        <v>1712000</v>
      </c>
      <c r="I6">
        <v>63200</v>
      </c>
    </row>
    <row r="7" spans="1:9">
      <c r="A7" s="3" t="s">
        <v>13</v>
      </c>
      <c r="B7" s="6" t="s">
        <v>18</v>
      </c>
      <c r="C7" s="5">
        <v>1661000</v>
      </c>
      <c r="D7" s="5">
        <v>1674000</v>
      </c>
      <c r="E7" t="s">
        <v>7896</v>
      </c>
      <c r="F7">
        <v>2.5</v>
      </c>
      <c r="G7" s="12">
        <v>-13000</v>
      </c>
      <c r="H7">
        <v>664400</v>
      </c>
      <c r="I7">
        <v>-5200</v>
      </c>
    </row>
    <row r="8" spans="1:9">
      <c r="A8" s="3" t="s">
        <v>13</v>
      </c>
      <c r="B8" s="6" t="s">
        <v>18</v>
      </c>
      <c r="C8" s="5">
        <v>67000000</v>
      </c>
      <c r="D8" s="5">
        <v>74958000</v>
      </c>
      <c r="E8" t="s">
        <v>7896</v>
      </c>
      <c r="F8">
        <v>2.5</v>
      </c>
      <c r="G8" s="12">
        <v>-7958000</v>
      </c>
      <c r="H8">
        <v>26800000</v>
      </c>
      <c r="I8">
        <v>-3183200</v>
      </c>
    </row>
    <row r="9" spans="1:9">
      <c r="A9" s="3" t="s">
        <v>13</v>
      </c>
      <c r="B9" s="6" t="s">
        <v>18</v>
      </c>
      <c r="C9" s="5">
        <v>366217000</v>
      </c>
      <c r="D9" s="5">
        <v>363962000</v>
      </c>
      <c r="E9" t="s">
        <v>7896</v>
      </c>
      <c r="F9">
        <v>2.5</v>
      </c>
      <c r="G9" s="12">
        <v>2255000</v>
      </c>
      <c r="H9">
        <v>146486800</v>
      </c>
      <c r="I9">
        <v>902000</v>
      </c>
    </row>
    <row r="10" spans="1:9">
      <c r="A10" s="3" t="s">
        <v>13</v>
      </c>
      <c r="B10" s="6" t="s">
        <v>23</v>
      </c>
      <c r="C10" s="5">
        <v>253031000</v>
      </c>
      <c r="D10" s="5">
        <v>256576000</v>
      </c>
      <c r="E10" t="s">
        <v>7897</v>
      </c>
      <c r="F10">
        <v>75.5</v>
      </c>
      <c r="G10" s="12">
        <v>-3545000</v>
      </c>
      <c r="H10">
        <v>3351403.9735099338</v>
      </c>
      <c r="I10">
        <v>-46953.642384105959</v>
      </c>
    </row>
    <row r="11" spans="1:9">
      <c r="A11" s="3" t="s">
        <v>13</v>
      </c>
      <c r="B11" s="6" t="s">
        <v>18</v>
      </c>
      <c r="C11" s="5">
        <v>18169000</v>
      </c>
      <c r="D11" s="5">
        <v>15809000</v>
      </c>
      <c r="E11" t="s">
        <v>7896</v>
      </c>
      <c r="F11">
        <v>2.5</v>
      </c>
      <c r="G11" s="12">
        <v>2360000</v>
      </c>
      <c r="H11">
        <v>7267600</v>
      </c>
      <c r="I11">
        <v>944000</v>
      </c>
    </row>
    <row r="12" spans="1:9">
      <c r="A12" s="3" t="s">
        <v>13</v>
      </c>
      <c r="B12" s="6" t="s">
        <v>22</v>
      </c>
      <c r="C12" s="5">
        <v>191006000</v>
      </c>
      <c r="D12" s="5">
        <v>207475000</v>
      </c>
      <c r="E12" t="s">
        <v>7896</v>
      </c>
      <c r="F12">
        <v>13</v>
      </c>
      <c r="G12" s="12">
        <v>-16469000</v>
      </c>
      <c r="H12">
        <v>14692769.23076923</v>
      </c>
      <c r="I12">
        <v>-1266846.1538461538</v>
      </c>
    </row>
    <row r="13" spans="1:9">
      <c r="A13" s="3" t="s">
        <v>13</v>
      </c>
      <c r="B13" s="6" t="s">
        <v>23</v>
      </c>
      <c r="C13" s="5">
        <v>128983000</v>
      </c>
      <c r="D13" s="5">
        <v>95513000</v>
      </c>
      <c r="E13" t="s">
        <v>7897</v>
      </c>
      <c r="F13">
        <v>75.5</v>
      </c>
      <c r="G13" s="12">
        <v>33470000</v>
      </c>
      <c r="H13">
        <v>1708384.1059602648</v>
      </c>
      <c r="I13">
        <v>443311.25827814569</v>
      </c>
    </row>
    <row r="14" spans="1:9">
      <c r="A14" s="3" t="s">
        <v>13</v>
      </c>
      <c r="B14" s="6" t="s">
        <v>18</v>
      </c>
      <c r="C14" s="5">
        <v>16977000</v>
      </c>
      <c r="D14" s="5">
        <v>20640000</v>
      </c>
      <c r="E14" t="s">
        <v>7896</v>
      </c>
      <c r="F14">
        <v>2.5</v>
      </c>
      <c r="G14" s="12">
        <v>-3663000</v>
      </c>
      <c r="H14">
        <v>6790800</v>
      </c>
      <c r="I14">
        <v>-1465200</v>
      </c>
    </row>
    <row r="15" spans="1:9">
      <c r="A15" s="3" t="s">
        <v>13</v>
      </c>
      <c r="B15" s="6" t="s">
        <v>18</v>
      </c>
      <c r="C15" s="5">
        <v>78588000</v>
      </c>
      <c r="D15" s="5">
        <v>76572000</v>
      </c>
      <c r="E15" t="s">
        <v>7896</v>
      </c>
      <c r="F15">
        <v>2.5</v>
      </c>
      <c r="G15" s="12">
        <v>2016000</v>
      </c>
      <c r="H15">
        <v>31435200</v>
      </c>
      <c r="I15">
        <v>806400</v>
      </c>
    </row>
    <row r="16" spans="1:9">
      <c r="A16" s="3" t="s">
        <v>13</v>
      </c>
      <c r="B16" s="6" t="s">
        <v>77</v>
      </c>
      <c r="C16" s="5">
        <v>381000</v>
      </c>
      <c r="D16" s="5">
        <v>3501000</v>
      </c>
      <c r="E16" t="s">
        <v>7896</v>
      </c>
      <c r="F16">
        <v>8</v>
      </c>
      <c r="G16" s="12">
        <v>-3120000</v>
      </c>
      <c r="H16">
        <v>47625</v>
      </c>
      <c r="I16">
        <v>-390000</v>
      </c>
    </row>
    <row r="17" spans="1:9">
      <c r="A17" s="3" t="s">
        <v>13</v>
      </c>
      <c r="B17" s="6" t="s">
        <v>18</v>
      </c>
      <c r="C17" s="5">
        <v>1684000</v>
      </c>
      <c r="D17" s="5">
        <v>81000</v>
      </c>
      <c r="E17" t="s">
        <v>7896</v>
      </c>
      <c r="F17">
        <v>2.5</v>
      </c>
      <c r="G17" s="12">
        <v>1603000</v>
      </c>
      <c r="H17">
        <v>673600</v>
      </c>
      <c r="I17">
        <v>641200</v>
      </c>
    </row>
    <row r="18" spans="1:9">
      <c r="A18" s="3" t="s">
        <v>13</v>
      </c>
      <c r="B18" s="6" t="s">
        <v>77</v>
      </c>
      <c r="C18" s="5">
        <v>9631000</v>
      </c>
      <c r="D18" s="5">
        <v>24596000</v>
      </c>
      <c r="E18" t="s">
        <v>7896</v>
      </c>
      <c r="F18">
        <v>8</v>
      </c>
      <c r="G18" s="12">
        <v>-14965000</v>
      </c>
      <c r="H18">
        <v>1203875</v>
      </c>
      <c r="I18">
        <v>-1870625</v>
      </c>
    </row>
    <row r="19" spans="1:9">
      <c r="A19" s="3" t="s">
        <v>13</v>
      </c>
      <c r="B19" s="6" t="s">
        <v>18</v>
      </c>
      <c r="C19" s="5">
        <v>153000</v>
      </c>
      <c r="D19" s="5">
        <v>123000</v>
      </c>
      <c r="E19" t="s">
        <v>7896</v>
      </c>
      <c r="F19">
        <v>2.5</v>
      </c>
      <c r="G19" s="12">
        <v>30000</v>
      </c>
      <c r="H19">
        <v>61200</v>
      </c>
      <c r="I19">
        <v>12000</v>
      </c>
    </row>
    <row r="20" spans="1:9">
      <c r="A20" s="3" t="s">
        <v>13</v>
      </c>
      <c r="B20" s="6" t="s">
        <v>18</v>
      </c>
      <c r="C20" s="5">
        <v>12211000</v>
      </c>
      <c r="D20" s="5">
        <v>12285000</v>
      </c>
      <c r="E20" t="s">
        <v>7896</v>
      </c>
      <c r="F20">
        <v>2.5</v>
      </c>
      <c r="G20" s="12">
        <v>-74000</v>
      </c>
      <c r="H20">
        <v>4884400</v>
      </c>
      <c r="I20">
        <v>-29600</v>
      </c>
    </row>
    <row r="21" spans="1:9">
      <c r="A21" s="3" t="s">
        <v>13</v>
      </c>
      <c r="B21" s="6" t="s">
        <v>18</v>
      </c>
      <c r="C21" s="5">
        <v>220873000</v>
      </c>
      <c r="D21" s="5">
        <v>218348000</v>
      </c>
      <c r="E21" t="s">
        <v>7896</v>
      </c>
      <c r="F21">
        <v>2.5</v>
      </c>
      <c r="G21" s="12">
        <v>2525000</v>
      </c>
      <c r="H21">
        <v>88349200</v>
      </c>
      <c r="I21">
        <v>1010000</v>
      </c>
    </row>
    <row r="22" spans="1:9">
      <c r="A22" s="3" t="s">
        <v>13</v>
      </c>
      <c r="B22" s="6" t="s">
        <v>18</v>
      </c>
      <c r="C22" s="5">
        <v>397000</v>
      </c>
      <c r="D22" s="5">
        <v>397000</v>
      </c>
      <c r="E22" t="s">
        <v>7896</v>
      </c>
      <c r="F22">
        <v>2.5</v>
      </c>
      <c r="G22" s="12">
        <v>0</v>
      </c>
      <c r="H22">
        <v>158800</v>
      </c>
      <c r="I22">
        <v>0</v>
      </c>
    </row>
    <row r="23" spans="1:9">
      <c r="A23" s="3" t="s">
        <v>13</v>
      </c>
      <c r="B23" s="6" t="s">
        <v>18</v>
      </c>
      <c r="C23" s="5">
        <v>560000</v>
      </c>
      <c r="D23" s="5">
        <v>522000</v>
      </c>
      <c r="E23" t="s">
        <v>7896</v>
      </c>
      <c r="F23">
        <v>2.5</v>
      </c>
      <c r="G23" s="12">
        <v>38000</v>
      </c>
      <c r="H23">
        <v>224000</v>
      </c>
      <c r="I23">
        <v>15200</v>
      </c>
    </row>
    <row r="24" spans="1:9">
      <c r="A24" s="3" t="s">
        <v>13</v>
      </c>
      <c r="B24" s="6" t="s">
        <v>18</v>
      </c>
      <c r="C24" s="5">
        <v>3700000</v>
      </c>
      <c r="D24" s="5">
        <v>3400000</v>
      </c>
      <c r="E24" t="s">
        <v>7896</v>
      </c>
      <c r="F24">
        <v>2.5</v>
      </c>
      <c r="G24" s="12">
        <v>300000</v>
      </c>
      <c r="H24">
        <v>1480000</v>
      </c>
      <c r="I24">
        <v>120000</v>
      </c>
    </row>
    <row r="25" spans="1:9">
      <c r="A25" s="3" t="s">
        <v>13</v>
      </c>
      <c r="B25" s="6" t="s">
        <v>18</v>
      </c>
      <c r="C25" s="5">
        <v>3226000</v>
      </c>
      <c r="D25" s="5">
        <v>3248000</v>
      </c>
      <c r="E25" t="s">
        <v>7896</v>
      </c>
      <c r="F25">
        <v>2.5</v>
      </c>
      <c r="G25" s="12">
        <v>-22000</v>
      </c>
      <c r="H25">
        <v>1290400</v>
      </c>
      <c r="I25">
        <v>-8800</v>
      </c>
    </row>
    <row r="26" spans="1:9">
      <c r="A26" s="3" t="s">
        <v>13</v>
      </c>
      <c r="B26" s="6" t="s">
        <v>18</v>
      </c>
      <c r="C26" s="5">
        <v>4154000</v>
      </c>
      <c r="D26" s="5">
        <v>4154000</v>
      </c>
      <c r="E26" t="s">
        <v>7896</v>
      </c>
      <c r="F26">
        <v>2.5</v>
      </c>
      <c r="G26" s="12">
        <v>0</v>
      </c>
      <c r="H26">
        <v>1661600</v>
      </c>
      <c r="I26">
        <v>0</v>
      </c>
    </row>
    <row r="27" spans="1:9">
      <c r="A27" s="3" t="s">
        <v>13</v>
      </c>
      <c r="B27" s="6" t="s">
        <v>18</v>
      </c>
      <c r="C27" s="5">
        <v>4290000</v>
      </c>
      <c r="D27" s="5">
        <v>2999000</v>
      </c>
      <c r="E27" t="s">
        <v>7896</v>
      </c>
      <c r="F27">
        <v>2.5</v>
      </c>
      <c r="G27" s="12">
        <v>1291000</v>
      </c>
      <c r="H27">
        <v>1716000</v>
      </c>
      <c r="I27">
        <v>516400</v>
      </c>
    </row>
    <row r="28" spans="1:9">
      <c r="A28" s="3" t="s">
        <v>13</v>
      </c>
      <c r="B28" s="6" t="s">
        <v>18</v>
      </c>
      <c r="C28" s="5">
        <v>275000</v>
      </c>
      <c r="D28" s="5">
        <v>111000</v>
      </c>
      <c r="E28" t="s">
        <v>7896</v>
      </c>
      <c r="F28">
        <v>2.5</v>
      </c>
      <c r="G28" s="12">
        <v>164000</v>
      </c>
      <c r="H28">
        <v>110000</v>
      </c>
      <c r="I28">
        <v>65600</v>
      </c>
    </row>
    <row r="29" spans="1:9">
      <c r="A29" s="3" t="s">
        <v>13</v>
      </c>
      <c r="B29" s="6" t="s">
        <v>22</v>
      </c>
      <c r="C29" s="5">
        <v>13640000</v>
      </c>
      <c r="D29" s="5">
        <v>2813000</v>
      </c>
      <c r="E29" t="s">
        <v>7896</v>
      </c>
      <c r="F29">
        <v>13</v>
      </c>
      <c r="G29" s="12">
        <v>10827000</v>
      </c>
      <c r="H29">
        <v>1049230.7692307692</v>
      </c>
      <c r="I29">
        <v>832846.15384615387</v>
      </c>
    </row>
    <row r="30" spans="1:9">
      <c r="A30" s="3" t="s">
        <v>13</v>
      </c>
      <c r="B30" s="6" t="s">
        <v>18</v>
      </c>
      <c r="C30" s="5">
        <v>13220000</v>
      </c>
      <c r="D30" s="5">
        <v>12976000</v>
      </c>
      <c r="E30" t="s">
        <v>7896</v>
      </c>
      <c r="F30">
        <v>2.5</v>
      </c>
      <c r="G30" s="12">
        <v>244000</v>
      </c>
      <c r="H30">
        <v>5288000</v>
      </c>
      <c r="I30">
        <v>97600</v>
      </c>
    </row>
    <row r="31" spans="1:9">
      <c r="A31" s="3" t="s">
        <v>13</v>
      </c>
      <c r="B31" s="6" t="s">
        <v>18</v>
      </c>
      <c r="C31" s="5">
        <v>1782000</v>
      </c>
      <c r="D31" s="5">
        <v>1655000</v>
      </c>
      <c r="E31" t="s">
        <v>7896</v>
      </c>
      <c r="F31">
        <v>2.5</v>
      </c>
      <c r="G31" s="12">
        <v>127000</v>
      </c>
      <c r="H31">
        <v>712800</v>
      </c>
      <c r="I31">
        <v>50800</v>
      </c>
    </row>
    <row r="32" spans="1:9">
      <c r="A32" s="3" t="s">
        <v>13</v>
      </c>
      <c r="B32" s="6" t="s">
        <v>18</v>
      </c>
      <c r="C32" s="5">
        <v>144895000</v>
      </c>
      <c r="D32" s="5">
        <v>178280000</v>
      </c>
      <c r="E32" t="s">
        <v>7896</v>
      </c>
      <c r="F32">
        <v>2.5</v>
      </c>
      <c r="G32" s="12">
        <v>-33385000</v>
      </c>
      <c r="H32">
        <v>57958000</v>
      </c>
      <c r="I32">
        <v>-13354000</v>
      </c>
    </row>
    <row r="33" spans="1:9">
      <c r="A33" s="3" t="s">
        <v>13</v>
      </c>
      <c r="B33" s="6" t="s">
        <v>18</v>
      </c>
      <c r="C33" s="5">
        <v>45304000</v>
      </c>
      <c r="D33" s="5">
        <v>46293000</v>
      </c>
      <c r="E33" t="s">
        <v>7896</v>
      </c>
      <c r="F33">
        <v>2.5</v>
      </c>
      <c r="G33" s="12">
        <v>-989000</v>
      </c>
      <c r="H33">
        <v>18121600</v>
      </c>
      <c r="I33">
        <v>-395600</v>
      </c>
    </row>
    <row r="34" spans="1:9">
      <c r="A34" s="3" t="s">
        <v>13</v>
      </c>
      <c r="B34" s="6" t="s">
        <v>77</v>
      </c>
      <c r="C34" s="5">
        <v>9916000</v>
      </c>
      <c r="D34" s="5">
        <v>14554000</v>
      </c>
      <c r="E34" t="s">
        <v>7896</v>
      </c>
      <c r="F34">
        <v>8</v>
      </c>
      <c r="G34" s="12">
        <v>-4638000</v>
      </c>
      <c r="H34">
        <v>1239500</v>
      </c>
      <c r="I34">
        <v>-579750</v>
      </c>
    </row>
    <row r="35" spans="1:9">
      <c r="A35" s="3" t="s">
        <v>13</v>
      </c>
      <c r="B35" s="6" t="s">
        <v>18</v>
      </c>
      <c r="C35" s="5">
        <v>30155000</v>
      </c>
      <c r="D35" s="5">
        <v>35079000</v>
      </c>
      <c r="E35" t="s">
        <v>7896</v>
      </c>
      <c r="F35">
        <v>2.5</v>
      </c>
      <c r="G35" s="12">
        <v>-4924000</v>
      </c>
      <c r="H35">
        <v>12062000</v>
      </c>
      <c r="I35">
        <v>-1969600</v>
      </c>
    </row>
    <row r="36" spans="1:9">
      <c r="A36" s="3" t="s">
        <v>13</v>
      </c>
      <c r="B36" s="6" t="s">
        <v>18</v>
      </c>
      <c r="C36" s="5">
        <v>3091000</v>
      </c>
      <c r="D36" s="5">
        <v>5694000</v>
      </c>
      <c r="E36" t="s">
        <v>7896</v>
      </c>
      <c r="F36">
        <v>2.5</v>
      </c>
      <c r="G36" s="12">
        <v>-2603000</v>
      </c>
      <c r="H36">
        <v>1236400</v>
      </c>
      <c r="I36">
        <v>-1041200</v>
      </c>
    </row>
    <row r="37" spans="1:9">
      <c r="A37" s="3" t="s">
        <v>13</v>
      </c>
      <c r="B37" s="6" t="s">
        <v>18</v>
      </c>
      <c r="C37" s="5">
        <v>4737000</v>
      </c>
      <c r="D37" s="5">
        <v>4219000</v>
      </c>
      <c r="E37" t="s">
        <v>7896</v>
      </c>
      <c r="F37">
        <v>2.5</v>
      </c>
      <c r="G37" s="12">
        <v>518000</v>
      </c>
      <c r="H37">
        <v>1894800</v>
      </c>
      <c r="I37">
        <v>207200</v>
      </c>
    </row>
    <row r="38" spans="1:9">
      <c r="A38" s="3" t="s">
        <v>13</v>
      </c>
      <c r="B38" s="6" t="s">
        <v>18</v>
      </c>
      <c r="C38" s="5">
        <v>2577000</v>
      </c>
      <c r="D38" s="5">
        <v>548000</v>
      </c>
      <c r="E38" t="s">
        <v>7896</v>
      </c>
      <c r="F38">
        <v>2.5</v>
      </c>
      <c r="G38" s="12">
        <v>2029000</v>
      </c>
      <c r="H38">
        <v>1030800</v>
      </c>
      <c r="I38">
        <v>811600</v>
      </c>
    </row>
    <row r="39" spans="1:9">
      <c r="A39" s="3" t="s">
        <v>13</v>
      </c>
      <c r="B39" s="6" t="s">
        <v>18</v>
      </c>
      <c r="C39" s="5">
        <v>28095000</v>
      </c>
      <c r="D39" s="5">
        <v>29532000</v>
      </c>
      <c r="E39" t="s">
        <v>7896</v>
      </c>
      <c r="F39">
        <v>2.5</v>
      </c>
      <c r="G39" s="12">
        <v>-1437000</v>
      </c>
      <c r="H39">
        <v>11238000</v>
      </c>
      <c r="I39">
        <v>-574800</v>
      </c>
    </row>
    <row r="40" spans="1:9">
      <c r="A40" s="3" t="s">
        <v>13</v>
      </c>
      <c r="B40" s="6" t="s">
        <v>18</v>
      </c>
      <c r="C40" s="5">
        <v>3316000</v>
      </c>
      <c r="D40" s="5">
        <v>12956000</v>
      </c>
      <c r="E40" t="s">
        <v>7896</v>
      </c>
      <c r="F40">
        <v>2.5</v>
      </c>
      <c r="G40" s="12">
        <v>-9640000</v>
      </c>
      <c r="H40">
        <v>1326400</v>
      </c>
      <c r="I40">
        <v>-3856000</v>
      </c>
    </row>
    <row r="41" spans="1:9">
      <c r="A41" s="3" t="s">
        <v>13</v>
      </c>
      <c r="B41" s="6" t="s">
        <v>18</v>
      </c>
      <c r="C41" s="5">
        <v>150000</v>
      </c>
      <c r="D41" s="5">
        <v>120000</v>
      </c>
      <c r="E41" t="s">
        <v>7896</v>
      </c>
      <c r="F41">
        <v>2.5</v>
      </c>
      <c r="G41" s="12">
        <v>30000</v>
      </c>
      <c r="H41">
        <v>60000</v>
      </c>
      <c r="I41">
        <v>12000</v>
      </c>
    </row>
    <row r="42" spans="1:9">
      <c r="A42" s="3" t="s">
        <v>13</v>
      </c>
      <c r="B42" s="6" t="s">
        <v>18</v>
      </c>
      <c r="C42" s="5">
        <v>10334000</v>
      </c>
      <c r="D42" s="5">
        <v>12605000</v>
      </c>
      <c r="E42" t="s">
        <v>7896</v>
      </c>
      <c r="F42">
        <v>2.5</v>
      </c>
      <c r="G42" s="12">
        <v>-2271000</v>
      </c>
      <c r="H42">
        <v>4133600</v>
      </c>
      <c r="I42">
        <v>-908400</v>
      </c>
    </row>
    <row r="43" spans="1:9">
      <c r="A43" s="3" t="s">
        <v>13</v>
      </c>
      <c r="B43" s="6" t="s">
        <v>18</v>
      </c>
      <c r="C43" s="5">
        <v>2185000</v>
      </c>
      <c r="D43" s="5">
        <v>3304000</v>
      </c>
      <c r="E43" t="s">
        <v>7896</v>
      </c>
      <c r="F43">
        <v>2.5</v>
      </c>
      <c r="G43" s="12">
        <v>-1119000</v>
      </c>
      <c r="H43">
        <v>874000</v>
      </c>
      <c r="I43">
        <v>-447600</v>
      </c>
    </row>
    <row r="44" spans="1:9">
      <c r="A44" s="3" t="s">
        <v>13</v>
      </c>
      <c r="B44" s="6" t="s">
        <v>22</v>
      </c>
      <c r="C44" s="5">
        <v>192489000</v>
      </c>
      <c r="D44" s="5">
        <v>226637000</v>
      </c>
      <c r="E44" t="s">
        <v>7896</v>
      </c>
      <c r="F44">
        <v>13</v>
      </c>
      <c r="G44" s="12">
        <v>-34148000</v>
      </c>
      <c r="H44">
        <v>14806846.153846154</v>
      </c>
      <c r="I44">
        <v>-2626769.230769231</v>
      </c>
    </row>
    <row r="45" spans="1:9">
      <c r="A45" s="3" t="s">
        <v>13</v>
      </c>
      <c r="B45" s="6" t="s">
        <v>18</v>
      </c>
      <c r="C45" s="5">
        <v>1532000</v>
      </c>
      <c r="D45" s="5">
        <v>5507000</v>
      </c>
      <c r="E45" t="s">
        <v>7896</v>
      </c>
      <c r="F45">
        <v>2.5</v>
      </c>
      <c r="G45" s="12">
        <v>-3975000</v>
      </c>
      <c r="H45">
        <v>612800</v>
      </c>
      <c r="I45">
        <v>-1590000</v>
      </c>
    </row>
    <row r="46" spans="1:9">
      <c r="A46" s="3" t="s">
        <v>13</v>
      </c>
      <c r="B46" s="6" t="s">
        <v>18</v>
      </c>
      <c r="C46" s="5">
        <v>2640000</v>
      </c>
      <c r="D46" s="5">
        <v>2646000</v>
      </c>
      <c r="E46" t="s">
        <v>7896</v>
      </c>
      <c r="F46">
        <v>2.5</v>
      </c>
      <c r="G46" s="12">
        <v>-6000</v>
      </c>
      <c r="H46">
        <v>1056000</v>
      </c>
      <c r="I46">
        <v>-2400</v>
      </c>
    </row>
    <row r="47" spans="1:9">
      <c r="A47" s="3" t="s">
        <v>13</v>
      </c>
      <c r="B47" s="6" t="s">
        <v>18</v>
      </c>
      <c r="C47" s="5">
        <v>4184000</v>
      </c>
      <c r="D47" s="5">
        <v>14307000</v>
      </c>
      <c r="E47" t="s">
        <v>7896</v>
      </c>
      <c r="F47">
        <v>2.5</v>
      </c>
      <c r="G47" s="12">
        <v>-10123000</v>
      </c>
      <c r="H47">
        <v>1673600</v>
      </c>
      <c r="I47">
        <v>-4049200</v>
      </c>
    </row>
    <row r="48" spans="1:9">
      <c r="A48" s="3" t="s">
        <v>13</v>
      </c>
      <c r="B48" s="6" t="s">
        <v>18</v>
      </c>
      <c r="C48" s="5">
        <v>10000</v>
      </c>
      <c r="D48" s="5">
        <v>19000</v>
      </c>
      <c r="E48" t="s">
        <v>7896</v>
      </c>
      <c r="F48">
        <v>2.5</v>
      </c>
      <c r="G48" s="12">
        <v>-9000</v>
      </c>
      <c r="H48">
        <v>4000</v>
      </c>
      <c r="I48">
        <v>-3600</v>
      </c>
    </row>
    <row r="49" spans="1:9">
      <c r="A49" s="3" t="s">
        <v>13</v>
      </c>
      <c r="B49" s="6" t="s">
        <v>18</v>
      </c>
      <c r="C49" s="5">
        <v>778000</v>
      </c>
      <c r="D49" s="5">
        <v>1170000</v>
      </c>
      <c r="E49" t="s">
        <v>7896</v>
      </c>
      <c r="F49">
        <v>2.5</v>
      </c>
      <c r="G49" s="12">
        <v>-392000</v>
      </c>
      <c r="H49">
        <v>311200</v>
      </c>
      <c r="I49">
        <v>-156800</v>
      </c>
    </row>
    <row r="50" spans="1:9">
      <c r="A50" s="3" t="s">
        <v>13</v>
      </c>
      <c r="B50" s="6" t="s">
        <v>18</v>
      </c>
      <c r="C50" s="5">
        <v>15000</v>
      </c>
      <c r="D50" s="5">
        <v>11000</v>
      </c>
      <c r="E50" t="s">
        <v>7896</v>
      </c>
      <c r="F50">
        <v>2.5</v>
      </c>
      <c r="G50" s="12">
        <v>4000</v>
      </c>
      <c r="H50">
        <v>6000</v>
      </c>
      <c r="I50">
        <v>1600</v>
      </c>
    </row>
    <row r="51" spans="1:9">
      <c r="A51" s="3" t="s">
        <v>13</v>
      </c>
      <c r="B51" s="6" t="s">
        <v>18</v>
      </c>
      <c r="C51" s="5">
        <v>664000</v>
      </c>
      <c r="D51" s="5">
        <v>629000</v>
      </c>
      <c r="E51" t="s">
        <v>7896</v>
      </c>
      <c r="F51">
        <v>2.5</v>
      </c>
      <c r="G51" s="12">
        <v>35000</v>
      </c>
      <c r="H51">
        <v>265600</v>
      </c>
      <c r="I51">
        <v>14000</v>
      </c>
    </row>
    <row r="52" spans="1:9">
      <c r="A52" s="3" t="s">
        <v>13</v>
      </c>
      <c r="B52" s="6" t="s">
        <v>18</v>
      </c>
      <c r="C52" s="5">
        <v>23151000</v>
      </c>
      <c r="D52" s="5">
        <v>99038000</v>
      </c>
      <c r="E52" t="s">
        <v>7896</v>
      </c>
      <c r="F52">
        <v>2.5</v>
      </c>
      <c r="G52" s="12">
        <v>-75887000</v>
      </c>
      <c r="H52">
        <v>9260400</v>
      </c>
      <c r="I52">
        <v>-30354800</v>
      </c>
    </row>
    <row r="53" spans="1:9">
      <c r="A53" s="3" t="s">
        <v>13</v>
      </c>
      <c r="B53" s="6" t="s">
        <v>18</v>
      </c>
      <c r="C53" s="5">
        <v>2781000</v>
      </c>
      <c r="D53" s="5">
        <v>1269000</v>
      </c>
      <c r="E53" t="s">
        <v>7896</v>
      </c>
      <c r="F53">
        <v>2.5</v>
      </c>
      <c r="G53" s="12">
        <v>1512000</v>
      </c>
      <c r="H53">
        <v>1112400</v>
      </c>
      <c r="I53">
        <v>604800</v>
      </c>
    </row>
    <row r="54" spans="1:9">
      <c r="A54" s="3" t="s">
        <v>13</v>
      </c>
      <c r="B54" s="6" t="s">
        <v>18</v>
      </c>
      <c r="C54" s="5">
        <v>709000</v>
      </c>
      <c r="D54" s="5">
        <v>851000</v>
      </c>
      <c r="E54" t="s">
        <v>7896</v>
      </c>
      <c r="F54">
        <v>2.5</v>
      </c>
      <c r="G54" s="12">
        <v>-142000</v>
      </c>
      <c r="H54">
        <v>283600</v>
      </c>
      <c r="I54">
        <v>-56800</v>
      </c>
    </row>
    <row r="55" spans="1:9">
      <c r="A55" s="3" t="s">
        <v>13</v>
      </c>
      <c r="B55" s="6" t="s">
        <v>18</v>
      </c>
      <c r="C55" s="5">
        <v>6450000</v>
      </c>
      <c r="D55" s="5">
        <v>6312000</v>
      </c>
      <c r="E55" t="s">
        <v>7896</v>
      </c>
      <c r="F55">
        <v>2.5</v>
      </c>
      <c r="G55" s="12">
        <v>138000</v>
      </c>
      <c r="H55">
        <v>2580000</v>
      </c>
      <c r="I55">
        <v>55200</v>
      </c>
    </row>
    <row r="56" spans="1:9">
      <c r="A56" s="3" t="s">
        <v>13</v>
      </c>
      <c r="B56" s="6" t="s">
        <v>77</v>
      </c>
      <c r="C56" s="5">
        <v>7612000</v>
      </c>
      <c r="D56" s="5">
        <v>7401000</v>
      </c>
      <c r="E56" t="s">
        <v>7896</v>
      </c>
      <c r="F56">
        <v>8</v>
      </c>
      <c r="G56" s="12">
        <v>211000</v>
      </c>
      <c r="H56">
        <v>951500</v>
      </c>
      <c r="I56">
        <v>26375</v>
      </c>
    </row>
    <row r="57" spans="1:9">
      <c r="A57" s="3" t="s">
        <v>13</v>
      </c>
      <c r="B57" s="6" t="s">
        <v>18</v>
      </c>
      <c r="C57" s="5">
        <v>172000</v>
      </c>
      <c r="D57" s="5">
        <v>245000</v>
      </c>
      <c r="E57" t="s">
        <v>7896</v>
      </c>
      <c r="F57">
        <v>2.5</v>
      </c>
      <c r="G57" s="12">
        <v>-73000</v>
      </c>
      <c r="H57">
        <v>68800</v>
      </c>
      <c r="I57">
        <v>-29200</v>
      </c>
    </row>
    <row r="58" spans="1:9">
      <c r="A58" s="3" t="s">
        <v>13</v>
      </c>
      <c r="B58" s="6" t="s">
        <v>18</v>
      </c>
      <c r="C58" s="5">
        <v>110000</v>
      </c>
      <c r="D58" s="5">
        <v>115000</v>
      </c>
      <c r="E58" t="s">
        <v>7896</v>
      </c>
      <c r="F58">
        <v>2.5</v>
      </c>
      <c r="G58" s="12">
        <v>-5000</v>
      </c>
      <c r="H58">
        <v>44000</v>
      </c>
      <c r="I58">
        <v>-2000</v>
      </c>
    </row>
    <row r="59" spans="1:9">
      <c r="A59" s="3" t="s">
        <v>13</v>
      </c>
      <c r="B59" s="6" t="s">
        <v>18</v>
      </c>
      <c r="C59" s="5">
        <v>1650000</v>
      </c>
      <c r="D59" s="5">
        <v>2197000</v>
      </c>
      <c r="E59" t="s">
        <v>7896</v>
      </c>
      <c r="F59">
        <v>2.5</v>
      </c>
      <c r="G59" s="12">
        <v>-547000</v>
      </c>
      <c r="H59">
        <v>660000</v>
      </c>
      <c r="I59">
        <v>-218800</v>
      </c>
    </row>
    <row r="60" spans="1:9">
      <c r="A60" s="3" t="s">
        <v>13</v>
      </c>
      <c r="B60" s="6" t="s">
        <v>22</v>
      </c>
      <c r="C60" s="5">
        <v>97403000</v>
      </c>
      <c r="D60" s="5">
        <v>62297000</v>
      </c>
      <c r="E60" t="s">
        <v>7896</v>
      </c>
      <c r="F60">
        <v>13</v>
      </c>
      <c r="G60" s="12">
        <v>35106000</v>
      </c>
      <c r="H60">
        <v>7492538.461538462</v>
      </c>
      <c r="I60">
        <v>2700461.5384615385</v>
      </c>
    </row>
    <row r="61" spans="1:9">
      <c r="A61" s="3" t="s">
        <v>13</v>
      </c>
      <c r="B61" s="6" t="s">
        <v>18</v>
      </c>
      <c r="C61" s="5">
        <v>18068000</v>
      </c>
      <c r="D61" s="5">
        <v>17711000</v>
      </c>
      <c r="E61" t="s">
        <v>7896</v>
      </c>
      <c r="F61">
        <v>2.5</v>
      </c>
      <c r="G61" s="12">
        <v>357000</v>
      </c>
      <c r="H61">
        <v>7227200</v>
      </c>
      <c r="I61">
        <v>142800</v>
      </c>
    </row>
    <row r="62" spans="1:9">
      <c r="A62" s="3" t="s">
        <v>13</v>
      </c>
      <c r="B62" s="6" t="s">
        <v>18</v>
      </c>
      <c r="C62" s="5">
        <v>19792000</v>
      </c>
      <c r="D62" s="5">
        <v>30402000</v>
      </c>
      <c r="E62" t="s">
        <v>7896</v>
      </c>
      <c r="F62">
        <v>2.5</v>
      </c>
      <c r="G62" s="12">
        <v>-10610000</v>
      </c>
      <c r="H62">
        <v>7916800</v>
      </c>
      <c r="I62">
        <v>-4244000</v>
      </c>
    </row>
    <row r="63" spans="1:9">
      <c r="A63" s="3" t="s">
        <v>13</v>
      </c>
      <c r="B63" s="6" t="s">
        <v>18</v>
      </c>
      <c r="C63" s="5">
        <v>3514000</v>
      </c>
      <c r="D63" s="5">
        <v>3452000</v>
      </c>
      <c r="E63" t="s">
        <v>7896</v>
      </c>
      <c r="F63">
        <v>2.5</v>
      </c>
      <c r="G63" s="12">
        <v>62000</v>
      </c>
      <c r="H63">
        <v>1405600</v>
      </c>
      <c r="I63">
        <v>24800</v>
      </c>
    </row>
    <row r="64" spans="1:9">
      <c r="A64" s="3" t="s">
        <v>13</v>
      </c>
      <c r="B64" s="6" t="s">
        <v>18</v>
      </c>
      <c r="C64" s="5">
        <v>6800000</v>
      </c>
      <c r="D64" s="5">
        <v>5647000</v>
      </c>
      <c r="E64" t="s">
        <v>7896</v>
      </c>
      <c r="F64">
        <v>2.5</v>
      </c>
      <c r="G64" s="12">
        <v>1153000</v>
      </c>
      <c r="H64">
        <v>2720000</v>
      </c>
      <c r="I64">
        <v>461200</v>
      </c>
    </row>
    <row r="65" spans="1:9">
      <c r="A65" s="3" t="s">
        <v>13</v>
      </c>
      <c r="B65" s="6" t="s">
        <v>23</v>
      </c>
      <c r="C65" s="5">
        <v>514068000</v>
      </c>
      <c r="D65" s="5">
        <v>442917000</v>
      </c>
      <c r="E65" t="s">
        <v>7897</v>
      </c>
      <c r="F65">
        <v>75.5</v>
      </c>
      <c r="G65" s="12">
        <v>71151000</v>
      </c>
      <c r="H65">
        <v>6808847.6821192056</v>
      </c>
      <c r="I65">
        <v>942397.35099337751</v>
      </c>
    </row>
    <row r="66" spans="1:9">
      <c r="A66" s="3" t="s">
        <v>13</v>
      </c>
      <c r="B66" s="6" t="s">
        <v>18</v>
      </c>
      <c r="C66" s="5">
        <v>13390000</v>
      </c>
      <c r="D66" s="5">
        <v>13674000</v>
      </c>
      <c r="E66" t="s">
        <v>7896</v>
      </c>
      <c r="F66">
        <v>2.5</v>
      </c>
      <c r="G66" s="12">
        <v>-284000</v>
      </c>
      <c r="H66">
        <v>5356000</v>
      </c>
      <c r="I66">
        <v>-113600</v>
      </c>
    </row>
    <row r="67" spans="1:9">
      <c r="A67" s="3" t="s">
        <v>13</v>
      </c>
      <c r="B67" s="6" t="s">
        <v>18</v>
      </c>
      <c r="C67" s="5">
        <v>12594000</v>
      </c>
      <c r="D67" s="5">
        <v>10451000</v>
      </c>
      <c r="E67" t="s">
        <v>7896</v>
      </c>
      <c r="F67">
        <v>2.5</v>
      </c>
      <c r="G67" s="12">
        <v>2143000</v>
      </c>
      <c r="H67">
        <v>5037600</v>
      </c>
      <c r="I67">
        <v>857200</v>
      </c>
    </row>
    <row r="68" spans="1:9">
      <c r="A68" s="3" t="s">
        <v>13</v>
      </c>
      <c r="B68" s="6" t="s">
        <v>18</v>
      </c>
      <c r="C68" s="5">
        <v>12980000</v>
      </c>
      <c r="D68" s="5">
        <v>9158000</v>
      </c>
      <c r="E68" t="s">
        <v>7896</v>
      </c>
      <c r="F68">
        <v>2.5</v>
      </c>
      <c r="G68" s="12">
        <v>3822000</v>
      </c>
      <c r="H68">
        <v>5192000</v>
      </c>
      <c r="I68">
        <v>1528800</v>
      </c>
    </row>
    <row r="69" spans="1:9">
      <c r="A69" s="3" t="s">
        <v>13</v>
      </c>
      <c r="B69" s="6" t="s">
        <v>22</v>
      </c>
      <c r="C69" s="5">
        <v>3425000</v>
      </c>
      <c r="D69" s="5">
        <v>3667000</v>
      </c>
      <c r="E69" t="s">
        <v>7896</v>
      </c>
      <c r="F69">
        <v>13</v>
      </c>
      <c r="G69" s="12">
        <v>-242000</v>
      </c>
      <c r="H69">
        <v>263461.53846153844</v>
      </c>
      <c r="I69">
        <v>-18615.384615384617</v>
      </c>
    </row>
    <row r="70" spans="1:9">
      <c r="A70" s="3" t="s">
        <v>13</v>
      </c>
      <c r="B70" s="6" t="s">
        <v>22</v>
      </c>
      <c r="C70" s="5">
        <v>66620000</v>
      </c>
      <c r="D70" s="5">
        <v>66674000</v>
      </c>
      <c r="E70" t="s">
        <v>7896</v>
      </c>
      <c r="F70">
        <v>13</v>
      </c>
      <c r="G70" s="12">
        <v>-54000</v>
      </c>
      <c r="H70">
        <v>5124615.384615385</v>
      </c>
      <c r="I70">
        <v>-4153.8461538461543</v>
      </c>
    </row>
    <row r="71" spans="1:9">
      <c r="A71" s="3" t="s">
        <v>13</v>
      </c>
      <c r="B71" s="6" t="s">
        <v>280</v>
      </c>
      <c r="C71" s="5">
        <v>77367000</v>
      </c>
      <c r="D71" s="5">
        <v>67628000</v>
      </c>
      <c r="E71" t="s">
        <v>7898</v>
      </c>
      <c r="F71">
        <v>225.5</v>
      </c>
      <c r="G71" s="12">
        <v>9739000</v>
      </c>
      <c r="H71">
        <v>343090.90909090912</v>
      </c>
      <c r="I71">
        <v>43188.47006651885</v>
      </c>
    </row>
    <row r="72" spans="1:9">
      <c r="A72" s="3" t="s">
        <v>13</v>
      </c>
      <c r="B72" s="6" t="s">
        <v>18</v>
      </c>
      <c r="C72" s="5">
        <v>269412000</v>
      </c>
      <c r="D72" s="5">
        <v>251203000</v>
      </c>
      <c r="E72" t="s">
        <v>7896</v>
      </c>
      <c r="F72">
        <v>2.5</v>
      </c>
      <c r="G72" s="12">
        <v>18209000</v>
      </c>
      <c r="H72">
        <v>107764800</v>
      </c>
      <c r="I72">
        <v>7283600</v>
      </c>
    </row>
    <row r="73" spans="1:9">
      <c r="A73" s="3" t="s">
        <v>13</v>
      </c>
      <c r="B73" s="6" t="s">
        <v>18</v>
      </c>
      <c r="C73" s="5">
        <v>69000</v>
      </c>
      <c r="D73" s="5">
        <v>150000</v>
      </c>
      <c r="E73" t="s">
        <v>7896</v>
      </c>
      <c r="F73">
        <v>2.5</v>
      </c>
      <c r="G73" s="12">
        <v>-81000</v>
      </c>
      <c r="H73">
        <v>27600</v>
      </c>
      <c r="I73">
        <v>-32400</v>
      </c>
    </row>
    <row r="74" spans="1:9">
      <c r="A74" s="3" t="s">
        <v>13</v>
      </c>
      <c r="B74" s="6" t="s">
        <v>23</v>
      </c>
      <c r="C74" s="5">
        <v>50019000</v>
      </c>
      <c r="D74" s="5">
        <v>41433000</v>
      </c>
      <c r="E74" t="s">
        <v>7897</v>
      </c>
      <c r="F74">
        <v>75.5</v>
      </c>
      <c r="G74" s="12">
        <v>8586000</v>
      </c>
      <c r="H74">
        <v>662503.31125827809</v>
      </c>
      <c r="I74">
        <v>113721.85430463577</v>
      </c>
    </row>
    <row r="75" spans="1:9">
      <c r="A75" s="3" t="s">
        <v>13</v>
      </c>
      <c r="B75" s="6" t="s">
        <v>18</v>
      </c>
      <c r="C75" s="5">
        <v>7416000</v>
      </c>
      <c r="D75" s="5">
        <v>7176000</v>
      </c>
      <c r="E75" t="s">
        <v>7896</v>
      </c>
      <c r="F75">
        <v>2.5</v>
      </c>
      <c r="G75" s="12">
        <v>240000</v>
      </c>
      <c r="H75">
        <v>2966400</v>
      </c>
      <c r="I75">
        <v>96000</v>
      </c>
    </row>
    <row r="76" spans="1:9">
      <c r="A76" s="3" t="s">
        <v>13</v>
      </c>
      <c r="B76" s="6" t="s">
        <v>18</v>
      </c>
      <c r="C76" s="5">
        <v>3539000</v>
      </c>
      <c r="D76" s="5">
        <v>6026000</v>
      </c>
      <c r="E76" t="s">
        <v>7896</v>
      </c>
      <c r="F76">
        <v>2.5</v>
      </c>
      <c r="G76" s="12">
        <v>-2487000</v>
      </c>
      <c r="H76">
        <v>1415600</v>
      </c>
      <c r="I76">
        <v>-994800</v>
      </c>
    </row>
    <row r="77" spans="1:9">
      <c r="A77" s="3" t="s">
        <v>13</v>
      </c>
      <c r="B77" s="6" t="s">
        <v>18</v>
      </c>
      <c r="C77" s="5">
        <v>1231000</v>
      </c>
      <c r="D77" s="5">
        <v>1229000</v>
      </c>
      <c r="E77" t="s">
        <v>7896</v>
      </c>
      <c r="F77">
        <v>2.5</v>
      </c>
      <c r="G77" s="12">
        <v>2000</v>
      </c>
      <c r="H77">
        <v>492400</v>
      </c>
      <c r="I77">
        <v>800</v>
      </c>
    </row>
    <row r="78" spans="1:9">
      <c r="A78" s="3" t="s">
        <v>13</v>
      </c>
      <c r="B78" s="6" t="s">
        <v>302</v>
      </c>
      <c r="C78" s="5">
        <v>82558000</v>
      </c>
      <c r="D78" s="5">
        <v>71662000</v>
      </c>
      <c r="E78" t="s">
        <v>7897</v>
      </c>
      <c r="F78">
        <v>125.5</v>
      </c>
      <c r="G78" s="12">
        <v>10896000</v>
      </c>
      <c r="H78">
        <v>657832.6693227092</v>
      </c>
      <c r="I78">
        <v>86820.717131474099</v>
      </c>
    </row>
    <row r="79" spans="1:9">
      <c r="A79" s="3" t="s">
        <v>13</v>
      </c>
      <c r="B79" s="6" t="s">
        <v>18</v>
      </c>
      <c r="C79" s="5">
        <v>9431000</v>
      </c>
      <c r="D79" s="5">
        <v>33219000</v>
      </c>
      <c r="E79" t="s">
        <v>7896</v>
      </c>
      <c r="F79">
        <v>2.5</v>
      </c>
      <c r="G79" s="12">
        <v>-23788000</v>
      </c>
      <c r="H79">
        <v>3772400</v>
      </c>
      <c r="I79">
        <v>-9515200</v>
      </c>
    </row>
    <row r="80" spans="1:9">
      <c r="A80" s="3" t="s">
        <v>13</v>
      </c>
      <c r="B80" s="6" t="s">
        <v>18</v>
      </c>
      <c r="C80" s="5">
        <v>1728000</v>
      </c>
      <c r="D80" s="5">
        <v>1197000</v>
      </c>
      <c r="E80" t="s">
        <v>7896</v>
      </c>
      <c r="F80">
        <v>2.5</v>
      </c>
      <c r="G80" s="12">
        <v>531000</v>
      </c>
      <c r="H80">
        <v>691200</v>
      </c>
      <c r="I80">
        <v>212400</v>
      </c>
    </row>
    <row r="81" spans="1:9">
      <c r="A81" s="3" t="s">
        <v>13</v>
      </c>
      <c r="B81" s="6" t="s">
        <v>18</v>
      </c>
      <c r="C81" s="5">
        <v>1428000</v>
      </c>
      <c r="D81" s="5">
        <v>1425000</v>
      </c>
      <c r="E81" t="s">
        <v>7896</v>
      </c>
      <c r="F81">
        <v>2.5</v>
      </c>
      <c r="G81" s="12">
        <v>3000</v>
      </c>
      <c r="H81">
        <v>571200</v>
      </c>
      <c r="I81">
        <v>1200</v>
      </c>
    </row>
    <row r="82" spans="1:9">
      <c r="A82" s="3" t="s">
        <v>13</v>
      </c>
      <c r="B82" s="6" t="s">
        <v>18</v>
      </c>
      <c r="C82" s="5">
        <v>7719000</v>
      </c>
      <c r="D82" s="5">
        <v>7142000</v>
      </c>
      <c r="E82" t="s">
        <v>7896</v>
      </c>
      <c r="F82">
        <v>2.5</v>
      </c>
      <c r="G82" s="12">
        <v>577000</v>
      </c>
      <c r="H82">
        <v>3087600</v>
      </c>
      <c r="I82">
        <v>230800</v>
      </c>
    </row>
    <row r="83" spans="1:9">
      <c r="A83" s="3" t="s">
        <v>13</v>
      </c>
      <c r="B83" s="6" t="s">
        <v>18</v>
      </c>
      <c r="C83" s="5">
        <v>13961000</v>
      </c>
      <c r="D83" s="5">
        <v>6713000</v>
      </c>
      <c r="E83" t="s">
        <v>7896</v>
      </c>
      <c r="F83">
        <v>2.5</v>
      </c>
      <c r="G83" s="12">
        <v>7248000</v>
      </c>
      <c r="H83">
        <v>5584400</v>
      </c>
      <c r="I83">
        <v>2899200</v>
      </c>
    </row>
    <row r="84" spans="1:9">
      <c r="A84" s="3" t="s">
        <v>13</v>
      </c>
      <c r="B84" s="6" t="s">
        <v>18</v>
      </c>
      <c r="C84" s="5">
        <v>118183000</v>
      </c>
      <c r="D84" s="5">
        <v>96446000</v>
      </c>
      <c r="E84" t="s">
        <v>7896</v>
      </c>
      <c r="F84">
        <v>2.5</v>
      </c>
      <c r="G84" s="12">
        <v>21737000</v>
      </c>
      <c r="H84">
        <v>47273200</v>
      </c>
      <c r="I84">
        <v>8694800</v>
      </c>
    </row>
    <row r="85" spans="1:9">
      <c r="A85" s="3" t="s">
        <v>13</v>
      </c>
      <c r="B85" s="6" t="s">
        <v>77</v>
      </c>
      <c r="C85" s="5">
        <v>74828000</v>
      </c>
      <c r="D85" s="5">
        <v>67885000</v>
      </c>
      <c r="E85" t="s">
        <v>7896</v>
      </c>
      <c r="F85">
        <v>8</v>
      </c>
      <c r="G85" s="12">
        <v>6943000</v>
      </c>
      <c r="H85">
        <v>9353500</v>
      </c>
      <c r="I85">
        <v>867875</v>
      </c>
    </row>
    <row r="86" spans="1:9">
      <c r="A86" s="3" t="s">
        <v>13</v>
      </c>
      <c r="B86" s="6" t="s">
        <v>18</v>
      </c>
      <c r="C86" s="5">
        <v>2558000</v>
      </c>
      <c r="D86" s="5">
        <v>1855000</v>
      </c>
      <c r="E86" t="s">
        <v>7896</v>
      </c>
      <c r="F86">
        <v>2.5</v>
      </c>
      <c r="G86" s="12">
        <v>703000</v>
      </c>
      <c r="H86">
        <v>1023200</v>
      </c>
      <c r="I86">
        <v>281200</v>
      </c>
    </row>
    <row r="87" spans="1:9">
      <c r="A87" s="3" t="s">
        <v>13</v>
      </c>
      <c r="B87" s="6" t="s">
        <v>18</v>
      </c>
      <c r="C87" s="5">
        <v>85019000</v>
      </c>
      <c r="D87" s="5">
        <v>53611000</v>
      </c>
      <c r="E87" t="s">
        <v>7896</v>
      </c>
      <c r="F87">
        <v>2.5</v>
      </c>
      <c r="G87" s="12">
        <v>31408000</v>
      </c>
      <c r="H87">
        <v>34007600</v>
      </c>
      <c r="I87">
        <v>12563200</v>
      </c>
    </row>
    <row r="88" spans="1:9">
      <c r="A88" s="3" t="s">
        <v>13</v>
      </c>
      <c r="B88" s="6" t="s">
        <v>18</v>
      </c>
      <c r="C88" s="5">
        <v>4537000</v>
      </c>
      <c r="D88" s="5">
        <v>4519000</v>
      </c>
      <c r="E88" t="s">
        <v>7896</v>
      </c>
      <c r="F88">
        <v>2.5</v>
      </c>
      <c r="G88" s="12">
        <v>18000</v>
      </c>
      <c r="H88">
        <v>1814800</v>
      </c>
      <c r="I88">
        <v>7200</v>
      </c>
    </row>
    <row r="89" spans="1:9">
      <c r="A89" s="3" t="s">
        <v>13</v>
      </c>
      <c r="B89" s="6" t="s">
        <v>23</v>
      </c>
      <c r="C89" s="5">
        <v>41859000</v>
      </c>
      <c r="D89" s="5">
        <v>36172000</v>
      </c>
      <c r="E89" t="s">
        <v>7897</v>
      </c>
      <c r="F89">
        <v>75.5</v>
      </c>
      <c r="G89" s="12">
        <v>5687000</v>
      </c>
      <c r="H89">
        <v>554423.84105960268</v>
      </c>
      <c r="I89">
        <v>75324.503311258275</v>
      </c>
    </row>
    <row r="90" spans="1:9">
      <c r="A90" s="3" t="s">
        <v>13</v>
      </c>
      <c r="B90" s="6" t="s">
        <v>18</v>
      </c>
      <c r="C90" s="5">
        <v>17000</v>
      </c>
      <c r="D90" s="5">
        <v>17000</v>
      </c>
      <c r="E90" t="s">
        <v>7896</v>
      </c>
      <c r="F90">
        <v>2.5</v>
      </c>
      <c r="G90" s="12">
        <v>0</v>
      </c>
      <c r="H90">
        <v>6800</v>
      </c>
      <c r="I90">
        <v>0</v>
      </c>
    </row>
    <row r="91" spans="1:9">
      <c r="A91" s="3" t="s">
        <v>13</v>
      </c>
      <c r="B91" s="6" t="s">
        <v>18</v>
      </c>
      <c r="C91" s="5">
        <v>16619000</v>
      </c>
      <c r="D91" s="5">
        <v>17244000</v>
      </c>
      <c r="E91" t="s">
        <v>7896</v>
      </c>
      <c r="F91">
        <v>2.5</v>
      </c>
      <c r="G91" s="12">
        <v>-625000</v>
      </c>
      <c r="H91">
        <v>6647600</v>
      </c>
      <c r="I91">
        <v>-250000</v>
      </c>
    </row>
    <row r="92" spans="1:9">
      <c r="A92" s="3" t="s">
        <v>13</v>
      </c>
      <c r="B92" s="6" t="s">
        <v>77</v>
      </c>
      <c r="C92" s="5">
        <v>6258000</v>
      </c>
      <c r="D92" s="5">
        <v>8466000</v>
      </c>
      <c r="E92" t="s">
        <v>7896</v>
      </c>
      <c r="F92">
        <v>8</v>
      </c>
      <c r="G92" s="12">
        <v>-2208000</v>
      </c>
      <c r="H92">
        <v>782250</v>
      </c>
      <c r="I92">
        <v>-276000</v>
      </c>
    </row>
    <row r="93" spans="1:9">
      <c r="A93" s="3" t="s">
        <v>13</v>
      </c>
      <c r="B93" s="6" t="s">
        <v>18</v>
      </c>
      <c r="C93" s="5">
        <v>143794000</v>
      </c>
      <c r="D93" s="5">
        <v>265249000</v>
      </c>
      <c r="E93" t="s">
        <v>7896</v>
      </c>
      <c r="F93">
        <v>2.5</v>
      </c>
      <c r="G93" s="12">
        <v>-121455000</v>
      </c>
      <c r="H93">
        <v>57517600</v>
      </c>
      <c r="I93">
        <v>-48582000</v>
      </c>
    </row>
    <row r="94" spans="1:9">
      <c r="A94" s="3" t="s">
        <v>13</v>
      </c>
      <c r="B94" s="6" t="s">
        <v>18</v>
      </c>
      <c r="C94" s="5">
        <v>14400000</v>
      </c>
      <c r="D94" s="5">
        <v>14841000</v>
      </c>
      <c r="E94" t="s">
        <v>7896</v>
      </c>
      <c r="F94">
        <v>2.5</v>
      </c>
      <c r="G94" s="12">
        <v>-441000</v>
      </c>
      <c r="H94">
        <v>5760000</v>
      </c>
      <c r="I94">
        <v>-176400</v>
      </c>
    </row>
    <row r="95" spans="1:9">
      <c r="A95" s="3" t="s">
        <v>13</v>
      </c>
      <c r="B95" s="6" t="s">
        <v>18</v>
      </c>
      <c r="C95" s="5">
        <v>25973000</v>
      </c>
      <c r="D95" s="5">
        <v>12812000</v>
      </c>
      <c r="E95" t="s">
        <v>7896</v>
      </c>
      <c r="F95">
        <v>2.5</v>
      </c>
      <c r="G95" s="12">
        <v>13161000</v>
      </c>
      <c r="H95">
        <v>10389200</v>
      </c>
      <c r="I95">
        <v>5264400</v>
      </c>
    </row>
    <row r="96" spans="1:9">
      <c r="A96" s="3" t="s">
        <v>13</v>
      </c>
      <c r="B96" s="6" t="s">
        <v>18</v>
      </c>
      <c r="C96" s="5">
        <v>6946000</v>
      </c>
      <c r="D96" s="5">
        <v>6541000</v>
      </c>
      <c r="E96" t="s">
        <v>7896</v>
      </c>
      <c r="F96">
        <v>2.5</v>
      </c>
      <c r="G96" s="12">
        <v>405000</v>
      </c>
      <c r="H96">
        <v>2778400</v>
      </c>
      <c r="I96">
        <v>162000</v>
      </c>
    </row>
    <row r="97" spans="1:9">
      <c r="A97" s="3" t="s">
        <v>13</v>
      </c>
      <c r="B97" s="6" t="s">
        <v>23</v>
      </c>
      <c r="C97" s="5">
        <v>155467000</v>
      </c>
      <c r="D97" s="5">
        <v>69241000</v>
      </c>
      <c r="E97" t="s">
        <v>7897</v>
      </c>
      <c r="F97">
        <v>75.5</v>
      </c>
      <c r="G97" s="12">
        <v>86226000</v>
      </c>
      <c r="H97">
        <v>2059165.5629139072</v>
      </c>
      <c r="I97">
        <v>1142066.2251655629</v>
      </c>
    </row>
    <row r="98" spans="1:9">
      <c r="A98" s="3" t="s">
        <v>13</v>
      </c>
      <c r="B98" s="6" t="s">
        <v>18</v>
      </c>
      <c r="C98" s="5">
        <v>2505000</v>
      </c>
      <c r="D98" s="5">
        <v>2445000</v>
      </c>
      <c r="E98" t="s">
        <v>7896</v>
      </c>
      <c r="F98">
        <v>2.5</v>
      </c>
      <c r="G98" s="12">
        <v>60000</v>
      </c>
      <c r="H98">
        <v>1002000</v>
      </c>
      <c r="I98">
        <v>24000</v>
      </c>
    </row>
    <row r="99" spans="1:9">
      <c r="A99" s="3" t="s">
        <v>13</v>
      </c>
      <c r="B99" s="6" t="s">
        <v>18</v>
      </c>
      <c r="C99" s="5">
        <v>201000</v>
      </c>
      <c r="D99" s="5">
        <v>207000</v>
      </c>
      <c r="E99" t="s">
        <v>7896</v>
      </c>
      <c r="F99">
        <v>2.5</v>
      </c>
      <c r="G99" s="12">
        <v>-6000</v>
      </c>
      <c r="H99">
        <v>80400</v>
      </c>
      <c r="I99">
        <v>-2400</v>
      </c>
    </row>
    <row r="100" spans="1:9">
      <c r="A100" s="3" t="s">
        <v>13</v>
      </c>
      <c r="B100" s="6" t="s">
        <v>18</v>
      </c>
      <c r="C100" s="5">
        <v>50000</v>
      </c>
      <c r="D100" s="5">
        <v>47000</v>
      </c>
      <c r="E100" t="s">
        <v>7896</v>
      </c>
      <c r="F100">
        <v>2.5</v>
      </c>
      <c r="G100" s="12">
        <v>3000</v>
      </c>
      <c r="H100">
        <v>20000</v>
      </c>
      <c r="I100">
        <v>1200</v>
      </c>
    </row>
    <row r="101" spans="1:9">
      <c r="A101" s="3" t="s">
        <v>13</v>
      </c>
      <c r="B101" s="6" t="s">
        <v>18</v>
      </c>
      <c r="C101" s="5">
        <v>3209000</v>
      </c>
      <c r="D101" s="5">
        <v>2670000</v>
      </c>
      <c r="E101" t="s">
        <v>7896</v>
      </c>
      <c r="F101">
        <v>2.5</v>
      </c>
      <c r="G101" s="12">
        <v>539000</v>
      </c>
      <c r="H101">
        <v>1283600</v>
      </c>
      <c r="I101">
        <v>215600</v>
      </c>
    </row>
    <row r="102" spans="1:9">
      <c r="A102" s="3" t="s">
        <v>13</v>
      </c>
      <c r="B102" s="6" t="s">
        <v>18</v>
      </c>
      <c r="C102" s="5">
        <v>3799000</v>
      </c>
      <c r="D102" s="5">
        <v>3653000</v>
      </c>
      <c r="E102" t="s">
        <v>7896</v>
      </c>
      <c r="F102">
        <v>2.5</v>
      </c>
      <c r="G102" s="12">
        <v>146000</v>
      </c>
      <c r="H102">
        <v>1519600</v>
      </c>
      <c r="I102">
        <v>58400</v>
      </c>
    </row>
    <row r="103" spans="1:9">
      <c r="A103" s="3" t="s">
        <v>13</v>
      </c>
      <c r="B103" s="6" t="s">
        <v>18</v>
      </c>
      <c r="C103" s="5">
        <v>1576000</v>
      </c>
      <c r="D103" s="5">
        <v>3872000</v>
      </c>
      <c r="E103" t="s">
        <v>7896</v>
      </c>
      <c r="F103">
        <v>2.5</v>
      </c>
      <c r="G103" s="12">
        <v>-2296000</v>
      </c>
      <c r="H103">
        <v>630400</v>
      </c>
      <c r="I103">
        <v>-918400</v>
      </c>
    </row>
    <row r="104" spans="1:9">
      <c r="A104" s="3" t="s">
        <v>13</v>
      </c>
      <c r="B104" s="6" t="s">
        <v>18</v>
      </c>
      <c r="C104" s="5">
        <v>3060000</v>
      </c>
      <c r="D104" s="5">
        <v>3468000</v>
      </c>
      <c r="E104" t="s">
        <v>7896</v>
      </c>
      <c r="F104">
        <v>2.5</v>
      </c>
      <c r="G104" s="12">
        <v>-408000</v>
      </c>
      <c r="H104">
        <v>1224000</v>
      </c>
      <c r="I104">
        <v>-163200</v>
      </c>
    </row>
    <row r="105" spans="1:9">
      <c r="A105" s="3" t="s">
        <v>13</v>
      </c>
      <c r="B105" s="6" t="s">
        <v>22</v>
      </c>
      <c r="C105" s="5">
        <v>11031000</v>
      </c>
      <c r="D105" s="5">
        <v>18407000</v>
      </c>
      <c r="E105" t="s">
        <v>7896</v>
      </c>
      <c r="F105">
        <v>13</v>
      </c>
      <c r="G105" s="12">
        <v>-7376000</v>
      </c>
      <c r="H105">
        <v>848538.4615384615</v>
      </c>
      <c r="I105">
        <v>-567384.61538461538</v>
      </c>
    </row>
    <row r="106" spans="1:9">
      <c r="A106" s="3" t="s">
        <v>13</v>
      </c>
      <c r="B106" s="6" t="s">
        <v>23</v>
      </c>
      <c r="C106" s="5">
        <v>41475000</v>
      </c>
      <c r="D106" s="5">
        <v>40195000</v>
      </c>
      <c r="E106" t="s">
        <v>7897</v>
      </c>
      <c r="F106">
        <v>75.5</v>
      </c>
      <c r="G106" s="12">
        <v>1280000</v>
      </c>
      <c r="H106">
        <v>549337.74834437086</v>
      </c>
      <c r="I106">
        <v>16953.642384105959</v>
      </c>
    </row>
    <row r="107" spans="1:9">
      <c r="A107" s="3" t="s">
        <v>13</v>
      </c>
      <c r="B107" s="6" t="s">
        <v>18</v>
      </c>
      <c r="C107" s="5">
        <v>24710000</v>
      </c>
      <c r="D107" s="5">
        <v>21286000</v>
      </c>
      <c r="E107" t="s">
        <v>7896</v>
      </c>
      <c r="F107">
        <v>2.5</v>
      </c>
      <c r="G107" s="12">
        <v>3424000</v>
      </c>
      <c r="H107">
        <v>9884000</v>
      </c>
      <c r="I107">
        <v>1369600</v>
      </c>
    </row>
    <row r="108" spans="1:9">
      <c r="A108" s="3" t="s">
        <v>13</v>
      </c>
      <c r="B108" s="6" t="s">
        <v>18</v>
      </c>
      <c r="C108" s="5">
        <v>15715000</v>
      </c>
      <c r="D108" s="5">
        <v>12215000</v>
      </c>
      <c r="E108" t="s">
        <v>7896</v>
      </c>
      <c r="F108">
        <v>2.5</v>
      </c>
      <c r="G108" s="12">
        <v>3500000</v>
      </c>
      <c r="H108">
        <v>6286000</v>
      </c>
      <c r="I108">
        <v>1400000</v>
      </c>
    </row>
    <row r="109" spans="1:9">
      <c r="A109" s="3" t="s">
        <v>13</v>
      </c>
      <c r="B109" s="6" t="s">
        <v>18</v>
      </c>
      <c r="C109" s="5">
        <v>8550000</v>
      </c>
      <c r="D109" s="5">
        <v>8076000</v>
      </c>
      <c r="E109" t="s">
        <v>7896</v>
      </c>
      <c r="F109">
        <v>2.5</v>
      </c>
      <c r="G109" s="12">
        <v>474000</v>
      </c>
      <c r="H109">
        <v>3420000</v>
      </c>
      <c r="I109">
        <v>189600</v>
      </c>
    </row>
    <row r="110" spans="1:9">
      <c r="A110" s="3" t="s">
        <v>13</v>
      </c>
      <c r="B110" s="6" t="s">
        <v>22</v>
      </c>
      <c r="C110" s="5">
        <v>2682331000</v>
      </c>
      <c r="D110" s="5">
        <v>2664750000</v>
      </c>
      <c r="E110" t="s">
        <v>7896</v>
      </c>
      <c r="F110">
        <v>13</v>
      </c>
      <c r="G110" s="12">
        <v>17581000</v>
      </c>
      <c r="H110">
        <v>206333153.84615386</v>
      </c>
      <c r="I110">
        <v>1352384.6153846155</v>
      </c>
    </row>
    <row r="111" spans="1:9">
      <c r="A111" s="3" t="s">
        <v>13</v>
      </c>
      <c r="B111" s="6" t="s">
        <v>18</v>
      </c>
      <c r="C111" s="5">
        <v>9565000</v>
      </c>
      <c r="D111" s="5">
        <v>7416000</v>
      </c>
      <c r="E111" t="s">
        <v>7896</v>
      </c>
      <c r="F111">
        <v>2.5</v>
      </c>
      <c r="G111" s="12">
        <v>2149000</v>
      </c>
      <c r="H111">
        <v>3826000</v>
      </c>
      <c r="I111">
        <v>859600</v>
      </c>
    </row>
    <row r="112" spans="1:9">
      <c r="A112" s="3" t="s">
        <v>13</v>
      </c>
      <c r="B112" s="6" t="s">
        <v>22</v>
      </c>
      <c r="C112" s="5">
        <v>19026000</v>
      </c>
      <c r="D112" s="5">
        <v>18736000</v>
      </c>
      <c r="E112" t="s">
        <v>7896</v>
      </c>
      <c r="F112">
        <v>13</v>
      </c>
      <c r="G112" s="12">
        <v>290000</v>
      </c>
      <c r="H112">
        <v>1463538.4615384615</v>
      </c>
      <c r="I112">
        <v>22307.692307692309</v>
      </c>
    </row>
    <row r="113" spans="1:9">
      <c r="A113" s="3" t="s">
        <v>13</v>
      </c>
      <c r="B113" s="6" t="s">
        <v>18</v>
      </c>
      <c r="C113" s="5">
        <v>14000000</v>
      </c>
      <c r="D113" s="5">
        <v>13500000</v>
      </c>
      <c r="E113" t="s">
        <v>7896</v>
      </c>
      <c r="F113">
        <v>2.5</v>
      </c>
      <c r="G113" s="12">
        <v>500000</v>
      </c>
      <c r="H113">
        <v>5600000</v>
      </c>
      <c r="I113">
        <v>200000</v>
      </c>
    </row>
    <row r="114" spans="1:9">
      <c r="A114" s="3" t="s">
        <v>13</v>
      </c>
      <c r="B114" s="6" t="s">
        <v>18</v>
      </c>
      <c r="C114" s="5">
        <v>1539000</v>
      </c>
      <c r="D114" s="5">
        <v>1573000</v>
      </c>
      <c r="E114" t="s">
        <v>7896</v>
      </c>
      <c r="F114">
        <v>2.5</v>
      </c>
      <c r="G114" s="12">
        <v>-34000</v>
      </c>
      <c r="H114">
        <v>615600</v>
      </c>
      <c r="I114">
        <v>-13600</v>
      </c>
    </row>
    <row r="115" spans="1:9">
      <c r="A115" s="3" t="s">
        <v>13</v>
      </c>
      <c r="B115" s="6" t="s">
        <v>18</v>
      </c>
      <c r="C115" s="5">
        <v>2050000</v>
      </c>
      <c r="D115" s="5">
        <v>2078000</v>
      </c>
      <c r="E115" t="s">
        <v>7896</v>
      </c>
      <c r="F115">
        <v>2.5</v>
      </c>
      <c r="G115" s="12">
        <v>-28000</v>
      </c>
      <c r="H115">
        <v>820000</v>
      </c>
      <c r="I115">
        <v>-11200</v>
      </c>
    </row>
    <row r="116" spans="1:9">
      <c r="A116" s="3" t="s">
        <v>13</v>
      </c>
      <c r="B116" s="6" t="s">
        <v>18</v>
      </c>
      <c r="C116" s="5">
        <v>11287000</v>
      </c>
      <c r="D116" s="5">
        <v>10698000</v>
      </c>
      <c r="E116" t="s">
        <v>7896</v>
      </c>
      <c r="F116">
        <v>2.5</v>
      </c>
      <c r="G116" s="12">
        <v>589000</v>
      </c>
      <c r="H116">
        <v>4514800</v>
      </c>
      <c r="I116">
        <v>235600</v>
      </c>
    </row>
    <row r="117" spans="1:9">
      <c r="A117" s="3" t="s">
        <v>13</v>
      </c>
      <c r="B117" s="6" t="s">
        <v>18</v>
      </c>
      <c r="C117" s="5">
        <v>795000</v>
      </c>
      <c r="D117" s="5">
        <v>712000</v>
      </c>
      <c r="E117" t="s">
        <v>7896</v>
      </c>
      <c r="F117">
        <v>2.5</v>
      </c>
      <c r="G117" s="12">
        <v>83000</v>
      </c>
      <c r="H117">
        <v>318000</v>
      </c>
      <c r="I117">
        <v>33200</v>
      </c>
    </row>
    <row r="118" spans="1:9">
      <c r="A118" s="3" t="s">
        <v>13</v>
      </c>
      <c r="B118" s="6" t="s">
        <v>22</v>
      </c>
      <c r="C118" s="5">
        <v>1799000</v>
      </c>
      <c r="D118" s="5">
        <v>3777000</v>
      </c>
      <c r="E118" t="s">
        <v>7896</v>
      </c>
      <c r="F118">
        <v>13</v>
      </c>
      <c r="G118" s="12">
        <v>-1978000</v>
      </c>
      <c r="H118">
        <v>138384.61538461538</v>
      </c>
      <c r="I118">
        <v>-152153.84615384616</v>
      </c>
    </row>
    <row r="119" spans="1:9">
      <c r="A119" s="3" t="s">
        <v>13</v>
      </c>
      <c r="B119" s="6" t="s">
        <v>18</v>
      </c>
      <c r="C119" s="5">
        <v>3992000</v>
      </c>
      <c r="D119" s="5">
        <v>4723000</v>
      </c>
      <c r="E119" t="s">
        <v>7896</v>
      </c>
      <c r="F119">
        <v>2.5</v>
      </c>
      <c r="G119" s="12">
        <v>-731000</v>
      </c>
      <c r="H119">
        <v>1596800</v>
      </c>
      <c r="I119">
        <v>-292400</v>
      </c>
    </row>
    <row r="120" spans="1:9">
      <c r="A120" s="3" t="s">
        <v>13</v>
      </c>
      <c r="B120" s="6" t="s">
        <v>22</v>
      </c>
      <c r="C120" s="5">
        <v>79973000</v>
      </c>
      <c r="D120" s="5">
        <v>53135000</v>
      </c>
      <c r="E120" t="s">
        <v>7896</v>
      </c>
      <c r="F120">
        <v>13</v>
      </c>
      <c r="G120" s="12">
        <v>26838000</v>
      </c>
      <c r="H120">
        <v>6151769.230769231</v>
      </c>
      <c r="I120">
        <v>2064461.5384615385</v>
      </c>
    </row>
    <row r="121" spans="1:9">
      <c r="A121" s="3" t="s">
        <v>13</v>
      </c>
      <c r="B121" s="6" t="s">
        <v>18</v>
      </c>
      <c r="C121" s="5">
        <v>1251000</v>
      </c>
      <c r="D121" s="5">
        <v>1269000</v>
      </c>
      <c r="E121" t="s">
        <v>7896</v>
      </c>
      <c r="F121">
        <v>2.5</v>
      </c>
      <c r="G121" s="12">
        <v>-18000</v>
      </c>
      <c r="H121">
        <v>500400</v>
      </c>
      <c r="I121">
        <v>-7200</v>
      </c>
    </row>
    <row r="122" spans="1:9">
      <c r="A122" s="3" t="s">
        <v>13</v>
      </c>
      <c r="B122" s="6" t="s">
        <v>22</v>
      </c>
      <c r="C122" s="5">
        <v>1843000</v>
      </c>
      <c r="D122" s="5">
        <v>1843000</v>
      </c>
      <c r="E122" t="s">
        <v>7896</v>
      </c>
      <c r="F122">
        <v>13</v>
      </c>
      <c r="G122" s="12">
        <v>0</v>
      </c>
      <c r="H122">
        <v>141769.23076923078</v>
      </c>
      <c r="I122">
        <v>0</v>
      </c>
    </row>
    <row r="123" spans="1:9">
      <c r="A123" s="3" t="s">
        <v>13</v>
      </c>
      <c r="B123" s="6" t="s">
        <v>77</v>
      </c>
      <c r="C123" s="5">
        <v>3528000</v>
      </c>
      <c r="D123" s="5">
        <v>4310000</v>
      </c>
      <c r="E123" t="s">
        <v>7896</v>
      </c>
      <c r="F123">
        <v>8</v>
      </c>
      <c r="G123" s="12">
        <v>-782000</v>
      </c>
      <c r="H123">
        <v>441000</v>
      </c>
      <c r="I123">
        <v>-97750</v>
      </c>
    </row>
    <row r="124" spans="1:9">
      <c r="A124" s="3" t="s">
        <v>13</v>
      </c>
      <c r="B124" s="6" t="s">
        <v>18</v>
      </c>
      <c r="C124" s="5">
        <v>49142000</v>
      </c>
      <c r="D124" s="5">
        <v>64195000</v>
      </c>
      <c r="E124" t="s">
        <v>7896</v>
      </c>
      <c r="F124">
        <v>2.5</v>
      </c>
      <c r="G124" s="12">
        <v>-15053000</v>
      </c>
      <c r="H124">
        <v>19656800</v>
      </c>
      <c r="I124">
        <v>-6021200</v>
      </c>
    </row>
    <row r="125" spans="1:9">
      <c r="A125" s="3" t="s">
        <v>13</v>
      </c>
      <c r="B125" s="6" t="s">
        <v>18</v>
      </c>
      <c r="C125" s="5">
        <v>645000</v>
      </c>
      <c r="D125" s="5">
        <v>5612000</v>
      </c>
      <c r="E125" t="s">
        <v>7896</v>
      </c>
      <c r="F125">
        <v>2.5</v>
      </c>
      <c r="G125" s="12">
        <v>-4967000</v>
      </c>
      <c r="H125">
        <v>258000</v>
      </c>
      <c r="I125">
        <v>-1986800</v>
      </c>
    </row>
    <row r="126" spans="1:9">
      <c r="A126" s="3" t="s">
        <v>13</v>
      </c>
      <c r="B126" s="6" t="s">
        <v>18</v>
      </c>
      <c r="C126" s="5">
        <v>47030000</v>
      </c>
      <c r="D126" s="5">
        <v>32841000</v>
      </c>
      <c r="E126" t="s">
        <v>7896</v>
      </c>
      <c r="F126">
        <v>2.5</v>
      </c>
      <c r="G126" s="12">
        <v>14189000</v>
      </c>
      <c r="H126">
        <v>18812000</v>
      </c>
      <c r="I126">
        <v>5675600</v>
      </c>
    </row>
    <row r="127" spans="1:9">
      <c r="A127" s="3" t="s">
        <v>13</v>
      </c>
      <c r="B127" s="6" t="s">
        <v>18</v>
      </c>
      <c r="C127" s="5">
        <v>112000</v>
      </c>
      <c r="D127" s="5">
        <v>213000</v>
      </c>
      <c r="E127" t="s">
        <v>7896</v>
      </c>
      <c r="F127">
        <v>2.5</v>
      </c>
      <c r="G127" s="12">
        <v>-101000</v>
      </c>
      <c r="H127">
        <v>44800</v>
      </c>
      <c r="I127">
        <v>-40400</v>
      </c>
    </row>
    <row r="128" spans="1:9">
      <c r="A128" s="3" t="s">
        <v>13</v>
      </c>
      <c r="B128" s="6" t="s">
        <v>18</v>
      </c>
      <c r="C128" s="5">
        <v>51420000</v>
      </c>
      <c r="D128" s="5">
        <v>51550000</v>
      </c>
      <c r="E128" t="s">
        <v>7896</v>
      </c>
      <c r="F128">
        <v>2.5</v>
      </c>
      <c r="G128" s="12">
        <v>-130000</v>
      </c>
      <c r="H128">
        <v>20568000</v>
      </c>
      <c r="I128">
        <v>-52000</v>
      </c>
    </row>
    <row r="129" spans="1:9">
      <c r="A129" s="3" t="s">
        <v>13</v>
      </c>
      <c r="B129" s="6" t="s">
        <v>18</v>
      </c>
      <c r="C129" s="5">
        <v>4512000</v>
      </c>
      <c r="D129" s="5">
        <v>6516000</v>
      </c>
      <c r="E129" t="s">
        <v>7896</v>
      </c>
      <c r="F129">
        <v>2.5</v>
      </c>
      <c r="G129" s="12">
        <v>-2004000</v>
      </c>
      <c r="H129">
        <v>1804800</v>
      </c>
      <c r="I129">
        <v>-801600</v>
      </c>
    </row>
    <row r="130" spans="1:9">
      <c r="A130" s="3" t="s">
        <v>13</v>
      </c>
      <c r="B130" s="6" t="s">
        <v>18</v>
      </c>
      <c r="C130" s="5">
        <v>29048000</v>
      </c>
      <c r="D130" s="5">
        <v>30087000</v>
      </c>
      <c r="E130" t="s">
        <v>7896</v>
      </c>
      <c r="F130">
        <v>2.5</v>
      </c>
      <c r="G130" s="12">
        <v>-1039000</v>
      </c>
      <c r="H130">
        <v>11619200</v>
      </c>
      <c r="I130">
        <v>-415600</v>
      </c>
    </row>
    <row r="131" spans="1:9">
      <c r="A131" s="3" t="s">
        <v>13</v>
      </c>
      <c r="B131" s="6" t="s">
        <v>22</v>
      </c>
      <c r="C131" s="5">
        <v>12586000</v>
      </c>
      <c r="D131" s="5">
        <v>13386000</v>
      </c>
      <c r="E131" t="s">
        <v>7896</v>
      </c>
      <c r="F131">
        <v>13</v>
      </c>
      <c r="G131" s="12">
        <v>-800000</v>
      </c>
      <c r="H131">
        <v>968153.84615384613</v>
      </c>
      <c r="I131">
        <v>-61538.461538461539</v>
      </c>
    </row>
    <row r="132" spans="1:9">
      <c r="A132" s="3" t="s">
        <v>13</v>
      </c>
      <c r="B132" s="6" t="s">
        <v>18</v>
      </c>
      <c r="C132" s="5">
        <v>82449000</v>
      </c>
      <c r="D132" s="5">
        <v>77478000</v>
      </c>
      <c r="E132" t="s">
        <v>7896</v>
      </c>
      <c r="F132">
        <v>2.5</v>
      </c>
      <c r="G132" s="12">
        <v>4971000</v>
      </c>
      <c r="H132">
        <v>32979600</v>
      </c>
      <c r="I132">
        <v>1988400</v>
      </c>
    </row>
    <row r="133" spans="1:9">
      <c r="A133" s="3" t="s">
        <v>13</v>
      </c>
      <c r="B133" s="6" t="s">
        <v>18</v>
      </c>
      <c r="C133" s="5">
        <v>43840000</v>
      </c>
      <c r="D133" s="5">
        <v>38079000</v>
      </c>
      <c r="E133" t="s">
        <v>7896</v>
      </c>
      <c r="F133">
        <v>2.5</v>
      </c>
      <c r="G133" s="12">
        <v>5761000</v>
      </c>
      <c r="H133">
        <v>17536000</v>
      </c>
      <c r="I133">
        <v>2304400</v>
      </c>
    </row>
    <row r="134" spans="1:9">
      <c r="A134" s="3" t="s">
        <v>13</v>
      </c>
      <c r="B134" s="6" t="s">
        <v>18</v>
      </c>
      <c r="C134" s="5">
        <v>6398000</v>
      </c>
      <c r="D134" s="5">
        <v>6410000</v>
      </c>
      <c r="E134" t="s">
        <v>7896</v>
      </c>
      <c r="F134">
        <v>2.5</v>
      </c>
      <c r="G134" s="12">
        <v>-12000</v>
      </c>
      <c r="H134">
        <v>2559200</v>
      </c>
      <c r="I134">
        <v>-4800</v>
      </c>
    </row>
    <row r="135" spans="1:9">
      <c r="A135" s="3" t="s">
        <v>13</v>
      </c>
      <c r="B135" s="6" t="s">
        <v>18</v>
      </c>
      <c r="C135" s="5">
        <v>64105000</v>
      </c>
      <c r="D135" s="5">
        <v>48265000</v>
      </c>
      <c r="E135" t="s">
        <v>7896</v>
      </c>
      <c r="F135">
        <v>2.5</v>
      </c>
      <c r="G135" s="12">
        <v>15840000</v>
      </c>
      <c r="H135">
        <v>25642000</v>
      </c>
      <c r="I135">
        <v>6336000</v>
      </c>
    </row>
    <row r="136" spans="1:9">
      <c r="A136" s="3" t="s">
        <v>13</v>
      </c>
      <c r="B136" s="6" t="s">
        <v>18</v>
      </c>
      <c r="C136" s="5">
        <v>346000</v>
      </c>
      <c r="D136" s="5">
        <v>346000</v>
      </c>
      <c r="E136" t="s">
        <v>7896</v>
      </c>
      <c r="F136">
        <v>2.5</v>
      </c>
      <c r="G136" s="12">
        <v>0</v>
      </c>
      <c r="H136">
        <v>138400</v>
      </c>
      <c r="I136">
        <v>0</v>
      </c>
    </row>
    <row r="137" spans="1:9">
      <c r="A137" s="3" t="s">
        <v>13</v>
      </c>
      <c r="B137" s="6" t="s">
        <v>18</v>
      </c>
      <c r="C137" s="5">
        <v>1781000</v>
      </c>
      <c r="D137" s="5">
        <v>1780000</v>
      </c>
      <c r="E137" t="s">
        <v>7896</v>
      </c>
      <c r="F137">
        <v>2.5</v>
      </c>
      <c r="G137" s="12">
        <v>1000</v>
      </c>
      <c r="H137">
        <v>712400</v>
      </c>
      <c r="I137">
        <v>400</v>
      </c>
    </row>
    <row r="138" spans="1:9">
      <c r="A138" s="3" t="s">
        <v>13</v>
      </c>
      <c r="B138" s="6" t="s">
        <v>77</v>
      </c>
      <c r="C138" s="5">
        <v>4813000</v>
      </c>
      <c r="D138" s="5">
        <v>5132000</v>
      </c>
      <c r="E138" t="s">
        <v>7896</v>
      </c>
      <c r="F138">
        <v>8</v>
      </c>
      <c r="G138" s="12">
        <v>-319000</v>
      </c>
      <c r="H138">
        <v>601625</v>
      </c>
      <c r="I138">
        <v>-39875</v>
      </c>
    </row>
    <row r="139" spans="1:9">
      <c r="A139" s="3" t="s">
        <v>13</v>
      </c>
      <c r="B139" s="6" t="s">
        <v>18</v>
      </c>
      <c r="C139" s="5">
        <v>15842000</v>
      </c>
      <c r="D139" s="5">
        <v>12483000</v>
      </c>
      <c r="E139" t="s">
        <v>7896</v>
      </c>
      <c r="F139">
        <v>2.5</v>
      </c>
      <c r="G139" s="12">
        <v>3359000</v>
      </c>
      <c r="H139">
        <v>6336800</v>
      </c>
      <c r="I139">
        <v>1343600</v>
      </c>
    </row>
    <row r="140" spans="1:9">
      <c r="A140" s="3" t="s">
        <v>13</v>
      </c>
      <c r="B140" s="6" t="s">
        <v>18</v>
      </c>
      <c r="C140" s="5">
        <v>6339000</v>
      </c>
      <c r="D140" s="5">
        <v>2590000</v>
      </c>
      <c r="E140" t="s">
        <v>7896</v>
      </c>
      <c r="F140">
        <v>2.5</v>
      </c>
      <c r="G140" s="12">
        <v>3749000</v>
      </c>
      <c r="H140">
        <v>2535600</v>
      </c>
      <c r="I140">
        <v>1499600</v>
      </c>
    </row>
    <row r="141" spans="1:9">
      <c r="A141" s="3" t="s">
        <v>13</v>
      </c>
      <c r="B141" s="6" t="s">
        <v>77</v>
      </c>
      <c r="C141" s="5">
        <v>786000</v>
      </c>
      <c r="D141" s="5">
        <v>2387000</v>
      </c>
      <c r="E141" t="s">
        <v>7896</v>
      </c>
      <c r="F141">
        <v>8</v>
      </c>
      <c r="G141" s="12">
        <v>-1601000</v>
      </c>
      <c r="H141">
        <v>98250</v>
      </c>
      <c r="I141">
        <v>-200125</v>
      </c>
    </row>
    <row r="142" spans="1:9">
      <c r="A142" s="3" t="s">
        <v>13</v>
      </c>
      <c r="B142" s="6" t="s">
        <v>18</v>
      </c>
      <c r="C142" s="5">
        <v>10942000</v>
      </c>
      <c r="D142" s="5">
        <v>505862000</v>
      </c>
      <c r="E142" t="s">
        <v>7896</v>
      </c>
      <c r="F142">
        <v>2.5</v>
      </c>
      <c r="G142" s="12">
        <v>-494920000</v>
      </c>
      <c r="H142">
        <v>4376800</v>
      </c>
      <c r="I142">
        <v>-197968000</v>
      </c>
    </row>
    <row r="143" spans="1:9">
      <c r="A143" s="3" t="s">
        <v>13</v>
      </c>
      <c r="B143" s="6" t="s">
        <v>18</v>
      </c>
      <c r="C143" s="5">
        <v>14297000</v>
      </c>
      <c r="D143" s="5">
        <v>12168000</v>
      </c>
      <c r="E143" t="s">
        <v>7896</v>
      </c>
      <c r="F143">
        <v>2.5</v>
      </c>
      <c r="G143" s="12">
        <v>2129000</v>
      </c>
      <c r="H143">
        <v>5718800</v>
      </c>
      <c r="I143">
        <v>851600</v>
      </c>
    </row>
    <row r="144" spans="1:9">
      <c r="A144" s="3" t="s">
        <v>13</v>
      </c>
      <c r="B144" s="6" t="s">
        <v>18</v>
      </c>
      <c r="C144" s="5">
        <v>1003000</v>
      </c>
      <c r="D144" s="5">
        <v>4000</v>
      </c>
      <c r="E144" t="s">
        <v>7896</v>
      </c>
      <c r="F144">
        <v>2.5</v>
      </c>
      <c r="G144" s="12">
        <v>999000</v>
      </c>
      <c r="H144">
        <v>401200</v>
      </c>
      <c r="I144">
        <v>399600</v>
      </c>
    </row>
    <row r="145" spans="1:9">
      <c r="A145" s="3" t="s">
        <v>13</v>
      </c>
      <c r="B145" s="6" t="s">
        <v>18</v>
      </c>
      <c r="C145" s="5">
        <v>223000</v>
      </c>
      <c r="D145" s="5">
        <v>77000</v>
      </c>
      <c r="E145" t="s">
        <v>7896</v>
      </c>
      <c r="F145">
        <v>2.5</v>
      </c>
      <c r="G145" s="12">
        <v>146000</v>
      </c>
      <c r="H145">
        <v>89200</v>
      </c>
      <c r="I145">
        <v>58400</v>
      </c>
    </row>
    <row r="146" spans="1:9">
      <c r="A146" s="3" t="s">
        <v>13</v>
      </c>
      <c r="B146" s="6" t="s">
        <v>22</v>
      </c>
      <c r="C146" s="5">
        <v>69847000</v>
      </c>
      <c r="D146" s="5">
        <v>66508000</v>
      </c>
      <c r="E146" t="s">
        <v>7896</v>
      </c>
      <c r="F146">
        <v>13</v>
      </c>
      <c r="G146" s="12">
        <v>3339000</v>
      </c>
      <c r="H146">
        <v>5372846.153846154</v>
      </c>
      <c r="I146">
        <v>256846.15384615384</v>
      </c>
    </row>
    <row r="147" spans="1:9">
      <c r="A147" s="3" t="s">
        <v>13</v>
      </c>
      <c r="B147" s="6" t="s">
        <v>18</v>
      </c>
      <c r="C147" s="5">
        <v>56260000</v>
      </c>
      <c r="D147" s="5">
        <v>56796000</v>
      </c>
      <c r="E147" t="s">
        <v>7896</v>
      </c>
      <c r="F147">
        <v>2.5</v>
      </c>
      <c r="G147" s="12">
        <v>-536000</v>
      </c>
      <c r="H147">
        <v>22504000</v>
      </c>
      <c r="I147">
        <v>-214400</v>
      </c>
    </row>
    <row r="148" spans="1:9">
      <c r="A148" s="3" t="s">
        <v>13</v>
      </c>
      <c r="B148" s="6" t="s">
        <v>18</v>
      </c>
      <c r="C148" s="5">
        <v>399000</v>
      </c>
      <c r="D148" s="5">
        <v>399000</v>
      </c>
      <c r="E148" t="s">
        <v>7896</v>
      </c>
      <c r="F148">
        <v>2.5</v>
      </c>
      <c r="G148" s="12">
        <v>0</v>
      </c>
      <c r="H148">
        <v>159600</v>
      </c>
      <c r="I148">
        <v>0</v>
      </c>
    </row>
    <row r="149" spans="1:9">
      <c r="A149" s="3" t="s">
        <v>13</v>
      </c>
      <c r="B149" s="6" t="s">
        <v>22</v>
      </c>
      <c r="C149" s="5">
        <v>57703000</v>
      </c>
      <c r="D149" s="5">
        <v>45859000</v>
      </c>
      <c r="E149" t="s">
        <v>7896</v>
      </c>
      <c r="F149">
        <v>13</v>
      </c>
      <c r="G149" s="12">
        <v>11844000</v>
      </c>
      <c r="H149">
        <v>4438692.307692308</v>
      </c>
      <c r="I149">
        <v>911076.92307692312</v>
      </c>
    </row>
    <row r="150" spans="1:9">
      <c r="A150" s="3" t="s">
        <v>13</v>
      </c>
      <c r="B150" s="6" t="s">
        <v>18</v>
      </c>
      <c r="C150" s="5">
        <v>17590000</v>
      </c>
      <c r="D150" s="5">
        <v>17335000</v>
      </c>
      <c r="E150" t="s">
        <v>7896</v>
      </c>
      <c r="F150">
        <v>2.5</v>
      </c>
      <c r="G150" s="12">
        <v>255000</v>
      </c>
      <c r="H150">
        <v>7036000</v>
      </c>
      <c r="I150">
        <v>102000</v>
      </c>
    </row>
    <row r="151" spans="1:9">
      <c r="A151" s="3" t="s">
        <v>13</v>
      </c>
      <c r="B151" s="6" t="s">
        <v>18</v>
      </c>
      <c r="C151" s="5">
        <v>270000</v>
      </c>
      <c r="D151" s="5">
        <v>369000</v>
      </c>
      <c r="E151" t="s">
        <v>7896</v>
      </c>
      <c r="F151">
        <v>2.5</v>
      </c>
      <c r="G151" s="12">
        <v>-99000</v>
      </c>
      <c r="H151">
        <v>108000</v>
      </c>
      <c r="I151">
        <v>-39600</v>
      </c>
    </row>
    <row r="152" spans="1:9">
      <c r="A152" s="3" t="s">
        <v>13</v>
      </c>
      <c r="B152" s="6" t="s">
        <v>22</v>
      </c>
      <c r="C152" s="5">
        <v>26329000</v>
      </c>
      <c r="D152" s="5">
        <v>27613000</v>
      </c>
      <c r="E152" t="s">
        <v>7896</v>
      </c>
      <c r="F152">
        <v>13</v>
      </c>
      <c r="G152" s="12">
        <v>-1284000</v>
      </c>
      <c r="H152">
        <v>2025307.6923076923</v>
      </c>
      <c r="I152">
        <v>-98769.230769230766</v>
      </c>
    </row>
    <row r="153" spans="1:9">
      <c r="A153" s="3" t="s">
        <v>13</v>
      </c>
      <c r="B153" s="6" t="s">
        <v>22</v>
      </c>
      <c r="C153" s="5">
        <v>1715385000</v>
      </c>
      <c r="D153" s="5">
        <v>1575287000</v>
      </c>
      <c r="E153" t="s">
        <v>7896</v>
      </c>
      <c r="F153">
        <v>13</v>
      </c>
      <c r="G153" s="12">
        <v>140098000</v>
      </c>
      <c r="H153">
        <v>131952692.3076923</v>
      </c>
      <c r="I153">
        <v>10776769.23076923</v>
      </c>
    </row>
    <row r="154" spans="1:9">
      <c r="A154" s="3" t="s">
        <v>13</v>
      </c>
      <c r="B154" s="6" t="s">
        <v>18</v>
      </c>
      <c r="C154" s="5">
        <v>10684000</v>
      </c>
      <c r="D154" s="5">
        <v>6249000</v>
      </c>
      <c r="E154" t="s">
        <v>7896</v>
      </c>
      <c r="F154">
        <v>2.5</v>
      </c>
      <c r="G154" s="12">
        <v>4435000</v>
      </c>
      <c r="H154">
        <v>4273600</v>
      </c>
      <c r="I154">
        <v>1774000</v>
      </c>
    </row>
    <row r="155" spans="1:9">
      <c r="A155" s="3" t="s">
        <v>13</v>
      </c>
      <c r="B155" s="6" t="s">
        <v>77</v>
      </c>
      <c r="C155" s="5">
        <v>58018000</v>
      </c>
      <c r="D155" s="5">
        <v>66715000</v>
      </c>
      <c r="E155" t="s">
        <v>7896</v>
      </c>
      <c r="F155">
        <v>8</v>
      </c>
      <c r="G155" s="12">
        <v>-8697000</v>
      </c>
      <c r="H155">
        <v>7252250</v>
      </c>
      <c r="I155">
        <v>-1087125</v>
      </c>
    </row>
    <row r="156" spans="1:9">
      <c r="A156" s="3" t="s">
        <v>13</v>
      </c>
      <c r="B156" s="6" t="s">
        <v>22</v>
      </c>
      <c r="C156" s="5">
        <v>9423000</v>
      </c>
      <c r="D156" s="5">
        <v>24519000</v>
      </c>
      <c r="E156" t="s">
        <v>7896</v>
      </c>
      <c r="F156">
        <v>13</v>
      </c>
      <c r="G156" s="12">
        <v>-15096000</v>
      </c>
      <c r="H156">
        <v>724846.15384615387</v>
      </c>
      <c r="I156">
        <v>-1161230.7692307692</v>
      </c>
    </row>
    <row r="157" spans="1:9">
      <c r="A157" s="3" t="s">
        <v>13</v>
      </c>
      <c r="B157" s="6" t="s">
        <v>23</v>
      </c>
      <c r="C157" s="5">
        <v>276376000</v>
      </c>
      <c r="D157" s="5">
        <v>206676000</v>
      </c>
      <c r="E157" t="s">
        <v>7897</v>
      </c>
      <c r="F157">
        <v>75.5</v>
      </c>
      <c r="G157" s="12">
        <v>69700000</v>
      </c>
      <c r="H157">
        <v>3660609.271523179</v>
      </c>
      <c r="I157">
        <v>923178.80794701981</v>
      </c>
    </row>
    <row r="158" spans="1:9">
      <c r="A158" s="3" t="s">
        <v>13</v>
      </c>
      <c r="B158" s="6" t="s">
        <v>18</v>
      </c>
      <c r="C158" s="5">
        <v>14725000</v>
      </c>
      <c r="D158" s="5">
        <v>15975000</v>
      </c>
      <c r="E158" t="s">
        <v>7896</v>
      </c>
      <c r="F158">
        <v>2.5</v>
      </c>
      <c r="G158" s="12">
        <v>-1250000</v>
      </c>
      <c r="H158">
        <v>5890000</v>
      </c>
      <c r="I158">
        <v>-500000</v>
      </c>
    </row>
    <row r="159" spans="1:9">
      <c r="A159" s="3" t="s">
        <v>13</v>
      </c>
      <c r="B159" s="6" t="s">
        <v>18</v>
      </c>
      <c r="C159" s="5">
        <v>34057000</v>
      </c>
      <c r="D159" s="5">
        <v>35935000</v>
      </c>
      <c r="E159" t="s">
        <v>7896</v>
      </c>
      <c r="F159">
        <v>2.5</v>
      </c>
      <c r="G159" s="12">
        <v>-1878000</v>
      </c>
      <c r="H159">
        <v>13622800</v>
      </c>
      <c r="I159">
        <v>-751200</v>
      </c>
    </row>
    <row r="160" spans="1:9">
      <c r="A160" s="3" t="s">
        <v>13</v>
      </c>
      <c r="B160" s="6" t="s">
        <v>18</v>
      </c>
      <c r="C160" s="5">
        <v>47830000</v>
      </c>
      <c r="D160" s="5">
        <v>47613000</v>
      </c>
      <c r="E160" t="s">
        <v>7896</v>
      </c>
      <c r="F160">
        <v>2.5</v>
      </c>
      <c r="G160" s="12">
        <v>217000</v>
      </c>
      <c r="H160">
        <v>19132000</v>
      </c>
      <c r="I160">
        <v>86800</v>
      </c>
    </row>
    <row r="161" spans="1:9">
      <c r="A161" s="3" t="s">
        <v>13</v>
      </c>
      <c r="B161" s="6" t="s">
        <v>18</v>
      </c>
      <c r="C161" s="5">
        <v>8811000</v>
      </c>
      <c r="D161" s="5">
        <v>8811000</v>
      </c>
      <c r="E161" t="s">
        <v>7896</v>
      </c>
      <c r="F161">
        <v>2.5</v>
      </c>
      <c r="G161" s="12">
        <v>0</v>
      </c>
      <c r="H161">
        <v>3524400</v>
      </c>
      <c r="I161">
        <v>0</v>
      </c>
    </row>
    <row r="162" spans="1:9">
      <c r="A162" s="3" t="s">
        <v>13</v>
      </c>
      <c r="B162" s="6" t="s">
        <v>77</v>
      </c>
      <c r="C162" s="5">
        <v>8000000</v>
      </c>
      <c r="D162" s="5">
        <v>9086000</v>
      </c>
      <c r="E162" t="s">
        <v>7896</v>
      </c>
      <c r="F162">
        <v>8</v>
      </c>
      <c r="G162" s="12">
        <v>-1086000</v>
      </c>
      <c r="H162">
        <v>1000000</v>
      </c>
      <c r="I162">
        <v>-135750</v>
      </c>
    </row>
    <row r="163" spans="1:9">
      <c r="A163" s="3" t="s">
        <v>13</v>
      </c>
      <c r="B163" s="6" t="s">
        <v>18</v>
      </c>
      <c r="C163" s="5">
        <v>1789000</v>
      </c>
      <c r="D163" s="5">
        <v>1830000</v>
      </c>
      <c r="E163" t="s">
        <v>7896</v>
      </c>
      <c r="F163">
        <v>2.5</v>
      </c>
      <c r="G163" s="12">
        <v>-41000</v>
      </c>
      <c r="H163">
        <v>715600</v>
      </c>
      <c r="I163">
        <v>-16400</v>
      </c>
    </row>
    <row r="164" spans="1:9">
      <c r="A164" s="3" t="s">
        <v>13</v>
      </c>
      <c r="B164" s="6" t="s">
        <v>18</v>
      </c>
      <c r="C164" s="5">
        <v>6213000</v>
      </c>
      <c r="D164" s="5">
        <v>6401000</v>
      </c>
      <c r="E164" t="s">
        <v>7896</v>
      </c>
      <c r="F164">
        <v>2.5</v>
      </c>
      <c r="G164" s="12">
        <v>-188000</v>
      </c>
      <c r="H164">
        <v>2485200</v>
      </c>
      <c r="I164">
        <v>-75200</v>
      </c>
    </row>
    <row r="165" spans="1:9">
      <c r="A165" s="3" t="s">
        <v>13</v>
      </c>
      <c r="B165" s="6" t="s">
        <v>22</v>
      </c>
      <c r="C165" s="5">
        <v>22011000</v>
      </c>
      <c r="D165" s="5">
        <v>24603000</v>
      </c>
      <c r="E165" t="s">
        <v>7896</v>
      </c>
      <c r="F165">
        <v>13</v>
      </c>
      <c r="G165" s="12">
        <v>-2592000</v>
      </c>
      <c r="H165">
        <v>1693153.8461538462</v>
      </c>
      <c r="I165">
        <v>-199384.61538461538</v>
      </c>
    </row>
    <row r="166" spans="1:9">
      <c r="A166" s="3" t="s">
        <v>13</v>
      </c>
      <c r="B166" s="6" t="s">
        <v>77</v>
      </c>
      <c r="C166" s="5">
        <v>472532000</v>
      </c>
      <c r="D166" s="5">
        <v>327707000</v>
      </c>
      <c r="E166" t="s">
        <v>7896</v>
      </c>
      <c r="F166">
        <v>8</v>
      </c>
      <c r="G166" s="12">
        <v>144825000</v>
      </c>
      <c r="H166">
        <v>59066500</v>
      </c>
      <c r="I166">
        <v>18103125</v>
      </c>
    </row>
    <row r="167" spans="1:9">
      <c r="A167" s="3" t="s">
        <v>13</v>
      </c>
      <c r="B167" s="6" t="s">
        <v>18</v>
      </c>
      <c r="C167" s="5">
        <v>943731000</v>
      </c>
      <c r="D167" s="5">
        <v>1321992000</v>
      </c>
      <c r="E167" t="s">
        <v>7896</v>
      </c>
      <c r="F167">
        <v>2.5</v>
      </c>
      <c r="G167" s="12">
        <v>-378261000</v>
      </c>
      <c r="H167">
        <v>377492400</v>
      </c>
      <c r="I167">
        <v>-151304400</v>
      </c>
    </row>
    <row r="168" spans="1:9">
      <c r="A168" s="3" t="s">
        <v>13</v>
      </c>
      <c r="B168" s="6" t="s">
        <v>18</v>
      </c>
      <c r="C168" s="5">
        <v>2994000</v>
      </c>
      <c r="D168" s="5">
        <v>3055000</v>
      </c>
      <c r="E168" t="s">
        <v>7896</v>
      </c>
      <c r="F168">
        <v>2.5</v>
      </c>
      <c r="G168" s="12">
        <v>-61000</v>
      </c>
      <c r="H168">
        <v>1197600</v>
      </c>
      <c r="I168">
        <v>-24400</v>
      </c>
    </row>
    <row r="169" spans="1:9">
      <c r="A169" s="3" t="s">
        <v>13</v>
      </c>
      <c r="B169" s="6" t="s">
        <v>22</v>
      </c>
      <c r="C169" s="5">
        <v>5941000</v>
      </c>
      <c r="D169" s="5">
        <v>7125000</v>
      </c>
      <c r="E169" t="s">
        <v>7896</v>
      </c>
      <c r="F169">
        <v>13</v>
      </c>
      <c r="G169" s="12">
        <v>-1184000</v>
      </c>
      <c r="H169">
        <v>457000</v>
      </c>
      <c r="I169">
        <v>-91076.923076923078</v>
      </c>
    </row>
    <row r="170" spans="1:9">
      <c r="A170" s="3" t="s">
        <v>13</v>
      </c>
      <c r="B170" s="6" t="s">
        <v>18</v>
      </c>
      <c r="C170" s="5">
        <v>66296000</v>
      </c>
      <c r="D170" s="5">
        <v>66411000</v>
      </c>
      <c r="E170" t="s">
        <v>7896</v>
      </c>
      <c r="F170">
        <v>2.5</v>
      </c>
      <c r="G170" s="12">
        <v>-115000</v>
      </c>
      <c r="H170">
        <v>26518400</v>
      </c>
      <c r="I170">
        <v>-46000</v>
      </c>
    </row>
    <row r="171" spans="1:9">
      <c r="A171" s="3" t="s">
        <v>13</v>
      </c>
      <c r="B171" s="6" t="s">
        <v>18</v>
      </c>
      <c r="C171" s="5">
        <v>200000</v>
      </c>
      <c r="D171" s="5">
        <v>102000</v>
      </c>
      <c r="E171" t="s">
        <v>7896</v>
      </c>
      <c r="F171">
        <v>2.5</v>
      </c>
      <c r="G171" s="12">
        <v>98000</v>
      </c>
      <c r="H171">
        <v>80000</v>
      </c>
      <c r="I171">
        <v>39200</v>
      </c>
    </row>
    <row r="172" spans="1:9">
      <c r="A172" s="3" t="s">
        <v>13</v>
      </c>
      <c r="B172" s="6" t="s">
        <v>77</v>
      </c>
      <c r="C172" s="5">
        <v>31137000</v>
      </c>
      <c r="D172" s="5">
        <v>34392000</v>
      </c>
      <c r="E172" t="s">
        <v>7896</v>
      </c>
      <c r="F172">
        <v>8</v>
      </c>
      <c r="G172" s="12">
        <v>-3255000</v>
      </c>
      <c r="H172">
        <v>3892125</v>
      </c>
      <c r="I172">
        <v>-406875</v>
      </c>
    </row>
    <row r="173" spans="1:9">
      <c r="A173" s="3" t="s">
        <v>13</v>
      </c>
      <c r="B173" s="6" t="s">
        <v>18</v>
      </c>
      <c r="C173" s="5">
        <v>11411000</v>
      </c>
      <c r="D173" s="5">
        <v>52668000</v>
      </c>
      <c r="E173" t="s">
        <v>7896</v>
      </c>
      <c r="F173">
        <v>2.5</v>
      </c>
      <c r="G173" s="12">
        <v>-41257000</v>
      </c>
      <c r="H173">
        <v>4564400</v>
      </c>
      <c r="I173">
        <v>-16502800</v>
      </c>
    </row>
    <row r="174" spans="1:9">
      <c r="A174" s="3" t="s">
        <v>13</v>
      </c>
      <c r="B174" s="6" t="s">
        <v>18</v>
      </c>
      <c r="C174" s="5">
        <v>15843000</v>
      </c>
      <c r="D174" s="5">
        <v>15441000</v>
      </c>
      <c r="E174" t="s">
        <v>7896</v>
      </c>
      <c r="F174">
        <v>2.5</v>
      </c>
      <c r="G174" s="12">
        <v>402000</v>
      </c>
      <c r="H174">
        <v>6337200</v>
      </c>
      <c r="I174">
        <v>160800</v>
      </c>
    </row>
    <row r="175" spans="1:9">
      <c r="A175" s="3" t="s">
        <v>13</v>
      </c>
      <c r="B175" s="6" t="s">
        <v>18</v>
      </c>
      <c r="C175" s="5">
        <v>724000</v>
      </c>
      <c r="D175" s="5">
        <v>446000</v>
      </c>
      <c r="E175" t="s">
        <v>7896</v>
      </c>
      <c r="F175">
        <v>2.5</v>
      </c>
      <c r="G175" s="12">
        <v>278000</v>
      </c>
      <c r="H175">
        <v>289600</v>
      </c>
      <c r="I175">
        <v>111200</v>
      </c>
    </row>
    <row r="176" spans="1:9">
      <c r="A176" s="3" t="s">
        <v>13</v>
      </c>
      <c r="B176" s="6" t="s">
        <v>18</v>
      </c>
      <c r="C176" s="5">
        <v>2414000</v>
      </c>
      <c r="D176" s="5">
        <v>2215000</v>
      </c>
      <c r="E176" t="s">
        <v>7896</v>
      </c>
      <c r="F176">
        <v>2.5</v>
      </c>
      <c r="G176" s="12">
        <v>199000</v>
      </c>
      <c r="H176">
        <v>965600</v>
      </c>
      <c r="I176">
        <v>79600</v>
      </c>
    </row>
    <row r="177" spans="1:9">
      <c r="A177" s="3" t="s">
        <v>13</v>
      </c>
      <c r="B177" s="6" t="s">
        <v>18</v>
      </c>
      <c r="C177" s="5">
        <v>41000</v>
      </c>
      <c r="D177" s="5">
        <v>243691000</v>
      </c>
      <c r="E177" t="s">
        <v>7896</v>
      </c>
      <c r="F177">
        <v>2.5</v>
      </c>
      <c r="G177" s="12">
        <v>-243650000</v>
      </c>
      <c r="H177">
        <v>16400</v>
      </c>
      <c r="I177">
        <v>-97460000</v>
      </c>
    </row>
    <row r="178" spans="1:9">
      <c r="A178" s="3" t="s">
        <v>13</v>
      </c>
      <c r="B178" s="6" t="s">
        <v>18</v>
      </c>
      <c r="C178" s="5">
        <v>18928000</v>
      </c>
      <c r="D178" s="5">
        <v>6537000</v>
      </c>
      <c r="E178" t="s">
        <v>7896</v>
      </c>
      <c r="F178">
        <v>2.5</v>
      </c>
      <c r="G178" s="12">
        <v>12391000</v>
      </c>
      <c r="H178">
        <v>7571200</v>
      </c>
      <c r="I178">
        <v>4956400</v>
      </c>
    </row>
    <row r="179" spans="1:9">
      <c r="A179" s="3" t="s">
        <v>13</v>
      </c>
      <c r="B179" s="6" t="s">
        <v>18</v>
      </c>
      <c r="C179" s="5">
        <v>10266000</v>
      </c>
      <c r="D179" s="5">
        <v>10331000</v>
      </c>
      <c r="E179" t="s">
        <v>7896</v>
      </c>
      <c r="F179">
        <v>2.5</v>
      </c>
      <c r="G179" s="12">
        <v>-65000</v>
      </c>
      <c r="H179">
        <v>4106400</v>
      </c>
      <c r="I179">
        <v>-26000</v>
      </c>
    </row>
    <row r="180" spans="1:9">
      <c r="A180" s="3" t="s">
        <v>13</v>
      </c>
      <c r="B180" s="6" t="s">
        <v>18</v>
      </c>
      <c r="C180" s="5">
        <v>7260000</v>
      </c>
      <c r="D180" s="5">
        <v>7079000</v>
      </c>
      <c r="E180" t="s">
        <v>7896</v>
      </c>
      <c r="F180">
        <v>2.5</v>
      </c>
      <c r="G180" s="12">
        <v>181000</v>
      </c>
      <c r="H180">
        <v>2904000</v>
      </c>
      <c r="I180">
        <v>72400</v>
      </c>
    </row>
    <row r="181" spans="1:9">
      <c r="A181" s="3" t="s">
        <v>13</v>
      </c>
      <c r="B181" s="6" t="s">
        <v>18</v>
      </c>
      <c r="C181" s="5">
        <v>41760000</v>
      </c>
      <c r="D181" s="5">
        <v>41373000</v>
      </c>
      <c r="E181" t="s">
        <v>7896</v>
      </c>
      <c r="F181">
        <v>2.5</v>
      </c>
      <c r="G181" s="12">
        <v>387000</v>
      </c>
      <c r="H181">
        <v>16704000</v>
      </c>
      <c r="I181">
        <v>154800</v>
      </c>
    </row>
    <row r="182" spans="1:9">
      <c r="A182" s="3" t="s">
        <v>13</v>
      </c>
      <c r="B182" s="6" t="s">
        <v>18</v>
      </c>
      <c r="C182" s="5">
        <v>2416000</v>
      </c>
      <c r="D182" s="5">
        <v>2804000</v>
      </c>
      <c r="E182" t="s">
        <v>7896</v>
      </c>
      <c r="F182">
        <v>2.5</v>
      </c>
      <c r="G182" s="12">
        <v>-388000</v>
      </c>
      <c r="H182">
        <v>966400</v>
      </c>
      <c r="I182">
        <v>-155200</v>
      </c>
    </row>
    <row r="183" spans="1:9">
      <c r="A183" s="3" t="s">
        <v>13</v>
      </c>
      <c r="B183" s="6" t="s">
        <v>18</v>
      </c>
      <c r="C183" s="5">
        <v>1931000</v>
      </c>
      <c r="D183" s="5">
        <v>1231000</v>
      </c>
      <c r="E183" t="s">
        <v>7896</v>
      </c>
      <c r="F183">
        <v>2.5</v>
      </c>
      <c r="G183" s="12">
        <v>700000</v>
      </c>
      <c r="H183">
        <v>772400</v>
      </c>
      <c r="I183">
        <v>280000</v>
      </c>
    </row>
    <row r="184" spans="1:9">
      <c r="A184" s="3" t="s">
        <v>13</v>
      </c>
      <c r="B184" s="6" t="s">
        <v>18</v>
      </c>
      <c r="C184" s="5">
        <v>3120000</v>
      </c>
      <c r="D184" s="5">
        <v>2236000</v>
      </c>
      <c r="E184" t="s">
        <v>7896</v>
      </c>
      <c r="F184">
        <v>2.5</v>
      </c>
      <c r="G184" s="12">
        <v>884000</v>
      </c>
      <c r="H184">
        <v>1248000</v>
      </c>
      <c r="I184">
        <v>353600</v>
      </c>
    </row>
    <row r="185" spans="1:9">
      <c r="A185" s="3" t="s">
        <v>13</v>
      </c>
      <c r="B185" s="6" t="s">
        <v>18</v>
      </c>
      <c r="C185" s="5">
        <v>15173000</v>
      </c>
      <c r="D185" s="5">
        <v>13469000</v>
      </c>
      <c r="E185" t="s">
        <v>7896</v>
      </c>
      <c r="F185">
        <v>2.5</v>
      </c>
      <c r="G185" s="12">
        <v>1704000</v>
      </c>
      <c r="H185">
        <v>6069200</v>
      </c>
      <c r="I185">
        <v>681600</v>
      </c>
    </row>
    <row r="186" spans="1:9">
      <c r="A186" s="3" t="s">
        <v>13</v>
      </c>
      <c r="B186" s="6" t="s">
        <v>18</v>
      </c>
      <c r="C186" s="5">
        <v>2234000</v>
      </c>
      <c r="D186" s="5">
        <v>2240000</v>
      </c>
      <c r="E186" t="s">
        <v>7896</v>
      </c>
      <c r="F186">
        <v>2.5</v>
      </c>
      <c r="G186" s="12">
        <v>-6000</v>
      </c>
      <c r="H186">
        <v>893600</v>
      </c>
      <c r="I186">
        <v>-2400</v>
      </c>
    </row>
    <row r="187" spans="1:9">
      <c r="A187" s="3" t="s">
        <v>13</v>
      </c>
      <c r="B187" s="6" t="s">
        <v>18</v>
      </c>
      <c r="C187" s="5">
        <v>14367000</v>
      </c>
      <c r="D187" s="5">
        <v>35417000</v>
      </c>
      <c r="E187" t="s">
        <v>7896</v>
      </c>
      <c r="F187">
        <v>2.5</v>
      </c>
      <c r="G187" s="12">
        <v>-21050000</v>
      </c>
      <c r="H187">
        <v>5746800</v>
      </c>
      <c r="I187">
        <v>-8420000</v>
      </c>
    </row>
    <row r="188" spans="1:9">
      <c r="A188" s="3" t="s">
        <v>13</v>
      </c>
      <c r="B188" s="6" t="s">
        <v>18</v>
      </c>
      <c r="C188" s="5">
        <v>8479000</v>
      </c>
      <c r="D188" s="5">
        <v>9593000</v>
      </c>
      <c r="E188" t="s">
        <v>7896</v>
      </c>
      <c r="F188">
        <v>2.5</v>
      </c>
      <c r="G188" s="12">
        <v>-1114000</v>
      </c>
      <c r="H188">
        <v>3391600</v>
      </c>
      <c r="I188">
        <v>-445600</v>
      </c>
    </row>
    <row r="189" spans="1:9">
      <c r="A189" s="3" t="s">
        <v>13</v>
      </c>
      <c r="B189" s="6" t="s">
        <v>22</v>
      </c>
      <c r="C189" s="5">
        <v>258333000</v>
      </c>
      <c r="D189" s="5">
        <v>27443000</v>
      </c>
      <c r="E189" t="s">
        <v>7896</v>
      </c>
      <c r="F189">
        <v>13</v>
      </c>
      <c r="G189" s="12">
        <v>230890000</v>
      </c>
      <c r="H189">
        <v>19871769.230769232</v>
      </c>
      <c r="I189">
        <v>17760769.230769232</v>
      </c>
    </row>
    <row r="190" spans="1:9">
      <c r="A190" s="3" t="s">
        <v>13</v>
      </c>
      <c r="B190" s="6" t="s">
        <v>18</v>
      </c>
      <c r="C190" s="5">
        <v>24910000</v>
      </c>
      <c r="D190" s="5">
        <v>21239000</v>
      </c>
      <c r="E190" t="s">
        <v>7896</v>
      </c>
      <c r="F190">
        <v>2.5</v>
      </c>
      <c r="G190" s="12">
        <v>3671000</v>
      </c>
      <c r="H190">
        <v>9964000</v>
      </c>
      <c r="I190">
        <v>1468400</v>
      </c>
    </row>
    <row r="191" spans="1:9">
      <c r="A191" s="3" t="s">
        <v>13</v>
      </c>
      <c r="B191" s="6" t="s">
        <v>18</v>
      </c>
      <c r="C191" s="5">
        <v>3550000</v>
      </c>
      <c r="D191" s="5">
        <v>3548000</v>
      </c>
      <c r="E191" t="s">
        <v>7896</v>
      </c>
      <c r="F191">
        <v>2.5</v>
      </c>
      <c r="G191" s="12">
        <v>2000</v>
      </c>
      <c r="H191">
        <v>1420000</v>
      </c>
      <c r="I191">
        <v>800</v>
      </c>
    </row>
    <row r="192" spans="1:9">
      <c r="A192" s="3" t="s">
        <v>13</v>
      </c>
      <c r="B192" s="6" t="s">
        <v>18</v>
      </c>
      <c r="C192" s="5">
        <v>4872000</v>
      </c>
      <c r="D192" s="5">
        <v>5280000</v>
      </c>
      <c r="E192" t="s">
        <v>7896</v>
      </c>
      <c r="F192">
        <v>2.5</v>
      </c>
      <c r="G192" s="12">
        <v>-408000</v>
      </c>
      <c r="H192">
        <v>1948800</v>
      </c>
      <c r="I192">
        <v>-163200</v>
      </c>
    </row>
    <row r="193" spans="1:9">
      <c r="A193" s="3" t="s">
        <v>13</v>
      </c>
      <c r="B193" s="6" t="s">
        <v>18</v>
      </c>
      <c r="C193" s="5">
        <v>167910000</v>
      </c>
      <c r="D193" s="5">
        <v>169220000</v>
      </c>
      <c r="E193" t="s">
        <v>7896</v>
      </c>
      <c r="F193">
        <v>2.5</v>
      </c>
      <c r="G193" s="12">
        <v>-1310000</v>
      </c>
      <c r="H193">
        <v>67164000</v>
      </c>
      <c r="I193">
        <v>-524000</v>
      </c>
    </row>
    <row r="194" spans="1:9">
      <c r="A194" s="3" t="s">
        <v>13</v>
      </c>
      <c r="B194" s="6" t="s">
        <v>18</v>
      </c>
      <c r="C194" s="5">
        <v>337000</v>
      </c>
      <c r="D194" s="5">
        <v>375000</v>
      </c>
      <c r="E194" t="s">
        <v>7896</v>
      </c>
      <c r="F194">
        <v>2.5</v>
      </c>
      <c r="G194" s="12">
        <v>-38000</v>
      </c>
      <c r="H194">
        <v>134800</v>
      </c>
      <c r="I194">
        <v>-15200</v>
      </c>
    </row>
    <row r="195" spans="1:9">
      <c r="A195" s="3" t="s">
        <v>13</v>
      </c>
      <c r="B195" s="6" t="s">
        <v>77</v>
      </c>
      <c r="C195" s="5">
        <v>9390000</v>
      </c>
      <c r="D195" s="5">
        <v>7434000</v>
      </c>
      <c r="E195" t="s">
        <v>7896</v>
      </c>
      <c r="F195">
        <v>8</v>
      </c>
      <c r="G195" s="12">
        <v>1956000</v>
      </c>
      <c r="H195">
        <v>1173750</v>
      </c>
      <c r="I195">
        <v>244500</v>
      </c>
    </row>
    <row r="196" spans="1:9">
      <c r="A196" s="3" t="s">
        <v>13</v>
      </c>
      <c r="B196" s="6" t="s">
        <v>23</v>
      </c>
      <c r="C196" s="5">
        <v>76693000</v>
      </c>
      <c r="D196" s="5">
        <v>76390000</v>
      </c>
      <c r="E196" t="s">
        <v>7897</v>
      </c>
      <c r="F196">
        <v>75.5</v>
      </c>
      <c r="G196" s="12">
        <v>303000</v>
      </c>
      <c r="H196">
        <v>1015801.3245033113</v>
      </c>
      <c r="I196">
        <v>4013.2450331125829</v>
      </c>
    </row>
    <row r="197" spans="1:9">
      <c r="A197" s="3" t="s">
        <v>13</v>
      </c>
      <c r="B197" s="6" t="s">
        <v>18</v>
      </c>
      <c r="C197" s="5">
        <v>298000</v>
      </c>
      <c r="D197" s="5">
        <v>558000</v>
      </c>
      <c r="E197" t="s">
        <v>7896</v>
      </c>
      <c r="F197">
        <v>2.5</v>
      </c>
      <c r="G197" s="12">
        <v>-260000</v>
      </c>
      <c r="H197">
        <v>119200</v>
      </c>
      <c r="I197">
        <v>-104000</v>
      </c>
    </row>
    <row r="198" spans="1:9">
      <c r="A198" s="3" t="s">
        <v>13</v>
      </c>
      <c r="B198" s="6" t="s">
        <v>18</v>
      </c>
      <c r="C198" s="5">
        <v>351000</v>
      </c>
      <c r="D198" s="5">
        <v>465000</v>
      </c>
      <c r="E198" t="s">
        <v>7896</v>
      </c>
      <c r="F198">
        <v>2.5</v>
      </c>
      <c r="G198" s="12">
        <v>-114000</v>
      </c>
      <c r="H198">
        <v>140400</v>
      </c>
      <c r="I198">
        <v>-45600</v>
      </c>
    </row>
    <row r="199" spans="1:9">
      <c r="A199" s="3" t="s">
        <v>13</v>
      </c>
      <c r="B199" s="6" t="s">
        <v>18</v>
      </c>
      <c r="C199" s="5">
        <v>10000</v>
      </c>
      <c r="D199" s="5">
        <v>84000</v>
      </c>
      <c r="E199" t="s">
        <v>7896</v>
      </c>
      <c r="F199">
        <v>2.5</v>
      </c>
      <c r="G199" s="12">
        <v>-74000</v>
      </c>
      <c r="H199">
        <v>4000</v>
      </c>
      <c r="I199">
        <v>-29600</v>
      </c>
    </row>
    <row r="200" spans="1:9">
      <c r="A200" s="3" t="s">
        <v>13</v>
      </c>
      <c r="B200" s="6" t="s">
        <v>18</v>
      </c>
      <c r="C200" s="5">
        <v>52585000</v>
      </c>
      <c r="D200" s="5">
        <v>50658000</v>
      </c>
      <c r="E200" t="s">
        <v>7896</v>
      </c>
      <c r="F200">
        <v>2.5</v>
      </c>
      <c r="G200" s="12">
        <v>1927000</v>
      </c>
      <c r="H200">
        <v>21034000</v>
      </c>
      <c r="I200">
        <v>770800</v>
      </c>
    </row>
    <row r="201" spans="1:9">
      <c r="A201" s="3" t="s">
        <v>13</v>
      </c>
      <c r="B201" s="6" t="s">
        <v>22</v>
      </c>
      <c r="C201" s="5">
        <v>134427000</v>
      </c>
      <c r="D201" s="5">
        <v>516511000</v>
      </c>
      <c r="E201" t="s">
        <v>7896</v>
      </c>
      <c r="F201">
        <v>13</v>
      </c>
      <c r="G201" s="12">
        <v>-382084000</v>
      </c>
      <c r="H201">
        <v>10340538.461538462</v>
      </c>
      <c r="I201">
        <v>-29391076.923076924</v>
      </c>
    </row>
    <row r="202" spans="1:9">
      <c r="A202" s="3" t="s">
        <v>13</v>
      </c>
      <c r="B202" s="6" t="s">
        <v>18</v>
      </c>
      <c r="C202" s="5">
        <v>30345000</v>
      </c>
      <c r="D202" s="5">
        <v>29381000</v>
      </c>
      <c r="E202" t="s">
        <v>7896</v>
      </c>
      <c r="F202">
        <v>2.5</v>
      </c>
      <c r="G202" s="12">
        <v>964000</v>
      </c>
      <c r="H202">
        <v>12138000</v>
      </c>
      <c r="I202">
        <v>385600</v>
      </c>
    </row>
    <row r="203" spans="1:9">
      <c r="A203" s="3" t="s">
        <v>13</v>
      </c>
      <c r="B203" s="6" t="s">
        <v>23</v>
      </c>
      <c r="C203" s="5">
        <v>8649000</v>
      </c>
      <c r="D203" s="5">
        <v>8831000</v>
      </c>
      <c r="E203" t="s">
        <v>7897</v>
      </c>
      <c r="F203">
        <v>75.5</v>
      </c>
      <c r="G203" s="12">
        <v>-182000</v>
      </c>
      <c r="H203">
        <v>114556.29139072848</v>
      </c>
      <c r="I203">
        <v>-2410.5960264900664</v>
      </c>
    </row>
    <row r="204" spans="1:9">
      <c r="A204" s="3" t="s">
        <v>13</v>
      </c>
      <c r="B204" s="6" t="s">
        <v>18</v>
      </c>
      <c r="C204" s="5">
        <v>999000</v>
      </c>
      <c r="D204" s="5">
        <v>982000</v>
      </c>
      <c r="E204" t="s">
        <v>7896</v>
      </c>
      <c r="F204">
        <v>2.5</v>
      </c>
      <c r="G204" s="12">
        <v>17000</v>
      </c>
      <c r="H204">
        <v>399600</v>
      </c>
      <c r="I204">
        <v>6800</v>
      </c>
    </row>
    <row r="205" spans="1:9">
      <c r="A205" s="3" t="s">
        <v>13</v>
      </c>
      <c r="B205" s="6" t="s">
        <v>18</v>
      </c>
      <c r="C205" s="5">
        <v>16772000</v>
      </c>
      <c r="D205" s="5">
        <v>16489000</v>
      </c>
      <c r="E205" t="s">
        <v>7896</v>
      </c>
      <c r="F205">
        <v>2.5</v>
      </c>
      <c r="G205" s="12">
        <v>283000</v>
      </c>
      <c r="H205">
        <v>6708800</v>
      </c>
      <c r="I205">
        <v>113200</v>
      </c>
    </row>
    <row r="206" spans="1:9">
      <c r="A206" s="3" t="s">
        <v>13</v>
      </c>
      <c r="B206" s="6" t="s">
        <v>77</v>
      </c>
      <c r="C206" s="5">
        <v>114314000</v>
      </c>
      <c r="D206" s="5">
        <v>70701000</v>
      </c>
      <c r="E206" t="s">
        <v>7896</v>
      </c>
      <c r="F206">
        <v>8</v>
      </c>
      <c r="G206" s="12">
        <v>43613000</v>
      </c>
      <c r="H206">
        <v>14289250</v>
      </c>
      <c r="I206">
        <v>5451625</v>
      </c>
    </row>
    <row r="207" spans="1:9">
      <c r="A207" s="3" t="s">
        <v>13</v>
      </c>
      <c r="B207" s="6" t="s">
        <v>18</v>
      </c>
      <c r="C207" s="5">
        <v>257884000</v>
      </c>
      <c r="D207" s="5">
        <v>300932000</v>
      </c>
      <c r="E207" t="s">
        <v>7896</v>
      </c>
      <c r="F207">
        <v>2.5</v>
      </c>
      <c r="G207" s="12">
        <v>-43048000</v>
      </c>
      <c r="H207">
        <v>103153600</v>
      </c>
      <c r="I207">
        <v>-17219200</v>
      </c>
    </row>
    <row r="208" spans="1:9">
      <c r="A208" s="3" t="s">
        <v>13</v>
      </c>
      <c r="B208" s="6" t="s">
        <v>22</v>
      </c>
      <c r="C208" s="5">
        <v>139399000</v>
      </c>
      <c r="D208" s="5">
        <v>114925000</v>
      </c>
      <c r="E208" t="s">
        <v>7896</v>
      </c>
      <c r="F208">
        <v>13</v>
      </c>
      <c r="G208" s="12">
        <v>24474000</v>
      </c>
      <c r="H208">
        <v>10723000</v>
      </c>
      <c r="I208">
        <v>1882615.3846153845</v>
      </c>
    </row>
    <row r="209" spans="1:9">
      <c r="A209" s="3" t="s">
        <v>13</v>
      </c>
      <c r="B209" s="6" t="s">
        <v>18</v>
      </c>
      <c r="C209" s="5">
        <v>2325000</v>
      </c>
      <c r="D209" s="5">
        <v>2334000</v>
      </c>
      <c r="E209" t="s">
        <v>7896</v>
      </c>
      <c r="F209">
        <v>2.5</v>
      </c>
      <c r="G209" s="12">
        <v>-9000</v>
      </c>
      <c r="H209">
        <v>930000</v>
      </c>
      <c r="I209">
        <v>-3600</v>
      </c>
    </row>
    <row r="210" spans="1:9">
      <c r="A210" s="3" t="s">
        <v>13</v>
      </c>
      <c r="B210" s="6" t="s">
        <v>77</v>
      </c>
      <c r="C210" s="5">
        <v>163483000</v>
      </c>
      <c r="D210" s="5">
        <v>173535000</v>
      </c>
      <c r="E210" t="s">
        <v>7896</v>
      </c>
      <c r="F210">
        <v>8</v>
      </c>
      <c r="G210" s="12">
        <v>-10052000</v>
      </c>
      <c r="H210">
        <v>20435375</v>
      </c>
      <c r="I210">
        <v>-1256500</v>
      </c>
    </row>
    <row r="211" spans="1:9">
      <c r="A211" s="3" t="s">
        <v>13</v>
      </c>
      <c r="B211" s="6" t="s">
        <v>18</v>
      </c>
      <c r="C211" s="5">
        <v>874000</v>
      </c>
      <c r="D211" s="5">
        <v>874000</v>
      </c>
      <c r="E211" t="s">
        <v>7896</v>
      </c>
      <c r="F211">
        <v>2.5</v>
      </c>
      <c r="G211" s="12">
        <v>0</v>
      </c>
      <c r="H211">
        <v>349600</v>
      </c>
      <c r="I211">
        <v>0</v>
      </c>
    </row>
    <row r="212" spans="1:9">
      <c r="A212" s="3" t="s">
        <v>13</v>
      </c>
      <c r="B212" s="6" t="s">
        <v>18</v>
      </c>
      <c r="C212" s="5">
        <v>5644000</v>
      </c>
      <c r="D212" s="5">
        <v>5611000</v>
      </c>
      <c r="E212" t="s">
        <v>7896</v>
      </c>
      <c r="F212">
        <v>2.5</v>
      </c>
      <c r="G212" s="12">
        <v>33000</v>
      </c>
      <c r="H212">
        <v>2257600</v>
      </c>
      <c r="I212">
        <v>13200</v>
      </c>
    </row>
    <row r="213" spans="1:9">
      <c r="A213" s="3" t="s">
        <v>13</v>
      </c>
      <c r="B213" s="6" t="s">
        <v>18</v>
      </c>
      <c r="C213" s="5">
        <v>2850000</v>
      </c>
      <c r="D213" s="5">
        <v>3350000</v>
      </c>
      <c r="E213" t="s">
        <v>7896</v>
      </c>
      <c r="F213">
        <v>2.5</v>
      </c>
      <c r="G213" s="12">
        <v>-500000</v>
      </c>
      <c r="H213">
        <v>1140000</v>
      </c>
      <c r="I213">
        <v>-200000</v>
      </c>
    </row>
    <row r="214" spans="1:9">
      <c r="A214" s="3" t="s">
        <v>13</v>
      </c>
      <c r="B214" s="6" t="s">
        <v>77</v>
      </c>
      <c r="C214" s="5">
        <v>460623000</v>
      </c>
      <c r="D214" s="5">
        <v>628128000</v>
      </c>
      <c r="E214" t="s">
        <v>7896</v>
      </c>
      <c r="F214">
        <v>8</v>
      </c>
      <c r="G214" s="12">
        <v>-167505000</v>
      </c>
      <c r="H214">
        <v>57577875</v>
      </c>
      <c r="I214">
        <v>-20938125</v>
      </c>
    </row>
    <row r="215" spans="1:9">
      <c r="A215" s="3" t="s">
        <v>13</v>
      </c>
      <c r="B215" s="6" t="s">
        <v>18</v>
      </c>
      <c r="C215" s="5">
        <v>1564000</v>
      </c>
      <c r="D215" s="5">
        <v>1653000</v>
      </c>
      <c r="E215" t="s">
        <v>7896</v>
      </c>
      <c r="F215">
        <v>2.5</v>
      </c>
      <c r="G215" s="12">
        <v>-89000</v>
      </c>
      <c r="H215">
        <v>625600</v>
      </c>
      <c r="I215">
        <v>-35600</v>
      </c>
    </row>
    <row r="216" spans="1:9">
      <c r="A216" s="3" t="s">
        <v>13</v>
      </c>
      <c r="B216" s="6" t="s">
        <v>18</v>
      </c>
      <c r="C216" s="5">
        <v>11105000</v>
      </c>
      <c r="D216" s="5">
        <v>11154000</v>
      </c>
      <c r="E216" t="s">
        <v>7896</v>
      </c>
      <c r="F216">
        <v>2.5</v>
      </c>
      <c r="G216" s="12">
        <v>-49000</v>
      </c>
      <c r="H216">
        <v>4442000</v>
      </c>
      <c r="I216">
        <v>-19600</v>
      </c>
    </row>
    <row r="217" spans="1:9">
      <c r="A217" s="3" t="s">
        <v>13</v>
      </c>
      <c r="B217" s="6" t="s">
        <v>18</v>
      </c>
      <c r="C217" s="5">
        <v>3000000</v>
      </c>
      <c r="D217" s="5">
        <v>1456000</v>
      </c>
      <c r="E217" t="s">
        <v>7896</v>
      </c>
      <c r="F217">
        <v>2.5</v>
      </c>
      <c r="G217" s="12">
        <v>1544000</v>
      </c>
      <c r="H217">
        <v>1200000</v>
      </c>
      <c r="I217">
        <v>617600</v>
      </c>
    </row>
    <row r="218" spans="1:9">
      <c r="A218" s="3" t="s">
        <v>13</v>
      </c>
      <c r="B218" s="6" t="s">
        <v>18</v>
      </c>
      <c r="C218" s="5">
        <v>73556000</v>
      </c>
      <c r="D218" s="5">
        <v>74957000</v>
      </c>
      <c r="E218" t="s">
        <v>7896</v>
      </c>
      <c r="F218">
        <v>2.5</v>
      </c>
      <c r="G218" s="12">
        <v>-1401000</v>
      </c>
      <c r="H218">
        <v>29422400</v>
      </c>
      <c r="I218">
        <v>-560400</v>
      </c>
    </row>
    <row r="219" spans="1:9">
      <c r="A219" s="3" t="s">
        <v>13</v>
      </c>
      <c r="B219" s="6" t="s">
        <v>18</v>
      </c>
      <c r="C219" s="5">
        <v>9896000</v>
      </c>
      <c r="D219" s="5">
        <v>13811000</v>
      </c>
      <c r="E219" t="s">
        <v>7896</v>
      </c>
      <c r="F219">
        <v>2.5</v>
      </c>
      <c r="G219" s="12">
        <v>-3915000</v>
      </c>
      <c r="H219">
        <v>3958400</v>
      </c>
      <c r="I219">
        <v>-1566000</v>
      </c>
    </row>
    <row r="220" spans="1:9">
      <c r="A220" s="3" t="s">
        <v>13</v>
      </c>
      <c r="B220" s="6" t="s">
        <v>18</v>
      </c>
      <c r="C220" s="5">
        <v>357000</v>
      </c>
      <c r="D220" s="5">
        <v>393000</v>
      </c>
      <c r="E220" t="s">
        <v>7896</v>
      </c>
      <c r="F220">
        <v>2.5</v>
      </c>
      <c r="G220" s="12">
        <v>-36000</v>
      </c>
      <c r="H220">
        <v>142800</v>
      </c>
      <c r="I220">
        <v>-14400</v>
      </c>
    </row>
    <row r="221" spans="1:9">
      <c r="A221" s="3" t="s">
        <v>13</v>
      </c>
      <c r="B221" s="6" t="s">
        <v>18</v>
      </c>
      <c r="C221" s="5">
        <v>457387000</v>
      </c>
      <c r="D221" s="5">
        <v>456679000</v>
      </c>
      <c r="E221" t="s">
        <v>7896</v>
      </c>
      <c r="F221">
        <v>2.5</v>
      </c>
      <c r="G221" s="12">
        <v>708000</v>
      </c>
      <c r="H221">
        <v>182954800</v>
      </c>
      <c r="I221">
        <v>283200</v>
      </c>
    </row>
    <row r="222" spans="1:9">
      <c r="A222" s="3" t="s">
        <v>13</v>
      </c>
      <c r="B222" s="6" t="s">
        <v>18</v>
      </c>
      <c r="C222" s="5">
        <v>42245000</v>
      </c>
      <c r="D222" s="5">
        <v>28444000</v>
      </c>
      <c r="E222" t="s">
        <v>7896</v>
      </c>
      <c r="F222">
        <v>2.5</v>
      </c>
      <c r="G222" s="12">
        <v>13801000</v>
      </c>
      <c r="H222">
        <v>16898000</v>
      </c>
      <c r="I222">
        <v>5520400</v>
      </c>
    </row>
    <row r="223" spans="1:9">
      <c r="A223" s="3" t="s">
        <v>13</v>
      </c>
      <c r="B223" s="6" t="s">
        <v>18</v>
      </c>
      <c r="C223" s="5">
        <v>21733000</v>
      </c>
      <c r="D223" s="5">
        <v>31568000</v>
      </c>
      <c r="E223" t="s">
        <v>7896</v>
      </c>
      <c r="F223">
        <v>2.5</v>
      </c>
      <c r="G223" s="12">
        <v>-9835000</v>
      </c>
      <c r="H223">
        <v>8693200</v>
      </c>
      <c r="I223">
        <v>-3934000</v>
      </c>
    </row>
    <row r="224" spans="1:9">
      <c r="A224" s="3" t="s">
        <v>13</v>
      </c>
      <c r="B224" s="6" t="s">
        <v>22</v>
      </c>
      <c r="C224" s="5">
        <v>1052143000</v>
      </c>
      <c r="D224" s="5">
        <v>178009000</v>
      </c>
      <c r="E224" t="s">
        <v>7896</v>
      </c>
      <c r="F224">
        <v>13</v>
      </c>
      <c r="G224" s="12">
        <v>874134000</v>
      </c>
      <c r="H224">
        <v>80934076.923076928</v>
      </c>
      <c r="I224">
        <v>67241076.923076928</v>
      </c>
    </row>
    <row r="225" spans="1:9">
      <c r="A225" s="3" t="s">
        <v>13</v>
      </c>
      <c r="B225" s="6" t="s">
        <v>18</v>
      </c>
      <c r="C225" s="5">
        <v>125000000</v>
      </c>
      <c r="D225" s="5">
        <v>123580000</v>
      </c>
      <c r="E225" t="s">
        <v>7896</v>
      </c>
      <c r="F225">
        <v>2.5</v>
      </c>
      <c r="G225" s="12">
        <v>1420000</v>
      </c>
      <c r="H225">
        <v>50000000</v>
      </c>
      <c r="I225">
        <v>568000</v>
      </c>
    </row>
    <row r="226" spans="1:9">
      <c r="A226" s="3" t="s">
        <v>13</v>
      </c>
      <c r="B226" s="6" t="s">
        <v>18</v>
      </c>
      <c r="C226" s="5">
        <v>15015000</v>
      </c>
      <c r="D226" s="5">
        <v>17079000</v>
      </c>
      <c r="E226" t="s">
        <v>7896</v>
      </c>
      <c r="F226">
        <v>2.5</v>
      </c>
      <c r="G226" s="12">
        <v>-2064000</v>
      </c>
      <c r="H226">
        <v>6006000</v>
      </c>
      <c r="I226">
        <v>-825600</v>
      </c>
    </row>
    <row r="227" spans="1:9">
      <c r="A227" s="3" t="s">
        <v>13</v>
      </c>
      <c r="B227" s="6" t="s">
        <v>18</v>
      </c>
      <c r="C227" s="5">
        <v>2554000</v>
      </c>
      <c r="D227" s="5">
        <v>2538000</v>
      </c>
      <c r="E227" t="s">
        <v>7896</v>
      </c>
      <c r="F227">
        <v>2.5</v>
      </c>
      <c r="G227" s="12">
        <v>16000</v>
      </c>
      <c r="H227">
        <v>1021600</v>
      </c>
      <c r="I227">
        <v>6400</v>
      </c>
    </row>
    <row r="228" spans="1:9">
      <c r="A228" s="3" t="s">
        <v>13</v>
      </c>
      <c r="B228" s="6" t="s">
        <v>18</v>
      </c>
      <c r="C228" s="5">
        <v>661000</v>
      </c>
      <c r="D228" s="5">
        <v>1058000</v>
      </c>
      <c r="E228" t="s">
        <v>7896</v>
      </c>
      <c r="F228">
        <v>2.5</v>
      </c>
      <c r="G228" s="12">
        <v>-397000</v>
      </c>
      <c r="H228">
        <v>264400</v>
      </c>
      <c r="I228">
        <v>-158800</v>
      </c>
    </row>
    <row r="229" spans="1:9">
      <c r="A229" s="3" t="s">
        <v>13</v>
      </c>
      <c r="B229" s="6" t="s">
        <v>18</v>
      </c>
      <c r="C229" s="5">
        <v>4687000</v>
      </c>
      <c r="D229" s="5">
        <v>6695000</v>
      </c>
      <c r="E229" t="s">
        <v>7896</v>
      </c>
      <c r="F229">
        <v>2.5</v>
      </c>
      <c r="G229" s="12">
        <v>-2008000</v>
      </c>
      <c r="H229">
        <v>1874800</v>
      </c>
      <c r="I229">
        <v>-803200</v>
      </c>
    </row>
    <row r="230" spans="1:9">
      <c r="A230" s="3" t="s">
        <v>13</v>
      </c>
      <c r="B230" s="6" t="s">
        <v>18</v>
      </c>
      <c r="C230" s="5">
        <v>21438000</v>
      </c>
      <c r="D230" s="5">
        <v>21387000</v>
      </c>
      <c r="E230" t="s">
        <v>7896</v>
      </c>
      <c r="F230">
        <v>2.5</v>
      </c>
      <c r="G230" s="12">
        <v>51000</v>
      </c>
      <c r="H230">
        <v>8575200</v>
      </c>
      <c r="I230">
        <v>20400</v>
      </c>
    </row>
    <row r="231" spans="1:9">
      <c r="A231" s="3" t="s">
        <v>13</v>
      </c>
      <c r="B231" s="6" t="s">
        <v>18</v>
      </c>
      <c r="C231" s="5">
        <v>376000</v>
      </c>
      <c r="D231" s="5">
        <v>446000</v>
      </c>
      <c r="E231" t="s">
        <v>7896</v>
      </c>
      <c r="F231">
        <v>2.5</v>
      </c>
      <c r="G231" s="12">
        <v>-70000</v>
      </c>
      <c r="H231">
        <v>150400</v>
      </c>
      <c r="I231">
        <v>-28000</v>
      </c>
    </row>
    <row r="232" spans="1:9">
      <c r="A232" s="3" t="s">
        <v>13</v>
      </c>
      <c r="B232" s="6" t="s">
        <v>18</v>
      </c>
      <c r="C232" s="5">
        <v>70174000</v>
      </c>
      <c r="D232" s="5">
        <v>111611000</v>
      </c>
      <c r="E232" t="s">
        <v>7896</v>
      </c>
      <c r="F232">
        <v>2.5</v>
      </c>
      <c r="G232" s="12">
        <v>-41437000</v>
      </c>
      <c r="H232">
        <v>28069600</v>
      </c>
      <c r="I232">
        <v>-16574800</v>
      </c>
    </row>
    <row r="233" spans="1:9">
      <c r="A233" s="3" t="s">
        <v>13</v>
      </c>
      <c r="B233" s="6" t="s">
        <v>22</v>
      </c>
      <c r="C233" s="5">
        <v>2084490000</v>
      </c>
      <c r="D233" s="5">
        <v>2305712000</v>
      </c>
      <c r="E233" t="s">
        <v>7896</v>
      </c>
      <c r="F233">
        <v>13</v>
      </c>
      <c r="G233" s="12">
        <v>-221222000</v>
      </c>
      <c r="H233">
        <v>160345384.61538461</v>
      </c>
      <c r="I233">
        <v>-17017076.923076924</v>
      </c>
    </row>
    <row r="234" spans="1:9">
      <c r="A234" s="3" t="s">
        <v>13</v>
      </c>
      <c r="B234" s="6" t="s">
        <v>18</v>
      </c>
      <c r="C234" s="5">
        <v>10571000</v>
      </c>
      <c r="D234" s="5">
        <v>12777000</v>
      </c>
      <c r="E234" t="s">
        <v>7896</v>
      </c>
      <c r="F234">
        <v>2.5</v>
      </c>
      <c r="G234" s="12">
        <v>-2206000</v>
      </c>
      <c r="H234">
        <v>4228400</v>
      </c>
      <c r="I234">
        <v>-882400</v>
      </c>
    </row>
    <row r="235" spans="1:9">
      <c r="A235" s="3" t="s">
        <v>13</v>
      </c>
      <c r="B235" s="6" t="s">
        <v>22</v>
      </c>
      <c r="C235" s="5">
        <v>52199000</v>
      </c>
      <c r="D235" s="5">
        <v>52356000</v>
      </c>
      <c r="E235" t="s">
        <v>7896</v>
      </c>
      <c r="F235">
        <v>13</v>
      </c>
      <c r="G235" s="12">
        <v>-157000</v>
      </c>
      <c r="H235">
        <v>4015307.6923076925</v>
      </c>
      <c r="I235">
        <v>-12076.923076923076</v>
      </c>
    </row>
    <row r="236" spans="1:9">
      <c r="A236" s="3" t="s">
        <v>13</v>
      </c>
      <c r="B236" s="6" t="s">
        <v>18</v>
      </c>
      <c r="C236" s="5">
        <v>99997000</v>
      </c>
      <c r="D236" s="5">
        <v>95431000</v>
      </c>
      <c r="E236" t="s">
        <v>7896</v>
      </c>
      <c r="F236">
        <v>2.5</v>
      </c>
      <c r="G236" s="12">
        <v>4566000</v>
      </c>
      <c r="H236">
        <v>39998800</v>
      </c>
      <c r="I236">
        <v>1826400</v>
      </c>
    </row>
    <row r="237" spans="1:9">
      <c r="A237" s="3" t="s">
        <v>13</v>
      </c>
      <c r="B237" s="6" t="s">
        <v>18</v>
      </c>
      <c r="C237" s="5">
        <v>22655000</v>
      </c>
      <c r="D237" s="5">
        <v>19518000</v>
      </c>
      <c r="E237" t="s">
        <v>7896</v>
      </c>
      <c r="F237">
        <v>2.5</v>
      </c>
      <c r="G237" s="12">
        <v>3137000</v>
      </c>
      <c r="H237">
        <v>9062000</v>
      </c>
      <c r="I237">
        <v>1254800</v>
      </c>
    </row>
    <row r="238" spans="1:9">
      <c r="A238" s="3" t="s">
        <v>13</v>
      </c>
      <c r="B238" s="6" t="s">
        <v>18</v>
      </c>
      <c r="C238" s="5">
        <v>306000</v>
      </c>
      <c r="D238" s="5">
        <v>580000</v>
      </c>
      <c r="E238" t="s">
        <v>7896</v>
      </c>
      <c r="F238">
        <v>2.5</v>
      </c>
      <c r="G238" s="12">
        <v>-274000</v>
      </c>
      <c r="H238">
        <v>122400</v>
      </c>
      <c r="I238">
        <v>-109600</v>
      </c>
    </row>
    <row r="239" spans="1:9">
      <c r="A239" s="3" t="s">
        <v>13</v>
      </c>
      <c r="B239" s="6" t="s">
        <v>302</v>
      </c>
      <c r="C239" s="5">
        <v>220541000</v>
      </c>
      <c r="D239" s="5">
        <v>175444000</v>
      </c>
      <c r="E239" t="s">
        <v>7897</v>
      </c>
      <c r="F239">
        <v>125.5</v>
      </c>
      <c r="G239" s="12">
        <v>45097000</v>
      </c>
      <c r="H239">
        <v>1757298.8047808765</v>
      </c>
      <c r="I239">
        <v>359338.64541832672</v>
      </c>
    </row>
    <row r="240" spans="1:9">
      <c r="A240" s="3" t="s">
        <v>13</v>
      </c>
      <c r="B240" s="6" t="s">
        <v>23</v>
      </c>
      <c r="C240" s="5">
        <v>4304994000</v>
      </c>
      <c r="D240" s="5">
        <v>4337361000</v>
      </c>
      <c r="E240" t="s">
        <v>7897</v>
      </c>
      <c r="F240">
        <v>75.5</v>
      </c>
      <c r="G240" s="12">
        <v>-32367000</v>
      </c>
      <c r="H240">
        <v>57019788.079470202</v>
      </c>
      <c r="I240">
        <v>-428701.9867549669</v>
      </c>
    </row>
    <row r="241" spans="1:9">
      <c r="A241" s="3" t="s">
        <v>13</v>
      </c>
      <c r="B241" s="6" t="s">
        <v>18</v>
      </c>
      <c r="C241" s="5">
        <v>86516000</v>
      </c>
      <c r="D241" s="5">
        <v>73220000</v>
      </c>
      <c r="E241" t="s">
        <v>7896</v>
      </c>
      <c r="F241">
        <v>2.5</v>
      </c>
      <c r="G241" s="12">
        <v>13296000</v>
      </c>
      <c r="H241">
        <v>34606400</v>
      </c>
      <c r="I241">
        <v>5318400</v>
      </c>
    </row>
    <row r="242" spans="1:9">
      <c r="A242" s="3" t="s">
        <v>13</v>
      </c>
      <c r="B242" s="6" t="s">
        <v>18</v>
      </c>
      <c r="C242" s="5">
        <v>9295000</v>
      </c>
      <c r="D242" s="5">
        <v>7935000</v>
      </c>
      <c r="E242" t="s">
        <v>7896</v>
      </c>
      <c r="F242">
        <v>2.5</v>
      </c>
      <c r="G242" s="12">
        <v>1360000</v>
      </c>
      <c r="H242">
        <v>3718000</v>
      </c>
      <c r="I242">
        <v>544000</v>
      </c>
    </row>
    <row r="243" spans="1:9">
      <c r="A243" s="3" t="s">
        <v>13</v>
      </c>
      <c r="B243" s="6" t="s">
        <v>77</v>
      </c>
      <c r="C243" s="5">
        <v>14878000</v>
      </c>
      <c r="D243" s="5">
        <v>14613000</v>
      </c>
      <c r="E243" t="s">
        <v>7896</v>
      </c>
      <c r="F243">
        <v>8</v>
      </c>
      <c r="G243" s="12">
        <v>265000</v>
      </c>
      <c r="H243">
        <v>1859750</v>
      </c>
      <c r="I243">
        <v>33125</v>
      </c>
    </row>
    <row r="244" spans="1:9">
      <c r="A244" s="3" t="s">
        <v>13</v>
      </c>
      <c r="B244" s="6" t="s">
        <v>18</v>
      </c>
      <c r="C244" s="5">
        <v>135000</v>
      </c>
      <c r="D244" s="5">
        <v>128000</v>
      </c>
      <c r="E244" t="s">
        <v>7896</v>
      </c>
      <c r="F244">
        <v>2.5</v>
      </c>
      <c r="G244" s="12">
        <v>7000</v>
      </c>
      <c r="H244">
        <v>54000</v>
      </c>
      <c r="I244">
        <v>2800</v>
      </c>
    </row>
    <row r="245" spans="1:9">
      <c r="A245" s="3" t="s">
        <v>13</v>
      </c>
      <c r="B245" s="6" t="s">
        <v>18</v>
      </c>
      <c r="C245" s="5">
        <v>2947000</v>
      </c>
      <c r="D245" s="5">
        <v>4856000</v>
      </c>
      <c r="E245" t="s">
        <v>7896</v>
      </c>
      <c r="F245">
        <v>2.5</v>
      </c>
      <c r="G245" s="12">
        <v>-1909000</v>
      </c>
      <c r="H245">
        <v>1178800</v>
      </c>
      <c r="I245">
        <v>-763600</v>
      </c>
    </row>
    <row r="246" spans="1:9">
      <c r="A246" s="3" t="s">
        <v>13</v>
      </c>
      <c r="B246" s="6" t="s">
        <v>18</v>
      </c>
      <c r="C246" s="5">
        <v>2077000</v>
      </c>
      <c r="D246" s="5">
        <v>2723000</v>
      </c>
      <c r="E246" t="s">
        <v>7896</v>
      </c>
      <c r="F246">
        <v>2.5</v>
      </c>
      <c r="G246" s="12">
        <v>-646000</v>
      </c>
      <c r="H246">
        <v>830800</v>
      </c>
      <c r="I246">
        <v>-258400</v>
      </c>
    </row>
    <row r="247" spans="1:9">
      <c r="A247" s="3" t="s">
        <v>13</v>
      </c>
      <c r="B247" s="6" t="s">
        <v>22</v>
      </c>
      <c r="C247" s="5">
        <v>76363000</v>
      </c>
      <c r="D247" s="5">
        <v>67744000</v>
      </c>
      <c r="E247" t="s">
        <v>7896</v>
      </c>
      <c r="F247">
        <v>13</v>
      </c>
      <c r="G247" s="12">
        <v>8619000</v>
      </c>
      <c r="H247">
        <v>5874076.923076923</v>
      </c>
      <c r="I247">
        <v>663000</v>
      </c>
    </row>
    <row r="248" spans="1:9">
      <c r="A248" s="3" t="s">
        <v>13</v>
      </c>
      <c r="B248" s="6" t="s">
        <v>18</v>
      </c>
      <c r="C248" s="5">
        <v>764000</v>
      </c>
      <c r="D248" s="5">
        <v>794000</v>
      </c>
      <c r="E248" t="s">
        <v>7896</v>
      </c>
      <c r="F248">
        <v>2.5</v>
      </c>
      <c r="G248" s="12">
        <v>-30000</v>
      </c>
      <c r="H248">
        <v>305600</v>
      </c>
      <c r="I248">
        <v>-12000</v>
      </c>
    </row>
    <row r="249" spans="1:9">
      <c r="A249" s="3" t="s">
        <v>13</v>
      </c>
      <c r="B249" s="6" t="s">
        <v>18</v>
      </c>
      <c r="C249" s="5">
        <v>3120000</v>
      </c>
      <c r="D249" s="5">
        <v>3216000</v>
      </c>
      <c r="E249" t="s">
        <v>7896</v>
      </c>
      <c r="F249">
        <v>2.5</v>
      </c>
      <c r="G249" s="12">
        <v>-96000</v>
      </c>
      <c r="H249">
        <v>1248000</v>
      </c>
      <c r="I249">
        <v>-38400</v>
      </c>
    </row>
    <row r="250" spans="1:9">
      <c r="A250" s="3" t="s">
        <v>13</v>
      </c>
      <c r="B250" s="6" t="s">
        <v>22</v>
      </c>
      <c r="C250" s="5">
        <v>11417000</v>
      </c>
      <c r="D250" s="5">
        <v>18444000</v>
      </c>
      <c r="E250" t="s">
        <v>7896</v>
      </c>
      <c r="F250">
        <v>13</v>
      </c>
      <c r="G250" s="12">
        <v>-7027000</v>
      </c>
      <c r="H250">
        <v>878230.76923076925</v>
      </c>
      <c r="I250">
        <v>-540538.4615384615</v>
      </c>
    </row>
    <row r="251" spans="1:9">
      <c r="A251" s="3" t="s">
        <v>13</v>
      </c>
      <c r="B251" s="6" t="s">
        <v>77</v>
      </c>
      <c r="C251" s="5">
        <v>22650000</v>
      </c>
      <c r="D251" s="5">
        <v>28246000</v>
      </c>
      <c r="E251" t="s">
        <v>7896</v>
      </c>
      <c r="F251">
        <v>8</v>
      </c>
      <c r="G251" s="12">
        <v>-5596000</v>
      </c>
      <c r="H251">
        <v>2831250</v>
      </c>
      <c r="I251">
        <v>-699500</v>
      </c>
    </row>
    <row r="252" spans="1:9">
      <c r="A252" s="3" t="s">
        <v>13</v>
      </c>
      <c r="B252" s="6" t="s">
        <v>18</v>
      </c>
      <c r="C252" s="5">
        <v>23000</v>
      </c>
      <c r="D252" s="5">
        <v>479000</v>
      </c>
      <c r="E252" t="s">
        <v>7896</v>
      </c>
      <c r="F252">
        <v>2.5</v>
      </c>
      <c r="G252" s="12">
        <v>-456000</v>
      </c>
      <c r="H252">
        <v>9200</v>
      </c>
      <c r="I252">
        <v>-182400</v>
      </c>
    </row>
    <row r="253" spans="1:9">
      <c r="A253" s="3" t="s">
        <v>13</v>
      </c>
      <c r="B253" s="6" t="s">
        <v>18</v>
      </c>
      <c r="C253" s="5">
        <v>38772000</v>
      </c>
      <c r="D253" s="5">
        <v>42617000</v>
      </c>
      <c r="E253" t="s">
        <v>7896</v>
      </c>
      <c r="F253">
        <v>2.5</v>
      </c>
      <c r="G253" s="12">
        <v>-3845000</v>
      </c>
      <c r="H253">
        <v>15508800</v>
      </c>
      <c r="I253">
        <v>-1538000</v>
      </c>
    </row>
    <row r="254" spans="1:9">
      <c r="A254" s="3" t="s">
        <v>13</v>
      </c>
      <c r="B254" s="6" t="s">
        <v>18</v>
      </c>
      <c r="C254" s="5">
        <v>291000</v>
      </c>
      <c r="D254" s="5">
        <v>233000</v>
      </c>
      <c r="E254" t="s">
        <v>7896</v>
      </c>
      <c r="F254">
        <v>2.5</v>
      </c>
      <c r="G254" s="12">
        <v>58000</v>
      </c>
      <c r="H254">
        <v>116400</v>
      </c>
      <c r="I254">
        <v>23200</v>
      </c>
    </row>
    <row r="255" spans="1:9">
      <c r="A255" s="3" t="s">
        <v>13</v>
      </c>
      <c r="B255" s="6" t="s">
        <v>18</v>
      </c>
      <c r="C255" s="5">
        <v>11819000</v>
      </c>
      <c r="D255" s="5">
        <v>14110000</v>
      </c>
      <c r="E255" t="s">
        <v>7896</v>
      </c>
      <c r="F255">
        <v>2.5</v>
      </c>
      <c r="G255" s="12">
        <v>-2291000</v>
      </c>
      <c r="H255">
        <v>4727600</v>
      </c>
      <c r="I255">
        <v>-916400</v>
      </c>
    </row>
    <row r="256" spans="1:9">
      <c r="A256" s="3" t="s">
        <v>13</v>
      </c>
      <c r="B256" s="6" t="s">
        <v>18</v>
      </c>
      <c r="C256" s="5">
        <v>7932000</v>
      </c>
      <c r="D256" s="5">
        <v>3806000</v>
      </c>
      <c r="E256" t="s">
        <v>7896</v>
      </c>
      <c r="F256">
        <v>2.5</v>
      </c>
      <c r="G256" s="12">
        <v>4126000</v>
      </c>
      <c r="H256">
        <v>3172800</v>
      </c>
      <c r="I256">
        <v>1650400</v>
      </c>
    </row>
    <row r="257" spans="1:9">
      <c r="A257" s="3" t="s">
        <v>13</v>
      </c>
      <c r="B257" s="6" t="s">
        <v>18</v>
      </c>
      <c r="C257" s="5">
        <v>6008000</v>
      </c>
      <c r="D257" s="5">
        <v>633000</v>
      </c>
      <c r="E257" t="s">
        <v>7896</v>
      </c>
      <c r="F257">
        <v>2.5</v>
      </c>
      <c r="G257" s="12">
        <v>5375000</v>
      </c>
      <c r="H257">
        <v>2403200</v>
      </c>
      <c r="I257">
        <v>2150000</v>
      </c>
    </row>
    <row r="258" spans="1:9">
      <c r="A258" s="3" t="s">
        <v>13</v>
      </c>
      <c r="B258" s="6" t="s">
        <v>18</v>
      </c>
      <c r="C258" s="5">
        <v>117000</v>
      </c>
      <c r="D258" s="5">
        <v>118000</v>
      </c>
      <c r="E258" t="s">
        <v>7896</v>
      </c>
      <c r="F258">
        <v>2.5</v>
      </c>
      <c r="G258" s="12">
        <v>-1000</v>
      </c>
      <c r="H258">
        <v>46800</v>
      </c>
      <c r="I258">
        <v>-400</v>
      </c>
    </row>
    <row r="259" spans="1:9">
      <c r="A259" s="3" t="s">
        <v>13</v>
      </c>
      <c r="B259" s="6" t="s">
        <v>77</v>
      </c>
      <c r="C259" s="5">
        <v>320527000</v>
      </c>
      <c r="D259" s="5">
        <v>198011000</v>
      </c>
      <c r="E259" t="s">
        <v>7896</v>
      </c>
      <c r="F259">
        <v>8</v>
      </c>
      <c r="G259" s="12">
        <v>122516000</v>
      </c>
      <c r="H259">
        <v>40065875</v>
      </c>
      <c r="I259">
        <v>15314500</v>
      </c>
    </row>
    <row r="260" spans="1:9">
      <c r="A260" s="3" t="s">
        <v>13</v>
      </c>
      <c r="B260" s="6" t="s">
        <v>18</v>
      </c>
      <c r="C260" s="5">
        <v>968000</v>
      </c>
      <c r="D260" s="5">
        <v>826000</v>
      </c>
      <c r="E260" t="s">
        <v>7896</v>
      </c>
      <c r="F260">
        <v>2.5</v>
      </c>
      <c r="G260" s="12">
        <v>142000</v>
      </c>
      <c r="H260">
        <v>387200</v>
      </c>
      <c r="I260">
        <v>56800</v>
      </c>
    </row>
    <row r="261" spans="1:9">
      <c r="A261" s="3" t="s">
        <v>13</v>
      </c>
      <c r="B261" s="6" t="s">
        <v>18</v>
      </c>
      <c r="C261" s="5">
        <v>191686000</v>
      </c>
      <c r="D261" s="5">
        <v>144937000</v>
      </c>
      <c r="E261" t="s">
        <v>7896</v>
      </c>
      <c r="F261">
        <v>2.5</v>
      </c>
      <c r="G261" s="12">
        <v>46749000</v>
      </c>
      <c r="H261">
        <v>76674400</v>
      </c>
      <c r="I261">
        <v>18699600</v>
      </c>
    </row>
    <row r="262" spans="1:9">
      <c r="A262" s="3" t="s">
        <v>13</v>
      </c>
      <c r="B262" s="6" t="s">
        <v>18</v>
      </c>
      <c r="C262" s="5">
        <v>38990000</v>
      </c>
      <c r="D262" s="5">
        <v>55460000</v>
      </c>
      <c r="E262" t="s">
        <v>7896</v>
      </c>
      <c r="F262">
        <v>2.5</v>
      </c>
      <c r="G262" s="12">
        <v>-16470000</v>
      </c>
      <c r="H262">
        <v>15596000</v>
      </c>
      <c r="I262">
        <v>-6588000</v>
      </c>
    </row>
    <row r="263" spans="1:9">
      <c r="A263" s="3" t="s">
        <v>13</v>
      </c>
      <c r="B263" s="6" t="s">
        <v>18</v>
      </c>
      <c r="C263" s="5">
        <v>147000</v>
      </c>
      <c r="D263" s="5">
        <v>147000</v>
      </c>
      <c r="E263" t="s">
        <v>7896</v>
      </c>
      <c r="F263">
        <v>2.5</v>
      </c>
      <c r="G263" s="12">
        <v>0</v>
      </c>
      <c r="H263">
        <v>58800</v>
      </c>
      <c r="I263">
        <v>0</v>
      </c>
    </row>
    <row r="264" spans="1:9">
      <c r="A264" s="3" t="s">
        <v>13</v>
      </c>
      <c r="B264" s="6" t="s">
        <v>77</v>
      </c>
      <c r="C264" s="5">
        <v>138185000</v>
      </c>
      <c r="D264" s="5">
        <v>28901000</v>
      </c>
      <c r="E264" t="s">
        <v>7896</v>
      </c>
      <c r="F264">
        <v>8</v>
      </c>
      <c r="G264" s="12">
        <v>109284000</v>
      </c>
      <c r="H264">
        <v>17273125</v>
      </c>
      <c r="I264">
        <v>13660500</v>
      </c>
    </row>
    <row r="265" spans="1:9">
      <c r="A265" s="3" t="s">
        <v>13</v>
      </c>
      <c r="B265" s="6" t="s">
        <v>18</v>
      </c>
      <c r="C265" s="5">
        <v>176000</v>
      </c>
      <c r="D265" s="5">
        <v>187000</v>
      </c>
      <c r="E265" t="s">
        <v>7896</v>
      </c>
      <c r="F265">
        <v>2.5</v>
      </c>
      <c r="G265" s="12">
        <v>-11000</v>
      </c>
      <c r="H265">
        <v>70400</v>
      </c>
      <c r="I265">
        <v>-4400</v>
      </c>
    </row>
    <row r="266" spans="1:9">
      <c r="A266" s="3" t="s">
        <v>13</v>
      </c>
      <c r="B266" s="6" t="s">
        <v>18</v>
      </c>
      <c r="C266" s="5">
        <v>262000</v>
      </c>
      <c r="D266" s="5">
        <v>745000</v>
      </c>
      <c r="E266" t="s">
        <v>7896</v>
      </c>
      <c r="F266">
        <v>2.5</v>
      </c>
      <c r="G266" s="12">
        <v>-483000</v>
      </c>
      <c r="H266">
        <v>104800</v>
      </c>
      <c r="I266">
        <v>-193200</v>
      </c>
    </row>
    <row r="267" spans="1:9">
      <c r="A267" s="3" t="s">
        <v>13</v>
      </c>
      <c r="B267" s="6" t="s">
        <v>18</v>
      </c>
      <c r="C267" s="5">
        <v>1030734000</v>
      </c>
      <c r="D267" s="5">
        <v>713230000</v>
      </c>
      <c r="E267" t="s">
        <v>7896</v>
      </c>
      <c r="F267">
        <v>2.5</v>
      </c>
      <c r="G267" s="12">
        <v>317504000</v>
      </c>
      <c r="H267">
        <v>412293600</v>
      </c>
      <c r="I267">
        <v>127001600</v>
      </c>
    </row>
    <row r="268" spans="1:9">
      <c r="A268" s="3" t="s">
        <v>13</v>
      </c>
      <c r="B268" s="6" t="s">
        <v>18</v>
      </c>
      <c r="C268" s="5">
        <v>600000</v>
      </c>
      <c r="D268" s="5">
        <v>702000</v>
      </c>
      <c r="E268" t="s">
        <v>7896</v>
      </c>
      <c r="F268">
        <v>2.5</v>
      </c>
      <c r="G268" s="12">
        <v>-102000</v>
      </c>
      <c r="H268">
        <v>240000</v>
      </c>
      <c r="I268">
        <v>-40800</v>
      </c>
    </row>
    <row r="269" spans="1:9">
      <c r="A269" s="3" t="s">
        <v>13</v>
      </c>
      <c r="B269" s="6" t="s">
        <v>18</v>
      </c>
      <c r="C269" s="5">
        <v>1086000</v>
      </c>
      <c r="D269" s="5">
        <v>1086000</v>
      </c>
      <c r="E269" t="s">
        <v>7896</v>
      </c>
      <c r="F269">
        <v>2.5</v>
      </c>
      <c r="G269" s="12">
        <v>0</v>
      </c>
      <c r="H269">
        <v>434400</v>
      </c>
      <c r="I269">
        <v>0</v>
      </c>
    </row>
    <row r="270" spans="1:9">
      <c r="A270" s="3" t="s">
        <v>13</v>
      </c>
      <c r="B270" s="6" t="s">
        <v>18</v>
      </c>
      <c r="C270" s="5">
        <v>699587000</v>
      </c>
      <c r="D270" s="5">
        <v>1144761000</v>
      </c>
      <c r="E270" t="s">
        <v>7896</v>
      </c>
      <c r="F270">
        <v>2.5</v>
      </c>
      <c r="G270" s="12">
        <v>-445174000</v>
      </c>
      <c r="H270">
        <v>279834800</v>
      </c>
      <c r="I270">
        <v>-178069600</v>
      </c>
    </row>
    <row r="271" spans="1:9">
      <c r="A271" s="3" t="s">
        <v>13</v>
      </c>
      <c r="B271" s="6" t="s">
        <v>18</v>
      </c>
      <c r="C271" s="5">
        <v>304000</v>
      </c>
      <c r="D271" s="5">
        <v>680000</v>
      </c>
      <c r="E271" t="s">
        <v>7896</v>
      </c>
      <c r="F271">
        <v>2.5</v>
      </c>
      <c r="G271" s="12">
        <v>-376000</v>
      </c>
      <c r="H271">
        <v>121600</v>
      </c>
      <c r="I271">
        <v>-150400</v>
      </c>
    </row>
    <row r="272" spans="1:9">
      <c r="A272" s="3" t="s">
        <v>13</v>
      </c>
      <c r="B272" s="6" t="s">
        <v>18</v>
      </c>
      <c r="C272" s="5">
        <v>6107000</v>
      </c>
      <c r="D272" s="5">
        <v>1983000</v>
      </c>
      <c r="E272" t="s">
        <v>7896</v>
      </c>
      <c r="F272">
        <v>2.5</v>
      </c>
      <c r="G272" s="12">
        <v>4124000</v>
      </c>
      <c r="H272">
        <v>2442800</v>
      </c>
      <c r="I272">
        <v>1649600</v>
      </c>
    </row>
    <row r="273" spans="1:9">
      <c r="A273" s="3" t="s">
        <v>13</v>
      </c>
      <c r="B273" s="6" t="s">
        <v>18</v>
      </c>
      <c r="C273" s="5">
        <v>1167000</v>
      </c>
      <c r="D273" s="5">
        <v>1406000</v>
      </c>
      <c r="E273" t="s">
        <v>7896</v>
      </c>
      <c r="F273">
        <v>2.5</v>
      </c>
      <c r="G273" s="12">
        <v>-239000</v>
      </c>
      <c r="H273">
        <v>466800</v>
      </c>
      <c r="I273">
        <v>-95600</v>
      </c>
    </row>
    <row r="274" spans="1:9">
      <c r="A274" s="3" t="s">
        <v>13</v>
      </c>
      <c r="B274" s="6" t="s">
        <v>18</v>
      </c>
      <c r="C274" s="5">
        <v>4374000</v>
      </c>
      <c r="D274" s="5">
        <v>4392000</v>
      </c>
      <c r="E274" t="s">
        <v>7896</v>
      </c>
      <c r="F274">
        <v>2.5</v>
      </c>
      <c r="G274" s="12">
        <v>-18000</v>
      </c>
      <c r="H274">
        <v>1749600</v>
      </c>
      <c r="I274">
        <v>-7200</v>
      </c>
    </row>
    <row r="275" spans="1:9">
      <c r="A275" s="3" t="s">
        <v>13</v>
      </c>
      <c r="B275" s="6" t="s">
        <v>18</v>
      </c>
      <c r="C275" s="5">
        <v>173000</v>
      </c>
      <c r="D275" s="5">
        <v>717000</v>
      </c>
      <c r="E275" t="s">
        <v>7896</v>
      </c>
      <c r="F275">
        <v>2.5</v>
      </c>
      <c r="G275" s="12">
        <v>-544000</v>
      </c>
      <c r="H275">
        <v>69200</v>
      </c>
      <c r="I275">
        <v>-217600</v>
      </c>
    </row>
    <row r="276" spans="1:9">
      <c r="A276" s="3" t="s">
        <v>13</v>
      </c>
      <c r="B276" s="6" t="s">
        <v>18</v>
      </c>
      <c r="C276" s="5">
        <v>1163000</v>
      </c>
      <c r="D276" s="5">
        <v>1165000</v>
      </c>
      <c r="E276" t="s">
        <v>7896</v>
      </c>
      <c r="F276">
        <v>2.5</v>
      </c>
      <c r="G276" s="12">
        <v>-2000</v>
      </c>
      <c r="H276">
        <v>465200</v>
      </c>
      <c r="I276">
        <v>-800</v>
      </c>
    </row>
    <row r="277" spans="1:9">
      <c r="A277" s="3" t="s">
        <v>13</v>
      </c>
      <c r="B277" s="6" t="s">
        <v>22</v>
      </c>
      <c r="C277" s="5">
        <v>199364000</v>
      </c>
      <c r="D277" s="5">
        <v>204388000</v>
      </c>
      <c r="E277" t="s">
        <v>7896</v>
      </c>
      <c r="F277">
        <v>13</v>
      </c>
      <c r="G277" s="12">
        <v>-5024000</v>
      </c>
      <c r="H277">
        <v>15335692.307692308</v>
      </c>
      <c r="I277">
        <v>-386461.53846153844</v>
      </c>
    </row>
    <row r="278" spans="1:9">
      <c r="A278" s="3" t="s">
        <v>13</v>
      </c>
      <c r="B278" s="6" t="s">
        <v>22</v>
      </c>
      <c r="C278" s="5">
        <v>3342000</v>
      </c>
      <c r="D278" s="5">
        <v>3342000</v>
      </c>
      <c r="E278" t="s">
        <v>7896</v>
      </c>
      <c r="F278">
        <v>13</v>
      </c>
      <c r="G278" s="12">
        <v>0</v>
      </c>
      <c r="H278">
        <v>257076.92307692306</v>
      </c>
      <c r="I278">
        <v>0</v>
      </c>
    </row>
    <row r="279" spans="1:9">
      <c r="A279" s="3" t="s">
        <v>13</v>
      </c>
      <c r="B279" s="6" t="s">
        <v>18</v>
      </c>
      <c r="C279" s="5">
        <v>18201000</v>
      </c>
      <c r="D279" s="5">
        <v>18423000</v>
      </c>
      <c r="E279" t="s">
        <v>7896</v>
      </c>
      <c r="F279">
        <v>2.5</v>
      </c>
      <c r="G279" s="12">
        <v>-222000</v>
      </c>
      <c r="H279">
        <v>7280400</v>
      </c>
      <c r="I279">
        <v>-88800</v>
      </c>
    </row>
    <row r="280" spans="1:9">
      <c r="A280" s="3" t="s">
        <v>13</v>
      </c>
      <c r="B280" s="6" t="s">
        <v>18</v>
      </c>
      <c r="C280" s="5">
        <v>1732000</v>
      </c>
      <c r="D280" s="5">
        <v>1732000</v>
      </c>
      <c r="E280" t="s">
        <v>7896</v>
      </c>
      <c r="F280">
        <v>2.5</v>
      </c>
      <c r="G280" s="12">
        <v>0</v>
      </c>
      <c r="H280">
        <v>692800</v>
      </c>
      <c r="I280">
        <v>0</v>
      </c>
    </row>
    <row r="281" spans="1:9">
      <c r="A281" s="3" t="s">
        <v>13</v>
      </c>
      <c r="B281" s="6" t="s">
        <v>18</v>
      </c>
      <c r="C281" s="5">
        <v>8761000</v>
      </c>
      <c r="D281" s="5">
        <v>2652000</v>
      </c>
      <c r="E281" t="s">
        <v>7896</v>
      </c>
      <c r="F281">
        <v>2.5</v>
      </c>
      <c r="G281" s="12">
        <v>6109000</v>
      </c>
      <c r="H281">
        <v>3504400</v>
      </c>
      <c r="I281">
        <v>2443600</v>
      </c>
    </row>
    <row r="282" spans="1:9">
      <c r="A282" s="3" t="s">
        <v>13</v>
      </c>
      <c r="B282" s="6" t="s">
        <v>77</v>
      </c>
      <c r="C282" s="5">
        <v>1270000</v>
      </c>
      <c r="D282" s="5">
        <v>1270000</v>
      </c>
      <c r="E282" t="s">
        <v>7896</v>
      </c>
      <c r="F282">
        <v>8</v>
      </c>
      <c r="G282" s="12">
        <v>0</v>
      </c>
      <c r="H282">
        <v>158750</v>
      </c>
      <c r="I282">
        <v>0</v>
      </c>
    </row>
    <row r="283" spans="1:9">
      <c r="A283" s="3" t="s">
        <v>13</v>
      </c>
      <c r="B283" s="6" t="s">
        <v>18</v>
      </c>
      <c r="C283" s="5">
        <v>19700000</v>
      </c>
      <c r="D283" s="5">
        <v>94331000</v>
      </c>
      <c r="E283" t="s">
        <v>7896</v>
      </c>
      <c r="F283">
        <v>2.5</v>
      </c>
      <c r="G283" s="12">
        <v>-74631000</v>
      </c>
      <c r="H283">
        <v>7880000</v>
      </c>
      <c r="I283">
        <v>-29852400</v>
      </c>
    </row>
    <row r="284" spans="1:9">
      <c r="A284" s="3" t="s">
        <v>13</v>
      </c>
      <c r="B284" s="6" t="s">
        <v>1135</v>
      </c>
      <c r="C284" s="5">
        <v>250407000</v>
      </c>
      <c r="D284" s="5">
        <v>247062000</v>
      </c>
      <c r="E284" t="s">
        <v>7898</v>
      </c>
      <c r="F284">
        <v>375.5</v>
      </c>
      <c r="G284" s="12">
        <v>3345000</v>
      </c>
      <c r="H284">
        <v>666862.84953395475</v>
      </c>
      <c r="I284">
        <v>8908.1225033288956</v>
      </c>
    </row>
    <row r="285" spans="1:9">
      <c r="A285" s="3" t="s">
        <v>13</v>
      </c>
      <c r="B285" s="6" t="s">
        <v>22</v>
      </c>
      <c r="C285" s="5">
        <v>15162000</v>
      </c>
      <c r="D285" s="5">
        <v>13671000</v>
      </c>
      <c r="E285" t="s">
        <v>7896</v>
      </c>
      <c r="F285">
        <v>13</v>
      </c>
      <c r="G285" s="12">
        <v>1491000</v>
      </c>
      <c r="H285">
        <v>1166307.6923076923</v>
      </c>
      <c r="I285">
        <v>114692.30769230769</v>
      </c>
    </row>
    <row r="286" spans="1:9">
      <c r="A286" s="3" t="s">
        <v>13</v>
      </c>
      <c r="B286" s="6" t="s">
        <v>18</v>
      </c>
      <c r="C286" s="5">
        <v>13209000</v>
      </c>
      <c r="D286" s="5">
        <v>174000</v>
      </c>
      <c r="E286" t="s">
        <v>7896</v>
      </c>
      <c r="F286">
        <v>2.5</v>
      </c>
      <c r="G286" s="12">
        <v>13035000</v>
      </c>
      <c r="H286">
        <v>5283600</v>
      </c>
      <c r="I286">
        <v>5214000</v>
      </c>
    </row>
    <row r="287" spans="1:9">
      <c r="A287" s="3" t="s">
        <v>13</v>
      </c>
      <c r="B287" s="6" t="s">
        <v>18</v>
      </c>
      <c r="C287" s="5">
        <v>64000</v>
      </c>
      <c r="D287" s="5">
        <v>35000</v>
      </c>
      <c r="E287" t="s">
        <v>7896</v>
      </c>
      <c r="F287">
        <v>2.5</v>
      </c>
      <c r="G287" s="12">
        <v>29000</v>
      </c>
      <c r="H287">
        <v>25600</v>
      </c>
      <c r="I287">
        <v>11600</v>
      </c>
    </row>
    <row r="288" spans="1:9">
      <c r="A288" s="3" t="s">
        <v>13</v>
      </c>
      <c r="B288" s="6" t="s">
        <v>18</v>
      </c>
      <c r="C288" s="5">
        <v>1675000</v>
      </c>
      <c r="D288" s="5">
        <v>1689000</v>
      </c>
      <c r="E288" t="s">
        <v>7896</v>
      </c>
      <c r="F288">
        <v>2.5</v>
      </c>
      <c r="G288" s="12">
        <v>-14000</v>
      </c>
      <c r="H288">
        <v>670000</v>
      </c>
      <c r="I288">
        <v>-5600</v>
      </c>
    </row>
    <row r="289" spans="1:9">
      <c r="A289" s="3" t="s">
        <v>13</v>
      </c>
      <c r="B289" s="6" t="s">
        <v>302</v>
      </c>
      <c r="C289" s="5">
        <v>1585261000</v>
      </c>
      <c r="D289" s="5">
        <v>1561316000</v>
      </c>
      <c r="E289" t="s">
        <v>7897</v>
      </c>
      <c r="F289">
        <v>125.5</v>
      </c>
      <c r="G289" s="12">
        <v>23945000</v>
      </c>
      <c r="H289">
        <v>12631561.752988048</v>
      </c>
      <c r="I289">
        <v>190796.81274900399</v>
      </c>
    </row>
    <row r="290" spans="1:9">
      <c r="A290" s="3" t="s">
        <v>13</v>
      </c>
      <c r="B290" s="6" t="s">
        <v>18</v>
      </c>
      <c r="C290" s="5">
        <v>6945000</v>
      </c>
      <c r="D290" s="5">
        <v>7091000</v>
      </c>
      <c r="E290" t="s">
        <v>7896</v>
      </c>
      <c r="F290">
        <v>2.5</v>
      </c>
      <c r="G290" s="12">
        <v>-146000</v>
      </c>
      <c r="H290">
        <v>2778000</v>
      </c>
      <c r="I290">
        <v>-58400</v>
      </c>
    </row>
    <row r="291" spans="1:9">
      <c r="A291" s="3" t="s">
        <v>13</v>
      </c>
      <c r="B291" s="6" t="s">
        <v>18</v>
      </c>
      <c r="C291" s="5">
        <v>11399000</v>
      </c>
      <c r="D291" s="5">
        <v>10199000</v>
      </c>
      <c r="E291" t="s">
        <v>7896</v>
      </c>
      <c r="F291">
        <v>2.5</v>
      </c>
      <c r="G291" s="12">
        <v>1200000</v>
      </c>
      <c r="H291">
        <v>4559600</v>
      </c>
      <c r="I291">
        <v>480000</v>
      </c>
    </row>
    <row r="292" spans="1:9">
      <c r="A292" s="3" t="s">
        <v>13</v>
      </c>
      <c r="B292" s="6" t="s">
        <v>22</v>
      </c>
      <c r="C292" s="5">
        <v>360000</v>
      </c>
      <c r="D292" s="5">
        <v>360000</v>
      </c>
      <c r="E292" t="s">
        <v>7896</v>
      </c>
      <c r="F292">
        <v>13</v>
      </c>
      <c r="G292" s="12">
        <v>0</v>
      </c>
      <c r="H292">
        <v>27692.307692307691</v>
      </c>
      <c r="I292">
        <v>0</v>
      </c>
    </row>
    <row r="293" spans="1:9">
      <c r="A293" s="3" t="s">
        <v>13</v>
      </c>
      <c r="B293" s="6" t="s">
        <v>18</v>
      </c>
      <c r="C293" s="5">
        <v>1923231000</v>
      </c>
      <c r="D293" s="5">
        <v>1926765000</v>
      </c>
      <c r="E293" t="s">
        <v>7896</v>
      </c>
      <c r="F293">
        <v>2.5</v>
      </c>
      <c r="G293" s="12">
        <v>-3534000</v>
      </c>
      <c r="H293">
        <v>769292400</v>
      </c>
      <c r="I293">
        <v>-1413600</v>
      </c>
    </row>
    <row r="294" spans="1:9">
      <c r="A294" s="3" t="s">
        <v>13</v>
      </c>
      <c r="B294" s="6" t="s">
        <v>77</v>
      </c>
      <c r="C294" s="5">
        <v>14193000</v>
      </c>
      <c r="D294" s="5">
        <v>15366000</v>
      </c>
      <c r="E294" t="s">
        <v>7896</v>
      </c>
      <c r="F294">
        <v>8</v>
      </c>
      <c r="G294" s="12">
        <v>-1173000</v>
      </c>
      <c r="H294">
        <v>1774125</v>
      </c>
      <c r="I294">
        <v>-146625</v>
      </c>
    </row>
    <row r="295" spans="1:9">
      <c r="A295" s="3" t="s">
        <v>13</v>
      </c>
      <c r="B295" s="6" t="s">
        <v>18</v>
      </c>
      <c r="C295" s="5">
        <v>793000</v>
      </c>
      <c r="D295" s="5">
        <v>1348000</v>
      </c>
      <c r="E295" t="s">
        <v>7896</v>
      </c>
      <c r="F295">
        <v>2.5</v>
      </c>
      <c r="G295" s="12">
        <v>-555000</v>
      </c>
      <c r="H295">
        <v>317200</v>
      </c>
      <c r="I295">
        <v>-222000</v>
      </c>
    </row>
    <row r="296" spans="1:9">
      <c r="A296" s="3" t="s">
        <v>13</v>
      </c>
      <c r="B296" s="6" t="s">
        <v>18</v>
      </c>
      <c r="C296" s="5">
        <v>45000</v>
      </c>
      <c r="D296" s="5">
        <v>55000</v>
      </c>
      <c r="E296" t="s">
        <v>7896</v>
      </c>
      <c r="F296">
        <v>2.5</v>
      </c>
      <c r="G296" s="12">
        <v>-10000</v>
      </c>
      <c r="H296">
        <v>18000</v>
      </c>
      <c r="I296">
        <v>-4000</v>
      </c>
    </row>
    <row r="297" spans="1:9">
      <c r="A297" s="3" t="s">
        <v>13</v>
      </c>
      <c r="B297" s="6" t="s">
        <v>18</v>
      </c>
      <c r="C297" s="5">
        <v>9144000</v>
      </c>
      <c r="D297" s="5">
        <v>38536000</v>
      </c>
      <c r="E297" t="s">
        <v>7896</v>
      </c>
      <c r="F297">
        <v>2.5</v>
      </c>
      <c r="G297" s="12">
        <v>-29392000</v>
      </c>
      <c r="H297">
        <v>3657600</v>
      </c>
      <c r="I297">
        <v>-11756800</v>
      </c>
    </row>
    <row r="298" spans="1:9">
      <c r="A298" s="3" t="s">
        <v>13</v>
      </c>
      <c r="B298" s="6" t="s">
        <v>18</v>
      </c>
      <c r="C298" s="5">
        <v>5509000</v>
      </c>
      <c r="D298" s="5">
        <v>5525000</v>
      </c>
      <c r="E298" t="s">
        <v>7896</v>
      </c>
      <c r="F298">
        <v>2.5</v>
      </c>
      <c r="G298" s="12">
        <v>-16000</v>
      </c>
      <c r="H298">
        <v>2203600</v>
      </c>
      <c r="I298">
        <v>-6400</v>
      </c>
    </row>
    <row r="299" spans="1:9">
      <c r="A299" s="3" t="s">
        <v>13</v>
      </c>
      <c r="B299" s="6" t="s">
        <v>18</v>
      </c>
      <c r="C299" s="5">
        <v>130000</v>
      </c>
      <c r="D299" s="5">
        <v>739000</v>
      </c>
      <c r="E299" t="s">
        <v>7896</v>
      </c>
      <c r="F299">
        <v>2.5</v>
      </c>
      <c r="G299" s="12">
        <v>-609000</v>
      </c>
      <c r="H299">
        <v>52000</v>
      </c>
      <c r="I299">
        <v>-243600</v>
      </c>
    </row>
    <row r="300" spans="1:9">
      <c r="A300" s="3" t="s">
        <v>13</v>
      </c>
      <c r="B300" s="6" t="s">
        <v>18</v>
      </c>
      <c r="C300" s="5">
        <v>74438000</v>
      </c>
      <c r="D300" s="5">
        <v>44744000</v>
      </c>
      <c r="E300" t="s">
        <v>7896</v>
      </c>
      <c r="F300">
        <v>2.5</v>
      </c>
      <c r="G300" s="12">
        <v>29694000</v>
      </c>
      <c r="H300">
        <v>29775200</v>
      </c>
      <c r="I300">
        <v>11877600</v>
      </c>
    </row>
    <row r="301" spans="1:9">
      <c r="A301" s="3" t="s">
        <v>13</v>
      </c>
      <c r="B301" s="6" t="s">
        <v>18</v>
      </c>
      <c r="C301" s="5">
        <v>710000</v>
      </c>
      <c r="D301" s="5">
        <v>1792000</v>
      </c>
      <c r="E301" t="s">
        <v>7896</v>
      </c>
      <c r="F301">
        <v>2.5</v>
      </c>
      <c r="G301" s="12">
        <v>-1082000</v>
      </c>
      <c r="H301">
        <v>284000</v>
      </c>
      <c r="I301">
        <v>-432800</v>
      </c>
    </row>
    <row r="302" spans="1:9">
      <c r="A302" s="3" t="s">
        <v>13</v>
      </c>
      <c r="B302" s="6" t="s">
        <v>18</v>
      </c>
      <c r="C302" s="5">
        <v>13416000</v>
      </c>
      <c r="D302" s="5">
        <v>11852000</v>
      </c>
      <c r="E302" t="s">
        <v>7896</v>
      </c>
      <c r="F302">
        <v>2.5</v>
      </c>
      <c r="G302" s="12">
        <v>1564000</v>
      </c>
      <c r="H302">
        <v>5366400</v>
      </c>
      <c r="I302">
        <v>625600</v>
      </c>
    </row>
    <row r="303" spans="1:9">
      <c r="A303" s="3" t="s">
        <v>13</v>
      </c>
      <c r="B303" s="6" t="s">
        <v>18</v>
      </c>
      <c r="C303" s="5">
        <v>2849000</v>
      </c>
      <c r="D303" s="5">
        <v>2903000</v>
      </c>
      <c r="E303" t="s">
        <v>7896</v>
      </c>
      <c r="F303">
        <v>2.5</v>
      </c>
      <c r="G303" s="12">
        <v>-54000</v>
      </c>
      <c r="H303">
        <v>1139600</v>
      </c>
      <c r="I303">
        <v>-21600</v>
      </c>
    </row>
    <row r="304" spans="1:9">
      <c r="A304" s="3" t="s">
        <v>13</v>
      </c>
      <c r="B304" s="6" t="s">
        <v>18</v>
      </c>
      <c r="C304" s="5">
        <v>35401000</v>
      </c>
      <c r="D304" s="5">
        <v>17519000</v>
      </c>
      <c r="E304" t="s">
        <v>7896</v>
      </c>
      <c r="F304">
        <v>2.5</v>
      </c>
      <c r="G304" s="12">
        <v>17882000</v>
      </c>
      <c r="H304">
        <v>14160400</v>
      </c>
      <c r="I304">
        <v>7152800</v>
      </c>
    </row>
    <row r="305" spans="1:9">
      <c r="A305" s="3" t="s">
        <v>13</v>
      </c>
      <c r="B305" s="6" t="s">
        <v>77</v>
      </c>
      <c r="C305" s="5">
        <v>281912000</v>
      </c>
      <c r="D305" s="5">
        <v>415979000</v>
      </c>
      <c r="E305" t="s">
        <v>7896</v>
      </c>
      <c r="F305">
        <v>8</v>
      </c>
      <c r="G305" s="12">
        <v>-134067000</v>
      </c>
      <c r="H305">
        <v>35239000</v>
      </c>
      <c r="I305">
        <v>-16758375</v>
      </c>
    </row>
    <row r="306" spans="1:9">
      <c r="A306" s="3" t="s">
        <v>13</v>
      </c>
      <c r="B306" s="6" t="s">
        <v>18</v>
      </c>
      <c r="C306" s="5">
        <v>20000</v>
      </c>
      <c r="D306" s="5">
        <v>33000</v>
      </c>
      <c r="E306" t="s">
        <v>7896</v>
      </c>
      <c r="F306">
        <v>2.5</v>
      </c>
      <c r="G306" s="12">
        <v>-13000</v>
      </c>
      <c r="H306">
        <v>8000</v>
      </c>
      <c r="I306">
        <v>-5200</v>
      </c>
    </row>
    <row r="307" spans="1:9">
      <c r="A307" s="3" t="s">
        <v>13</v>
      </c>
      <c r="B307" s="6" t="s">
        <v>18</v>
      </c>
      <c r="C307" s="5">
        <v>750000</v>
      </c>
      <c r="D307" s="5">
        <v>724000</v>
      </c>
      <c r="E307" t="s">
        <v>7896</v>
      </c>
      <c r="F307">
        <v>2.5</v>
      </c>
      <c r="G307" s="12">
        <v>26000</v>
      </c>
      <c r="H307">
        <v>300000</v>
      </c>
      <c r="I307">
        <v>10400</v>
      </c>
    </row>
    <row r="308" spans="1:9">
      <c r="A308" s="3" t="s">
        <v>13</v>
      </c>
      <c r="B308" s="6" t="s">
        <v>18</v>
      </c>
      <c r="C308" s="5">
        <v>21000000</v>
      </c>
      <c r="D308" s="5">
        <v>16452000</v>
      </c>
      <c r="E308" t="s">
        <v>7896</v>
      </c>
      <c r="F308">
        <v>2.5</v>
      </c>
      <c r="G308" s="12">
        <v>4548000</v>
      </c>
      <c r="H308">
        <v>8400000</v>
      </c>
      <c r="I308">
        <v>1819200</v>
      </c>
    </row>
    <row r="309" spans="1:9">
      <c r="A309" s="3" t="s">
        <v>13</v>
      </c>
      <c r="B309" s="6" t="s">
        <v>18</v>
      </c>
      <c r="C309" s="5">
        <v>14116000</v>
      </c>
      <c r="D309" s="5">
        <v>20822000</v>
      </c>
      <c r="E309" t="s">
        <v>7896</v>
      </c>
      <c r="F309">
        <v>2.5</v>
      </c>
      <c r="G309" s="12">
        <v>-6706000</v>
      </c>
      <c r="H309">
        <v>5646400</v>
      </c>
      <c r="I309">
        <v>-2682400</v>
      </c>
    </row>
    <row r="310" spans="1:9">
      <c r="A310" s="3" t="s">
        <v>13</v>
      </c>
      <c r="B310" s="6" t="s">
        <v>18</v>
      </c>
      <c r="C310" s="5">
        <v>86000</v>
      </c>
      <c r="D310" s="5">
        <v>86000</v>
      </c>
      <c r="E310" t="s">
        <v>7896</v>
      </c>
      <c r="F310">
        <v>2.5</v>
      </c>
      <c r="G310" s="12">
        <v>0</v>
      </c>
      <c r="H310">
        <v>34400</v>
      </c>
      <c r="I310">
        <v>0</v>
      </c>
    </row>
    <row r="311" spans="1:9">
      <c r="A311" s="3" t="s">
        <v>13</v>
      </c>
      <c r="B311" s="6" t="s">
        <v>18</v>
      </c>
      <c r="C311" s="5">
        <v>113853000</v>
      </c>
      <c r="D311" s="5">
        <v>114136000</v>
      </c>
      <c r="E311" t="s">
        <v>7896</v>
      </c>
      <c r="F311">
        <v>2.5</v>
      </c>
      <c r="G311" s="12">
        <v>-283000</v>
      </c>
      <c r="H311">
        <v>45541200</v>
      </c>
      <c r="I311">
        <v>-113200</v>
      </c>
    </row>
    <row r="312" spans="1:9">
      <c r="A312" s="3" t="s">
        <v>13</v>
      </c>
      <c r="B312" s="6" t="s">
        <v>18</v>
      </c>
      <c r="C312" s="5">
        <v>15469000</v>
      </c>
      <c r="D312" s="5">
        <v>26648000</v>
      </c>
      <c r="E312" t="s">
        <v>7896</v>
      </c>
      <c r="F312">
        <v>2.5</v>
      </c>
      <c r="G312" s="12">
        <v>-11179000</v>
      </c>
      <c r="H312">
        <v>6187600</v>
      </c>
      <c r="I312">
        <v>-4471600</v>
      </c>
    </row>
    <row r="313" spans="1:9">
      <c r="A313" s="3" t="s">
        <v>13</v>
      </c>
      <c r="B313" s="6" t="s">
        <v>18</v>
      </c>
      <c r="C313" s="5">
        <v>79715000</v>
      </c>
      <c r="D313" s="5">
        <v>79806000</v>
      </c>
      <c r="E313" t="s">
        <v>7896</v>
      </c>
      <c r="F313">
        <v>2.5</v>
      </c>
      <c r="G313" s="12">
        <v>-91000</v>
      </c>
      <c r="H313">
        <v>31886000</v>
      </c>
      <c r="I313">
        <v>-36400</v>
      </c>
    </row>
    <row r="314" spans="1:9">
      <c r="A314" s="3" t="s">
        <v>13</v>
      </c>
      <c r="B314" s="6" t="s">
        <v>18</v>
      </c>
      <c r="C314" s="5">
        <v>35483000</v>
      </c>
      <c r="D314" s="5">
        <v>37450000</v>
      </c>
      <c r="E314" t="s">
        <v>7896</v>
      </c>
      <c r="F314">
        <v>2.5</v>
      </c>
      <c r="G314" s="12">
        <v>-1967000</v>
      </c>
      <c r="H314">
        <v>14193200</v>
      </c>
      <c r="I314">
        <v>-786800</v>
      </c>
    </row>
    <row r="315" spans="1:9">
      <c r="A315" s="3" t="s">
        <v>13</v>
      </c>
      <c r="B315" s="6" t="s">
        <v>18</v>
      </c>
      <c r="C315" s="5">
        <v>2735000</v>
      </c>
      <c r="D315" s="5">
        <v>2714000</v>
      </c>
      <c r="E315" t="s">
        <v>7896</v>
      </c>
      <c r="F315">
        <v>2.5</v>
      </c>
      <c r="G315" s="12">
        <v>21000</v>
      </c>
      <c r="H315">
        <v>1094000</v>
      </c>
      <c r="I315">
        <v>8400</v>
      </c>
    </row>
    <row r="316" spans="1:9">
      <c r="A316" s="3" t="s">
        <v>13</v>
      </c>
      <c r="B316" s="6" t="s">
        <v>18</v>
      </c>
      <c r="C316" s="5">
        <v>106050000</v>
      </c>
      <c r="D316" s="5">
        <v>105576000</v>
      </c>
      <c r="E316" t="s">
        <v>7896</v>
      </c>
      <c r="F316">
        <v>2.5</v>
      </c>
      <c r="G316" s="12">
        <v>474000</v>
      </c>
      <c r="H316">
        <v>42420000</v>
      </c>
      <c r="I316">
        <v>189600</v>
      </c>
    </row>
    <row r="317" spans="1:9">
      <c r="A317" s="3" t="s">
        <v>13</v>
      </c>
      <c r="B317" s="6" t="s">
        <v>18</v>
      </c>
      <c r="C317" s="5">
        <v>381796000</v>
      </c>
      <c r="D317" s="5">
        <v>459402000</v>
      </c>
      <c r="E317" t="s">
        <v>7896</v>
      </c>
      <c r="F317">
        <v>2.5</v>
      </c>
      <c r="G317" s="12">
        <v>-77606000</v>
      </c>
      <c r="H317">
        <v>152718400</v>
      </c>
      <c r="I317">
        <v>-31042400</v>
      </c>
    </row>
    <row r="318" spans="1:9">
      <c r="A318" s="3" t="s">
        <v>13</v>
      </c>
      <c r="B318" s="6" t="s">
        <v>77</v>
      </c>
      <c r="C318" s="5">
        <v>636111000</v>
      </c>
      <c r="D318" s="5">
        <v>818631000</v>
      </c>
      <c r="E318" t="s">
        <v>7896</v>
      </c>
      <c r="F318">
        <v>8</v>
      </c>
      <c r="G318" s="12">
        <v>-182520000</v>
      </c>
      <c r="H318">
        <v>79513875</v>
      </c>
      <c r="I318">
        <v>-22815000</v>
      </c>
    </row>
    <row r="319" spans="1:9">
      <c r="A319" s="3" t="s">
        <v>13</v>
      </c>
      <c r="B319" s="6" t="s">
        <v>18</v>
      </c>
      <c r="C319" s="5">
        <v>7061000</v>
      </c>
      <c r="D319" s="5">
        <v>7085000</v>
      </c>
      <c r="E319" t="s">
        <v>7896</v>
      </c>
      <c r="F319">
        <v>2.5</v>
      </c>
      <c r="G319" s="12">
        <v>-24000</v>
      </c>
      <c r="H319">
        <v>2824400</v>
      </c>
      <c r="I319">
        <v>-9600</v>
      </c>
    </row>
    <row r="320" spans="1:9">
      <c r="A320" s="3" t="s">
        <v>13</v>
      </c>
      <c r="B320" s="6" t="s">
        <v>22</v>
      </c>
      <c r="C320" s="5">
        <v>210000</v>
      </c>
      <c r="D320" s="5">
        <v>35000000</v>
      </c>
      <c r="E320" t="s">
        <v>7896</v>
      </c>
      <c r="F320">
        <v>13</v>
      </c>
      <c r="G320" s="12">
        <v>-34790000</v>
      </c>
      <c r="H320">
        <v>16153.846153846154</v>
      </c>
      <c r="I320">
        <v>-2676153.846153846</v>
      </c>
    </row>
    <row r="321" spans="1:9">
      <c r="A321" s="3" t="s">
        <v>13</v>
      </c>
      <c r="B321" s="6" t="s">
        <v>77</v>
      </c>
      <c r="C321" s="5">
        <v>22148000</v>
      </c>
      <c r="D321" s="5">
        <v>11297000</v>
      </c>
      <c r="E321" t="s">
        <v>7896</v>
      </c>
      <c r="F321">
        <v>8</v>
      </c>
      <c r="G321" s="12">
        <v>10851000</v>
      </c>
      <c r="H321">
        <v>2768500</v>
      </c>
      <c r="I321">
        <v>1356375</v>
      </c>
    </row>
    <row r="322" spans="1:9">
      <c r="A322" s="3" t="s">
        <v>13</v>
      </c>
      <c r="B322" s="6" t="s">
        <v>18</v>
      </c>
      <c r="C322" s="5">
        <v>2257000</v>
      </c>
      <c r="D322" s="5">
        <v>2348000</v>
      </c>
      <c r="E322" t="s">
        <v>7896</v>
      </c>
      <c r="F322">
        <v>2.5</v>
      </c>
      <c r="G322" s="12">
        <v>-91000</v>
      </c>
      <c r="H322">
        <v>902800</v>
      </c>
      <c r="I322">
        <v>-36400</v>
      </c>
    </row>
    <row r="323" spans="1:9">
      <c r="A323" s="3" t="s">
        <v>13</v>
      </c>
      <c r="B323" s="6" t="s">
        <v>18</v>
      </c>
      <c r="C323" s="5">
        <v>30985000</v>
      </c>
      <c r="D323" s="5">
        <v>29941000</v>
      </c>
      <c r="E323" t="s">
        <v>7896</v>
      </c>
      <c r="F323">
        <v>2.5</v>
      </c>
      <c r="G323" s="12">
        <v>1044000</v>
      </c>
      <c r="H323">
        <v>12394000</v>
      </c>
      <c r="I323">
        <v>417600</v>
      </c>
    </row>
    <row r="324" spans="1:9">
      <c r="A324" s="3" t="s">
        <v>13</v>
      </c>
      <c r="B324" s="6" t="s">
        <v>18</v>
      </c>
      <c r="C324" s="5">
        <v>50000</v>
      </c>
      <c r="D324" s="5">
        <v>10000</v>
      </c>
      <c r="E324" t="s">
        <v>7896</v>
      </c>
      <c r="F324">
        <v>2.5</v>
      </c>
      <c r="G324" s="12">
        <v>40000</v>
      </c>
      <c r="H324">
        <v>20000</v>
      </c>
      <c r="I324">
        <v>16000</v>
      </c>
    </row>
    <row r="325" spans="1:9">
      <c r="A325" s="3" t="s">
        <v>13</v>
      </c>
      <c r="B325" s="6" t="s">
        <v>23</v>
      </c>
      <c r="C325" s="5">
        <v>149824000</v>
      </c>
      <c r="D325" s="5">
        <v>122410000</v>
      </c>
      <c r="E325" t="s">
        <v>7897</v>
      </c>
      <c r="F325">
        <v>75.5</v>
      </c>
      <c r="G325" s="12">
        <v>27414000</v>
      </c>
      <c r="H325">
        <v>1984423.8410596026</v>
      </c>
      <c r="I325">
        <v>363099.33774834435</v>
      </c>
    </row>
    <row r="326" spans="1:9">
      <c r="A326" s="3" t="s">
        <v>13</v>
      </c>
      <c r="B326" s="6" t="s">
        <v>18</v>
      </c>
      <c r="C326" s="5">
        <v>5863000</v>
      </c>
      <c r="D326" s="5">
        <v>5959000</v>
      </c>
      <c r="E326" t="s">
        <v>7896</v>
      </c>
      <c r="F326">
        <v>2.5</v>
      </c>
      <c r="G326" s="12">
        <v>-96000</v>
      </c>
      <c r="H326">
        <v>2345200</v>
      </c>
      <c r="I326">
        <v>-38400</v>
      </c>
    </row>
    <row r="327" spans="1:9">
      <c r="A327" s="3" t="s">
        <v>13</v>
      </c>
      <c r="B327" s="6" t="s">
        <v>18</v>
      </c>
      <c r="C327" s="5">
        <v>645000</v>
      </c>
      <c r="D327" s="5">
        <v>1042000</v>
      </c>
      <c r="E327" t="s">
        <v>7896</v>
      </c>
      <c r="F327">
        <v>2.5</v>
      </c>
      <c r="G327" s="12">
        <v>-397000</v>
      </c>
      <c r="H327">
        <v>258000</v>
      </c>
      <c r="I327">
        <v>-158800</v>
      </c>
    </row>
    <row r="328" spans="1:9">
      <c r="A328" s="3" t="s">
        <v>13</v>
      </c>
      <c r="B328" s="6" t="s">
        <v>18</v>
      </c>
      <c r="C328" s="5">
        <v>7503000</v>
      </c>
      <c r="D328" s="5">
        <v>10274000</v>
      </c>
      <c r="E328" t="s">
        <v>7896</v>
      </c>
      <c r="F328">
        <v>2.5</v>
      </c>
      <c r="G328" s="12">
        <v>-2771000</v>
      </c>
      <c r="H328">
        <v>3001200</v>
      </c>
      <c r="I328">
        <v>-1108400</v>
      </c>
    </row>
    <row r="329" spans="1:9">
      <c r="A329" s="3" t="s">
        <v>13</v>
      </c>
      <c r="B329" s="6" t="s">
        <v>22</v>
      </c>
      <c r="C329" s="5">
        <v>921553000</v>
      </c>
      <c r="D329" s="5">
        <v>941968000</v>
      </c>
      <c r="E329" t="s">
        <v>7896</v>
      </c>
      <c r="F329">
        <v>13</v>
      </c>
      <c r="G329" s="12">
        <v>-20415000</v>
      </c>
      <c r="H329">
        <v>70888692.307692304</v>
      </c>
      <c r="I329">
        <v>-1570384.6153846155</v>
      </c>
    </row>
    <row r="330" spans="1:9">
      <c r="A330" s="3" t="s">
        <v>13</v>
      </c>
      <c r="B330" s="6" t="s">
        <v>18</v>
      </c>
      <c r="C330" s="5">
        <v>2754000</v>
      </c>
      <c r="D330" s="5">
        <v>2765000</v>
      </c>
      <c r="E330" t="s">
        <v>7896</v>
      </c>
      <c r="F330">
        <v>2.5</v>
      </c>
      <c r="G330" s="12">
        <v>-11000</v>
      </c>
      <c r="H330">
        <v>1101600</v>
      </c>
      <c r="I330">
        <v>-4400</v>
      </c>
    </row>
    <row r="331" spans="1:9">
      <c r="A331" s="3" t="s">
        <v>13</v>
      </c>
      <c r="B331" s="6" t="s">
        <v>18</v>
      </c>
      <c r="C331" s="5">
        <v>1351000</v>
      </c>
      <c r="D331" s="5">
        <v>1494000</v>
      </c>
      <c r="E331" t="s">
        <v>7896</v>
      </c>
      <c r="F331">
        <v>2.5</v>
      </c>
      <c r="G331" s="12">
        <v>-143000</v>
      </c>
      <c r="H331">
        <v>540400</v>
      </c>
      <c r="I331">
        <v>-57200</v>
      </c>
    </row>
    <row r="332" spans="1:9">
      <c r="A332" s="3" t="s">
        <v>13</v>
      </c>
      <c r="B332" s="6" t="s">
        <v>22</v>
      </c>
      <c r="C332" s="5">
        <v>44657000</v>
      </c>
      <c r="D332" s="5">
        <v>44875000</v>
      </c>
      <c r="E332" t="s">
        <v>7896</v>
      </c>
      <c r="F332">
        <v>13</v>
      </c>
      <c r="G332" s="12">
        <v>-218000</v>
      </c>
      <c r="H332">
        <v>3435153.846153846</v>
      </c>
      <c r="I332">
        <v>-16769.23076923077</v>
      </c>
    </row>
    <row r="333" spans="1:9">
      <c r="A333" s="3" t="s">
        <v>13</v>
      </c>
      <c r="B333" s="6" t="s">
        <v>22</v>
      </c>
      <c r="C333" s="5">
        <v>16194000</v>
      </c>
      <c r="D333" s="5">
        <v>15966000</v>
      </c>
      <c r="E333" t="s">
        <v>7896</v>
      </c>
      <c r="F333">
        <v>13</v>
      </c>
      <c r="G333" s="12">
        <v>228000</v>
      </c>
      <c r="H333">
        <v>1245692.3076923077</v>
      </c>
      <c r="I333">
        <v>17538.461538461539</v>
      </c>
    </row>
    <row r="334" spans="1:9">
      <c r="A334" s="3" t="s">
        <v>13</v>
      </c>
      <c r="B334" s="6" t="s">
        <v>23</v>
      </c>
      <c r="C334" s="5">
        <v>36995000</v>
      </c>
      <c r="D334" s="5">
        <v>36880000</v>
      </c>
      <c r="E334" t="s">
        <v>7897</v>
      </c>
      <c r="F334">
        <v>75.5</v>
      </c>
      <c r="G334" s="12">
        <v>115000</v>
      </c>
      <c r="H334">
        <v>490000</v>
      </c>
      <c r="I334">
        <v>1523.1788079470198</v>
      </c>
    </row>
    <row r="335" spans="1:9">
      <c r="A335" s="3" t="s">
        <v>13</v>
      </c>
      <c r="B335" s="6" t="s">
        <v>18</v>
      </c>
      <c r="C335" s="5">
        <v>204203000</v>
      </c>
      <c r="D335" s="5">
        <v>139426000</v>
      </c>
      <c r="E335" t="s">
        <v>7896</v>
      </c>
      <c r="F335">
        <v>2.5</v>
      </c>
      <c r="G335" s="12">
        <v>64777000</v>
      </c>
      <c r="H335">
        <v>81681200</v>
      </c>
      <c r="I335">
        <v>25910800</v>
      </c>
    </row>
    <row r="336" spans="1:9">
      <c r="A336" s="3" t="s">
        <v>13</v>
      </c>
      <c r="B336" s="6" t="s">
        <v>18</v>
      </c>
      <c r="C336" s="5">
        <v>2313000</v>
      </c>
      <c r="D336" s="5">
        <v>2291000</v>
      </c>
      <c r="E336" t="s">
        <v>7896</v>
      </c>
      <c r="F336">
        <v>2.5</v>
      </c>
      <c r="G336" s="12">
        <v>22000</v>
      </c>
      <c r="H336">
        <v>925200</v>
      </c>
      <c r="I336">
        <v>8800</v>
      </c>
    </row>
    <row r="337" spans="1:9">
      <c r="A337" s="3" t="s">
        <v>13</v>
      </c>
      <c r="B337" s="6" t="s">
        <v>23</v>
      </c>
      <c r="C337" s="5">
        <v>10186000</v>
      </c>
      <c r="D337" s="5">
        <v>10727000</v>
      </c>
      <c r="E337" t="s">
        <v>7897</v>
      </c>
      <c r="F337">
        <v>75.5</v>
      </c>
      <c r="G337" s="12">
        <v>-541000</v>
      </c>
      <c r="H337">
        <v>134913.90728476821</v>
      </c>
      <c r="I337">
        <v>-7165.5629139072844</v>
      </c>
    </row>
    <row r="338" spans="1:9">
      <c r="A338" s="3" t="s">
        <v>13</v>
      </c>
      <c r="B338" s="6" t="s">
        <v>22</v>
      </c>
      <c r="C338" s="5">
        <v>114225000</v>
      </c>
      <c r="D338" s="5">
        <v>138495000</v>
      </c>
      <c r="E338" t="s">
        <v>7896</v>
      </c>
      <c r="F338">
        <v>13</v>
      </c>
      <c r="G338" s="12">
        <v>-24270000</v>
      </c>
      <c r="H338">
        <v>8786538.461538462</v>
      </c>
      <c r="I338">
        <v>-1866923.076923077</v>
      </c>
    </row>
    <row r="339" spans="1:9">
      <c r="A339" s="3" t="s">
        <v>13</v>
      </c>
      <c r="B339" s="6" t="s">
        <v>18</v>
      </c>
      <c r="C339" s="5">
        <v>16147000</v>
      </c>
      <c r="D339" s="5">
        <v>16514000</v>
      </c>
      <c r="E339" t="s">
        <v>7896</v>
      </c>
      <c r="F339">
        <v>2.5</v>
      </c>
      <c r="G339" s="12">
        <v>-367000</v>
      </c>
      <c r="H339">
        <v>6458800</v>
      </c>
      <c r="I339">
        <v>-146800</v>
      </c>
    </row>
    <row r="340" spans="1:9">
      <c r="A340" s="3" t="s">
        <v>13</v>
      </c>
      <c r="B340" s="6" t="s">
        <v>18</v>
      </c>
      <c r="C340" s="5">
        <v>25000</v>
      </c>
      <c r="D340" s="5">
        <v>37000</v>
      </c>
      <c r="E340" t="s">
        <v>7896</v>
      </c>
      <c r="F340">
        <v>2.5</v>
      </c>
      <c r="G340" s="12">
        <v>-12000</v>
      </c>
      <c r="H340">
        <v>10000</v>
      </c>
      <c r="I340">
        <v>-4800</v>
      </c>
    </row>
    <row r="341" spans="1:9">
      <c r="A341" s="3" t="s">
        <v>13</v>
      </c>
      <c r="B341" s="6" t="s">
        <v>18</v>
      </c>
      <c r="C341" s="5">
        <v>41050000</v>
      </c>
      <c r="D341" s="5">
        <v>41578000</v>
      </c>
      <c r="E341" t="s">
        <v>7896</v>
      </c>
      <c r="F341">
        <v>2.5</v>
      </c>
      <c r="G341" s="12">
        <v>-528000</v>
      </c>
      <c r="H341">
        <v>16420000</v>
      </c>
      <c r="I341">
        <v>-211200</v>
      </c>
    </row>
    <row r="342" spans="1:9">
      <c r="A342" s="3" t="s">
        <v>13</v>
      </c>
      <c r="B342" s="6" t="s">
        <v>18</v>
      </c>
      <c r="C342" s="5">
        <v>7920000</v>
      </c>
      <c r="D342" s="5">
        <v>3542000</v>
      </c>
      <c r="E342" t="s">
        <v>7896</v>
      </c>
      <c r="F342">
        <v>2.5</v>
      </c>
      <c r="G342" s="12">
        <v>4378000</v>
      </c>
      <c r="H342">
        <v>3168000</v>
      </c>
      <c r="I342">
        <v>1751200</v>
      </c>
    </row>
    <row r="343" spans="1:9">
      <c r="A343" s="3" t="s">
        <v>13</v>
      </c>
      <c r="B343" s="6" t="s">
        <v>18</v>
      </c>
      <c r="C343" s="5">
        <v>11899000</v>
      </c>
      <c r="D343" s="5">
        <v>12127000</v>
      </c>
      <c r="E343" t="s">
        <v>7896</v>
      </c>
      <c r="F343">
        <v>2.5</v>
      </c>
      <c r="G343" s="12">
        <v>-228000</v>
      </c>
      <c r="H343">
        <v>4759600</v>
      </c>
      <c r="I343">
        <v>-91200</v>
      </c>
    </row>
    <row r="344" spans="1:9">
      <c r="A344" s="3" t="s">
        <v>13</v>
      </c>
      <c r="B344" s="6" t="s">
        <v>22</v>
      </c>
      <c r="C344" s="5">
        <v>10544000</v>
      </c>
      <c r="D344" s="5">
        <v>9089000</v>
      </c>
      <c r="E344" t="s">
        <v>7896</v>
      </c>
      <c r="F344">
        <v>13</v>
      </c>
      <c r="G344" s="12">
        <v>1455000</v>
      </c>
      <c r="H344">
        <v>811076.92307692312</v>
      </c>
      <c r="I344">
        <v>111923.07692307692</v>
      </c>
    </row>
    <row r="345" spans="1:9">
      <c r="A345" s="3" t="s">
        <v>13</v>
      </c>
      <c r="B345" s="6" t="s">
        <v>22</v>
      </c>
      <c r="C345" s="5">
        <v>61298000</v>
      </c>
      <c r="D345" s="5">
        <v>58996000</v>
      </c>
      <c r="E345" t="s">
        <v>7896</v>
      </c>
      <c r="F345">
        <v>13</v>
      </c>
      <c r="G345" s="12">
        <v>2302000</v>
      </c>
      <c r="H345">
        <v>4715230.769230769</v>
      </c>
      <c r="I345">
        <v>177076.92307692306</v>
      </c>
    </row>
    <row r="346" spans="1:9">
      <c r="A346" s="3" t="s">
        <v>13</v>
      </c>
      <c r="B346" s="6" t="s">
        <v>18</v>
      </c>
      <c r="C346" s="5">
        <v>19498000</v>
      </c>
      <c r="D346" s="5">
        <v>22071000</v>
      </c>
      <c r="E346" t="s">
        <v>7896</v>
      </c>
      <c r="F346">
        <v>2.5</v>
      </c>
      <c r="G346" s="12">
        <v>-2573000</v>
      </c>
      <c r="H346">
        <v>7799200</v>
      </c>
      <c r="I346">
        <v>-1029200</v>
      </c>
    </row>
    <row r="347" spans="1:9">
      <c r="A347" s="3" t="s">
        <v>13</v>
      </c>
      <c r="B347" s="6" t="s">
        <v>18</v>
      </c>
      <c r="C347" s="5">
        <v>5780000</v>
      </c>
      <c r="D347" s="5">
        <v>6473000</v>
      </c>
      <c r="E347" t="s">
        <v>7896</v>
      </c>
      <c r="F347">
        <v>2.5</v>
      </c>
      <c r="G347" s="12">
        <v>-693000</v>
      </c>
      <c r="H347">
        <v>2312000</v>
      </c>
      <c r="I347">
        <v>-277200</v>
      </c>
    </row>
    <row r="348" spans="1:9">
      <c r="A348" s="3" t="s">
        <v>13</v>
      </c>
      <c r="B348" s="6" t="s">
        <v>18</v>
      </c>
      <c r="C348" s="5">
        <v>664000</v>
      </c>
      <c r="D348" s="5">
        <v>673000</v>
      </c>
      <c r="E348" t="s">
        <v>7896</v>
      </c>
      <c r="F348">
        <v>2.5</v>
      </c>
      <c r="G348" s="12">
        <v>-9000</v>
      </c>
      <c r="H348">
        <v>265600</v>
      </c>
      <c r="I348">
        <v>-3600</v>
      </c>
    </row>
    <row r="349" spans="1:9">
      <c r="A349" s="3" t="s">
        <v>13</v>
      </c>
      <c r="B349" s="6" t="s">
        <v>77</v>
      </c>
      <c r="C349" s="5">
        <v>703793000</v>
      </c>
      <c r="D349" s="5">
        <v>468026000</v>
      </c>
      <c r="E349" t="s">
        <v>7896</v>
      </c>
      <c r="F349">
        <v>8</v>
      </c>
      <c r="G349" s="12">
        <v>235767000</v>
      </c>
      <c r="H349">
        <v>87974125</v>
      </c>
      <c r="I349">
        <v>29470875</v>
      </c>
    </row>
    <row r="350" spans="1:9">
      <c r="A350" s="3" t="s">
        <v>13</v>
      </c>
      <c r="B350" s="6" t="s">
        <v>22</v>
      </c>
      <c r="C350" s="5">
        <v>292451000</v>
      </c>
      <c r="D350" s="5">
        <v>354412000</v>
      </c>
      <c r="E350" t="s">
        <v>7896</v>
      </c>
      <c r="F350">
        <v>13</v>
      </c>
      <c r="G350" s="12">
        <v>-61961000</v>
      </c>
      <c r="H350">
        <v>22496230.769230768</v>
      </c>
      <c r="I350">
        <v>-4766230.769230769</v>
      </c>
    </row>
    <row r="351" spans="1:9">
      <c r="A351" s="3" t="s">
        <v>13</v>
      </c>
      <c r="B351" s="6" t="s">
        <v>22</v>
      </c>
      <c r="C351" s="5">
        <v>6566000</v>
      </c>
      <c r="D351" s="5">
        <v>6668000</v>
      </c>
      <c r="E351" t="s">
        <v>7896</v>
      </c>
      <c r="F351">
        <v>13</v>
      </c>
      <c r="G351" s="12">
        <v>-102000</v>
      </c>
      <c r="H351">
        <v>505076.92307692306</v>
      </c>
      <c r="I351">
        <v>-7846.1538461538457</v>
      </c>
    </row>
    <row r="352" spans="1:9">
      <c r="A352" s="3" t="s">
        <v>13</v>
      </c>
      <c r="B352" s="6" t="s">
        <v>22</v>
      </c>
      <c r="C352" s="5">
        <v>14550000</v>
      </c>
      <c r="D352" s="5">
        <v>15837000</v>
      </c>
      <c r="E352" t="s">
        <v>7896</v>
      </c>
      <c r="F352">
        <v>13</v>
      </c>
      <c r="G352" s="12">
        <v>-1287000</v>
      </c>
      <c r="H352">
        <v>1119230.7692307692</v>
      </c>
      <c r="I352">
        <v>-99000</v>
      </c>
    </row>
    <row r="353" spans="1:9">
      <c r="A353" s="3" t="s">
        <v>13</v>
      </c>
      <c r="B353" s="6" t="s">
        <v>77</v>
      </c>
      <c r="C353" s="5">
        <v>64637000</v>
      </c>
      <c r="D353" s="5">
        <v>85342000</v>
      </c>
      <c r="E353" t="s">
        <v>7896</v>
      </c>
      <c r="F353">
        <v>8</v>
      </c>
      <c r="G353" s="12">
        <v>-20705000</v>
      </c>
      <c r="H353">
        <v>8079625</v>
      </c>
      <c r="I353">
        <v>-2588125</v>
      </c>
    </row>
    <row r="354" spans="1:9">
      <c r="A354" s="3" t="s">
        <v>13</v>
      </c>
      <c r="B354" s="6" t="s">
        <v>22</v>
      </c>
      <c r="C354" s="5">
        <v>38436000</v>
      </c>
      <c r="D354" s="5">
        <v>37666000</v>
      </c>
      <c r="E354" t="s">
        <v>7896</v>
      </c>
      <c r="F354">
        <v>13</v>
      </c>
      <c r="G354" s="12">
        <v>770000</v>
      </c>
      <c r="H354">
        <v>2956615.3846153845</v>
      </c>
      <c r="I354">
        <v>59230.769230769234</v>
      </c>
    </row>
    <row r="355" spans="1:9">
      <c r="A355" s="3" t="s">
        <v>13</v>
      </c>
      <c r="B355" s="6" t="s">
        <v>18</v>
      </c>
      <c r="C355" s="5">
        <v>8110000</v>
      </c>
      <c r="D355" s="5">
        <v>8803000</v>
      </c>
      <c r="E355" t="s">
        <v>7896</v>
      </c>
      <c r="F355">
        <v>2.5</v>
      </c>
      <c r="G355" s="12">
        <v>-693000</v>
      </c>
      <c r="H355">
        <v>3244000</v>
      </c>
      <c r="I355">
        <v>-277200</v>
      </c>
    </row>
    <row r="356" spans="1:9">
      <c r="A356" s="3" t="s">
        <v>13</v>
      </c>
      <c r="B356" s="6" t="s">
        <v>18</v>
      </c>
      <c r="C356" s="5">
        <v>540000</v>
      </c>
      <c r="D356" s="5">
        <v>540000</v>
      </c>
      <c r="E356" t="s">
        <v>7896</v>
      </c>
      <c r="F356">
        <v>2.5</v>
      </c>
      <c r="G356" s="12">
        <v>0</v>
      </c>
      <c r="H356">
        <v>216000</v>
      </c>
      <c r="I356">
        <v>0</v>
      </c>
    </row>
    <row r="357" spans="1:9">
      <c r="A357" s="3" t="s">
        <v>13</v>
      </c>
      <c r="B357" s="6" t="s">
        <v>18</v>
      </c>
      <c r="C357" s="5">
        <v>1351000</v>
      </c>
      <c r="D357" s="5">
        <v>1337000</v>
      </c>
      <c r="E357" t="s">
        <v>7896</v>
      </c>
      <c r="F357">
        <v>2.5</v>
      </c>
      <c r="G357" s="12">
        <v>14000</v>
      </c>
      <c r="H357">
        <v>540400</v>
      </c>
      <c r="I357">
        <v>5600</v>
      </c>
    </row>
    <row r="358" spans="1:9">
      <c r="A358" s="3" t="s">
        <v>13</v>
      </c>
      <c r="B358" s="6" t="s">
        <v>18</v>
      </c>
      <c r="C358" s="5">
        <v>26941000</v>
      </c>
      <c r="D358" s="5">
        <v>11738000</v>
      </c>
      <c r="E358" t="s">
        <v>7896</v>
      </c>
      <c r="F358">
        <v>2.5</v>
      </c>
      <c r="G358" s="12">
        <v>15203000</v>
      </c>
      <c r="H358">
        <v>10776400</v>
      </c>
      <c r="I358">
        <v>6081200</v>
      </c>
    </row>
    <row r="359" spans="1:9">
      <c r="A359" s="3" t="s">
        <v>13</v>
      </c>
      <c r="B359" s="6" t="s">
        <v>18</v>
      </c>
      <c r="C359" s="5">
        <v>1699000</v>
      </c>
      <c r="D359" s="5">
        <v>1914000</v>
      </c>
      <c r="E359" t="s">
        <v>7896</v>
      </c>
      <c r="F359">
        <v>2.5</v>
      </c>
      <c r="G359" s="12">
        <v>-215000</v>
      </c>
      <c r="H359">
        <v>679600</v>
      </c>
      <c r="I359">
        <v>-86000</v>
      </c>
    </row>
    <row r="360" spans="1:9">
      <c r="A360" s="3" t="s">
        <v>13</v>
      </c>
      <c r="B360" s="6" t="s">
        <v>22</v>
      </c>
      <c r="C360" s="5">
        <v>69987000</v>
      </c>
      <c r="D360" s="5">
        <v>71678000</v>
      </c>
      <c r="E360" t="s">
        <v>7896</v>
      </c>
      <c r="F360">
        <v>13</v>
      </c>
      <c r="G360" s="12">
        <v>-1691000</v>
      </c>
      <c r="H360">
        <v>5383615.384615385</v>
      </c>
      <c r="I360">
        <v>-130076.92307692308</v>
      </c>
    </row>
    <row r="361" spans="1:9">
      <c r="A361" s="3" t="s">
        <v>13</v>
      </c>
      <c r="B361" s="6" t="s">
        <v>22</v>
      </c>
      <c r="C361" s="5">
        <v>216523000</v>
      </c>
      <c r="D361" s="5">
        <v>165237000</v>
      </c>
      <c r="E361" t="s">
        <v>7896</v>
      </c>
      <c r="F361">
        <v>13</v>
      </c>
      <c r="G361" s="12">
        <v>51286000</v>
      </c>
      <c r="H361">
        <v>16655615.384615384</v>
      </c>
      <c r="I361">
        <v>3945076.923076923</v>
      </c>
    </row>
    <row r="362" spans="1:9">
      <c r="A362" s="3" t="s">
        <v>13</v>
      </c>
      <c r="B362" s="6" t="s">
        <v>18</v>
      </c>
      <c r="C362" s="5">
        <v>171000</v>
      </c>
      <c r="D362" s="5">
        <v>152000</v>
      </c>
      <c r="E362" t="s">
        <v>7896</v>
      </c>
      <c r="F362">
        <v>2.5</v>
      </c>
      <c r="G362" s="12">
        <v>19000</v>
      </c>
      <c r="H362">
        <v>68400</v>
      </c>
      <c r="I362">
        <v>7600</v>
      </c>
    </row>
    <row r="363" spans="1:9">
      <c r="A363" s="3" t="s">
        <v>13</v>
      </c>
      <c r="B363" s="6" t="s">
        <v>18</v>
      </c>
      <c r="C363" s="5">
        <v>15035000</v>
      </c>
      <c r="D363" s="5">
        <v>23060000</v>
      </c>
      <c r="E363" t="s">
        <v>7896</v>
      </c>
      <c r="F363">
        <v>2.5</v>
      </c>
      <c r="G363" s="12">
        <v>-8025000</v>
      </c>
      <c r="H363">
        <v>6014000</v>
      </c>
      <c r="I363">
        <v>-3210000</v>
      </c>
    </row>
    <row r="364" spans="1:9">
      <c r="A364" s="3" t="s">
        <v>13</v>
      </c>
      <c r="B364" s="6" t="s">
        <v>18</v>
      </c>
      <c r="C364" s="5">
        <v>200000000</v>
      </c>
      <c r="D364" s="5">
        <v>42240000</v>
      </c>
      <c r="E364" t="s">
        <v>7896</v>
      </c>
      <c r="F364">
        <v>2.5</v>
      </c>
      <c r="G364" s="12">
        <v>157760000</v>
      </c>
      <c r="H364">
        <v>80000000</v>
      </c>
      <c r="I364">
        <v>63104000</v>
      </c>
    </row>
    <row r="365" spans="1:9">
      <c r="A365" s="3" t="s">
        <v>13</v>
      </c>
      <c r="B365" s="6" t="s">
        <v>18</v>
      </c>
      <c r="C365" s="5">
        <v>87000</v>
      </c>
      <c r="D365" s="5">
        <v>39000</v>
      </c>
      <c r="E365" t="s">
        <v>7896</v>
      </c>
      <c r="F365">
        <v>2.5</v>
      </c>
      <c r="G365" s="12">
        <v>48000</v>
      </c>
      <c r="H365">
        <v>34800</v>
      </c>
      <c r="I365">
        <v>19200</v>
      </c>
    </row>
    <row r="366" spans="1:9">
      <c r="A366" s="3" t="s">
        <v>13</v>
      </c>
      <c r="B366" s="6" t="s">
        <v>18</v>
      </c>
      <c r="C366" s="5">
        <v>7122000</v>
      </c>
      <c r="D366" s="5">
        <v>7214000</v>
      </c>
      <c r="E366" t="s">
        <v>7896</v>
      </c>
      <c r="F366">
        <v>2.5</v>
      </c>
      <c r="G366" s="12">
        <v>-92000</v>
      </c>
      <c r="H366">
        <v>2848800</v>
      </c>
      <c r="I366">
        <v>-36800</v>
      </c>
    </row>
    <row r="367" spans="1:9">
      <c r="A367" s="3" t="s">
        <v>13</v>
      </c>
      <c r="B367" s="6" t="s">
        <v>18</v>
      </c>
      <c r="C367" s="5">
        <v>2069000</v>
      </c>
      <c r="D367" s="5">
        <v>1662000</v>
      </c>
      <c r="E367" t="s">
        <v>7896</v>
      </c>
      <c r="F367">
        <v>2.5</v>
      </c>
      <c r="G367" s="12">
        <v>407000</v>
      </c>
      <c r="H367">
        <v>827600</v>
      </c>
      <c r="I367">
        <v>162800</v>
      </c>
    </row>
    <row r="368" spans="1:9">
      <c r="A368" s="3" t="s">
        <v>13</v>
      </c>
      <c r="B368" s="6" t="s">
        <v>807</v>
      </c>
      <c r="C368" s="5">
        <v>210174000</v>
      </c>
      <c r="D368" s="5">
        <v>209771000</v>
      </c>
      <c r="E368" t="s">
        <v>7897</v>
      </c>
      <c r="F368">
        <v>175.5</v>
      </c>
      <c r="G368" s="12">
        <v>403000</v>
      </c>
      <c r="H368">
        <v>1197572.6495726495</v>
      </c>
      <c r="I368">
        <v>2296.2962962962961</v>
      </c>
    </row>
    <row r="369" spans="1:9">
      <c r="A369" s="3" t="s">
        <v>13</v>
      </c>
      <c r="B369" s="6" t="s">
        <v>18</v>
      </c>
      <c r="C369" s="5">
        <v>34254000</v>
      </c>
      <c r="D369" s="5">
        <v>30749000</v>
      </c>
      <c r="E369" t="s">
        <v>7896</v>
      </c>
      <c r="F369">
        <v>2.5</v>
      </c>
      <c r="G369" s="12">
        <v>3505000</v>
      </c>
      <c r="H369">
        <v>13701600</v>
      </c>
      <c r="I369">
        <v>1402000</v>
      </c>
    </row>
    <row r="370" spans="1:9">
      <c r="A370" s="3" t="s">
        <v>13</v>
      </c>
      <c r="B370" s="6" t="s">
        <v>18</v>
      </c>
      <c r="C370" s="5">
        <v>1928000</v>
      </c>
      <c r="D370" s="5">
        <v>1983000</v>
      </c>
      <c r="E370" t="s">
        <v>7896</v>
      </c>
      <c r="F370">
        <v>2.5</v>
      </c>
      <c r="G370" s="12">
        <v>-55000</v>
      </c>
      <c r="H370">
        <v>771200</v>
      </c>
      <c r="I370">
        <v>-22000</v>
      </c>
    </row>
    <row r="371" spans="1:9">
      <c r="A371" s="3" t="s">
        <v>13</v>
      </c>
      <c r="B371" s="6" t="s">
        <v>18</v>
      </c>
      <c r="C371" s="5">
        <v>7758000</v>
      </c>
      <c r="D371" s="5">
        <v>6147000</v>
      </c>
      <c r="E371" t="s">
        <v>7896</v>
      </c>
      <c r="F371">
        <v>2.5</v>
      </c>
      <c r="G371" s="12">
        <v>1611000</v>
      </c>
      <c r="H371">
        <v>3103200</v>
      </c>
      <c r="I371">
        <v>644400</v>
      </c>
    </row>
    <row r="372" spans="1:9">
      <c r="A372" s="3" t="s">
        <v>13</v>
      </c>
      <c r="B372" s="6" t="s">
        <v>77</v>
      </c>
      <c r="C372" s="5">
        <v>411626000</v>
      </c>
      <c r="D372" s="5">
        <v>296732000</v>
      </c>
      <c r="E372" t="s">
        <v>7896</v>
      </c>
      <c r="F372">
        <v>8</v>
      </c>
      <c r="G372" s="12">
        <v>114894000</v>
      </c>
      <c r="H372">
        <v>51453250</v>
      </c>
      <c r="I372">
        <v>14361750</v>
      </c>
    </row>
    <row r="373" spans="1:9">
      <c r="A373" s="3" t="s">
        <v>13</v>
      </c>
      <c r="B373" s="6" t="s">
        <v>18</v>
      </c>
      <c r="C373" s="5">
        <v>5230000</v>
      </c>
      <c r="D373" s="5">
        <v>2311000</v>
      </c>
      <c r="E373" t="s">
        <v>7896</v>
      </c>
      <c r="F373">
        <v>2.5</v>
      </c>
      <c r="G373" s="12">
        <v>2919000</v>
      </c>
      <c r="H373">
        <v>2092000</v>
      </c>
      <c r="I373">
        <v>1167600</v>
      </c>
    </row>
    <row r="374" spans="1:9">
      <c r="A374" s="3" t="s">
        <v>13</v>
      </c>
      <c r="B374" s="6" t="s">
        <v>18</v>
      </c>
      <c r="C374" s="5">
        <v>543633000</v>
      </c>
      <c r="D374" s="5">
        <v>606984000</v>
      </c>
      <c r="E374" t="s">
        <v>7896</v>
      </c>
      <c r="F374">
        <v>2.5</v>
      </c>
      <c r="G374" s="12">
        <v>-63351000</v>
      </c>
      <c r="H374">
        <v>217453200</v>
      </c>
      <c r="I374">
        <v>-25340400</v>
      </c>
    </row>
    <row r="375" spans="1:9">
      <c r="A375" s="3" t="s">
        <v>13</v>
      </c>
      <c r="B375" s="6" t="s">
        <v>18</v>
      </c>
      <c r="C375" s="5">
        <v>1143000</v>
      </c>
      <c r="D375" s="5">
        <v>1757000</v>
      </c>
      <c r="E375" t="s">
        <v>7896</v>
      </c>
      <c r="F375">
        <v>2.5</v>
      </c>
      <c r="G375" s="12">
        <v>-614000</v>
      </c>
      <c r="H375">
        <v>457200</v>
      </c>
      <c r="I375">
        <v>-245600</v>
      </c>
    </row>
    <row r="376" spans="1:9">
      <c r="A376" s="3" t="s">
        <v>13</v>
      </c>
      <c r="B376" s="6" t="s">
        <v>18</v>
      </c>
      <c r="C376" s="5">
        <v>12642000</v>
      </c>
      <c r="D376" s="5">
        <v>5474000</v>
      </c>
      <c r="E376" t="s">
        <v>7896</v>
      </c>
      <c r="F376">
        <v>2.5</v>
      </c>
      <c r="G376" s="12">
        <v>7168000</v>
      </c>
      <c r="H376">
        <v>5056800</v>
      </c>
      <c r="I376">
        <v>2867200</v>
      </c>
    </row>
    <row r="377" spans="1:9">
      <c r="A377" t="s">
        <v>1508</v>
      </c>
      <c r="B377" t="s">
        <v>18</v>
      </c>
      <c r="C377">
        <v>1030000</v>
      </c>
      <c r="D377">
        <v>1311000</v>
      </c>
      <c r="E377" t="s">
        <v>7896</v>
      </c>
      <c r="F377">
        <v>2.5</v>
      </c>
      <c r="G377" s="12">
        <v>-281000</v>
      </c>
      <c r="H377">
        <v>412000</v>
      </c>
      <c r="I377">
        <v>-112400</v>
      </c>
    </row>
    <row r="378" spans="1:9">
      <c r="A378" t="s">
        <v>1516</v>
      </c>
      <c r="B378" t="s">
        <v>18</v>
      </c>
      <c r="C378">
        <v>10390000</v>
      </c>
      <c r="D378">
        <v>8681000</v>
      </c>
      <c r="E378" t="s">
        <v>7896</v>
      </c>
      <c r="F378">
        <v>2.5</v>
      </c>
      <c r="G378" s="12">
        <v>1709000</v>
      </c>
      <c r="H378">
        <v>4156000</v>
      </c>
      <c r="I378">
        <v>683600</v>
      </c>
    </row>
    <row r="379" spans="1:9">
      <c r="A379" t="s">
        <v>1527</v>
      </c>
      <c r="B379" t="s">
        <v>18</v>
      </c>
      <c r="C379">
        <v>436000</v>
      </c>
      <c r="D379">
        <v>428000</v>
      </c>
      <c r="E379" t="s">
        <v>7896</v>
      </c>
      <c r="F379">
        <v>2.5</v>
      </c>
      <c r="G379" s="12">
        <v>8000</v>
      </c>
      <c r="H379">
        <v>174400</v>
      </c>
      <c r="I379">
        <v>3200</v>
      </c>
    </row>
    <row r="380" spans="1:9">
      <c r="A380" t="s">
        <v>1526</v>
      </c>
      <c r="B380" t="s">
        <v>22</v>
      </c>
      <c r="C380">
        <v>7245000</v>
      </c>
      <c r="D380">
        <v>6065000</v>
      </c>
      <c r="E380" t="s">
        <v>7896</v>
      </c>
      <c r="F380">
        <v>13</v>
      </c>
      <c r="G380" s="12">
        <v>1180000</v>
      </c>
      <c r="H380">
        <v>557307.69230769225</v>
      </c>
      <c r="I380">
        <v>90769.230769230766</v>
      </c>
    </row>
    <row r="381" spans="1:9">
      <c r="A381" t="s">
        <v>1533</v>
      </c>
      <c r="B381" t="s">
        <v>18</v>
      </c>
      <c r="C381">
        <v>1779000</v>
      </c>
      <c r="D381">
        <v>2017000</v>
      </c>
      <c r="E381" t="s">
        <v>7896</v>
      </c>
      <c r="F381">
        <v>2.5</v>
      </c>
      <c r="G381" s="12">
        <v>-238000</v>
      </c>
      <c r="H381">
        <v>711600</v>
      </c>
      <c r="I381">
        <v>-95200</v>
      </c>
    </row>
    <row r="382" spans="1:9">
      <c r="A382" t="s">
        <v>1532</v>
      </c>
      <c r="B382" t="s">
        <v>22</v>
      </c>
      <c r="C382">
        <v>349895000</v>
      </c>
      <c r="D382">
        <v>352614000</v>
      </c>
      <c r="E382" t="s">
        <v>7896</v>
      </c>
      <c r="F382">
        <v>13</v>
      </c>
      <c r="G382" s="12">
        <v>-2719000</v>
      </c>
      <c r="H382">
        <v>26915000</v>
      </c>
      <c r="I382">
        <v>-209153.84615384616</v>
      </c>
    </row>
    <row r="383" spans="1:9">
      <c r="A383" t="s">
        <v>1532</v>
      </c>
      <c r="B383" t="s">
        <v>18</v>
      </c>
      <c r="C383">
        <v>4000000</v>
      </c>
      <c r="D383">
        <v>4328000</v>
      </c>
      <c r="E383" t="s">
        <v>7896</v>
      </c>
      <c r="F383">
        <v>2.5</v>
      </c>
      <c r="G383" s="12">
        <v>-328000</v>
      </c>
      <c r="H383">
        <v>1600000</v>
      </c>
      <c r="I383">
        <v>-131200</v>
      </c>
    </row>
    <row r="384" spans="1:9">
      <c r="A384" t="s">
        <v>1532</v>
      </c>
      <c r="B384" t="s">
        <v>18</v>
      </c>
      <c r="C384">
        <v>1100000</v>
      </c>
      <c r="D384">
        <v>1100000</v>
      </c>
      <c r="E384" t="s">
        <v>7896</v>
      </c>
      <c r="F384">
        <v>2.5</v>
      </c>
      <c r="G384" s="12">
        <v>0</v>
      </c>
      <c r="H384">
        <v>440000</v>
      </c>
      <c r="I384">
        <v>0</v>
      </c>
    </row>
    <row r="385" spans="1:9">
      <c r="A385" t="s">
        <v>1565</v>
      </c>
      <c r="B385" t="s">
        <v>18</v>
      </c>
      <c r="C385">
        <v>18501000</v>
      </c>
      <c r="D385">
        <v>18453000</v>
      </c>
      <c r="E385" t="s">
        <v>7896</v>
      </c>
      <c r="F385">
        <v>2.5</v>
      </c>
      <c r="G385" s="12">
        <v>48000</v>
      </c>
      <c r="H385">
        <v>7400400</v>
      </c>
      <c r="I385">
        <v>19200</v>
      </c>
    </row>
    <row r="386" spans="1:9">
      <c r="A386" t="s">
        <v>1508</v>
      </c>
      <c r="B386" t="s">
        <v>18</v>
      </c>
      <c r="C386">
        <v>143662000</v>
      </c>
      <c r="D386">
        <v>145571000</v>
      </c>
      <c r="E386" t="s">
        <v>7896</v>
      </c>
      <c r="F386">
        <v>2.5</v>
      </c>
      <c r="G386" s="12">
        <v>-1909000</v>
      </c>
      <c r="H386">
        <v>57464800</v>
      </c>
      <c r="I386">
        <v>-763600</v>
      </c>
    </row>
    <row r="387" spans="1:9">
      <c r="A387" t="s">
        <v>1520</v>
      </c>
      <c r="B387" t="s">
        <v>18</v>
      </c>
      <c r="C387">
        <v>894000</v>
      </c>
      <c r="D387">
        <v>670000</v>
      </c>
      <c r="E387" t="s">
        <v>7896</v>
      </c>
      <c r="F387">
        <v>2.5</v>
      </c>
      <c r="G387" s="12">
        <v>224000</v>
      </c>
      <c r="H387">
        <v>357600</v>
      </c>
      <c r="I387">
        <v>89600</v>
      </c>
    </row>
    <row r="388" spans="1:9">
      <c r="A388" t="s">
        <v>1575</v>
      </c>
      <c r="B388" t="s">
        <v>18</v>
      </c>
      <c r="C388">
        <v>1502000</v>
      </c>
      <c r="D388">
        <v>1441000</v>
      </c>
      <c r="E388" t="s">
        <v>7896</v>
      </c>
      <c r="F388">
        <v>2.5</v>
      </c>
      <c r="G388" s="12">
        <v>61000</v>
      </c>
      <c r="H388">
        <v>600800</v>
      </c>
      <c r="I388">
        <v>24400</v>
      </c>
    </row>
    <row r="389" spans="1:9">
      <c r="A389" t="s">
        <v>1535</v>
      </c>
      <c r="B389" t="s">
        <v>18</v>
      </c>
      <c r="C389">
        <v>17936000</v>
      </c>
      <c r="D389">
        <v>17591000</v>
      </c>
      <c r="E389" t="s">
        <v>7896</v>
      </c>
      <c r="F389">
        <v>2.5</v>
      </c>
      <c r="G389" s="12">
        <v>345000</v>
      </c>
      <c r="H389">
        <v>7174400</v>
      </c>
      <c r="I389">
        <v>138000</v>
      </c>
    </row>
    <row r="390" spans="1:9">
      <c r="A390" t="s">
        <v>1532</v>
      </c>
      <c r="B390" t="s">
        <v>18</v>
      </c>
      <c r="C390">
        <v>130383000</v>
      </c>
      <c r="D390">
        <v>82391000</v>
      </c>
      <c r="E390" t="s">
        <v>7896</v>
      </c>
      <c r="F390">
        <v>2.5</v>
      </c>
      <c r="G390" s="12">
        <v>47992000</v>
      </c>
      <c r="H390">
        <v>52153200</v>
      </c>
      <c r="I390">
        <v>19196800</v>
      </c>
    </row>
    <row r="391" spans="1:9">
      <c r="A391" t="s">
        <v>1588</v>
      </c>
      <c r="B391" t="s">
        <v>18</v>
      </c>
      <c r="C391">
        <v>1645000</v>
      </c>
      <c r="D391">
        <v>1737000</v>
      </c>
      <c r="E391" t="s">
        <v>7896</v>
      </c>
      <c r="F391">
        <v>2.5</v>
      </c>
      <c r="G391" s="12">
        <v>-92000</v>
      </c>
      <c r="H391">
        <v>658000</v>
      </c>
      <c r="I391">
        <v>-36800</v>
      </c>
    </row>
    <row r="392" spans="1:9">
      <c r="A392" t="s">
        <v>1509</v>
      </c>
      <c r="B392" t="s">
        <v>18</v>
      </c>
      <c r="C392">
        <v>1300000</v>
      </c>
      <c r="D392">
        <v>1204000</v>
      </c>
      <c r="E392" t="s">
        <v>7896</v>
      </c>
      <c r="F392">
        <v>2.5</v>
      </c>
      <c r="G392" s="12">
        <v>96000</v>
      </c>
      <c r="H392">
        <v>520000</v>
      </c>
      <c r="I392">
        <v>38400</v>
      </c>
    </row>
    <row r="393" spans="1:9">
      <c r="A393" t="s">
        <v>1532</v>
      </c>
      <c r="B393" t="s">
        <v>18</v>
      </c>
      <c r="C393">
        <v>1603000</v>
      </c>
      <c r="D393">
        <v>1235000</v>
      </c>
      <c r="E393" t="s">
        <v>7896</v>
      </c>
      <c r="F393">
        <v>2.5</v>
      </c>
      <c r="G393" s="12">
        <v>368000</v>
      </c>
      <c r="H393">
        <v>641200</v>
      </c>
      <c r="I393">
        <v>147200</v>
      </c>
    </row>
    <row r="394" spans="1:9">
      <c r="A394" t="s">
        <v>1585</v>
      </c>
      <c r="B394" t="s">
        <v>18</v>
      </c>
      <c r="C394">
        <v>90000</v>
      </c>
      <c r="D394">
        <v>391000</v>
      </c>
      <c r="E394" t="s">
        <v>7896</v>
      </c>
      <c r="F394">
        <v>2.5</v>
      </c>
      <c r="G394" s="12">
        <v>-301000</v>
      </c>
      <c r="H394">
        <v>36000</v>
      </c>
      <c r="I394">
        <v>-120400</v>
      </c>
    </row>
    <row r="395" spans="1:9">
      <c r="A395" t="s">
        <v>1532</v>
      </c>
      <c r="B395" t="s">
        <v>18</v>
      </c>
      <c r="C395">
        <v>3806000</v>
      </c>
      <c r="D395">
        <v>1963000</v>
      </c>
      <c r="E395" t="s">
        <v>7896</v>
      </c>
      <c r="F395">
        <v>2.5</v>
      </c>
      <c r="G395" s="12">
        <v>1843000</v>
      </c>
      <c r="H395">
        <v>1522400</v>
      </c>
      <c r="I395">
        <v>737200</v>
      </c>
    </row>
    <row r="396" spans="1:9">
      <c r="A396" t="s">
        <v>1604</v>
      </c>
      <c r="B396" t="s">
        <v>18</v>
      </c>
      <c r="C396">
        <v>50576000</v>
      </c>
      <c r="D396">
        <v>50353000</v>
      </c>
      <c r="E396" t="s">
        <v>7896</v>
      </c>
      <c r="F396">
        <v>2.5</v>
      </c>
      <c r="G396" s="12">
        <v>223000</v>
      </c>
      <c r="H396">
        <v>20230400</v>
      </c>
      <c r="I396">
        <v>89200</v>
      </c>
    </row>
    <row r="397" spans="1:9">
      <c r="A397" t="s">
        <v>1604</v>
      </c>
      <c r="B397" t="s">
        <v>77</v>
      </c>
      <c r="C397">
        <v>24123000</v>
      </c>
      <c r="D397">
        <v>24927000</v>
      </c>
      <c r="E397" t="s">
        <v>7896</v>
      </c>
      <c r="F397">
        <v>8</v>
      </c>
      <c r="G397" s="12">
        <v>-804000</v>
      </c>
      <c r="H397">
        <v>3015375</v>
      </c>
      <c r="I397">
        <v>-100500</v>
      </c>
    </row>
    <row r="398" spans="1:9">
      <c r="A398" t="s">
        <v>1524</v>
      </c>
      <c r="B398" t="s">
        <v>18</v>
      </c>
      <c r="C398">
        <v>1625000</v>
      </c>
      <c r="D398">
        <v>1266000</v>
      </c>
      <c r="E398" t="s">
        <v>7896</v>
      </c>
      <c r="F398">
        <v>2.5</v>
      </c>
      <c r="G398" s="12">
        <v>359000</v>
      </c>
      <c r="H398">
        <v>650000</v>
      </c>
      <c r="I398">
        <v>143600</v>
      </c>
    </row>
    <row r="399" spans="1:9">
      <c r="A399" t="s">
        <v>1526</v>
      </c>
      <c r="B399" t="s">
        <v>22</v>
      </c>
      <c r="C399">
        <v>14543000</v>
      </c>
      <c r="D399">
        <v>14541000</v>
      </c>
      <c r="E399" t="s">
        <v>7896</v>
      </c>
      <c r="F399">
        <v>13</v>
      </c>
      <c r="G399" s="12">
        <v>2000</v>
      </c>
      <c r="H399">
        <v>1118692.3076923077</v>
      </c>
      <c r="I399">
        <v>153.84615384615384</v>
      </c>
    </row>
    <row r="400" spans="1:9">
      <c r="A400" t="s">
        <v>1579</v>
      </c>
      <c r="B400" t="s">
        <v>18</v>
      </c>
      <c r="C400">
        <v>1322000</v>
      </c>
      <c r="D400">
        <v>1291000</v>
      </c>
      <c r="E400" t="s">
        <v>7896</v>
      </c>
      <c r="F400">
        <v>2.5</v>
      </c>
      <c r="G400" s="12">
        <v>31000</v>
      </c>
      <c r="H400">
        <v>528800</v>
      </c>
      <c r="I400">
        <v>12400</v>
      </c>
    </row>
    <row r="401" spans="1:9">
      <c r="A401" t="s">
        <v>1512</v>
      </c>
      <c r="B401" t="s">
        <v>18</v>
      </c>
      <c r="C401">
        <v>4231000</v>
      </c>
      <c r="D401">
        <v>3668000</v>
      </c>
      <c r="E401" t="s">
        <v>7896</v>
      </c>
      <c r="F401">
        <v>2.5</v>
      </c>
      <c r="G401" s="12">
        <v>563000</v>
      </c>
      <c r="H401">
        <v>1692400</v>
      </c>
      <c r="I401">
        <v>225200</v>
      </c>
    </row>
    <row r="402" spans="1:9">
      <c r="A402" t="s">
        <v>1628</v>
      </c>
      <c r="B402" t="s">
        <v>18</v>
      </c>
      <c r="C402">
        <v>315000</v>
      </c>
      <c r="D402">
        <v>325000</v>
      </c>
      <c r="E402" t="s">
        <v>7896</v>
      </c>
      <c r="F402">
        <v>2.5</v>
      </c>
      <c r="G402" s="12">
        <v>-10000</v>
      </c>
      <c r="H402">
        <v>126000</v>
      </c>
      <c r="I402">
        <v>-4000</v>
      </c>
    </row>
    <row r="403" spans="1:9">
      <c r="A403" t="s">
        <v>1517</v>
      </c>
      <c r="B403" t="s">
        <v>18</v>
      </c>
      <c r="C403">
        <v>95000</v>
      </c>
      <c r="D403">
        <v>95000</v>
      </c>
      <c r="E403" t="s">
        <v>7896</v>
      </c>
      <c r="F403">
        <v>2.5</v>
      </c>
      <c r="G403" s="12">
        <v>0</v>
      </c>
      <c r="H403">
        <v>38000</v>
      </c>
      <c r="I403">
        <v>0</v>
      </c>
    </row>
    <row r="404" spans="1:9">
      <c r="A404" t="s">
        <v>1532</v>
      </c>
      <c r="B404" t="s">
        <v>18</v>
      </c>
      <c r="C404">
        <v>144000</v>
      </c>
      <c r="D404">
        <v>144000</v>
      </c>
      <c r="E404" t="s">
        <v>7896</v>
      </c>
      <c r="F404">
        <v>2.5</v>
      </c>
      <c r="G404" s="12">
        <v>0</v>
      </c>
      <c r="H404">
        <v>57600</v>
      </c>
      <c r="I404">
        <v>0</v>
      </c>
    </row>
    <row r="405" spans="1:9">
      <c r="A405" t="s">
        <v>1619</v>
      </c>
      <c r="B405" t="s">
        <v>18</v>
      </c>
      <c r="C405">
        <v>426000</v>
      </c>
      <c r="D405">
        <v>25000</v>
      </c>
      <c r="E405" t="s">
        <v>7896</v>
      </c>
      <c r="F405">
        <v>2.5</v>
      </c>
      <c r="G405" s="12">
        <v>401000</v>
      </c>
      <c r="H405">
        <v>170400</v>
      </c>
      <c r="I405">
        <v>160400</v>
      </c>
    </row>
    <row r="406" spans="1:9">
      <c r="A406" t="s">
        <v>1642</v>
      </c>
      <c r="B406" t="s">
        <v>18</v>
      </c>
      <c r="C406">
        <v>3713000</v>
      </c>
      <c r="D406">
        <v>3509000</v>
      </c>
      <c r="E406" t="s">
        <v>7896</v>
      </c>
      <c r="F406">
        <v>2.5</v>
      </c>
      <c r="G406" s="12">
        <v>204000</v>
      </c>
      <c r="H406">
        <v>1485200</v>
      </c>
      <c r="I406">
        <v>81600</v>
      </c>
    </row>
    <row r="407" spans="1:9">
      <c r="A407" t="s">
        <v>1579</v>
      </c>
      <c r="B407" t="s">
        <v>18</v>
      </c>
      <c r="C407">
        <v>7378000</v>
      </c>
      <c r="D407">
        <v>8729000</v>
      </c>
      <c r="E407" t="s">
        <v>7896</v>
      </c>
      <c r="F407">
        <v>2.5</v>
      </c>
      <c r="G407" s="12">
        <v>-1351000</v>
      </c>
      <c r="H407">
        <v>2951200</v>
      </c>
      <c r="I407">
        <v>-540400</v>
      </c>
    </row>
    <row r="408" spans="1:9">
      <c r="A408" t="s">
        <v>1649</v>
      </c>
      <c r="B408" t="s">
        <v>18</v>
      </c>
      <c r="C408">
        <v>5007000</v>
      </c>
      <c r="D408">
        <v>4433000</v>
      </c>
      <c r="E408" t="s">
        <v>7896</v>
      </c>
      <c r="F408">
        <v>2.5</v>
      </c>
      <c r="G408" s="12">
        <v>574000</v>
      </c>
      <c r="H408">
        <v>2002800</v>
      </c>
      <c r="I408">
        <v>229600</v>
      </c>
    </row>
    <row r="409" spans="1:9">
      <c r="A409" t="s">
        <v>1532</v>
      </c>
      <c r="B409" t="s">
        <v>18</v>
      </c>
      <c r="C409">
        <v>3980000</v>
      </c>
      <c r="D409">
        <v>3638000</v>
      </c>
      <c r="E409" t="s">
        <v>7896</v>
      </c>
      <c r="F409">
        <v>2.5</v>
      </c>
      <c r="G409" s="12">
        <v>342000</v>
      </c>
      <c r="H409">
        <v>1592000</v>
      </c>
      <c r="I409">
        <v>136800</v>
      </c>
    </row>
    <row r="410" spans="1:9">
      <c r="A410" t="s">
        <v>1532</v>
      </c>
      <c r="B410" t="s">
        <v>18</v>
      </c>
      <c r="C410">
        <v>5141000</v>
      </c>
      <c r="D410">
        <v>5437000</v>
      </c>
      <c r="E410" t="s">
        <v>7896</v>
      </c>
      <c r="F410">
        <v>2.5</v>
      </c>
      <c r="G410" s="12">
        <v>-296000</v>
      </c>
      <c r="H410">
        <v>2056400</v>
      </c>
      <c r="I410">
        <v>-118400</v>
      </c>
    </row>
    <row r="411" spans="1:9">
      <c r="A411" t="s">
        <v>1658</v>
      </c>
      <c r="B411" t="s">
        <v>18</v>
      </c>
      <c r="C411">
        <v>681000</v>
      </c>
      <c r="D411">
        <v>1884000</v>
      </c>
      <c r="E411" t="s">
        <v>7896</v>
      </c>
      <c r="F411">
        <v>2.5</v>
      </c>
      <c r="G411" s="12">
        <v>-1203000</v>
      </c>
      <c r="H411">
        <v>272400</v>
      </c>
      <c r="I411">
        <v>-481200</v>
      </c>
    </row>
    <row r="412" spans="1:9">
      <c r="A412" t="s">
        <v>1661</v>
      </c>
      <c r="B412" t="s">
        <v>18</v>
      </c>
      <c r="C412">
        <v>4412000</v>
      </c>
      <c r="D412">
        <v>5838000</v>
      </c>
      <c r="E412" t="s">
        <v>7896</v>
      </c>
      <c r="F412">
        <v>2.5</v>
      </c>
      <c r="G412" s="12">
        <v>-1426000</v>
      </c>
      <c r="H412">
        <v>1764800</v>
      </c>
      <c r="I412">
        <v>-570400</v>
      </c>
    </row>
    <row r="413" spans="1:9">
      <c r="A413" t="s">
        <v>1618</v>
      </c>
      <c r="B413" t="s">
        <v>18</v>
      </c>
      <c r="C413">
        <v>509000</v>
      </c>
      <c r="D413">
        <v>511000</v>
      </c>
      <c r="E413" t="s">
        <v>7896</v>
      </c>
      <c r="F413">
        <v>2.5</v>
      </c>
      <c r="G413" s="12">
        <v>-2000</v>
      </c>
      <c r="H413">
        <v>203600</v>
      </c>
      <c r="I413">
        <v>-800</v>
      </c>
    </row>
    <row r="414" spans="1:9">
      <c r="A414" t="s">
        <v>1532</v>
      </c>
      <c r="B414" t="s">
        <v>18</v>
      </c>
      <c r="C414">
        <v>87175000</v>
      </c>
      <c r="D414">
        <v>83982000</v>
      </c>
      <c r="E414" t="s">
        <v>7896</v>
      </c>
      <c r="F414">
        <v>2.5</v>
      </c>
      <c r="G414" s="12">
        <v>3193000</v>
      </c>
      <c r="H414">
        <v>34870000</v>
      </c>
      <c r="I414">
        <v>1277200</v>
      </c>
    </row>
    <row r="415" spans="1:9">
      <c r="A415" t="s">
        <v>1532</v>
      </c>
      <c r="B415" t="s">
        <v>23</v>
      </c>
      <c r="C415">
        <v>32744000</v>
      </c>
      <c r="D415">
        <v>48533000</v>
      </c>
      <c r="E415" t="s">
        <v>7897</v>
      </c>
      <c r="F415">
        <v>75.5</v>
      </c>
      <c r="G415" s="12">
        <v>-15789000</v>
      </c>
      <c r="H415">
        <v>433695.36423841061</v>
      </c>
      <c r="I415">
        <v>-209125.82781456952</v>
      </c>
    </row>
    <row r="416" spans="1:9">
      <c r="A416" t="s">
        <v>1524</v>
      </c>
      <c r="B416" t="s">
        <v>22</v>
      </c>
      <c r="C416">
        <v>33149000</v>
      </c>
      <c r="D416">
        <v>33033000</v>
      </c>
      <c r="E416" t="s">
        <v>7896</v>
      </c>
      <c r="F416">
        <v>13</v>
      </c>
      <c r="G416" s="12">
        <v>116000</v>
      </c>
      <c r="H416">
        <v>2549923.076923077</v>
      </c>
      <c r="I416">
        <v>8923.0769230769238</v>
      </c>
    </row>
    <row r="417" spans="1:9">
      <c r="A417" t="s">
        <v>1604</v>
      </c>
      <c r="B417" t="s">
        <v>18</v>
      </c>
      <c r="C417">
        <v>1000000</v>
      </c>
      <c r="D417">
        <v>1000000</v>
      </c>
      <c r="E417" t="s">
        <v>7896</v>
      </c>
      <c r="F417">
        <v>2.5</v>
      </c>
      <c r="G417" s="12">
        <v>0</v>
      </c>
      <c r="H417">
        <v>400000</v>
      </c>
      <c r="I417">
        <v>0</v>
      </c>
    </row>
    <row r="418" spans="1:9">
      <c r="A418" t="s">
        <v>1527</v>
      </c>
      <c r="B418" t="s">
        <v>18</v>
      </c>
      <c r="C418">
        <v>1724000</v>
      </c>
      <c r="D418">
        <v>1989000</v>
      </c>
      <c r="E418" t="s">
        <v>7896</v>
      </c>
      <c r="F418">
        <v>2.5</v>
      </c>
      <c r="G418" s="12">
        <v>-265000</v>
      </c>
      <c r="H418">
        <v>689600</v>
      </c>
      <c r="I418">
        <v>-106000</v>
      </c>
    </row>
    <row r="419" spans="1:9">
      <c r="A419" t="s">
        <v>1534</v>
      </c>
      <c r="B419" t="s">
        <v>18</v>
      </c>
      <c r="C419">
        <v>2250000</v>
      </c>
      <c r="D419">
        <v>2174000</v>
      </c>
      <c r="E419" t="s">
        <v>7896</v>
      </c>
      <c r="F419">
        <v>2.5</v>
      </c>
      <c r="G419" s="12">
        <v>76000</v>
      </c>
      <c r="H419">
        <v>900000</v>
      </c>
      <c r="I419">
        <v>30400</v>
      </c>
    </row>
    <row r="420" spans="1:9">
      <c r="A420" t="s">
        <v>1532</v>
      </c>
      <c r="B420" t="s">
        <v>18</v>
      </c>
      <c r="C420">
        <v>300000</v>
      </c>
      <c r="D420">
        <v>225000</v>
      </c>
      <c r="E420" t="s">
        <v>7896</v>
      </c>
      <c r="F420">
        <v>2.5</v>
      </c>
      <c r="G420" s="12">
        <v>75000</v>
      </c>
      <c r="H420">
        <v>120000</v>
      </c>
      <c r="I420">
        <v>30000</v>
      </c>
    </row>
    <row r="421" spans="1:9">
      <c r="A421" t="s">
        <v>1532</v>
      </c>
      <c r="B421" t="s">
        <v>18</v>
      </c>
      <c r="C421">
        <v>2990000</v>
      </c>
      <c r="D421">
        <v>6231000</v>
      </c>
      <c r="E421" t="s">
        <v>7896</v>
      </c>
      <c r="F421">
        <v>2.5</v>
      </c>
      <c r="G421" s="12">
        <v>-3241000</v>
      </c>
      <c r="H421">
        <v>1196000</v>
      </c>
      <c r="I421">
        <v>-1296400</v>
      </c>
    </row>
    <row r="422" spans="1:9">
      <c r="A422" t="s">
        <v>1518</v>
      </c>
      <c r="B422" t="s">
        <v>22</v>
      </c>
      <c r="C422">
        <v>28256000</v>
      </c>
      <c r="D422">
        <v>28319000</v>
      </c>
      <c r="E422" t="s">
        <v>7896</v>
      </c>
      <c r="F422">
        <v>13</v>
      </c>
      <c r="G422" s="12">
        <v>-63000</v>
      </c>
      <c r="H422">
        <v>2173538.4615384615</v>
      </c>
      <c r="I422">
        <v>-4846.1538461538457</v>
      </c>
    </row>
    <row r="423" spans="1:9">
      <c r="A423" t="s">
        <v>1508</v>
      </c>
      <c r="B423" t="s">
        <v>18</v>
      </c>
      <c r="C423">
        <v>1660000</v>
      </c>
      <c r="D423">
        <v>1836000</v>
      </c>
      <c r="E423" t="s">
        <v>7896</v>
      </c>
      <c r="F423">
        <v>2.5</v>
      </c>
      <c r="G423" s="12">
        <v>-176000</v>
      </c>
      <c r="H423">
        <v>664000</v>
      </c>
      <c r="I423">
        <v>-70400</v>
      </c>
    </row>
    <row r="424" spans="1:9">
      <c r="A424" t="s">
        <v>1579</v>
      </c>
      <c r="B424" t="s">
        <v>18</v>
      </c>
      <c r="C424">
        <v>28000</v>
      </c>
      <c r="D424">
        <v>22000</v>
      </c>
      <c r="E424" t="s">
        <v>7896</v>
      </c>
      <c r="F424">
        <v>2.5</v>
      </c>
      <c r="G424" s="12">
        <v>6000</v>
      </c>
      <c r="H424">
        <v>11200</v>
      </c>
      <c r="I424">
        <v>2400</v>
      </c>
    </row>
    <row r="425" spans="1:9">
      <c r="A425" t="s">
        <v>1505</v>
      </c>
      <c r="B425" t="s">
        <v>18</v>
      </c>
      <c r="C425">
        <v>9771000</v>
      </c>
      <c r="D425">
        <v>5975000</v>
      </c>
      <c r="E425" t="s">
        <v>7896</v>
      </c>
      <c r="F425">
        <v>2.5</v>
      </c>
      <c r="G425" s="12">
        <v>3796000</v>
      </c>
      <c r="H425">
        <v>3908400</v>
      </c>
      <c r="I425">
        <v>1518400</v>
      </c>
    </row>
    <row r="426" spans="1:9">
      <c r="A426" t="s">
        <v>1524</v>
      </c>
      <c r="B426" t="s">
        <v>18</v>
      </c>
      <c r="C426">
        <v>179000</v>
      </c>
      <c r="D426">
        <v>179000</v>
      </c>
      <c r="E426" t="s">
        <v>7896</v>
      </c>
      <c r="F426">
        <v>2.5</v>
      </c>
      <c r="G426" s="12">
        <v>0</v>
      </c>
      <c r="H426">
        <v>71600</v>
      </c>
      <c r="I426">
        <v>0</v>
      </c>
    </row>
    <row r="427" spans="1:9">
      <c r="A427" t="s">
        <v>1643</v>
      </c>
      <c r="B427" t="s">
        <v>18</v>
      </c>
      <c r="C427">
        <v>5890000</v>
      </c>
      <c r="D427">
        <v>6549000</v>
      </c>
      <c r="E427" t="s">
        <v>7896</v>
      </c>
      <c r="F427">
        <v>2.5</v>
      </c>
      <c r="G427" s="12">
        <v>-659000</v>
      </c>
      <c r="H427">
        <v>2356000</v>
      </c>
      <c r="I427">
        <v>-263600</v>
      </c>
    </row>
    <row r="428" spans="1:9">
      <c r="A428" t="s">
        <v>1532</v>
      </c>
      <c r="B428" t="s">
        <v>18</v>
      </c>
      <c r="C428">
        <v>53000</v>
      </c>
      <c r="D428">
        <v>53000</v>
      </c>
      <c r="E428" t="s">
        <v>7896</v>
      </c>
      <c r="F428">
        <v>2.5</v>
      </c>
      <c r="G428" s="12">
        <v>0</v>
      </c>
      <c r="H428">
        <v>21200</v>
      </c>
      <c r="I428">
        <v>0</v>
      </c>
    </row>
    <row r="429" spans="1:9">
      <c r="A429" t="s">
        <v>1544</v>
      </c>
      <c r="B429" t="s">
        <v>18</v>
      </c>
      <c r="C429">
        <v>1553000</v>
      </c>
      <c r="D429">
        <v>1557000</v>
      </c>
      <c r="E429" t="s">
        <v>7896</v>
      </c>
      <c r="F429">
        <v>2.5</v>
      </c>
      <c r="G429" s="12">
        <v>-4000</v>
      </c>
      <c r="H429">
        <v>621200</v>
      </c>
      <c r="I429">
        <v>-1600</v>
      </c>
    </row>
    <row r="430" spans="1:9">
      <c r="A430" t="s">
        <v>1508</v>
      </c>
      <c r="B430" t="s">
        <v>18</v>
      </c>
      <c r="C430">
        <v>13250000</v>
      </c>
      <c r="D430">
        <v>12881000</v>
      </c>
      <c r="E430" t="s">
        <v>7896</v>
      </c>
      <c r="F430">
        <v>2.5</v>
      </c>
      <c r="G430" s="12">
        <v>369000</v>
      </c>
      <c r="H430">
        <v>5300000</v>
      </c>
      <c r="I430">
        <v>147600</v>
      </c>
    </row>
    <row r="431" spans="1:9">
      <c r="A431" t="s">
        <v>1512</v>
      </c>
      <c r="B431" t="s">
        <v>18</v>
      </c>
      <c r="C431">
        <v>274000</v>
      </c>
      <c r="D431">
        <v>274000</v>
      </c>
      <c r="E431" t="s">
        <v>7896</v>
      </c>
      <c r="F431">
        <v>2.5</v>
      </c>
      <c r="G431" s="12">
        <v>0</v>
      </c>
      <c r="H431">
        <v>109600</v>
      </c>
      <c r="I431">
        <v>0</v>
      </c>
    </row>
    <row r="432" spans="1:9">
      <c r="A432" t="s">
        <v>1544</v>
      </c>
      <c r="B432" t="s">
        <v>18</v>
      </c>
      <c r="C432">
        <v>214000</v>
      </c>
      <c r="D432">
        <v>170000</v>
      </c>
      <c r="E432" t="s">
        <v>7896</v>
      </c>
      <c r="F432">
        <v>2.5</v>
      </c>
      <c r="G432" s="12">
        <v>44000</v>
      </c>
      <c r="H432">
        <v>85600</v>
      </c>
      <c r="I432">
        <v>17600</v>
      </c>
    </row>
    <row r="433" spans="1:9">
      <c r="A433" t="s">
        <v>1508</v>
      </c>
      <c r="B433" t="s">
        <v>18</v>
      </c>
      <c r="C433">
        <v>389000</v>
      </c>
      <c r="D433">
        <v>389000</v>
      </c>
      <c r="E433" t="s">
        <v>7896</v>
      </c>
      <c r="F433">
        <v>2.5</v>
      </c>
      <c r="G433" s="12">
        <v>0</v>
      </c>
      <c r="H433">
        <v>155600</v>
      </c>
      <c r="I433">
        <v>0</v>
      </c>
    </row>
    <row r="434" spans="1:9">
      <c r="A434" t="s">
        <v>1520</v>
      </c>
      <c r="B434" t="s">
        <v>18</v>
      </c>
      <c r="C434">
        <v>711000</v>
      </c>
      <c r="D434">
        <v>781000</v>
      </c>
      <c r="E434" t="s">
        <v>7896</v>
      </c>
      <c r="F434">
        <v>2.5</v>
      </c>
      <c r="G434" s="12">
        <v>-70000</v>
      </c>
      <c r="H434">
        <v>284400</v>
      </c>
      <c r="I434">
        <v>-28000</v>
      </c>
    </row>
    <row r="435" spans="1:9">
      <c r="A435" t="s">
        <v>1662</v>
      </c>
      <c r="B435" t="s">
        <v>22</v>
      </c>
      <c r="C435">
        <v>467017000</v>
      </c>
      <c r="D435">
        <v>465426000</v>
      </c>
      <c r="E435" t="s">
        <v>7896</v>
      </c>
      <c r="F435">
        <v>13</v>
      </c>
      <c r="G435" s="12">
        <v>1591000</v>
      </c>
      <c r="H435">
        <v>35924384.615384616</v>
      </c>
      <c r="I435">
        <v>122384.61538461539</v>
      </c>
    </row>
    <row r="436" spans="1:9">
      <c r="A436" t="s">
        <v>1509</v>
      </c>
      <c r="B436" t="s">
        <v>18</v>
      </c>
      <c r="C436">
        <v>2938000</v>
      </c>
      <c r="D436">
        <v>2106000</v>
      </c>
      <c r="E436" t="s">
        <v>7896</v>
      </c>
      <c r="F436">
        <v>2.5</v>
      </c>
      <c r="G436" s="12">
        <v>832000</v>
      </c>
      <c r="H436">
        <v>1175200</v>
      </c>
      <c r="I436">
        <v>332800</v>
      </c>
    </row>
    <row r="437" spans="1:9">
      <c r="A437" t="s">
        <v>1532</v>
      </c>
      <c r="B437" t="s">
        <v>18</v>
      </c>
      <c r="C437">
        <v>778000</v>
      </c>
      <c r="D437">
        <v>393000</v>
      </c>
      <c r="E437" t="s">
        <v>7896</v>
      </c>
      <c r="F437">
        <v>2.5</v>
      </c>
      <c r="G437" s="12">
        <v>385000</v>
      </c>
      <c r="H437">
        <v>311200</v>
      </c>
      <c r="I437">
        <v>154000</v>
      </c>
    </row>
    <row r="438" spans="1:9">
      <c r="A438" t="s">
        <v>1520</v>
      </c>
      <c r="B438" t="s">
        <v>18</v>
      </c>
      <c r="C438">
        <v>15779000</v>
      </c>
      <c r="D438">
        <v>13908000</v>
      </c>
      <c r="E438" t="s">
        <v>7896</v>
      </c>
      <c r="F438">
        <v>2.5</v>
      </c>
      <c r="G438" s="12">
        <v>1871000</v>
      </c>
      <c r="H438">
        <v>6311600</v>
      </c>
      <c r="I438">
        <v>748400</v>
      </c>
    </row>
    <row r="439" spans="1:9">
      <c r="A439" t="s">
        <v>1533</v>
      </c>
      <c r="B439" t="s">
        <v>18</v>
      </c>
      <c r="C439">
        <v>2050000</v>
      </c>
      <c r="D439">
        <v>1849000</v>
      </c>
      <c r="E439" t="s">
        <v>7896</v>
      </c>
      <c r="F439">
        <v>2.5</v>
      </c>
      <c r="G439" s="12">
        <v>201000</v>
      </c>
      <c r="H439">
        <v>820000</v>
      </c>
      <c r="I439">
        <v>80400</v>
      </c>
    </row>
    <row r="440" spans="1:9">
      <c r="A440" t="s">
        <v>1520</v>
      </c>
      <c r="B440" t="s">
        <v>18</v>
      </c>
      <c r="C440">
        <v>25500000</v>
      </c>
      <c r="D440">
        <v>26629000</v>
      </c>
      <c r="E440" t="s">
        <v>7896</v>
      </c>
      <c r="F440">
        <v>2.5</v>
      </c>
      <c r="G440" s="12">
        <v>-1129000</v>
      </c>
      <c r="H440">
        <v>10200000</v>
      </c>
      <c r="I440">
        <v>-451600</v>
      </c>
    </row>
    <row r="441" spans="1:9">
      <c r="A441" t="s">
        <v>1579</v>
      </c>
      <c r="B441" t="s">
        <v>18</v>
      </c>
      <c r="C441">
        <v>300000</v>
      </c>
      <c r="D441">
        <v>344000</v>
      </c>
      <c r="E441" t="s">
        <v>7896</v>
      </c>
      <c r="F441">
        <v>2.5</v>
      </c>
      <c r="G441" s="12">
        <v>-44000</v>
      </c>
      <c r="H441">
        <v>120000</v>
      </c>
      <c r="I441">
        <v>-17600</v>
      </c>
    </row>
    <row r="442" spans="1:9">
      <c r="A442" t="s">
        <v>1767</v>
      </c>
      <c r="B442" t="s">
        <v>22</v>
      </c>
      <c r="C442">
        <v>1518000</v>
      </c>
      <c r="D442">
        <v>1549000</v>
      </c>
      <c r="E442" t="s">
        <v>7896</v>
      </c>
      <c r="F442">
        <v>13</v>
      </c>
      <c r="G442" s="12">
        <v>-31000</v>
      </c>
      <c r="H442">
        <v>116769.23076923077</v>
      </c>
      <c r="I442">
        <v>-2384.6153846153848</v>
      </c>
    </row>
    <row r="443" spans="1:9">
      <c r="A443" t="s">
        <v>1544</v>
      </c>
      <c r="B443" t="s">
        <v>18</v>
      </c>
      <c r="C443">
        <v>16941000</v>
      </c>
      <c r="D443">
        <v>21812000</v>
      </c>
      <c r="E443" t="s">
        <v>7896</v>
      </c>
      <c r="F443">
        <v>2.5</v>
      </c>
      <c r="G443" s="12">
        <v>-4871000</v>
      </c>
      <c r="H443">
        <v>6776400</v>
      </c>
      <c r="I443">
        <v>-1948400</v>
      </c>
    </row>
    <row r="444" spans="1:9">
      <c r="A444" t="s">
        <v>1535</v>
      </c>
      <c r="B444" t="s">
        <v>18</v>
      </c>
      <c r="C444">
        <v>2747000</v>
      </c>
      <c r="D444">
        <v>2608000</v>
      </c>
      <c r="E444" t="s">
        <v>7896</v>
      </c>
      <c r="F444">
        <v>2.5</v>
      </c>
      <c r="G444" s="12">
        <v>139000</v>
      </c>
      <c r="H444">
        <v>1098800</v>
      </c>
      <c r="I444">
        <v>55600</v>
      </c>
    </row>
    <row r="445" spans="1:9">
      <c r="A445" t="s">
        <v>1776</v>
      </c>
      <c r="B445" t="s">
        <v>18</v>
      </c>
      <c r="C445">
        <v>1831000</v>
      </c>
      <c r="D445">
        <v>2785000</v>
      </c>
      <c r="E445" t="s">
        <v>7896</v>
      </c>
      <c r="F445">
        <v>2.5</v>
      </c>
      <c r="G445" s="12">
        <v>-954000</v>
      </c>
      <c r="H445">
        <v>732400</v>
      </c>
      <c r="I445">
        <v>-381600</v>
      </c>
    </row>
    <row r="446" spans="1:9">
      <c r="A446" t="s">
        <v>1517</v>
      </c>
      <c r="B446" t="s">
        <v>18</v>
      </c>
      <c r="C446">
        <v>8042000</v>
      </c>
      <c r="D446">
        <v>7647000</v>
      </c>
      <c r="E446" t="s">
        <v>7896</v>
      </c>
      <c r="F446">
        <v>2.5</v>
      </c>
      <c r="G446" s="12">
        <v>395000</v>
      </c>
      <c r="H446">
        <v>3216800</v>
      </c>
      <c r="I446">
        <v>158000</v>
      </c>
    </row>
    <row r="447" spans="1:9">
      <c r="A447" t="s">
        <v>1508</v>
      </c>
      <c r="B447" t="s">
        <v>18</v>
      </c>
      <c r="C447">
        <v>5666000</v>
      </c>
      <c r="D447">
        <v>5876000</v>
      </c>
      <c r="E447" t="s">
        <v>7896</v>
      </c>
      <c r="F447">
        <v>2.5</v>
      </c>
      <c r="G447" s="12">
        <v>-210000</v>
      </c>
      <c r="H447">
        <v>2266400</v>
      </c>
      <c r="I447">
        <v>-84000</v>
      </c>
    </row>
    <row r="448" spans="1:9">
      <c r="A448" t="s">
        <v>1532</v>
      </c>
      <c r="B448" t="s">
        <v>18</v>
      </c>
      <c r="C448">
        <v>1569000</v>
      </c>
      <c r="D448">
        <v>1572000</v>
      </c>
      <c r="E448" t="s">
        <v>7896</v>
      </c>
      <c r="F448">
        <v>2.5</v>
      </c>
      <c r="G448" s="12">
        <v>-3000</v>
      </c>
      <c r="H448">
        <v>627600</v>
      </c>
      <c r="I448">
        <v>-1200</v>
      </c>
    </row>
    <row r="449" spans="1:9">
      <c r="A449" t="s">
        <v>1642</v>
      </c>
      <c r="B449" t="s">
        <v>18</v>
      </c>
      <c r="C449">
        <v>609000</v>
      </c>
      <c r="D449">
        <v>613000</v>
      </c>
      <c r="E449" t="s">
        <v>7896</v>
      </c>
      <c r="F449">
        <v>2.5</v>
      </c>
      <c r="G449" s="12">
        <v>-4000</v>
      </c>
      <c r="H449">
        <v>243600</v>
      </c>
      <c r="I449">
        <v>-1600</v>
      </c>
    </row>
    <row r="450" spans="1:9">
      <c r="A450" t="s">
        <v>1533</v>
      </c>
      <c r="B450" t="s">
        <v>18</v>
      </c>
      <c r="C450">
        <v>6212000</v>
      </c>
      <c r="D450">
        <v>10111000</v>
      </c>
      <c r="E450" t="s">
        <v>7896</v>
      </c>
      <c r="F450">
        <v>2.5</v>
      </c>
      <c r="G450" s="12">
        <v>-3899000</v>
      </c>
      <c r="H450">
        <v>2484800</v>
      </c>
      <c r="I450">
        <v>-1559600</v>
      </c>
    </row>
    <row r="451" spans="1:9">
      <c r="A451" t="s">
        <v>1642</v>
      </c>
      <c r="B451" t="s">
        <v>18</v>
      </c>
      <c r="C451">
        <v>200000</v>
      </c>
      <c r="D451">
        <v>200000</v>
      </c>
      <c r="E451" t="s">
        <v>7896</v>
      </c>
      <c r="F451">
        <v>2.5</v>
      </c>
      <c r="G451" s="12">
        <v>0</v>
      </c>
      <c r="H451">
        <v>80000</v>
      </c>
      <c r="I451">
        <v>0</v>
      </c>
    </row>
    <row r="452" spans="1:9">
      <c r="A452" t="s">
        <v>1509</v>
      </c>
      <c r="B452" t="s">
        <v>18</v>
      </c>
      <c r="C452">
        <v>2049000</v>
      </c>
      <c r="D452">
        <v>2049000</v>
      </c>
      <c r="E452" t="s">
        <v>7896</v>
      </c>
      <c r="F452">
        <v>2.5</v>
      </c>
      <c r="G452" s="12">
        <v>0</v>
      </c>
      <c r="H452">
        <v>819600</v>
      </c>
      <c r="I452">
        <v>0</v>
      </c>
    </row>
    <row r="453" spans="1:9">
      <c r="A453" t="s">
        <v>1558</v>
      </c>
      <c r="B453" t="s">
        <v>18</v>
      </c>
      <c r="C453">
        <v>884000</v>
      </c>
      <c r="D453">
        <v>865000</v>
      </c>
      <c r="E453" t="s">
        <v>7896</v>
      </c>
      <c r="F453">
        <v>2.5</v>
      </c>
      <c r="G453" s="12">
        <v>19000</v>
      </c>
      <c r="H453">
        <v>353600</v>
      </c>
      <c r="I453">
        <v>7600</v>
      </c>
    </row>
    <row r="454" spans="1:9">
      <c r="A454" t="s">
        <v>1509</v>
      </c>
      <c r="B454" t="s">
        <v>22</v>
      </c>
      <c r="C454">
        <v>37773000</v>
      </c>
      <c r="D454">
        <v>37871000</v>
      </c>
      <c r="E454" t="s">
        <v>7896</v>
      </c>
      <c r="F454">
        <v>13</v>
      </c>
      <c r="G454" s="12">
        <v>-98000</v>
      </c>
      <c r="H454">
        <v>2905615.3846153845</v>
      </c>
      <c r="I454">
        <v>-7538.4615384615381</v>
      </c>
    </row>
    <row r="455" spans="1:9">
      <c r="A455" t="s">
        <v>1619</v>
      </c>
      <c r="B455" t="s">
        <v>18</v>
      </c>
      <c r="C455">
        <v>3594000</v>
      </c>
      <c r="D455">
        <v>4489000</v>
      </c>
      <c r="E455" t="s">
        <v>7896</v>
      </c>
      <c r="F455">
        <v>2.5</v>
      </c>
      <c r="G455" s="12">
        <v>-895000</v>
      </c>
      <c r="H455">
        <v>1437600</v>
      </c>
      <c r="I455">
        <v>-358000</v>
      </c>
    </row>
    <row r="456" spans="1:9">
      <c r="A456" t="s">
        <v>1649</v>
      </c>
      <c r="B456" t="s">
        <v>77</v>
      </c>
      <c r="C456">
        <v>44349000</v>
      </c>
      <c r="D456">
        <v>53518000</v>
      </c>
      <c r="E456" t="s">
        <v>7896</v>
      </c>
      <c r="F456">
        <v>8</v>
      </c>
      <c r="G456" s="12">
        <v>-9169000</v>
      </c>
      <c r="H456">
        <v>5543625</v>
      </c>
      <c r="I456">
        <v>-1146125</v>
      </c>
    </row>
    <row r="457" spans="1:9">
      <c r="A457" t="s">
        <v>1512</v>
      </c>
      <c r="B457" t="s">
        <v>18</v>
      </c>
      <c r="C457">
        <v>2812000</v>
      </c>
      <c r="D457">
        <v>2847000</v>
      </c>
      <c r="E457" t="s">
        <v>7896</v>
      </c>
      <c r="F457">
        <v>2.5</v>
      </c>
      <c r="G457" s="12">
        <v>-35000</v>
      </c>
      <c r="H457">
        <v>1124800</v>
      </c>
      <c r="I457">
        <v>-14000</v>
      </c>
    </row>
    <row r="458" spans="1:9">
      <c r="A458" t="s">
        <v>1519</v>
      </c>
      <c r="B458" t="s">
        <v>18</v>
      </c>
      <c r="C458">
        <v>2356000</v>
      </c>
      <c r="D458">
        <v>1348000</v>
      </c>
      <c r="E458" t="s">
        <v>7896</v>
      </c>
      <c r="F458">
        <v>2.5</v>
      </c>
      <c r="G458" s="12">
        <v>1008000</v>
      </c>
      <c r="H458">
        <v>942400</v>
      </c>
      <c r="I458">
        <v>403200</v>
      </c>
    </row>
    <row r="459" spans="1:9">
      <c r="A459" t="s">
        <v>1643</v>
      </c>
      <c r="B459" t="s">
        <v>18</v>
      </c>
      <c r="C459">
        <v>3953000</v>
      </c>
      <c r="D459">
        <v>4100000</v>
      </c>
      <c r="E459" t="s">
        <v>7896</v>
      </c>
      <c r="F459">
        <v>2.5</v>
      </c>
      <c r="G459" s="12">
        <v>-147000</v>
      </c>
      <c r="H459">
        <v>1581200</v>
      </c>
      <c r="I459">
        <v>-58800</v>
      </c>
    </row>
    <row r="460" spans="1:9">
      <c r="A460" t="s">
        <v>1532</v>
      </c>
      <c r="B460" t="s">
        <v>18</v>
      </c>
      <c r="C460">
        <v>339000</v>
      </c>
      <c r="D460">
        <v>678000</v>
      </c>
      <c r="E460" t="s">
        <v>7896</v>
      </c>
      <c r="F460">
        <v>2.5</v>
      </c>
      <c r="G460" s="12">
        <v>-339000</v>
      </c>
      <c r="H460">
        <v>135600</v>
      </c>
      <c r="I460">
        <v>-135600</v>
      </c>
    </row>
    <row r="461" spans="1:9">
      <c r="A461" t="s">
        <v>1519</v>
      </c>
      <c r="B461" t="s">
        <v>18</v>
      </c>
      <c r="C461">
        <v>1631000</v>
      </c>
      <c r="D461">
        <v>900000</v>
      </c>
      <c r="E461" t="s">
        <v>7896</v>
      </c>
      <c r="F461">
        <v>2.5</v>
      </c>
      <c r="G461" s="12">
        <v>731000</v>
      </c>
      <c r="H461">
        <v>652400</v>
      </c>
      <c r="I461">
        <v>292400</v>
      </c>
    </row>
    <row r="462" spans="1:9">
      <c r="A462" t="s">
        <v>1512</v>
      </c>
      <c r="B462" t="s">
        <v>77</v>
      </c>
      <c r="C462">
        <v>254864000</v>
      </c>
      <c r="D462">
        <v>255590000</v>
      </c>
      <c r="E462" t="s">
        <v>7896</v>
      </c>
      <c r="F462">
        <v>8</v>
      </c>
      <c r="G462" s="12">
        <v>-726000</v>
      </c>
      <c r="H462">
        <v>31858000</v>
      </c>
      <c r="I462">
        <v>-90750</v>
      </c>
    </row>
    <row r="463" spans="1:9">
      <c r="A463" t="s">
        <v>1509</v>
      </c>
      <c r="B463" t="s">
        <v>18</v>
      </c>
      <c r="C463">
        <v>216914000</v>
      </c>
      <c r="D463">
        <v>209119000</v>
      </c>
      <c r="E463" t="s">
        <v>7896</v>
      </c>
      <c r="F463">
        <v>2.5</v>
      </c>
      <c r="G463" s="12">
        <v>7795000</v>
      </c>
      <c r="H463">
        <v>86765600</v>
      </c>
      <c r="I463">
        <v>3118000</v>
      </c>
    </row>
    <row r="464" spans="1:9">
      <c r="A464" t="s">
        <v>1524</v>
      </c>
      <c r="B464" t="s">
        <v>18</v>
      </c>
      <c r="C464">
        <v>90999000</v>
      </c>
      <c r="D464">
        <v>89946000</v>
      </c>
      <c r="E464" t="s">
        <v>7896</v>
      </c>
      <c r="F464">
        <v>2.5</v>
      </c>
      <c r="G464" s="12">
        <v>1053000</v>
      </c>
      <c r="H464">
        <v>36399600</v>
      </c>
      <c r="I464">
        <v>421200</v>
      </c>
    </row>
    <row r="465" spans="1:9">
      <c r="A465" t="s">
        <v>1518</v>
      </c>
      <c r="B465" t="s">
        <v>22</v>
      </c>
      <c r="C465">
        <v>53232000</v>
      </c>
      <c r="D465">
        <v>54305000</v>
      </c>
      <c r="E465" t="s">
        <v>7896</v>
      </c>
      <c r="F465">
        <v>13</v>
      </c>
      <c r="G465" s="12">
        <v>-1073000</v>
      </c>
      <c r="H465">
        <v>4094769.230769231</v>
      </c>
      <c r="I465">
        <v>-82538.461538461532</v>
      </c>
    </row>
    <row r="466" spans="1:9">
      <c r="A466" t="s">
        <v>1516</v>
      </c>
      <c r="B466" t="s">
        <v>22</v>
      </c>
      <c r="C466">
        <v>2371000</v>
      </c>
      <c r="D466">
        <v>3909000</v>
      </c>
      <c r="E466" t="s">
        <v>7896</v>
      </c>
      <c r="F466">
        <v>13</v>
      </c>
      <c r="G466" s="12">
        <v>-1538000</v>
      </c>
      <c r="H466">
        <v>182384.61538461538</v>
      </c>
      <c r="I466">
        <v>-118307.69230769231</v>
      </c>
    </row>
    <row r="467" spans="1:9">
      <c r="A467" t="s">
        <v>1580</v>
      </c>
      <c r="B467" t="s">
        <v>18</v>
      </c>
      <c r="C467">
        <v>1532000</v>
      </c>
      <c r="D467">
        <v>1532000</v>
      </c>
      <c r="E467" t="s">
        <v>7896</v>
      </c>
      <c r="F467">
        <v>2.5</v>
      </c>
      <c r="G467" s="12">
        <v>0</v>
      </c>
      <c r="H467">
        <v>612800</v>
      </c>
      <c r="I467">
        <v>0</v>
      </c>
    </row>
    <row r="468" spans="1:9">
      <c r="A468" t="s">
        <v>1767</v>
      </c>
      <c r="B468" t="s">
        <v>18</v>
      </c>
      <c r="C468">
        <v>576000</v>
      </c>
      <c r="D468">
        <v>555000</v>
      </c>
      <c r="E468" t="s">
        <v>7896</v>
      </c>
      <c r="F468">
        <v>2.5</v>
      </c>
      <c r="G468" s="12">
        <v>21000</v>
      </c>
      <c r="H468">
        <v>230400</v>
      </c>
      <c r="I468">
        <v>8400</v>
      </c>
    </row>
    <row r="469" spans="1:9">
      <c r="A469" t="s">
        <v>1533</v>
      </c>
      <c r="B469" t="s">
        <v>18</v>
      </c>
      <c r="C469">
        <v>8815000</v>
      </c>
      <c r="D469">
        <v>9946000</v>
      </c>
      <c r="E469" t="s">
        <v>7896</v>
      </c>
      <c r="F469">
        <v>2.5</v>
      </c>
      <c r="G469" s="12">
        <v>-1131000</v>
      </c>
      <c r="H469">
        <v>3526000</v>
      </c>
      <c r="I469">
        <v>-452400</v>
      </c>
    </row>
    <row r="470" spans="1:9">
      <c r="A470" t="s">
        <v>1526</v>
      </c>
      <c r="B470" t="s">
        <v>18</v>
      </c>
      <c r="C470">
        <v>200000</v>
      </c>
      <c r="D470">
        <v>200000</v>
      </c>
      <c r="E470" t="s">
        <v>7896</v>
      </c>
      <c r="F470">
        <v>2.5</v>
      </c>
      <c r="G470" s="12">
        <v>0</v>
      </c>
      <c r="H470">
        <v>80000</v>
      </c>
      <c r="I470">
        <v>0</v>
      </c>
    </row>
    <row r="471" spans="1:9">
      <c r="A471" t="s">
        <v>1532</v>
      </c>
      <c r="B471" t="s">
        <v>18</v>
      </c>
      <c r="C471">
        <v>660000</v>
      </c>
      <c r="D471">
        <v>659000</v>
      </c>
      <c r="E471" t="s">
        <v>7896</v>
      </c>
      <c r="F471">
        <v>2.5</v>
      </c>
      <c r="G471" s="12">
        <v>1000</v>
      </c>
      <c r="H471">
        <v>264000</v>
      </c>
      <c r="I471">
        <v>400</v>
      </c>
    </row>
    <row r="472" spans="1:9">
      <c r="A472" t="s">
        <v>1618</v>
      </c>
      <c r="B472" t="s">
        <v>18</v>
      </c>
      <c r="C472">
        <v>7000</v>
      </c>
      <c r="D472">
        <v>6000</v>
      </c>
      <c r="E472" t="s">
        <v>7896</v>
      </c>
      <c r="F472">
        <v>2.5</v>
      </c>
      <c r="G472" s="12">
        <v>1000</v>
      </c>
      <c r="H472">
        <v>2800</v>
      </c>
      <c r="I472">
        <v>400</v>
      </c>
    </row>
    <row r="473" spans="1:9">
      <c r="A473" t="s">
        <v>1532</v>
      </c>
      <c r="B473" t="s">
        <v>18</v>
      </c>
      <c r="C473">
        <v>2557000</v>
      </c>
      <c r="D473">
        <v>3099000</v>
      </c>
      <c r="E473" t="s">
        <v>7896</v>
      </c>
      <c r="F473">
        <v>2.5</v>
      </c>
      <c r="G473" s="12">
        <v>-542000</v>
      </c>
      <c r="H473">
        <v>1022800</v>
      </c>
      <c r="I473">
        <v>-216800</v>
      </c>
    </row>
    <row r="474" spans="1:9">
      <c r="A474" t="s">
        <v>1575</v>
      </c>
      <c r="B474" t="s">
        <v>18</v>
      </c>
      <c r="C474">
        <v>14874000</v>
      </c>
      <c r="D474">
        <v>12846000</v>
      </c>
      <c r="E474" t="s">
        <v>7896</v>
      </c>
      <c r="F474">
        <v>2.5</v>
      </c>
      <c r="G474" s="12">
        <v>2028000</v>
      </c>
      <c r="H474">
        <v>5949600</v>
      </c>
      <c r="I474">
        <v>811200</v>
      </c>
    </row>
    <row r="475" spans="1:9">
      <c r="A475" t="s">
        <v>1532</v>
      </c>
      <c r="B475" t="s">
        <v>18</v>
      </c>
      <c r="C475">
        <v>2846000</v>
      </c>
      <c r="D475">
        <v>641000</v>
      </c>
      <c r="E475" t="s">
        <v>7896</v>
      </c>
      <c r="F475">
        <v>2.5</v>
      </c>
      <c r="G475" s="12">
        <v>2205000</v>
      </c>
      <c r="H475">
        <v>1138400</v>
      </c>
      <c r="I475">
        <v>882000</v>
      </c>
    </row>
    <row r="476" spans="1:9">
      <c r="A476" t="s">
        <v>1642</v>
      </c>
      <c r="B476" t="s">
        <v>18</v>
      </c>
      <c r="C476">
        <v>2754000</v>
      </c>
      <c r="D476">
        <v>2862000</v>
      </c>
      <c r="E476" t="s">
        <v>7896</v>
      </c>
      <c r="F476">
        <v>2.5</v>
      </c>
      <c r="G476" s="12">
        <v>-108000</v>
      </c>
      <c r="H476">
        <v>1101600</v>
      </c>
      <c r="I476">
        <v>-43200</v>
      </c>
    </row>
    <row r="477" spans="1:9">
      <c r="A477" t="s">
        <v>1642</v>
      </c>
      <c r="B477" t="s">
        <v>18</v>
      </c>
      <c r="C477">
        <v>424000</v>
      </c>
      <c r="D477">
        <v>342000</v>
      </c>
      <c r="E477" t="s">
        <v>7896</v>
      </c>
      <c r="F477">
        <v>2.5</v>
      </c>
      <c r="G477" s="12">
        <v>82000</v>
      </c>
      <c r="H477">
        <v>169600</v>
      </c>
      <c r="I477">
        <v>32800</v>
      </c>
    </row>
    <row r="478" spans="1:9">
      <c r="A478" t="s">
        <v>1642</v>
      </c>
      <c r="B478" t="s">
        <v>18</v>
      </c>
      <c r="C478">
        <v>68000</v>
      </c>
      <c r="D478">
        <v>41000</v>
      </c>
      <c r="E478" t="s">
        <v>7896</v>
      </c>
      <c r="F478">
        <v>2.5</v>
      </c>
      <c r="G478" s="12">
        <v>27000</v>
      </c>
      <c r="H478">
        <v>27200</v>
      </c>
      <c r="I478">
        <v>10800</v>
      </c>
    </row>
    <row r="479" spans="1:9">
      <c r="A479" t="s">
        <v>1505</v>
      </c>
      <c r="B479" t="s">
        <v>18</v>
      </c>
      <c r="C479">
        <v>1350000</v>
      </c>
      <c r="D479">
        <v>1344000</v>
      </c>
      <c r="E479" t="s">
        <v>7896</v>
      </c>
      <c r="F479">
        <v>2.5</v>
      </c>
      <c r="G479" s="12">
        <v>6000</v>
      </c>
      <c r="H479">
        <v>540000</v>
      </c>
      <c r="I479">
        <v>2400</v>
      </c>
    </row>
    <row r="480" spans="1:9">
      <c r="A480" t="s">
        <v>1588</v>
      </c>
      <c r="B480" t="s">
        <v>18</v>
      </c>
      <c r="C480">
        <v>52000</v>
      </c>
      <c r="D480">
        <v>158000</v>
      </c>
      <c r="E480" t="s">
        <v>7896</v>
      </c>
      <c r="F480">
        <v>2.5</v>
      </c>
      <c r="G480" s="12">
        <v>-106000</v>
      </c>
      <c r="H480">
        <v>20800</v>
      </c>
      <c r="I480">
        <v>-42400</v>
      </c>
    </row>
    <row r="481" spans="1:9">
      <c r="A481" t="s">
        <v>1512</v>
      </c>
      <c r="B481" t="s">
        <v>18</v>
      </c>
      <c r="C481">
        <v>11431000</v>
      </c>
      <c r="D481">
        <v>11503000</v>
      </c>
      <c r="E481" t="s">
        <v>7896</v>
      </c>
      <c r="F481">
        <v>2.5</v>
      </c>
      <c r="G481" s="12">
        <v>-72000</v>
      </c>
      <c r="H481">
        <v>4572400</v>
      </c>
      <c r="I481">
        <v>-28800</v>
      </c>
    </row>
    <row r="482" spans="1:9">
      <c r="A482" t="s">
        <v>1508</v>
      </c>
      <c r="B482" t="s">
        <v>18</v>
      </c>
      <c r="C482">
        <v>5846000</v>
      </c>
      <c r="D482">
        <v>5939000</v>
      </c>
      <c r="E482" t="s">
        <v>7896</v>
      </c>
      <c r="F482">
        <v>2.5</v>
      </c>
      <c r="G482" s="12">
        <v>-93000</v>
      </c>
      <c r="H482">
        <v>2338400</v>
      </c>
      <c r="I482">
        <v>-37200</v>
      </c>
    </row>
    <row r="483" spans="1:9">
      <c r="A483" t="s">
        <v>1512</v>
      </c>
      <c r="B483" t="s">
        <v>18</v>
      </c>
      <c r="C483">
        <v>1384000</v>
      </c>
      <c r="D483">
        <v>1379000</v>
      </c>
      <c r="E483" t="s">
        <v>7896</v>
      </c>
      <c r="F483">
        <v>2.5</v>
      </c>
      <c r="G483" s="12">
        <v>5000</v>
      </c>
      <c r="H483">
        <v>553600</v>
      </c>
      <c r="I483">
        <v>2000</v>
      </c>
    </row>
    <row r="484" spans="1:9">
      <c r="A484" t="s">
        <v>1508</v>
      </c>
      <c r="B484" t="s">
        <v>18</v>
      </c>
      <c r="C484">
        <v>1238000</v>
      </c>
      <c r="D484">
        <v>1171000</v>
      </c>
      <c r="E484" t="s">
        <v>7896</v>
      </c>
      <c r="F484">
        <v>2.5</v>
      </c>
      <c r="G484" s="12">
        <v>67000</v>
      </c>
      <c r="H484">
        <v>495200</v>
      </c>
      <c r="I484">
        <v>26800</v>
      </c>
    </row>
    <row r="485" spans="1:9">
      <c r="A485" t="s">
        <v>1512</v>
      </c>
      <c r="B485" t="s">
        <v>18</v>
      </c>
      <c r="C485">
        <v>2478000</v>
      </c>
      <c r="D485">
        <v>2326000</v>
      </c>
      <c r="E485" t="s">
        <v>7896</v>
      </c>
      <c r="F485">
        <v>2.5</v>
      </c>
      <c r="G485" s="12">
        <v>152000</v>
      </c>
      <c r="H485">
        <v>991200</v>
      </c>
      <c r="I485">
        <v>60800</v>
      </c>
    </row>
    <row r="486" spans="1:9">
      <c r="A486" t="s">
        <v>1524</v>
      </c>
      <c r="B486" t="s">
        <v>18</v>
      </c>
      <c r="C486">
        <v>2926000</v>
      </c>
      <c r="D486">
        <v>2590000</v>
      </c>
      <c r="E486" t="s">
        <v>7896</v>
      </c>
      <c r="F486">
        <v>2.5</v>
      </c>
      <c r="G486" s="12">
        <v>336000</v>
      </c>
      <c r="H486">
        <v>1170400</v>
      </c>
      <c r="I486">
        <v>134400</v>
      </c>
    </row>
    <row r="487" spans="1:9">
      <c r="A487" t="s">
        <v>1532</v>
      </c>
      <c r="B487" t="s">
        <v>18</v>
      </c>
      <c r="C487">
        <v>180000</v>
      </c>
      <c r="D487">
        <v>1465000</v>
      </c>
      <c r="E487" t="s">
        <v>7896</v>
      </c>
      <c r="F487">
        <v>2.5</v>
      </c>
      <c r="G487" s="12">
        <v>-1285000</v>
      </c>
      <c r="H487">
        <v>72000</v>
      </c>
      <c r="I487">
        <v>-514000</v>
      </c>
    </row>
    <row r="488" spans="1:9">
      <c r="A488" t="s">
        <v>1532</v>
      </c>
      <c r="B488" t="s">
        <v>18</v>
      </c>
      <c r="C488">
        <v>4199000</v>
      </c>
      <c r="D488">
        <v>2151000</v>
      </c>
      <c r="E488" t="s">
        <v>7896</v>
      </c>
      <c r="F488">
        <v>2.5</v>
      </c>
      <c r="G488" s="12">
        <v>2048000</v>
      </c>
      <c r="H488">
        <v>1679600</v>
      </c>
      <c r="I488">
        <v>819200</v>
      </c>
    </row>
    <row r="489" spans="1:9">
      <c r="A489" t="s">
        <v>1642</v>
      </c>
      <c r="B489" t="s">
        <v>18</v>
      </c>
      <c r="C489">
        <v>228000</v>
      </c>
      <c r="D489">
        <v>85000</v>
      </c>
      <c r="E489" t="s">
        <v>7896</v>
      </c>
      <c r="F489">
        <v>2.5</v>
      </c>
      <c r="G489" s="12">
        <v>143000</v>
      </c>
      <c r="H489">
        <v>91200</v>
      </c>
      <c r="I489">
        <v>57200</v>
      </c>
    </row>
    <row r="490" spans="1:9">
      <c r="A490" t="s">
        <v>1509</v>
      </c>
      <c r="B490" t="s">
        <v>22</v>
      </c>
      <c r="C490">
        <v>11048000</v>
      </c>
      <c r="D490">
        <v>13287000</v>
      </c>
      <c r="E490" t="s">
        <v>7896</v>
      </c>
      <c r="F490">
        <v>13</v>
      </c>
      <c r="G490" s="12">
        <v>-2239000</v>
      </c>
      <c r="H490">
        <v>849846.15384615387</v>
      </c>
      <c r="I490">
        <v>-172230.76923076922</v>
      </c>
    </row>
    <row r="491" spans="1:9">
      <c r="A491" t="s">
        <v>1508</v>
      </c>
      <c r="B491" t="s">
        <v>18</v>
      </c>
      <c r="C491">
        <v>280000</v>
      </c>
      <c r="D491">
        <v>34000</v>
      </c>
      <c r="E491" t="s">
        <v>7896</v>
      </c>
      <c r="F491">
        <v>2.5</v>
      </c>
      <c r="G491" s="12">
        <v>246000</v>
      </c>
      <c r="H491">
        <v>112000</v>
      </c>
      <c r="I491">
        <v>98400</v>
      </c>
    </row>
    <row r="492" spans="1:9">
      <c r="A492" t="s">
        <v>1504</v>
      </c>
      <c r="B492" t="s">
        <v>18</v>
      </c>
      <c r="C492">
        <v>50000</v>
      </c>
      <c r="D492">
        <v>62000</v>
      </c>
      <c r="E492" t="s">
        <v>7896</v>
      </c>
      <c r="F492">
        <v>2.5</v>
      </c>
      <c r="G492" s="12">
        <v>-12000</v>
      </c>
      <c r="H492">
        <v>20000</v>
      </c>
      <c r="I492">
        <v>-4800</v>
      </c>
    </row>
    <row r="493" spans="1:9">
      <c r="A493" t="s">
        <v>1532</v>
      </c>
      <c r="B493" t="s">
        <v>18</v>
      </c>
      <c r="C493">
        <v>137321000</v>
      </c>
      <c r="D493">
        <v>119956000</v>
      </c>
      <c r="E493" t="s">
        <v>7896</v>
      </c>
      <c r="F493">
        <v>2.5</v>
      </c>
      <c r="G493" s="12">
        <v>17365000</v>
      </c>
      <c r="H493">
        <v>54928400</v>
      </c>
      <c r="I493">
        <v>6946000</v>
      </c>
    </row>
    <row r="494" spans="1:9">
      <c r="A494" t="s">
        <v>1558</v>
      </c>
      <c r="B494" t="s">
        <v>18</v>
      </c>
      <c r="C494">
        <v>1238000</v>
      </c>
      <c r="D494">
        <v>1264000</v>
      </c>
      <c r="E494" t="s">
        <v>7896</v>
      </c>
      <c r="F494">
        <v>2.5</v>
      </c>
      <c r="G494" s="12">
        <v>-26000</v>
      </c>
      <c r="H494">
        <v>495200</v>
      </c>
      <c r="I494">
        <v>-10400</v>
      </c>
    </row>
    <row r="495" spans="1:9">
      <c r="A495" t="s">
        <v>1512</v>
      </c>
      <c r="B495" t="s">
        <v>18</v>
      </c>
      <c r="C495">
        <v>1204000</v>
      </c>
      <c r="D495">
        <v>1144000</v>
      </c>
      <c r="E495" t="s">
        <v>7896</v>
      </c>
      <c r="F495">
        <v>2.5</v>
      </c>
      <c r="G495" s="12">
        <v>60000</v>
      </c>
      <c r="H495">
        <v>481600</v>
      </c>
      <c r="I495">
        <v>24000</v>
      </c>
    </row>
    <row r="496" spans="1:9">
      <c r="A496" t="s">
        <v>1512</v>
      </c>
      <c r="B496" t="s">
        <v>18</v>
      </c>
      <c r="C496">
        <v>1596000</v>
      </c>
      <c r="D496">
        <v>1599000</v>
      </c>
      <c r="E496" t="s">
        <v>7896</v>
      </c>
      <c r="F496">
        <v>2.5</v>
      </c>
      <c r="G496" s="12">
        <v>-3000</v>
      </c>
      <c r="H496">
        <v>638400</v>
      </c>
      <c r="I496">
        <v>-1200</v>
      </c>
    </row>
    <row r="497" spans="1:9">
      <c r="A497" t="s">
        <v>1509</v>
      </c>
      <c r="B497" t="s">
        <v>18</v>
      </c>
      <c r="C497">
        <v>178028000</v>
      </c>
      <c r="D497">
        <v>170429000</v>
      </c>
      <c r="E497" t="s">
        <v>7896</v>
      </c>
      <c r="F497">
        <v>2.5</v>
      </c>
      <c r="G497" s="12">
        <v>7599000</v>
      </c>
      <c r="H497">
        <v>71211200</v>
      </c>
      <c r="I497">
        <v>3039600</v>
      </c>
    </row>
    <row r="498" spans="1:9">
      <c r="A498" t="s">
        <v>1518</v>
      </c>
      <c r="B498" t="s">
        <v>18</v>
      </c>
      <c r="C498">
        <v>184000</v>
      </c>
      <c r="D498">
        <v>284000</v>
      </c>
      <c r="E498" t="s">
        <v>7896</v>
      </c>
      <c r="F498">
        <v>2.5</v>
      </c>
      <c r="G498" s="12">
        <v>-100000</v>
      </c>
      <c r="H498">
        <v>73600</v>
      </c>
      <c r="I498">
        <v>-40000</v>
      </c>
    </row>
    <row r="499" spans="1:9">
      <c r="A499" t="s">
        <v>1519</v>
      </c>
      <c r="B499" t="s">
        <v>18</v>
      </c>
      <c r="C499">
        <v>192000</v>
      </c>
      <c r="D499">
        <v>10000</v>
      </c>
      <c r="E499" t="s">
        <v>7896</v>
      </c>
      <c r="F499">
        <v>2.5</v>
      </c>
      <c r="G499" s="12">
        <v>182000</v>
      </c>
      <c r="H499">
        <v>76800</v>
      </c>
      <c r="I499">
        <v>72800</v>
      </c>
    </row>
    <row r="500" spans="1:9">
      <c r="A500" t="s">
        <v>1532</v>
      </c>
      <c r="B500" t="s">
        <v>18</v>
      </c>
      <c r="C500">
        <v>2054000</v>
      </c>
      <c r="D500">
        <v>2057000</v>
      </c>
      <c r="E500" t="s">
        <v>7896</v>
      </c>
      <c r="F500">
        <v>2.5</v>
      </c>
      <c r="G500" s="12">
        <v>-3000</v>
      </c>
      <c r="H500">
        <v>821600</v>
      </c>
      <c r="I500">
        <v>-1200</v>
      </c>
    </row>
    <row r="501" spans="1:9">
      <c r="A501" t="s">
        <v>1532</v>
      </c>
      <c r="B501" t="s">
        <v>18</v>
      </c>
      <c r="C501">
        <v>30407000</v>
      </c>
      <c r="D501">
        <v>30407000</v>
      </c>
      <c r="E501" t="s">
        <v>7896</v>
      </c>
      <c r="F501">
        <v>2.5</v>
      </c>
      <c r="G501" s="12">
        <v>0</v>
      </c>
      <c r="H501">
        <v>12162800</v>
      </c>
      <c r="I501">
        <v>0</v>
      </c>
    </row>
    <row r="502" spans="1:9">
      <c r="A502" t="s">
        <v>1532</v>
      </c>
      <c r="B502" t="s">
        <v>18</v>
      </c>
      <c r="C502">
        <v>500000</v>
      </c>
      <c r="D502">
        <v>493000</v>
      </c>
      <c r="E502" t="s">
        <v>7896</v>
      </c>
      <c r="F502">
        <v>2.5</v>
      </c>
      <c r="G502" s="12">
        <v>7000</v>
      </c>
      <c r="H502">
        <v>200000</v>
      </c>
      <c r="I502">
        <v>2800</v>
      </c>
    </row>
    <row r="503" spans="1:9">
      <c r="A503" t="s">
        <v>1646</v>
      </c>
      <c r="B503" t="s">
        <v>18</v>
      </c>
      <c r="C503">
        <v>10000</v>
      </c>
      <c r="D503">
        <v>10000</v>
      </c>
      <c r="E503" t="s">
        <v>7896</v>
      </c>
      <c r="F503">
        <v>2.5</v>
      </c>
      <c r="G503" s="12">
        <v>0</v>
      </c>
      <c r="H503">
        <v>4000</v>
      </c>
      <c r="I503">
        <v>0</v>
      </c>
    </row>
    <row r="504" spans="1:9">
      <c r="A504" t="s">
        <v>1520</v>
      </c>
      <c r="B504" t="s">
        <v>18</v>
      </c>
      <c r="C504">
        <v>3524000</v>
      </c>
      <c r="D504">
        <v>2213000</v>
      </c>
      <c r="E504" t="s">
        <v>7896</v>
      </c>
      <c r="F504">
        <v>2.5</v>
      </c>
      <c r="G504" s="12">
        <v>1311000</v>
      </c>
      <c r="H504">
        <v>1409600</v>
      </c>
      <c r="I504">
        <v>524400</v>
      </c>
    </row>
    <row r="505" spans="1:9">
      <c r="A505" t="s">
        <v>1519</v>
      </c>
      <c r="B505" t="s">
        <v>18</v>
      </c>
      <c r="C505">
        <v>1840000</v>
      </c>
      <c r="D505">
        <v>3747000</v>
      </c>
      <c r="E505" t="s">
        <v>7896</v>
      </c>
      <c r="F505">
        <v>2.5</v>
      </c>
      <c r="G505" s="12">
        <v>-1907000</v>
      </c>
      <c r="H505">
        <v>736000</v>
      </c>
      <c r="I505">
        <v>-762800</v>
      </c>
    </row>
    <row r="506" spans="1:9">
      <c r="A506" t="s">
        <v>1560</v>
      </c>
      <c r="B506" t="s">
        <v>18</v>
      </c>
      <c r="C506">
        <v>2759000</v>
      </c>
      <c r="D506">
        <v>2560000</v>
      </c>
      <c r="E506" t="s">
        <v>7896</v>
      </c>
      <c r="F506">
        <v>2.5</v>
      </c>
      <c r="G506" s="12">
        <v>199000</v>
      </c>
      <c r="H506">
        <v>1103600</v>
      </c>
      <c r="I506">
        <v>79600</v>
      </c>
    </row>
    <row r="507" spans="1:9">
      <c r="A507" t="s">
        <v>1532</v>
      </c>
      <c r="B507" t="s">
        <v>18</v>
      </c>
      <c r="C507">
        <v>2396000</v>
      </c>
      <c r="D507">
        <v>2300000</v>
      </c>
      <c r="E507" t="s">
        <v>7896</v>
      </c>
      <c r="F507">
        <v>2.5</v>
      </c>
      <c r="G507" s="12">
        <v>96000</v>
      </c>
      <c r="H507">
        <v>958400</v>
      </c>
      <c r="I507">
        <v>38400</v>
      </c>
    </row>
    <row r="508" spans="1:9">
      <c r="A508" t="s">
        <v>1801</v>
      </c>
      <c r="B508" t="s">
        <v>18</v>
      </c>
      <c r="C508">
        <v>649000</v>
      </c>
      <c r="D508">
        <v>196000</v>
      </c>
      <c r="E508" t="s">
        <v>7896</v>
      </c>
      <c r="F508">
        <v>2.5</v>
      </c>
      <c r="G508" s="12">
        <v>453000</v>
      </c>
      <c r="H508">
        <v>259600</v>
      </c>
      <c r="I508">
        <v>181200</v>
      </c>
    </row>
    <row r="509" spans="1:9">
      <c r="A509" t="s">
        <v>1580</v>
      </c>
      <c r="B509" t="s">
        <v>18</v>
      </c>
      <c r="C509">
        <v>10194000</v>
      </c>
      <c r="D509">
        <v>3539000</v>
      </c>
      <c r="E509" t="s">
        <v>7896</v>
      </c>
      <c r="F509">
        <v>2.5</v>
      </c>
      <c r="G509" s="12">
        <v>6655000</v>
      </c>
      <c r="H509">
        <v>4077600</v>
      </c>
      <c r="I509">
        <v>2662000</v>
      </c>
    </row>
    <row r="510" spans="1:9">
      <c r="A510" t="s">
        <v>1517</v>
      </c>
      <c r="B510" t="s">
        <v>18</v>
      </c>
      <c r="C510">
        <v>190650000</v>
      </c>
      <c r="D510">
        <v>190666000</v>
      </c>
      <c r="E510" t="s">
        <v>7896</v>
      </c>
      <c r="F510">
        <v>2.5</v>
      </c>
      <c r="G510" s="12">
        <v>-16000</v>
      </c>
      <c r="H510">
        <v>76260000</v>
      </c>
      <c r="I510">
        <v>-6400</v>
      </c>
    </row>
    <row r="511" spans="1:9">
      <c r="A511" t="s">
        <v>1532</v>
      </c>
      <c r="B511" t="s">
        <v>18</v>
      </c>
      <c r="C511">
        <v>750000</v>
      </c>
      <c r="D511">
        <v>300000</v>
      </c>
      <c r="E511" t="s">
        <v>7896</v>
      </c>
      <c r="F511">
        <v>2.5</v>
      </c>
      <c r="G511" s="12">
        <v>450000</v>
      </c>
      <c r="H511">
        <v>300000</v>
      </c>
      <c r="I511">
        <v>180000</v>
      </c>
    </row>
    <row r="512" spans="1:9">
      <c r="A512" t="s">
        <v>1519</v>
      </c>
      <c r="B512" t="s">
        <v>18</v>
      </c>
      <c r="C512">
        <v>276000</v>
      </c>
      <c r="D512">
        <v>172000</v>
      </c>
      <c r="E512" t="s">
        <v>7896</v>
      </c>
      <c r="F512">
        <v>2.5</v>
      </c>
      <c r="G512" s="12">
        <v>104000</v>
      </c>
      <c r="H512">
        <v>110400</v>
      </c>
      <c r="I512">
        <v>41600</v>
      </c>
    </row>
    <row r="513" spans="1:9">
      <c r="A513" t="s">
        <v>1532</v>
      </c>
      <c r="B513" t="s">
        <v>18</v>
      </c>
      <c r="C513">
        <v>153000</v>
      </c>
      <c r="D513">
        <v>10000</v>
      </c>
      <c r="E513" t="s">
        <v>7896</v>
      </c>
      <c r="F513">
        <v>2.5</v>
      </c>
      <c r="G513" s="12">
        <v>143000</v>
      </c>
      <c r="H513">
        <v>61200</v>
      </c>
      <c r="I513">
        <v>57200</v>
      </c>
    </row>
    <row r="514" spans="1:9">
      <c r="A514" t="s">
        <v>1532</v>
      </c>
      <c r="B514" t="s">
        <v>18</v>
      </c>
      <c r="C514">
        <v>50000</v>
      </c>
      <c r="D514">
        <v>232000</v>
      </c>
      <c r="E514" t="s">
        <v>7896</v>
      </c>
      <c r="F514">
        <v>2.5</v>
      </c>
      <c r="G514" s="12">
        <v>-182000</v>
      </c>
      <c r="H514">
        <v>20000</v>
      </c>
      <c r="I514">
        <v>-72800</v>
      </c>
    </row>
    <row r="515" spans="1:9">
      <c r="A515" t="s">
        <v>1516</v>
      </c>
      <c r="B515" t="s">
        <v>18</v>
      </c>
      <c r="C515">
        <v>318000</v>
      </c>
      <c r="D515">
        <v>390000</v>
      </c>
      <c r="E515" t="s">
        <v>7896</v>
      </c>
      <c r="F515">
        <v>2.5</v>
      </c>
      <c r="G515" s="12">
        <v>-72000</v>
      </c>
      <c r="H515">
        <v>127200</v>
      </c>
      <c r="I515">
        <v>-28800</v>
      </c>
    </row>
    <row r="516" spans="1:9">
      <c r="A516" t="s">
        <v>1524</v>
      </c>
      <c r="B516" t="s">
        <v>18</v>
      </c>
      <c r="C516">
        <v>600000</v>
      </c>
      <c r="D516">
        <v>513000</v>
      </c>
      <c r="E516" t="s">
        <v>7896</v>
      </c>
      <c r="F516">
        <v>2.5</v>
      </c>
      <c r="G516" s="12">
        <v>87000</v>
      </c>
      <c r="H516">
        <v>240000</v>
      </c>
      <c r="I516">
        <v>34800</v>
      </c>
    </row>
    <row r="517" spans="1:9">
      <c r="A517" t="s">
        <v>1512</v>
      </c>
      <c r="B517" t="s">
        <v>18</v>
      </c>
      <c r="C517">
        <v>557000</v>
      </c>
      <c r="D517">
        <v>629000</v>
      </c>
      <c r="E517" t="s">
        <v>7896</v>
      </c>
      <c r="F517">
        <v>2.5</v>
      </c>
      <c r="G517" s="12">
        <v>-72000</v>
      </c>
      <c r="H517">
        <v>222800</v>
      </c>
      <c r="I517">
        <v>-28800</v>
      </c>
    </row>
    <row r="518" spans="1:9">
      <c r="A518" t="s">
        <v>1518</v>
      </c>
      <c r="B518" t="s">
        <v>18</v>
      </c>
      <c r="C518">
        <v>4774000</v>
      </c>
      <c r="D518">
        <v>1757000</v>
      </c>
      <c r="E518" t="s">
        <v>7896</v>
      </c>
      <c r="F518">
        <v>2.5</v>
      </c>
      <c r="G518" s="12">
        <v>3017000</v>
      </c>
      <c r="H518">
        <v>1909600</v>
      </c>
      <c r="I518">
        <v>1206800</v>
      </c>
    </row>
    <row r="519" spans="1:9">
      <c r="A519" t="s">
        <v>1565</v>
      </c>
      <c r="B519" t="s">
        <v>22</v>
      </c>
      <c r="C519">
        <v>24215000</v>
      </c>
      <c r="D519">
        <v>24234000</v>
      </c>
      <c r="E519" t="s">
        <v>7896</v>
      </c>
      <c r="F519">
        <v>13</v>
      </c>
      <c r="G519" s="12">
        <v>-19000</v>
      </c>
      <c r="H519">
        <v>1862692.3076923077</v>
      </c>
      <c r="I519">
        <v>-1461.5384615384614</v>
      </c>
    </row>
    <row r="520" spans="1:9">
      <c r="A520" t="s">
        <v>1776</v>
      </c>
      <c r="B520" t="s">
        <v>18</v>
      </c>
      <c r="C520">
        <v>701000</v>
      </c>
      <c r="D520">
        <v>660000</v>
      </c>
      <c r="E520" t="s">
        <v>7896</v>
      </c>
      <c r="F520">
        <v>2.5</v>
      </c>
      <c r="G520" s="12">
        <v>41000</v>
      </c>
      <c r="H520">
        <v>280400</v>
      </c>
      <c r="I520">
        <v>16400</v>
      </c>
    </row>
    <row r="521" spans="1:9">
      <c r="A521" t="s">
        <v>1776</v>
      </c>
      <c r="B521" t="s">
        <v>18</v>
      </c>
      <c r="C521">
        <v>1575000</v>
      </c>
      <c r="D521">
        <v>1854000</v>
      </c>
      <c r="E521" t="s">
        <v>7896</v>
      </c>
      <c r="F521">
        <v>2.5</v>
      </c>
      <c r="G521" s="12">
        <v>-279000</v>
      </c>
      <c r="H521">
        <v>630000</v>
      </c>
      <c r="I521">
        <v>-111600</v>
      </c>
    </row>
    <row r="522" spans="1:9">
      <c r="A522" t="s">
        <v>1534</v>
      </c>
      <c r="B522" t="s">
        <v>18</v>
      </c>
      <c r="C522">
        <v>10072000</v>
      </c>
      <c r="D522">
        <v>4179000</v>
      </c>
      <c r="E522" t="s">
        <v>7896</v>
      </c>
      <c r="F522">
        <v>2.5</v>
      </c>
      <c r="G522" s="12">
        <v>5893000</v>
      </c>
      <c r="H522">
        <v>4028800</v>
      </c>
      <c r="I522">
        <v>2357200</v>
      </c>
    </row>
    <row r="523" spans="1:9">
      <c r="A523" t="s">
        <v>1580</v>
      </c>
      <c r="B523" t="s">
        <v>18</v>
      </c>
      <c r="C523">
        <v>326000</v>
      </c>
      <c r="D523">
        <v>326000</v>
      </c>
      <c r="E523" t="s">
        <v>7896</v>
      </c>
      <c r="F523">
        <v>2.5</v>
      </c>
      <c r="G523" s="12">
        <v>0</v>
      </c>
      <c r="H523">
        <v>130400</v>
      </c>
      <c r="I523">
        <v>0</v>
      </c>
    </row>
    <row r="524" spans="1:9">
      <c r="A524" t="s">
        <v>1517</v>
      </c>
      <c r="B524" t="s">
        <v>18</v>
      </c>
      <c r="C524">
        <v>3456000</v>
      </c>
      <c r="D524">
        <v>2969000</v>
      </c>
      <c r="E524" t="s">
        <v>7896</v>
      </c>
      <c r="F524">
        <v>2.5</v>
      </c>
      <c r="G524" s="12">
        <v>487000</v>
      </c>
      <c r="H524">
        <v>1382400</v>
      </c>
      <c r="I524">
        <v>194800</v>
      </c>
    </row>
    <row r="525" spans="1:9">
      <c r="A525" t="s">
        <v>1532</v>
      </c>
      <c r="B525" t="s">
        <v>18</v>
      </c>
      <c r="C525">
        <v>23694000</v>
      </c>
      <c r="D525">
        <v>29578000</v>
      </c>
      <c r="E525" t="s">
        <v>7896</v>
      </c>
      <c r="F525">
        <v>2.5</v>
      </c>
      <c r="G525" s="12">
        <v>-5884000</v>
      </c>
      <c r="H525">
        <v>9477600</v>
      </c>
      <c r="I525">
        <v>-2353600</v>
      </c>
    </row>
    <row r="526" spans="1:9">
      <c r="A526" t="s">
        <v>1526</v>
      </c>
      <c r="B526" t="s">
        <v>18</v>
      </c>
      <c r="C526">
        <v>305000</v>
      </c>
      <c r="D526">
        <v>293000</v>
      </c>
      <c r="E526" t="s">
        <v>7896</v>
      </c>
      <c r="F526">
        <v>2.5</v>
      </c>
      <c r="G526" s="12">
        <v>12000</v>
      </c>
      <c r="H526">
        <v>122000</v>
      </c>
      <c r="I526">
        <v>4800</v>
      </c>
    </row>
    <row r="527" spans="1:9">
      <c r="A527" t="s">
        <v>1628</v>
      </c>
      <c r="B527" t="s">
        <v>18</v>
      </c>
      <c r="C527">
        <v>5725000</v>
      </c>
      <c r="D527">
        <v>5419000</v>
      </c>
      <c r="E527" t="s">
        <v>7896</v>
      </c>
      <c r="F527">
        <v>2.5</v>
      </c>
      <c r="G527" s="12">
        <v>306000</v>
      </c>
      <c r="H527">
        <v>2290000</v>
      </c>
      <c r="I527">
        <v>122400</v>
      </c>
    </row>
    <row r="528" spans="1:9">
      <c r="A528" t="s">
        <v>1558</v>
      </c>
      <c r="B528" t="s">
        <v>18</v>
      </c>
      <c r="C528">
        <v>574000</v>
      </c>
      <c r="D528">
        <v>579000</v>
      </c>
      <c r="E528" t="s">
        <v>7896</v>
      </c>
      <c r="F528">
        <v>2.5</v>
      </c>
      <c r="G528" s="12">
        <v>-5000</v>
      </c>
      <c r="H528">
        <v>229600</v>
      </c>
      <c r="I528">
        <v>-2000</v>
      </c>
    </row>
    <row r="529" spans="1:9">
      <c r="A529" t="s">
        <v>1518</v>
      </c>
      <c r="B529" t="s">
        <v>18</v>
      </c>
      <c r="C529">
        <v>25000</v>
      </c>
      <c r="D529">
        <v>53000</v>
      </c>
      <c r="E529" t="s">
        <v>7896</v>
      </c>
      <c r="F529">
        <v>2.5</v>
      </c>
      <c r="G529" s="12">
        <v>-28000</v>
      </c>
      <c r="H529">
        <v>10000</v>
      </c>
      <c r="I529">
        <v>-11200</v>
      </c>
    </row>
    <row r="530" spans="1:9">
      <c r="A530" t="s">
        <v>1519</v>
      </c>
      <c r="B530" t="s">
        <v>18</v>
      </c>
      <c r="C530">
        <v>6800000</v>
      </c>
      <c r="D530">
        <v>6839000</v>
      </c>
      <c r="E530" t="s">
        <v>7896</v>
      </c>
      <c r="F530">
        <v>2.5</v>
      </c>
      <c r="G530" s="12">
        <v>-39000</v>
      </c>
      <c r="H530">
        <v>2720000</v>
      </c>
      <c r="I530">
        <v>-15600</v>
      </c>
    </row>
    <row r="531" spans="1:9">
      <c r="A531" t="s">
        <v>1795</v>
      </c>
      <c r="B531" t="s">
        <v>18</v>
      </c>
      <c r="C531">
        <v>160000</v>
      </c>
      <c r="D531">
        <v>149000</v>
      </c>
      <c r="E531" t="s">
        <v>7896</v>
      </c>
      <c r="F531">
        <v>2.5</v>
      </c>
      <c r="G531" s="12">
        <v>11000</v>
      </c>
      <c r="H531">
        <v>64000</v>
      </c>
      <c r="I531">
        <v>4400</v>
      </c>
    </row>
    <row r="532" spans="1:9">
      <c r="A532" t="s">
        <v>1518</v>
      </c>
      <c r="B532" t="s">
        <v>18</v>
      </c>
      <c r="C532">
        <v>900000</v>
      </c>
      <c r="D532">
        <v>898000</v>
      </c>
      <c r="E532" t="s">
        <v>7896</v>
      </c>
      <c r="F532">
        <v>2.5</v>
      </c>
      <c r="G532" s="12">
        <v>2000</v>
      </c>
      <c r="H532">
        <v>360000</v>
      </c>
      <c r="I532">
        <v>800</v>
      </c>
    </row>
    <row r="533" spans="1:9">
      <c r="A533" t="s">
        <v>1518</v>
      </c>
      <c r="B533" t="s">
        <v>18</v>
      </c>
      <c r="C533">
        <v>1730000</v>
      </c>
      <c r="D533">
        <v>1590000</v>
      </c>
      <c r="E533" t="s">
        <v>7896</v>
      </c>
      <c r="F533">
        <v>2.5</v>
      </c>
      <c r="G533" s="12">
        <v>140000</v>
      </c>
      <c r="H533">
        <v>692000</v>
      </c>
      <c r="I533">
        <v>56000</v>
      </c>
    </row>
    <row r="534" spans="1:9">
      <c r="A534" t="s">
        <v>1518</v>
      </c>
      <c r="B534" t="s">
        <v>18</v>
      </c>
      <c r="C534">
        <v>1653000</v>
      </c>
      <c r="D534">
        <v>1676000</v>
      </c>
      <c r="E534" t="s">
        <v>7896</v>
      </c>
      <c r="F534">
        <v>2.5</v>
      </c>
      <c r="G534" s="12">
        <v>-23000</v>
      </c>
      <c r="H534">
        <v>661200</v>
      </c>
      <c r="I534">
        <v>-9200</v>
      </c>
    </row>
    <row r="535" spans="1:9">
      <c r="A535" t="s">
        <v>1517</v>
      </c>
      <c r="B535" t="s">
        <v>18</v>
      </c>
      <c r="C535">
        <v>2165000</v>
      </c>
      <c r="D535">
        <v>2480000</v>
      </c>
      <c r="E535" t="s">
        <v>7896</v>
      </c>
      <c r="F535">
        <v>2.5</v>
      </c>
      <c r="G535" s="12">
        <v>-315000</v>
      </c>
      <c r="H535">
        <v>866000</v>
      </c>
      <c r="I535">
        <v>-126000</v>
      </c>
    </row>
    <row r="536" spans="1:9">
      <c r="A536" t="s">
        <v>1737</v>
      </c>
      <c r="B536" t="s">
        <v>18</v>
      </c>
      <c r="C536">
        <v>1210000</v>
      </c>
      <c r="D536">
        <v>1207000</v>
      </c>
      <c r="E536" t="s">
        <v>7896</v>
      </c>
      <c r="F536">
        <v>2.5</v>
      </c>
      <c r="G536" s="12">
        <v>3000</v>
      </c>
      <c r="H536">
        <v>484000</v>
      </c>
      <c r="I536">
        <v>1200</v>
      </c>
    </row>
    <row r="537" spans="1:9">
      <c r="A537" t="s">
        <v>1532</v>
      </c>
      <c r="B537" t="s">
        <v>18</v>
      </c>
      <c r="C537">
        <v>34000000</v>
      </c>
      <c r="D537">
        <v>34246000</v>
      </c>
      <c r="E537" t="s">
        <v>7896</v>
      </c>
      <c r="F537">
        <v>2.5</v>
      </c>
      <c r="G537" s="12">
        <v>-246000</v>
      </c>
      <c r="H537">
        <v>13600000</v>
      </c>
      <c r="I537">
        <v>-98400</v>
      </c>
    </row>
    <row r="538" spans="1:9">
      <c r="A538" t="s">
        <v>1532</v>
      </c>
      <c r="B538" t="s">
        <v>18</v>
      </c>
      <c r="C538">
        <v>1302000</v>
      </c>
      <c r="D538">
        <v>546000</v>
      </c>
      <c r="E538" t="s">
        <v>7896</v>
      </c>
      <c r="F538">
        <v>2.5</v>
      </c>
      <c r="G538" s="12">
        <v>756000</v>
      </c>
      <c r="H538">
        <v>520800</v>
      </c>
      <c r="I538">
        <v>302400</v>
      </c>
    </row>
    <row r="539" spans="1:9">
      <c r="A539" t="s">
        <v>1642</v>
      </c>
      <c r="B539" t="s">
        <v>18</v>
      </c>
      <c r="C539">
        <v>14205000</v>
      </c>
      <c r="D539">
        <v>13913000</v>
      </c>
      <c r="E539" t="s">
        <v>7896</v>
      </c>
      <c r="F539">
        <v>2.5</v>
      </c>
      <c r="G539" s="12">
        <v>292000</v>
      </c>
      <c r="H539">
        <v>5682000</v>
      </c>
      <c r="I539">
        <v>116800</v>
      </c>
    </row>
    <row r="540" spans="1:9">
      <c r="A540" t="s">
        <v>1524</v>
      </c>
      <c r="B540" t="s">
        <v>18</v>
      </c>
      <c r="C540">
        <v>163000</v>
      </c>
      <c r="D540">
        <v>518000</v>
      </c>
      <c r="E540" t="s">
        <v>7896</v>
      </c>
      <c r="F540">
        <v>2.5</v>
      </c>
      <c r="G540" s="12">
        <v>-355000</v>
      </c>
      <c r="H540">
        <v>65200</v>
      </c>
      <c r="I540">
        <v>-142000</v>
      </c>
    </row>
    <row r="541" spans="1:9">
      <c r="A541" t="s">
        <v>1518</v>
      </c>
      <c r="B541" t="s">
        <v>18</v>
      </c>
      <c r="C541">
        <v>35000</v>
      </c>
      <c r="D541">
        <v>28000</v>
      </c>
      <c r="E541" t="s">
        <v>7896</v>
      </c>
      <c r="F541">
        <v>2.5</v>
      </c>
      <c r="G541" s="12">
        <v>7000</v>
      </c>
      <c r="H541">
        <v>14000</v>
      </c>
      <c r="I541">
        <v>2800</v>
      </c>
    </row>
    <row r="542" spans="1:9">
      <c r="A542" t="s">
        <v>1532</v>
      </c>
      <c r="B542" t="s">
        <v>18</v>
      </c>
      <c r="C542">
        <v>3560000</v>
      </c>
      <c r="D542">
        <v>3560000</v>
      </c>
      <c r="E542" t="s">
        <v>7896</v>
      </c>
      <c r="F542">
        <v>2.5</v>
      </c>
      <c r="G542" s="12">
        <v>0</v>
      </c>
      <c r="H542">
        <v>1424000</v>
      </c>
      <c r="I542">
        <v>0</v>
      </c>
    </row>
    <row r="543" spans="1:9">
      <c r="A543" t="s">
        <v>1518</v>
      </c>
      <c r="B543" t="s">
        <v>18</v>
      </c>
      <c r="C543">
        <v>178000</v>
      </c>
      <c r="D543">
        <v>155000</v>
      </c>
      <c r="E543" t="s">
        <v>7896</v>
      </c>
      <c r="F543">
        <v>2.5</v>
      </c>
      <c r="G543" s="12">
        <v>23000</v>
      </c>
      <c r="H543">
        <v>71200</v>
      </c>
      <c r="I543">
        <v>9200</v>
      </c>
    </row>
    <row r="544" spans="1:9">
      <c r="A544" t="s">
        <v>1560</v>
      </c>
      <c r="B544" t="s">
        <v>18</v>
      </c>
      <c r="C544">
        <v>2453000</v>
      </c>
      <c r="D544">
        <v>2702000</v>
      </c>
      <c r="E544" t="s">
        <v>7896</v>
      </c>
      <c r="F544">
        <v>2.5</v>
      </c>
      <c r="G544" s="12">
        <v>-249000</v>
      </c>
      <c r="H544">
        <v>981200</v>
      </c>
      <c r="I544">
        <v>-99600</v>
      </c>
    </row>
    <row r="545" spans="1:9">
      <c r="A545" t="s">
        <v>1517</v>
      </c>
      <c r="B545" t="s">
        <v>18</v>
      </c>
      <c r="C545">
        <v>370000</v>
      </c>
      <c r="D545">
        <v>391000</v>
      </c>
      <c r="E545" t="s">
        <v>7896</v>
      </c>
      <c r="F545">
        <v>2.5</v>
      </c>
      <c r="G545" s="12">
        <v>-21000</v>
      </c>
      <c r="H545">
        <v>148000</v>
      </c>
      <c r="I545">
        <v>-8400</v>
      </c>
    </row>
    <row r="546" spans="1:9">
      <c r="A546" t="s">
        <v>1504</v>
      </c>
      <c r="B546" t="s">
        <v>18</v>
      </c>
      <c r="C546">
        <v>799000</v>
      </c>
      <c r="D546">
        <v>789000</v>
      </c>
      <c r="E546" t="s">
        <v>7896</v>
      </c>
      <c r="F546">
        <v>2.5</v>
      </c>
      <c r="G546" s="12">
        <v>10000</v>
      </c>
      <c r="H546">
        <v>319600</v>
      </c>
      <c r="I546">
        <v>4000</v>
      </c>
    </row>
    <row r="547" spans="1:9">
      <c r="A547" t="s">
        <v>1580</v>
      </c>
      <c r="B547" t="s">
        <v>18</v>
      </c>
      <c r="C547">
        <v>2797000</v>
      </c>
      <c r="D547">
        <v>3224000</v>
      </c>
      <c r="E547" t="s">
        <v>7896</v>
      </c>
      <c r="F547">
        <v>2.5</v>
      </c>
      <c r="G547" s="12">
        <v>-427000</v>
      </c>
      <c r="H547">
        <v>1118800</v>
      </c>
      <c r="I547">
        <v>-170800</v>
      </c>
    </row>
    <row r="548" spans="1:9">
      <c r="A548" t="s">
        <v>1518</v>
      </c>
      <c r="B548" t="s">
        <v>18</v>
      </c>
      <c r="C548">
        <v>384000</v>
      </c>
      <c r="D548">
        <v>455000</v>
      </c>
      <c r="E548" t="s">
        <v>7896</v>
      </c>
      <c r="F548">
        <v>2.5</v>
      </c>
      <c r="G548" s="12">
        <v>-71000</v>
      </c>
      <c r="H548">
        <v>153600</v>
      </c>
      <c r="I548">
        <v>-28400</v>
      </c>
    </row>
    <row r="549" spans="1:9">
      <c r="A549" t="s">
        <v>1518</v>
      </c>
      <c r="B549" t="s">
        <v>18</v>
      </c>
      <c r="C549">
        <v>6541000</v>
      </c>
      <c r="D549">
        <v>5865000</v>
      </c>
      <c r="E549" t="s">
        <v>7896</v>
      </c>
      <c r="F549">
        <v>2.5</v>
      </c>
      <c r="G549" s="12">
        <v>676000</v>
      </c>
      <c r="H549">
        <v>2616400</v>
      </c>
      <c r="I549">
        <v>270400</v>
      </c>
    </row>
    <row r="550" spans="1:9">
      <c r="A550" t="s">
        <v>1516</v>
      </c>
      <c r="B550" t="s">
        <v>18</v>
      </c>
      <c r="C550">
        <v>431000</v>
      </c>
      <c r="D550">
        <v>440000</v>
      </c>
      <c r="E550" t="s">
        <v>7896</v>
      </c>
      <c r="F550">
        <v>2.5</v>
      </c>
      <c r="G550" s="12">
        <v>-9000</v>
      </c>
      <c r="H550">
        <v>172400</v>
      </c>
      <c r="I550">
        <v>-3600</v>
      </c>
    </row>
    <row r="551" spans="1:9">
      <c r="A551" t="s">
        <v>1512</v>
      </c>
      <c r="B551" t="s">
        <v>18</v>
      </c>
      <c r="C551">
        <v>1731000</v>
      </c>
      <c r="D551">
        <v>1705000</v>
      </c>
      <c r="E551" t="s">
        <v>7896</v>
      </c>
      <c r="F551">
        <v>2.5</v>
      </c>
      <c r="G551" s="12">
        <v>26000</v>
      </c>
      <c r="H551">
        <v>692400</v>
      </c>
      <c r="I551">
        <v>10400</v>
      </c>
    </row>
    <row r="552" spans="1:9">
      <c r="A552" t="s">
        <v>1520</v>
      </c>
      <c r="B552" t="s">
        <v>18</v>
      </c>
      <c r="C552">
        <v>1213000</v>
      </c>
      <c r="D552">
        <v>385000</v>
      </c>
      <c r="E552" t="s">
        <v>7896</v>
      </c>
      <c r="F552">
        <v>2.5</v>
      </c>
      <c r="G552" s="12">
        <v>828000</v>
      </c>
      <c r="H552">
        <v>485200</v>
      </c>
      <c r="I552">
        <v>331200</v>
      </c>
    </row>
    <row r="553" spans="1:9">
      <c r="A553" t="s">
        <v>1534</v>
      </c>
      <c r="B553" t="s">
        <v>18</v>
      </c>
      <c r="C553">
        <v>442000</v>
      </c>
      <c r="D553">
        <v>625000</v>
      </c>
      <c r="E553" t="s">
        <v>7896</v>
      </c>
      <c r="F553">
        <v>2.5</v>
      </c>
      <c r="G553" s="12">
        <v>-183000</v>
      </c>
      <c r="H553">
        <v>176800</v>
      </c>
      <c r="I553">
        <v>-73200</v>
      </c>
    </row>
    <row r="554" spans="1:9">
      <c r="A554" t="s">
        <v>1754</v>
      </c>
      <c r="B554" t="s">
        <v>18</v>
      </c>
      <c r="C554">
        <v>2035000</v>
      </c>
      <c r="D554">
        <v>2078000</v>
      </c>
      <c r="E554" t="s">
        <v>7896</v>
      </c>
      <c r="F554">
        <v>2.5</v>
      </c>
      <c r="G554" s="12">
        <v>-43000</v>
      </c>
      <c r="H554">
        <v>814000</v>
      </c>
      <c r="I554">
        <v>-17200</v>
      </c>
    </row>
    <row r="555" spans="1:9">
      <c r="A555" t="s">
        <v>1532</v>
      </c>
      <c r="B555" t="s">
        <v>18</v>
      </c>
      <c r="C555">
        <v>366179000</v>
      </c>
      <c r="D555">
        <v>236970000</v>
      </c>
      <c r="E555" t="s">
        <v>7896</v>
      </c>
      <c r="F555">
        <v>2.5</v>
      </c>
      <c r="G555" s="12">
        <v>129209000</v>
      </c>
      <c r="H555">
        <v>146471600</v>
      </c>
      <c r="I555">
        <v>51683600</v>
      </c>
    </row>
    <row r="556" spans="1:9">
      <c r="A556" t="s">
        <v>1532</v>
      </c>
      <c r="B556" t="s">
        <v>18</v>
      </c>
      <c r="C556">
        <v>523669000</v>
      </c>
      <c r="D556">
        <v>341295000</v>
      </c>
      <c r="E556" t="s">
        <v>7896</v>
      </c>
      <c r="F556">
        <v>2.5</v>
      </c>
      <c r="G556" s="12">
        <v>182374000</v>
      </c>
      <c r="H556">
        <v>209467600</v>
      </c>
      <c r="I556">
        <v>72949600</v>
      </c>
    </row>
    <row r="557" spans="1:9">
      <c r="A557" t="s">
        <v>1754</v>
      </c>
      <c r="B557" t="s">
        <v>18</v>
      </c>
      <c r="C557">
        <v>2650000</v>
      </c>
      <c r="D557">
        <v>2588000</v>
      </c>
      <c r="E557" t="s">
        <v>7896</v>
      </c>
      <c r="F557">
        <v>2.5</v>
      </c>
      <c r="G557" s="12">
        <v>62000</v>
      </c>
      <c r="H557">
        <v>1060000</v>
      </c>
      <c r="I557">
        <v>24800</v>
      </c>
    </row>
    <row r="558" spans="1:9">
      <c r="A558" t="s">
        <v>1512</v>
      </c>
      <c r="B558" t="s">
        <v>18</v>
      </c>
      <c r="C558">
        <v>573000</v>
      </c>
      <c r="D558">
        <v>573000</v>
      </c>
      <c r="E558" t="s">
        <v>7896</v>
      </c>
      <c r="F558">
        <v>2.5</v>
      </c>
      <c r="G558" s="12">
        <v>0</v>
      </c>
      <c r="H558">
        <v>229200</v>
      </c>
      <c r="I558">
        <v>0</v>
      </c>
    </row>
    <row r="559" spans="1:9">
      <c r="A559" t="s">
        <v>1560</v>
      </c>
      <c r="B559" t="s">
        <v>18</v>
      </c>
      <c r="C559">
        <v>3017000</v>
      </c>
      <c r="D559">
        <v>2609000</v>
      </c>
      <c r="E559" t="s">
        <v>7896</v>
      </c>
      <c r="F559">
        <v>2.5</v>
      </c>
      <c r="G559" s="12">
        <v>408000</v>
      </c>
      <c r="H559">
        <v>1206800</v>
      </c>
      <c r="I559">
        <v>163200</v>
      </c>
    </row>
    <row r="560" spans="1:9">
      <c r="A560" t="s">
        <v>1518</v>
      </c>
      <c r="B560" t="s">
        <v>18</v>
      </c>
      <c r="C560">
        <v>1340000</v>
      </c>
      <c r="D560">
        <v>3230000</v>
      </c>
      <c r="E560" t="s">
        <v>7896</v>
      </c>
      <c r="F560">
        <v>2.5</v>
      </c>
      <c r="G560" s="12">
        <v>-1890000</v>
      </c>
      <c r="H560">
        <v>536000</v>
      </c>
      <c r="I560">
        <v>-756000</v>
      </c>
    </row>
    <row r="561" spans="1:9">
      <c r="A561" t="s">
        <v>1532</v>
      </c>
      <c r="B561" t="s">
        <v>18</v>
      </c>
      <c r="C561">
        <v>1101000</v>
      </c>
      <c r="D561">
        <v>1041000</v>
      </c>
      <c r="E561" t="s">
        <v>7896</v>
      </c>
      <c r="F561">
        <v>2.5</v>
      </c>
      <c r="G561" s="12">
        <v>60000</v>
      </c>
      <c r="H561">
        <v>440400</v>
      </c>
      <c r="I561">
        <v>24000</v>
      </c>
    </row>
    <row r="562" spans="1:9">
      <c r="A562" t="s">
        <v>1508</v>
      </c>
      <c r="B562" t="s">
        <v>18</v>
      </c>
      <c r="C562">
        <v>1984000</v>
      </c>
      <c r="D562">
        <v>1750000</v>
      </c>
      <c r="E562" t="s">
        <v>7896</v>
      </c>
      <c r="F562">
        <v>2.5</v>
      </c>
      <c r="G562" s="12">
        <v>234000</v>
      </c>
      <c r="H562">
        <v>793600</v>
      </c>
      <c r="I562">
        <v>93600</v>
      </c>
    </row>
    <row r="563" spans="1:9">
      <c r="A563" t="s">
        <v>1518</v>
      </c>
      <c r="B563" t="s">
        <v>18</v>
      </c>
      <c r="C563">
        <v>795000</v>
      </c>
      <c r="D563">
        <v>44000</v>
      </c>
      <c r="E563" t="s">
        <v>7896</v>
      </c>
      <c r="F563">
        <v>2.5</v>
      </c>
      <c r="G563" s="12">
        <v>751000</v>
      </c>
      <c r="H563">
        <v>318000</v>
      </c>
      <c r="I563">
        <v>300400</v>
      </c>
    </row>
    <row r="564" spans="1:9">
      <c r="A564" t="s">
        <v>1509</v>
      </c>
      <c r="B564" t="s">
        <v>18</v>
      </c>
      <c r="C564">
        <v>6594000</v>
      </c>
      <c r="D564">
        <v>5735000</v>
      </c>
      <c r="E564" t="s">
        <v>7896</v>
      </c>
      <c r="F564">
        <v>2.5</v>
      </c>
      <c r="G564" s="12">
        <v>859000</v>
      </c>
      <c r="H564">
        <v>2637600</v>
      </c>
      <c r="I564">
        <v>343600</v>
      </c>
    </row>
    <row r="565" spans="1:9">
      <c r="A565" t="s">
        <v>1524</v>
      </c>
      <c r="B565" t="s">
        <v>18</v>
      </c>
      <c r="C565">
        <v>34008000</v>
      </c>
      <c r="D565">
        <v>12000</v>
      </c>
      <c r="E565" t="s">
        <v>7896</v>
      </c>
      <c r="F565">
        <v>2.5</v>
      </c>
      <c r="G565" s="12">
        <v>33996000</v>
      </c>
      <c r="H565">
        <v>13603200</v>
      </c>
      <c r="I565">
        <v>13598400</v>
      </c>
    </row>
    <row r="566" spans="1:9">
      <c r="A566" t="s">
        <v>1512</v>
      </c>
      <c r="B566" t="s">
        <v>18</v>
      </c>
      <c r="C566">
        <v>7600000</v>
      </c>
      <c r="D566">
        <v>7579000</v>
      </c>
      <c r="E566" t="s">
        <v>7896</v>
      </c>
      <c r="F566">
        <v>2.5</v>
      </c>
      <c r="G566" s="12">
        <v>21000</v>
      </c>
      <c r="H566">
        <v>3040000</v>
      </c>
      <c r="I566">
        <v>8400</v>
      </c>
    </row>
    <row r="567" spans="1:9">
      <c r="A567" t="s">
        <v>1532</v>
      </c>
      <c r="B567" t="s">
        <v>18</v>
      </c>
      <c r="C567">
        <v>1097581000</v>
      </c>
      <c r="D567">
        <v>1028487000</v>
      </c>
      <c r="E567" t="s">
        <v>7896</v>
      </c>
      <c r="F567">
        <v>2.5</v>
      </c>
      <c r="G567" s="12">
        <v>69094000</v>
      </c>
      <c r="H567">
        <v>439032400</v>
      </c>
      <c r="I567">
        <v>27637600</v>
      </c>
    </row>
    <row r="568" spans="1:9">
      <c r="A568" t="s">
        <v>1649</v>
      </c>
      <c r="B568" t="s">
        <v>18</v>
      </c>
      <c r="C568">
        <v>1166000</v>
      </c>
      <c r="D568">
        <v>1379000</v>
      </c>
      <c r="E568" t="s">
        <v>7896</v>
      </c>
      <c r="F568">
        <v>2.5</v>
      </c>
      <c r="G568" s="12">
        <v>-213000</v>
      </c>
      <c r="H568">
        <v>466400</v>
      </c>
      <c r="I568">
        <v>-85200</v>
      </c>
    </row>
    <row r="569" spans="1:9">
      <c r="A569" t="s">
        <v>1649</v>
      </c>
      <c r="B569" t="s">
        <v>18</v>
      </c>
      <c r="C569">
        <v>7762000</v>
      </c>
      <c r="D569">
        <v>7682000</v>
      </c>
      <c r="E569" t="s">
        <v>7896</v>
      </c>
      <c r="F569">
        <v>2.5</v>
      </c>
      <c r="G569" s="12">
        <v>80000</v>
      </c>
      <c r="H569">
        <v>3104800</v>
      </c>
      <c r="I569">
        <v>32000</v>
      </c>
    </row>
    <row r="570" spans="1:9">
      <c r="A570" t="s">
        <v>1516</v>
      </c>
      <c r="B570" t="s">
        <v>18</v>
      </c>
      <c r="C570">
        <v>8863000</v>
      </c>
      <c r="D570">
        <v>7529000</v>
      </c>
      <c r="E570" t="s">
        <v>7896</v>
      </c>
      <c r="F570">
        <v>2.5</v>
      </c>
      <c r="G570" s="12">
        <v>1334000</v>
      </c>
      <c r="H570">
        <v>3545200</v>
      </c>
      <c r="I570">
        <v>533600</v>
      </c>
    </row>
    <row r="571" spans="1:9">
      <c r="A571" t="s">
        <v>1516</v>
      </c>
      <c r="B571" t="s">
        <v>77</v>
      </c>
      <c r="C571">
        <v>42098000</v>
      </c>
      <c r="D571">
        <v>41683000</v>
      </c>
      <c r="E571" t="s">
        <v>7896</v>
      </c>
      <c r="F571">
        <v>8</v>
      </c>
      <c r="G571" s="12">
        <v>415000</v>
      </c>
      <c r="H571">
        <v>5262250</v>
      </c>
      <c r="I571">
        <v>51875</v>
      </c>
    </row>
    <row r="572" spans="1:9">
      <c r="A572" t="s">
        <v>1524</v>
      </c>
      <c r="B572" t="s">
        <v>18</v>
      </c>
      <c r="C572">
        <v>4153000</v>
      </c>
      <c r="D572">
        <v>4088000</v>
      </c>
      <c r="E572" t="s">
        <v>7896</v>
      </c>
      <c r="F572">
        <v>2.5</v>
      </c>
      <c r="G572" s="12">
        <v>65000</v>
      </c>
      <c r="H572">
        <v>1661200</v>
      </c>
      <c r="I572">
        <v>26000</v>
      </c>
    </row>
    <row r="573" spans="1:9">
      <c r="A573" t="s">
        <v>1512</v>
      </c>
      <c r="B573" t="s">
        <v>18</v>
      </c>
      <c r="C573">
        <v>1350000</v>
      </c>
      <c r="D573">
        <v>1341000</v>
      </c>
      <c r="E573" t="s">
        <v>7896</v>
      </c>
      <c r="F573">
        <v>2.5</v>
      </c>
      <c r="G573" s="12">
        <v>9000</v>
      </c>
      <c r="H573">
        <v>540000</v>
      </c>
      <c r="I573">
        <v>3600</v>
      </c>
    </row>
    <row r="574" spans="1:9">
      <c r="A574" t="s">
        <v>1519</v>
      </c>
      <c r="B574" t="s">
        <v>23</v>
      </c>
      <c r="C574">
        <v>27828000</v>
      </c>
      <c r="D574">
        <v>28976000</v>
      </c>
      <c r="E574" t="s">
        <v>7897</v>
      </c>
      <c r="F574">
        <v>75.5</v>
      </c>
      <c r="G574" s="12">
        <v>-1148000</v>
      </c>
      <c r="H574">
        <v>368582.78145695367</v>
      </c>
      <c r="I574">
        <v>-15205.298013245034</v>
      </c>
    </row>
    <row r="575" spans="1:9">
      <c r="A575" t="s">
        <v>1512</v>
      </c>
      <c r="B575" t="s">
        <v>18</v>
      </c>
      <c r="C575">
        <v>9260000</v>
      </c>
      <c r="D575">
        <v>9735000</v>
      </c>
      <c r="E575" t="s">
        <v>7896</v>
      </c>
      <c r="F575">
        <v>2.5</v>
      </c>
      <c r="G575" s="12">
        <v>-475000</v>
      </c>
      <c r="H575">
        <v>3704000</v>
      </c>
      <c r="I575">
        <v>-190000</v>
      </c>
    </row>
    <row r="576" spans="1:9">
      <c r="A576" t="s">
        <v>1580</v>
      </c>
      <c r="B576" t="s">
        <v>18</v>
      </c>
      <c r="C576">
        <v>24196000</v>
      </c>
      <c r="D576">
        <v>13883000</v>
      </c>
      <c r="E576" t="s">
        <v>7896</v>
      </c>
      <c r="F576">
        <v>2.5</v>
      </c>
      <c r="G576" s="12">
        <v>10313000</v>
      </c>
      <c r="H576">
        <v>9678400</v>
      </c>
      <c r="I576">
        <v>4125200</v>
      </c>
    </row>
    <row r="577" spans="1:9">
      <c r="A577" t="s">
        <v>1516</v>
      </c>
      <c r="B577" t="s">
        <v>18</v>
      </c>
      <c r="C577">
        <v>284000</v>
      </c>
      <c r="D577">
        <v>284000</v>
      </c>
      <c r="E577" t="s">
        <v>7896</v>
      </c>
      <c r="F577">
        <v>2.5</v>
      </c>
      <c r="G577" s="12">
        <v>0</v>
      </c>
      <c r="H577">
        <v>113600</v>
      </c>
      <c r="I577">
        <v>0</v>
      </c>
    </row>
    <row r="578" spans="1:9">
      <c r="A578" t="s">
        <v>1558</v>
      </c>
      <c r="B578" t="s">
        <v>18</v>
      </c>
      <c r="C578">
        <v>1817000</v>
      </c>
      <c r="D578">
        <v>1874000</v>
      </c>
      <c r="E578" t="s">
        <v>7896</v>
      </c>
      <c r="F578">
        <v>2.5</v>
      </c>
      <c r="G578" s="12">
        <v>-57000</v>
      </c>
      <c r="H578">
        <v>726800</v>
      </c>
      <c r="I578">
        <v>-22800</v>
      </c>
    </row>
    <row r="579" spans="1:9">
      <c r="A579" t="s">
        <v>1558</v>
      </c>
      <c r="B579" t="s">
        <v>18</v>
      </c>
      <c r="C579">
        <v>511000</v>
      </c>
      <c r="D579">
        <v>437000</v>
      </c>
      <c r="E579" t="s">
        <v>7896</v>
      </c>
      <c r="F579">
        <v>2.5</v>
      </c>
      <c r="G579" s="12">
        <v>74000</v>
      </c>
      <c r="H579">
        <v>204400</v>
      </c>
      <c r="I579">
        <v>29600</v>
      </c>
    </row>
    <row r="580" spans="1:9">
      <c r="A580" t="s">
        <v>1512</v>
      </c>
      <c r="B580" t="s">
        <v>18</v>
      </c>
      <c r="C580">
        <v>5841000</v>
      </c>
      <c r="D580">
        <v>5793000</v>
      </c>
      <c r="E580" t="s">
        <v>7896</v>
      </c>
      <c r="F580">
        <v>2.5</v>
      </c>
      <c r="G580" s="12">
        <v>48000</v>
      </c>
      <c r="H580">
        <v>2336400</v>
      </c>
      <c r="I580">
        <v>19200</v>
      </c>
    </row>
    <row r="581" spans="1:9">
      <c r="A581" t="s">
        <v>1532</v>
      </c>
      <c r="B581" t="s">
        <v>18</v>
      </c>
      <c r="C581">
        <v>714000</v>
      </c>
      <c r="D581">
        <v>798000</v>
      </c>
      <c r="E581" t="s">
        <v>7896</v>
      </c>
      <c r="F581">
        <v>2.5</v>
      </c>
      <c r="G581" s="12">
        <v>-84000</v>
      </c>
      <c r="H581">
        <v>285600</v>
      </c>
      <c r="I581">
        <v>-33600</v>
      </c>
    </row>
    <row r="582" spans="1:9">
      <c r="A582" t="s">
        <v>1508</v>
      </c>
      <c r="B582" t="s">
        <v>18</v>
      </c>
      <c r="C582">
        <v>21540000</v>
      </c>
      <c r="D582">
        <v>24909000</v>
      </c>
      <c r="E582" t="s">
        <v>7896</v>
      </c>
      <c r="F582">
        <v>2.5</v>
      </c>
      <c r="G582" s="12">
        <v>-3369000</v>
      </c>
      <c r="H582">
        <v>8616000</v>
      </c>
      <c r="I582">
        <v>-1347600</v>
      </c>
    </row>
    <row r="583" spans="1:9">
      <c r="A583" t="s">
        <v>1738</v>
      </c>
      <c r="B583" t="s">
        <v>18</v>
      </c>
      <c r="C583">
        <v>8596000</v>
      </c>
      <c r="D583">
        <v>9220000</v>
      </c>
      <c r="E583" t="s">
        <v>7896</v>
      </c>
      <c r="F583">
        <v>2.5</v>
      </c>
      <c r="G583" s="12">
        <v>-624000</v>
      </c>
      <c r="H583">
        <v>3438400</v>
      </c>
      <c r="I583">
        <v>-249600</v>
      </c>
    </row>
    <row r="584" spans="1:9">
      <c r="A584" t="s">
        <v>1625</v>
      </c>
      <c r="B584" t="s">
        <v>18</v>
      </c>
      <c r="C584">
        <v>177000</v>
      </c>
      <c r="D584">
        <v>234000</v>
      </c>
      <c r="E584" t="s">
        <v>7896</v>
      </c>
      <c r="F584">
        <v>2.5</v>
      </c>
      <c r="G584" s="12">
        <v>-57000</v>
      </c>
      <c r="H584">
        <v>70800</v>
      </c>
      <c r="I584">
        <v>-22800</v>
      </c>
    </row>
    <row r="585" spans="1:9">
      <c r="A585" t="s">
        <v>1776</v>
      </c>
      <c r="B585" t="s">
        <v>18</v>
      </c>
      <c r="C585">
        <v>4888000</v>
      </c>
      <c r="D585">
        <v>3836000</v>
      </c>
      <c r="E585" t="s">
        <v>7896</v>
      </c>
      <c r="F585">
        <v>2.5</v>
      </c>
      <c r="G585" s="12">
        <v>1052000</v>
      </c>
      <c r="H585">
        <v>1955200</v>
      </c>
      <c r="I585">
        <v>420800</v>
      </c>
    </row>
    <row r="586" spans="1:9">
      <c r="A586" t="s">
        <v>1642</v>
      </c>
      <c r="B586" t="s">
        <v>18</v>
      </c>
      <c r="C586">
        <v>5777000</v>
      </c>
      <c r="D586">
        <v>5621000</v>
      </c>
      <c r="E586" t="s">
        <v>7896</v>
      </c>
      <c r="F586">
        <v>2.5</v>
      </c>
      <c r="G586" s="12">
        <v>156000</v>
      </c>
      <c r="H586">
        <v>2310800</v>
      </c>
      <c r="I586">
        <v>62400</v>
      </c>
    </row>
    <row r="587" spans="1:9">
      <c r="A587" t="s">
        <v>1517</v>
      </c>
      <c r="B587" t="s">
        <v>18</v>
      </c>
      <c r="C587">
        <v>1126000</v>
      </c>
      <c r="D587">
        <v>1139000</v>
      </c>
      <c r="E587" t="s">
        <v>7896</v>
      </c>
      <c r="F587">
        <v>2.5</v>
      </c>
      <c r="G587" s="12">
        <v>-13000</v>
      </c>
      <c r="H587">
        <v>450400</v>
      </c>
      <c r="I587">
        <v>-5200</v>
      </c>
    </row>
    <row r="588" spans="1:9">
      <c r="A588" t="s">
        <v>1513</v>
      </c>
      <c r="B588" t="s">
        <v>18</v>
      </c>
      <c r="C588">
        <v>725000</v>
      </c>
      <c r="D588">
        <v>978000</v>
      </c>
      <c r="E588" t="s">
        <v>7896</v>
      </c>
      <c r="F588">
        <v>2.5</v>
      </c>
      <c r="G588" s="12">
        <v>-253000</v>
      </c>
      <c r="H588">
        <v>290000</v>
      </c>
      <c r="I588">
        <v>-101200</v>
      </c>
    </row>
    <row r="589" spans="1:9">
      <c r="A589" t="s">
        <v>1533</v>
      </c>
      <c r="B589" t="s">
        <v>18</v>
      </c>
      <c r="C589">
        <v>643000</v>
      </c>
      <c r="D589">
        <v>625000</v>
      </c>
      <c r="E589" t="s">
        <v>7896</v>
      </c>
      <c r="F589">
        <v>2.5</v>
      </c>
      <c r="G589" s="12">
        <v>18000</v>
      </c>
      <c r="H589">
        <v>257200</v>
      </c>
      <c r="I589">
        <v>7200</v>
      </c>
    </row>
    <row r="590" spans="1:9">
      <c r="A590" t="s">
        <v>1737</v>
      </c>
      <c r="B590" t="s">
        <v>22</v>
      </c>
      <c r="C590">
        <v>6435000</v>
      </c>
      <c r="D590">
        <v>6469000</v>
      </c>
      <c r="E590" t="s">
        <v>7896</v>
      </c>
      <c r="F590">
        <v>13</v>
      </c>
      <c r="G590" s="12">
        <v>-34000</v>
      </c>
      <c r="H590">
        <v>495000</v>
      </c>
      <c r="I590">
        <v>-2615.3846153846152</v>
      </c>
    </row>
    <row r="591" spans="1:9">
      <c r="A591" t="s">
        <v>1544</v>
      </c>
      <c r="B591" t="s">
        <v>18</v>
      </c>
      <c r="C591">
        <v>702000</v>
      </c>
      <c r="D591">
        <v>702000</v>
      </c>
      <c r="E591" t="s">
        <v>7896</v>
      </c>
      <c r="F591">
        <v>2.5</v>
      </c>
      <c r="G591" s="12">
        <v>0</v>
      </c>
      <c r="H591">
        <v>280800</v>
      </c>
      <c r="I591">
        <v>0</v>
      </c>
    </row>
    <row r="592" spans="1:9">
      <c r="A592" t="s">
        <v>1532</v>
      </c>
      <c r="B592" t="s">
        <v>18</v>
      </c>
      <c r="C592">
        <v>2248000</v>
      </c>
      <c r="D592">
        <v>2417000</v>
      </c>
      <c r="E592" t="s">
        <v>7896</v>
      </c>
      <c r="F592">
        <v>2.5</v>
      </c>
      <c r="G592" s="12">
        <v>-169000</v>
      </c>
      <c r="H592">
        <v>899200</v>
      </c>
      <c r="I592">
        <v>-67600</v>
      </c>
    </row>
    <row r="593" spans="1:9">
      <c r="A593" t="s">
        <v>1524</v>
      </c>
      <c r="B593" t="s">
        <v>18</v>
      </c>
      <c r="C593">
        <v>70120000</v>
      </c>
      <c r="D593">
        <v>36942000</v>
      </c>
      <c r="E593" t="s">
        <v>7896</v>
      </c>
      <c r="F593">
        <v>2.5</v>
      </c>
      <c r="G593" s="12">
        <v>33178000</v>
      </c>
      <c r="H593">
        <v>28048000</v>
      </c>
      <c r="I593">
        <v>13271200</v>
      </c>
    </row>
    <row r="594" spans="1:9">
      <c r="A594" t="s">
        <v>1520</v>
      </c>
      <c r="B594" t="s">
        <v>18</v>
      </c>
      <c r="C594">
        <v>155000</v>
      </c>
      <c r="D594">
        <v>29000</v>
      </c>
      <c r="E594" t="s">
        <v>7896</v>
      </c>
      <c r="F594">
        <v>2.5</v>
      </c>
      <c r="G594" s="12">
        <v>126000</v>
      </c>
      <c r="H594">
        <v>62000</v>
      </c>
      <c r="I594">
        <v>50400</v>
      </c>
    </row>
    <row r="595" spans="1:9">
      <c r="A595" t="s">
        <v>1526</v>
      </c>
      <c r="B595" t="s">
        <v>18</v>
      </c>
      <c r="C595">
        <v>60000</v>
      </c>
      <c r="D595">
        <v>113000</v>
      </c>
      <c r="E595" t="s">
        <v>7896</v>
      </c>
      <c r="F595">
        <v>2.5</v>
      </c>
      <c r="G595" s="12">
        <v>-53000</v>
      </c>
      <c r="H595">
        <v>24000</v>
      </c>
      <c r="I595">
        <v>-21200</v>
      </c>
    </row>
    <row r="596" spans="1:9">
      <c r="A596" t="s">
        <v>1518</v>
      </c>
      <c r="B596" t="s">
        <v>18</v>
      </c>
      <c r="C596">
        <v>6958000</v>
      </c>
      <c r="D596">
        <v>8025000</v>
      </c>
      <c r="E596" t="s">
        <v>7896</v>
      </c>
      <c r="F596">
        <v>2.5</v>
      </c>
      <c r="G596" s="12">
        <v>-1067000</v>
      </c>
      <c r="H596">
        <v>2783200</v>
      </c>
      <c r="I596">
        <v>-426800</v>
      </c>
    </row>
    <row r="597" spans="1:9">
      <c r="A597" t="s">
        <v>1579</v>
      </c>
      <c r="B597" t="s">
        <v>18</v>
      </c>
      <c r="C597">
        <v>424000</v>
      </c>
      <c r="D597">
        <v>424000</v>
      </c>
      <c r="E597" t="s">
        <v>7896</v>
      </c>
      <c r="F597">
        <v>2.5</v>
      </c>
      <c r="G597" s="12">
        <v>0</v>
      </c>
      <c r="H597">
        <v>169600</v>
      </c>
      <c r="I597">
        <v>0</v>
      </c>
    </row>
    <row r="598" spans="1:9">
      <c r="A598" t="s">
        <v>1518</v>
      </c>
      <c r="B598" t="s">
        <v>18</v>
      </c>
      <c r="C598">
        <v>984000</v>
      </c>
      <c r="D598">
        <v>1824000</v>
      </c>
      <c r="E598" t="s">
        <v>7896</v>
      </c>
      <c r="F598">
        <v>2.5</v>
      </c>
      <c r="G598" s="12">
        <v>-840000</v>
      </c>
      <c r="H598">
        <v>393600</v>
      </c>
      <c r="I598">
        <v>-336000</v>
      </c>
    </row>
    <row r="599" spans="1:9">
      <c r="A599" t="s">
        <v>1628</v>
      </c>
      <c r="B599" t="s">
        <v>18</v>
      </c>
      <c r="C599">
        <v>3301000</v>
      </c>
      <c r="D599">
        <v>3049000</v>
      </c>
      <c r="E599" t="s">
        <v>7896</v>
      </c>
      <c r="F599">
        <v>2.5</v>
      </c>
      <c r="G599" s="12">
        <v>252000</v>
      </c>
      <c r="H599">
        <v>1320400</v>
      </c>
      <c r="I599">
        <v>100800</v>
      </c>
    </row>
    <row r="600" spans="1:9">
      <c r="A600" t="s">
        <v>1619</v>
      </c>
      <c r="B600" t="s">
        <v>18</v>
      </c>
      <c r="C600">
        <v>785000</v>
      </c>
      <c r="D600">
        <v>891000</v>
      </c>
      <c r="E600" t="s">
        <v>7896</v>
      </c>
      <c r="F600">
        <v>2.5</v>
      </c>
      <c r="G600" s="12">
        <v>-106000</v>
      </c>
      <c r="H600">
        <v>314000</v>
      </c>
      <c r="I600">
        <v>-42400</v>
      </c>
    </row>
    <row r="601" spans="1:9">
      <c r="A601" t="s">
        <v>1801</v>
      </c>
      <c r="B601" t="s">
        <v>18</v>
      </c>
      <c r="C601">
        <v>2794000</v>
      </c>
      <c r="D601">
        <v>3872000</v>
      </c>
      <c r="E601" t="s">
        <v>7896</v>
      </c>
      <c r="F601">
        <v>2.5</v>
      </c>
      <c r="G601" s="12">
        <v>-1078000</v>
      </c>
      <c r="H601">
        <v>1117600</v>
      </c>
      <c r="I601">
        <v>-431200</v>
      </c>
    </row>
    <row r="602" spans="1:9">
      <c r="A602" t="s">
        <v>1801</v>
      </c>
      <c r="B602" t="s">
        <v>18</v>
      </c>
      <c r="C602">
        <v>264000</v>
      </c>
      <c r="D602">
        <v>245000</v>
      </c>
      <c r="E602" t="s">
        <v>7896</v>
      </c>
      <c r="F602">
        <v>2.5</v>
      </c>
      <c r="G602" s="12">
        <v>19000</v>
      </c>
      <c r="H602">
        <v>105600</v>
      </c>
      <c r="I602">
        <v>7600</v>
      </c>
    </row>
    <row r="603" spans="1:9">
      <c r="A603" t="s">
        <v>1519</v>
      </c>
      <c r="B603" t="s">
        <v>18</v>
      </c>
      <c r="C603">
        <v>1133000</v>
      </c>
      <c r="D603">
        <v>1131000</v>
      </c>
      <c r="E603" t="s">
        <v>7896</v>
      </c>
      <c r="F603">
        <v>2.5</v>
      </c>
      <c r="G603" s="12">
        <v>2000</v>
      </c>
      <c r="H603">
        <v>453200</v>
      </c>
      <c r="I603">
        <v>800</v>
      </c>
    </row>
    <row r="604" spans="1:9">
      <c r="A604" t="s">
        <v>1511</v>
      </c>
      <c r="B604" t="s">
        <v>18</v>
      </c>
      <c r="C604">
        <v>300000</v>
      </c>
      <c r="D604">
        <v>239000</v>
      </c>
      <c r="E604" t="s">
        <v>7896</v>
      </c>
      <c r="F604">
        <v>2.5</v>
      </c>
      <c r="G604" s="12">
        <v>61000</v>
      </c>
      <c r="H604">
        <v>120000</v>
      </c>
      <c r="I604">
        <v>24400</v>
      </c>
    </row>
    <row r="605" spans="1:9">
      <c r="A605" t="s">
        <v>1898</v>
      </c>
      <c r="B605" t="s">
        <v>18</v>
      </c>
      <c r="C605">
        <v>22194000</v>
      </c>
      <c r="D605">
        <v>17488000</v>
      </c>
      <c r="E605" t="s">
        <v>7896</v>
      </c>
      <c r="F605">
        <v>2.5</v>
      </c>
      <c r="G605" s="12">
        <v>4706000</v>
      </c>
      <c r="H605">
        <v>8877600</v>
      </c>
      <c r="I605">
        <v>1882400</v>
      </c>
    </row>
    <row r="606" spans="1:9">
      <c r="A606" t="s">
        <v>1526</v>
      </c>
      <c r="B606" t="s">
        <v>18</v>
      </c>
      <c r="C606">
        <v>887000</v>
      </c>
      <c r="D606">
        <v>963000</v>
      </c>
      <c r="E606" t="s">
        <v>7896</v>
      </c>
      <c r="F606">
        <v>2.5</v>
      </c>
      <c r="G606" s="12">
        <v>-76000</v>
      </c>
      <c r="H606">
        <v>354800</v>
      </c>
      <c r="I606">
        <v>-30400</v>
      </c>
    </row>
    <row r="607" spans="1:9">
      <c r="A607" t="s">
        <v>1519</v>
      </c>
      <c r="B607" t="s">
        <v>18</v>
      </c>
      <c r="C607">
        <v>790000</v>
      </c>
      <c r="D607">
        <v>790000</v>
      </c>
      <c r="E607" t="s">
        <v>7896</v>
      </c>
      <c r="F607">
        <v>2.5</v>
      </c>
      <c r="G607" s="12">
        <v>0</v>
      </c>
      <c r="H607">
        <v>316000</v>
      </c>
      <c r="I607">
        <v>0</v>
      </c>
    </row>
    <row r="608" spans="1:9">
      <c r="A608" t="s">
        <v>1534</v>
      </c>
      <c r="B608" t="s">
        <v>18</v>
      </c>
      <c r="C608">
        <v>2530000</v>
      </c>
      <c r="D608">
        <v>3064000</v>
      </c>
      <c r="E608" t="s">
        <v>7896</v>
      </c>
      <c r="F608">
        <v>2.5</v>
      </c>
      <c r="G608" s="12">
        <v>-534000</v>
      </c>
      <c r="H608">
        <v>1012000</v>
      </c>
      <c r="I608">
        <v>-213600</v>
      </c>
    </row>
    <row r="609" spans="1:9">
      <c r="A609" t="s">
        <v>1532</v>
      </c>
      <c r="B609" t="s">
        <v>18</v>
      </c>
      <c r="C609">
        <v>14400000</v>
      </c>
      <c r="D609">
        <v>15661000</v>
      </c>
      <c r="E609" t="s">
        <v>7896</v>
      </c>
      <c r="F609">
        <v>2.5</v>
      </c>
      <c r="G609" s="12">
        <v>-1261000</v>
      </c>
      <c r="H609">
        <v>5760000</v>
      </c>
      <c r="I609">
        <v>-504400</v>
      </c>
    </row>
    <row r="610" spans="1:9">
      <c r="A610" t="s">
        <v>1589</v>
      </c>
      <c r="B610" t="s">
        <v>18</v>
      </c>
      <c r="C610">
        <v>1170000</v>
      </c>
      <c r="D610">
        <v>968000</v>
      </c>
      <c r="E610" t="s">
        <v>7896</v>
      </c>
      <c r="F610">
        <v>2.5</v>
      </c>
      <c r="G610" s="12">
        <v>202000</v>
      </c>
      <c r="H610">
        <v>468000</v>
      </c>
      <c r="I610">
        <v>80800</v>
      </c>
    </row>
    <row r="611" spans="1:9">
      <c r="A611" t="s">
        <v>1521</v>
      </c>
      <c r="B611" t="s">
        <v>18</v>
      </c>
      <c r="C611">
        <v>34000</v>
      </c>
      <c r="D611">
        <v>56000</v>
      </c>
      <c r="E611" t="s">
        <v>7896</v>
      </c>
      <c r="F611">
        <v>2.5</v>
      </c>
      <c r="G611" s="12">
        <v>-22000</v>
      </c>
      <c r="H611">
        <v>13600</v>
      </c>
      <c r="I611">
        <v>-8800</v>
      </c>
    </row>
    <row r="612" spans="1:9">
      <c r="A612" t="s">
        <v>1533</v>
      </c>
      <c r="B612" t="s">
        <v>18</v>
      </c>
      <c r="C612">
        <v>55202000</v>
      </c>
      <c r="D612">
        <v>44774000</v>
      </c>
      <c r="E612" t="s">
        <v>7896</v>
      </c>
      <c r="F612">
        <v>2.5</v>
      </c>
      <c r="G612" s="12">
        <v>10428000</v>
      </c>
      <c r="H612">
        <v>22080800</v>
      </c>
      <c r="I612">
        <v>4171200</v>
      </c>
    </row>
    <row r="613" spans="1:9">
      <c r="A613" t="s">
        <v>1510</v>
      </c>
      <c r="B613" t="s">
        <v>18</v>
      </c>
      <c r="C613">
        <v>58000</v>
      </c>
      <c r="D613">
        <v>58000</v>
      </c>
      <c r="E613" t="s">
        <v>7896</v>
      </c>
      <c r="F613">
        <v>2.5</v>
      </c>
      <c r="G613" s="12">
        <v>0</v>
      </c>
      <c r="H613">
        <v>23200</v>
      </c>
      <c r="I613">
        <v>0</v>
      </c>
    </row>
    <row r="614" spans="1:9">
      <c r="A614" t="s">
        <v>1629</v>
      </c>
      <c r="B614" t="s">
        <v>18</v>
      </c>
      <c r="C614">
        <v>534000</v>
      </c>
      <c r="D614">
        <v>581000</v>
      </c>
      <c r="E614" t="s">
        <v>7896</v>
      </c>
      <c r="F614">
        <v>2.5</v>
      </c>
      <c r="G614" s="12">
        <v>-47000</v>
      </c>
      <c r="H614">
        <v>213600</v>
      </c>
      <c r="I614">
        <v>-18800</v>
      </c>
    </row>
    <row r="615" spans="1:9">
      <c r="A615" t="s">
        <v>1580</v>
      </c>
      <c r="B615" t="s">
        <v>18</v>
      </c>
      <c r="C615">
        <v>1350000</v>
      </c>
      <c r="D615">
        <v>1959000</v>
      </c>
      <c r="E615" t="s">
        <v>7896</v>
      </c>
      <c r="F615">
        <v>2.5</v>
      </c>
      <c r="G615" s="12">
        <v>-609000</v>
      </c>
      <c r="H615">
        <v>540000</v>
      </c>
      <c r="I615">
        <v>-243600</v>
      </c>
    </row>
    <row r="616" spans="1:9">
      <c r="A616" t="s">
        <v>1504</v>
      </c>
      <c r="B616" t="s">
        <v>18</v>
      </c>
      <c r="C616">
        <v>277000</v>
      </c>
      <c r="D616">
        <v>311000</v>
      </c>
      <c r="E616" t="s">
        <v>7896</v>
      </c>
      <c r="F616">
        <v>2.5</v>
      </c>
      <c r="G616" s="12">
        <v>-34000</v>
      </c>
      <c r="H616">
        <v>110800</v>
      </c>
      <c r="I616">
        <v>-13600</v>
      </c>
    </row>
    <row r="617" spans="1:9">
      <c r="A617" t="s">
        <v>1629</v>
      </c>
      <c r="B617" t="s">
        <v>18</v>
      </c>
      <c r="C617">
        <v>20000</v>
      </c>
      <c r="D617">
        <v>33000</v>
      </c>
      <c r="E617" t="s">
        <v>7896</v>
      </c>
      <c r="F617">
        <v>2.5</v>
      </c>
      <c r="G617" s="12">
        <v>-13000</v>
      </c>
      <c r="H617">
        <v>8000</v>
      </c>
      <c r="I617">
        <v>-5200</v>
      </c>
    </row>
    <row r="618" spans="1:9">
      <c r="A618" t="s">
        <v>1628</v>
      </c>
      <c r="B618" t="s">
        <v>18</v>
      </c>
      <c r="C618">
        <v>2458000</v>
      </c>
      <c r="D618">
        <v>4937000</v>
      </c>
      <c r="E618" t="s">
        <v>7896</v>
      </c>
      <c r="F618">
        <v>2.5</v>
      </c>
      <c r="G618" s="12">
        <v>-2479000</v>
      </c>
      <c r="H618">
        <v>983200</v>
      </c>
      <c r="I618">
        <v>-991600</v>
      </c>
    </row>
    <row r="619" spans="1:9">
      <c r="A619" t="s">
        <v>1512</v>
      </c>
      <c r="B619" t="s">
        <v>18</v>
      </c>
      <c r="C619">
        <v>15359000</v>
      </c>
      <c r="D619">
        <v>17273000</v>
      </c>
      <c r="E619" t="s">
        <v>7896</v>
      </c>
      <c r="F619">
        <v>2.5</v>
      </c>
      <c r="G619" s="12">
        <v>-1914000</v>
      </c>
      <c r="H619">
        <v>6143600</v>
      </c>
      <c r="I619">
        <v>-765600</v>
      </c>
    </row>
    <row r="620" spans="1:9">
      <c r="A620" t="s">
        <v>1754</v>
      </c>
      <c r="B620" t="s">
        <v>18</v>
      </c>
      <c r="C620">
        <v>288000</v>
      </c>
      <c r="D620">
        <v>267000</v>
      </c>
      <c r="E620" t="s">
        <v>7896</v>
      </c>
      <c r="F620">
        <v>2.5</v>
      </c>
      <c r="G620" s="12">
        <v>21000</v>
      </c>
      <c r="H620">
        <v>115200</v>
      </c>
      <c r="I620">
        <v>8400</v>
      </c>
    </row>
    <row r="621" spans="1:9">
      <c r="A621" t="s">
        <v>1524</v>
      </c>
      <c r="B621" t="s">
        <v>18</v>
      </c>
      <c r="C621">
        <v>2288000</v>
      </c>
      <c r="D621">
        <v>2230000</v>
      </c>
      <c r="E621" t="s">
        <v>7896</v>
      </c>
      <c r="F621">
        <v>2.5</v>
      </c>
      <c r="G621" s="12">
        <v>58000</v>
      </c>
      <c r="H621">
        <v>915200</v>
      </c>
      <c r="I621">
        <v>23200</v>
      </c>
    </row>
    <row r="622" spans="1:9">
      <c r="A622" t="s">
        <v>1521</v>
      </c>
      <c r="B622" t="s">
        <v>18</v>
      </c>
      <c r="C622">
        <v>957000</v>
      </c>
      <c r="D622">
        <v>957000</v>
      </c>
      <c r="E622" t="s">
        <v>7896</v>
      </c>
      <c r="F622">
        <v>2.5</v>
      </c>
      <c r="G622" s="12">
        <v>0</v>
      </c>
      <c r="H622">
        <v>382800</v>
      </c>
      <c r="I622">
        <v>0</v>
      </c>
    </row>
    <row r="623" spans="1:9">
      <c r="A623" t="s">
        <v>1516</v>
      </c>
      <c r="B623" t="s">
        <v>18</v>
      </c>
      <c r="C623">
        <v>583000</v>
      </c>
      <c r="D623">
        <v>404000</v>
      </c>
      <c r="E623" t="s">
        <v>7896</v>
      </c>
      <c r="F623">
        <v>2.5</v>
      </c>
      <c r="G623" s="12">
        <v>179000</v>
      </c>
      <c r="H623">
        <v>233200</v>
      </c>
      <c r="I623">
        <v>71600</v>
      </c>
    </row>
    <row r="624" spans="1:9">
      <c r="A624" t="s">
        <v>1642</v>
      </c>
      <c r="B624" t="s">
        <v>18</v>
      </c>
      <c r="C624">
        <v>45222000</v>
      </c>
      <c r="D624">
        <v>14013000</v>
      </c>
      <c r="E624" t="s">
        <v>7896</v>
      </c>
      <c r="F624">
        <v>2.5</v>
      </c>
      <c r="G624" s="12">
        <v>31209000</v>
      </c>
      <c r="H624">
        <v>18088800</v>
      </c>
      <c r="I624">
        <v>12483600</v>
      </c>
    </row>
    <row r="625" spans="1:9">
      <c r="A625" t="s">
        <v>1629</v>
      </c>
      <c r="B625" t="s">
        <v>18</v>
      </c>
      <c r="C625">
        <v>5158000</v>
      </c>
      <c r="D625">
        <v>3029000</v>
      </c>
      <c r="E625" t="s">
        <v>7896</v>
      </c>
      <c r="F625">
        <v>2.5</v>
      </c>
      <c r="G625" s="12">
        <v>2129000</v>
      </c>
      <c r="H625">
        <v>2063200</v>
      </c>
      <c r="I625">
        <v>851600</v>
      </c>
    </row>
    <row r="626" spans="1:9">
      <c r="A626" t="s">
        <v>1604</v>
      </c>
      <c r="B626" t="s">
        <v>18</v>
      </c>
      <c r="C626">
        <v>328000</v>
      </c>
      <c r="D626">
        <v>328000</v>
      </c>
      <c r="E626" t="s">
        <v>7896</v>
      </c>
      <c r="F626">
        <v>2.5</v>
      </c>
      <c r="G626" s="12">
        <v>0</v>
      </c>
      <c r="H626">
        <v>131200</v>
      </c>
      <c r="I626">
        <v>0</v>
      </c>
    </row>
    <row r="627" spans="1:9">
      <c r="A627" t="s">
        <v>1509</v>
      </c>
      <c r="B627" t="s">
        <v>77</v>
      </c>
      <c r="C627">
        <v>4475000</v>
      </c>
      <c r="D627">
        <v>3830000</v>
      </c>
      <c r="E627" t="s">
        <v>7896</v>
      </c>
      <c r="F627">
        <v>8</v>
      </c>
      <c r="G627" s="12">
        <v>645000</v>
      </c>
      <c r="H627">
        <v>559375</v>
      </c>
      <c r="I627">
        <v>80625</v>
      </c>
    </row>
    <row r="628" spans="1:9">
      <c r="A628" t="s">
        <v>1618</v>
      </c>
      <c r="B628" t="s">
        <v>18</v>
      </c>
      <c r="C628">
        <v>397000</v>
      </c>
      <c r="D628">
        <v>399000</v>
      </c>
      <c r="E628" t="s">
        <v>7896</v>
      </c>
      <c r="F628">
        <v>2.5</v>
      </c>
      <c r="G628" s="12">
        <v>-2000</v>
      </c>
      <c r="H628">
        <v>158800</v>
      </c>
      <c r="I628">
        <v>-800</v>
      </c>
    </row>
    <row r="629" spans="1:9">
      <c r="A629" t="s">
        <v>1565</v>
      </c>
      <c r="B629" t="s">
        <v>18</v>
      </c>
      <c r="C629">
        <v>2391000</v>
      </c>
      <c r="D629">
        <v>2218000</v>
      </c>
      <c r="E629" t="s">
        <v>7896</v>
      </c>
      <c r="F629">
        <v>2.5</v>
      </c>
      <c r="G629" s="12">
        <v>173000</v>
      </c>
      <c r="H629">
        <v>956400</v>
      </c>
      <c r="I629">
        <v>69200</v>
      </c>
    </row>
    <row r="630" spans="1:9">
      <c r="A630" t="s">
        <v>1509</v>
      </c>
      <c r="B630" t="s">
        <v>18</v>
      </c>
      <c r="C630">
        <v>5400000</v>
      </c>
      <c r="D630">
        <v>4779000</v>
      </c>
      <c r="E630" t="s">
        <v>7896</v>
      </c>
      <c r="F630">
        <v>2.5</v>
      </c>
      <c r="G630" s="12">
        <v>621000</v>
      </c>
      <c r="H630">
        <v>2160000</v>
      </c>
      <c r="I630">
        <v>248400</v>
      </c>
    </row>
    <row r="631" spans="1:9">
      <c r="A631" t="s">
        <v>1560</v>
      </c>
      <c r="B631" t="s">
        <v>18</v>
      </c>
      <c r="C631">
        <v>7460000</v>
      </c>
      <c r="D631">
        <v>9790000</v>
      </c>
      <c r="E631" t="s">
        <v>7896</v>
      </c>
      <c r="F631">
        <v>2.5</v>
      </c>
      <c r="G631" s="12">
        <v>-2330000</v>
      </c>
      <c r="H631">
        <v>2984000</v>
      </c>
      <c r="I631">
        <v>-932000</v>
      </c>
    </row>
    <row r="632" spans="1:9">
      <c r="A632" t="s">
        <v>1646</v>
      </c>
      <c r="B632" t="s">
        <v>18</v>
      </c>
      <c r="C632">
        <v>946000</v>
      </c>
      <c r="D632">
        <v>673000</v>
      </c>
      <c r="E632" t="s">
        <v>7896</v>
      </c>
      <c r="F632">
        <v>2.5</v>
      </c>
      <c r="G632" s="12">
        <v>273000</v>
      </c>
      <c r="H632">
        <v>378400</v>
      </c>
      <c r="I632">
        <v>109200</v>
      </c>
    </row>
    <row r="633" spans="1:9">
      <c r="A633" t="s">
        <v>1829</v>
      </c>
      <c r="B633" t="s">
        <v>77</v>
      </c>
      <c r="C633">
        <v>49236000</v>
      </c>
      <c r="D633">
        <v>48717000</v>
      </c>
      <c r="E633" t="s">
        <v>7896</v>
      </c>
      <c r="F633">
        <v>8</v>
      </c>
      <c r="G633" s="12">
        <v>519000</v>
      </c>
      <c r="H633">
        <v>6154500</v>
      </c>
      <c r="I633">
        <v>64875</v>
      </c>
    </row>
    <row r="634" spans="1:9">
      <c r="A634" t="s">
        <v>1519</v>
      </c>
      <c r="B634" t="s">
        <v>18</v>
      </c>
      <c r="C634">
        <v>19879000</v>
      </c>
      <c r="D634">
        <v>7816000</v>
      </c>
      <c r="E634" t="s">
        <v>7896</v>
      </c>
      <c r="F634">
        <v>2.5</v>
      </c>
      <c r="G634" s="12">
        <v>12063000</v>
      </c>
      <c r="H634">
        <v>7951600</v>
      </c>
      <c r="I634">
        <v>4825200</v>
      </c>
    </row>
    <row r="635" spans="1:9">
      <c r="A635" t="s">
        <v>1532</v>
      </c>
      <c r="B635" t="s">
        <v>18</v>
      </c>
      <c r="C635">
        <v>82080000</v>
      </c>
      <c r="D635">
        <v>79246000</v>
      </c>
      <c r="E635" t="s">
        <v>7896</v>
      </c>
      <c r="F635">
        <v>2.5</v>
      </c>
      <c r="G635" s="12">
        <v>2834000</v>
      </c>
      <c r="H635">
        <v>32832000</v>
      </c>
      <c r="I635">
        <v>1133600</v>
      </c>
    </row>
    <row r="636" spans="1:9">
      <c r="A636" t="s">
        <v>1829</v>
      </c>
      <c r="B636" t="s">
        <v>18</v>
      </c>
      <c r="C636">
        <v>4378000</v>
      </c>
      <c r="D636">
        <v>4272000</v>
      </c>
      <c r="E636" t="s">
        <v>7896</v>
      </c>
      <c r="F636">
        <v>2.5</v>
      </c>
      <c r="G636" s="12">
        <v>106000</v>
      </c>
      <c r="H636">
        <v>1751200</v>
      </c>
      <c r="I636">
        <v>42400</v>
      </c>
    </row>
    <row r="637" spans="1:9">
      <c r="A637" t="s">
        <v>1505</v>
      </c>
      <c r="B637" t="s">
        <v>18</v>
      </c>
      <c r="C637">
        <v>754000</v>
      </c>
      <c r="D637">
        <v>754000</v>
      </c>
      <c r="E637" t="s">
        <v>7896</v>
      </c>
      <c r="F637">
        <v>2.5</v>
      </c>
      <c r="G637" s="12">
        <v>0</v>
      </c>
      <c r="H637">
        <v>301600</v>
      </c>
      <c r="I637">
        <v>0</v>
      </c>
    </row>
    <row r="638" spans="1:9">
      <c r="A638" t="s">
        <v>1579</v>
      </c>
      <c r="B638" t="s">
        <v>18</v>
      </c>
      <c r="C638">
        <v>64000</v>
      </c>
      <c r="D638">
        <v>94000</v>
      </c>
      <c r="E638" t="s">
        <v>7896</v>
      </c>
      <c r="F638">
        <v>2.5</v>
      </c>
      <c r="G638" s="12">
        <v>-30000</v>
      </c>
      <c r="H638">
        <v>25600</v>
      </c>
      <c r="I638">
        <v>-12000</v>
      </c>
    </row>
    <row r="639" spans="1:9">
      <c r="A639" t="s">
        <v>1619</v>
      </c>
      <c r="B639" t="s">
        <v>18</v>
      </c>
      <c r="C639">
        <v>449000</v>
      </c>
      <c r="D639">
        <v>528000</v>
      </c>
      <c r="E639" t="s">
        <v>7896</v>
      </c>
      <c r="F639">
        <v>2.5</v>
      </c>
      <c r="G639" s="12">
        <v>-79000</v>
      </c>
      <c r="H639">
        <v>179600</v>
      </c>
      <c r="I639">
        <v>-31600</v>
      </c>
    </row>
    <row r="640" spans="1:9">
      <c r="A640" t="s">
        <v>1519</v>
      </c>
      <c r="B640" t="s">
        <v>18</v>
      </c>
      <c r="C640">
        <v>2672000</v>
      </c>
      <c r="D640">
        <v>2793000</v>
      </c>
      <c r="E640" t="s">
        <v>7896</v>
      </c>
      <c r="F640">
        <v>2.5</v>
      </c>
      <c r="G640" s="12">
        <v>-121000</v>
      </c>
      <c r="H640">
        <v>1068800</v>
      </c>
      <c r="I640">
        <v>-48400</v>
      </c>
    </row>
    <row r="641" spans="1:9">
      <c r="A641" t="s">
        <v>1619</v>
      </c>
      <c r="B641" t="s">
        <v>77</v>
      </c>
      <c r="C641">
        <v>23000</v>
      </c>
      <c r="D641">
        <v>223000</v>
      </c>
      <c r="E641" t="s">
        <v>7896</v>
      </c>
      <c r="F641">
        <v>8</v>
      </c>
      <c r="G641" s="12">
        <v>-200000</v>
      </c>
      <c r="H641">
        <v>2875</v>
      </c>
      <c r="I641">
        <v>-25000</v>
      </c>
    </row>
    <row r="642" spans="1:9">
      <c r="A642" t="s">
        <v>1658</v>
      </c>
      <c r="B642" t="s">
        <v>18</v>
      </c>
      <c r="C642">
        <v>2975000</v>
      </c>
      <c r="D642">
        <v>2975000</v>
      </c>
      <c r="E642" t="s">
        <v>7896</v>
      </c>
      <c r="F642">
        <v>2.5</v>
      </c>
      <c r="G642" s="12">
        <v>0</v>
      </c>
      <c r="H642">
        <v>1190000</v>
      </c>
      <c r="I642">
        <v>0</v>
      </c>
    </row>
    <row r="643" spans="1:9">
      <c r="A643" t="s">
        <v>1532</v>
      </c>
      <c r="B643" t="s">
        <v>18</v>
      </c>
      <c r="C643">
        <v>65000</v>
      </c>
      <c r="D643">
        <v>104000</v>
      </c>
      <c r="E643" t="s">
        <v>7896</v>
      </c>
      <c r="F643">
        <v>2.5</v>
      </c>
      <c r="G643" s="12">
        <v>-39000</v>
      </c>
      <c r="H643">
        <v>26000</v>
      </c>
      <c r="I643">
        <v>-15600</v>
      </c>
    </row>
    <row r="644" spans="1:9">
      <c r="A644" t="s">
        <v>1517</v>
      </c>
      <c r="B644" t="s">
        <v>18</v>
      </c>
      <c r="C644">
        <v>12116000</v>
      </c>
      <c r="D644">
        <v>12334000</v>
      </c>
      <c r="E644" t="s">
        <v>7896</v>
      </c>
      <c r="F644">
        <v>2.5</v>
      </c>
      <c r="G644" s="12">
        <v>-218000</v>
      </c>
      <c r="H644">
        <v>4846400</v>
      </c>
      <c r="I644">
        <v>-87200</v>
      </c>
    </row>
    <row r="645" spans="1:9">
      <c r="A645" t="s">
        <v>1505</v>
      </c>
      <c r="B645" t="s">
        <v>77</v>
      </c>
      <c r="C645">
        <v>5336000</v>
      </c>
      <c r="D645">
        <v>5179000</v>
      </c>
      <c r="E645" t="s">
        <v>7896</v>
      </c>
      <c r="F645">
        <v>8</v>
      </c>
      <c r="G645" s="12">
        <v>157000</v>
      </c>
      <c r="H645">
        <v>667000</v>
      </c>
      <c r="I645">
        <v>19625</v>
      </c>
    </row>
    <row r="646" spans="1:9">
      <c r="A646" t="s">
        <v>1532</v>
      </c>
      <c r="B646" t="s">
        <v>18</v>
      </c>
      <c r="C646">
        <v>110000</v>
      </c>
      <c r="D646">
        <v>111000</v>
      </c>
      <c r="E646" t="s">
        <v>7896</v>
      </c>
      <c r="F646">
        <v>2.5</v>
      </c>
      <c r="G646" s="12">
        <v>-1000</v>
      </c>
      <c r="H646">
        <v>44000</v>
      </c>
      <c r="I646">
        <v>-400</v>
      </c>
    </row>
    <row r="647" spans="1:9">
      <c r="A647" t="s">
        <v>1580</v>
      </c>
      <c r="B647" t="s">
        <v>18</v>
      </c>
      <c r="C647">
        <v>921000</v>
      </c>
      <c r="D647">
        <v>921000</v>
      </c>
      <c r="E647" t="s">
        <v>7896</v>
      </c>
      <c r="F647">
        <v>2.5</v>
      </c>
      <c r="G647" s="12">
        <v>0</v>
      </c>
      <c r="H647">
        <v>368400</v>
      </c>
      <c r="I647">
        <v>0</v>
      </c>
    </row>
    <row r="648" spans="1:9">
      <c r="A648" t="s">
        <v>1512</v>
      </c>
      <c r="B648" t="s">
        <v>18</v>
      </c>
      <c r="C648">
        <v>5000</v>
      </c>
      <c r="D648">
        <v>5000</v>
      </c>
      <c r="E648" t="s">
        <v>7896</v>
      </c>
      <c r="F648">
        <v>2.5</v>
      </c>
      <c r="G648" s="12">
        <v>0</v>
      </c>
      <c r="H648">
        <v>2000</v>
      </c>
      <c r="I648">
        <v>0</v>
      </c>
    </row>
    <row r="649" spans="1:9">
      <c r="A649" t="s">
        <v>1532</v>
      </c>
      <c r="B649" t="s">
        <v>18</v>
      </c>
      <c r="C649">
        <v>758000</v>
      </c>
      <c r="D649">
        <v>1682000</v>
      </c>
      <c r="E649" t="s">
        <v>7896</v>
      </c>
      <c r="F649">
        <v>2.5</v>
      </c>
      <c r="G649" s="12">
        <v>-924000</v>
      </c>
      <c r="H649">
        <v>303200</v>
      </c>
      <c r="I649">
        <v>-369600</v>
      </c>
    </row>
    <row r="650" spans="1:9">
      <c r="A650" t="s">
        <v>1532</v>
      </c>
      <c r="B650" t="s">
        <v>18</v>
      </c>
      <c r="C650">
        <v>3176000</v>
      </c>
      <c r="D650">
        <v>3277000</v>
      </c>
      <c r="E650" t="s">
        <v>7896</v>
      </c>
      <c r="F650">
        <v>2.5</v>
      </c>
      <c r="G650" s="12">
        <v>-101000</v>
      </c>
      <c r="H650">
        <v>1270400</v>
      </c>
      <c r="I650">
        <v>-40400</v>
      </c>
    </row>
    <row r="651" spans="1:9">
      <c r="A651" t="s">
        <v>1520</v>
      </c>
      <c r="B651" t="s">
        <v>18</v>
      </c>
      <c r="C651">
        <v>4040000</v>
      </c>
      <c r="D651">
        <v>3670000</v>
      </c>
      <c r="E651" t="s">
        <v>7896</v>
      </c>
      <c r="F651">
        <v>2.5</v>
      </c>
      <c r="G651" s="12">
        <v>370000</v>
      </c>
      <c r="H651">
        <v>1616000</v>
      </c>
      <c r="I651">
        <v>148000</v>
      </c>
    </row>
    <row r="652" spans="1:9">
      <c r="A652" t="s">
        <v>1533</v>
      </c>
      <c r="B652" t="s">
        <v>18</v>
      </c>
      <c r="C652">
        <v>3959000</v>
      </c>
      <c r="D652">
        <v>2994000</v>
      </c>
      <c r="E652" t="s">
        <v>7896</v>
      </c>
      <c r="F652">
        <v>2.5</v>
      </c>
      <c r="G652" s="12">
        <v>965000</v>
      </c>
      <c r="H652">
        <v>1583600</v>
      </c>
      <c r="I652">
        <v>386000</v>
      </c>
    </row>
    <row r="653" spans="1:9">
      <c r="A653" t="s">
        <v>1801</v>
      </c>
      <c r="B653" t="s">
        <v>18</v>
      </c>
      <c r="C653">
        <v>33000</v>
      </c>
      <c r="D653">
        <v>45000</v>
      </c>
      <c r="E653" t="s">
        <v>7896</v>
      </c>
      <c r="F653">
        <v>2.5</v>
      </c>
      <c r="G653" s="12">
        <v>-12000</v>
      </c>
      <c r="H653">
        <v>13200</v>
      </c>
      <c r="I653">
        <v>-4800</v>
      </c>
    </row>
    <row r="654" spans="1:9">
      <c r="A654" t="s">
        <v>1534</v>
      </c>
      <c r="B654" t="s">
        <v>18</v>
      </c>
      <c r="C654">
        <v>2015000</v>
      </c>
      <c r="D654">
        <v>2002000</v>
      </c>
      <c r="E654" t="s">
        <v>7896</v>
      </c>
      <c r="F654">
        <v>2.5</v>
      </c>
      <c r="G654" s="12">
        <v>13000</v>
      </c>
      <c r="H654">
        <v>806000</v>
      </c>
      <c r="I654">
        <v>5200</v>
      </c>
    </row>
    <row r="655" spans="1:9">
      <c r="A655" t="s">
        <v>1508</v>
      </c>
      <c r="B655" t="s">
        <v>22</v>
      </c>
      <c r="C655">
        <v>146677000</v>
      </c>
      <c r="D655">
        <v>152301000</v>
      </c>
      <c r="E655" t="s">
        <v>7896</v>
      </c>
      <c r="F655">
        <v>13</v>
      </c>
      <c r="G655" s="12">
        <v>-5624000</v>
      </c>
      <c r="H655">
        <v>11282846.153846154</v>
      </c>
      <c r="I655">
        <v>-432615.38461538462</v>
      </c>
    </row>
    <row r="656" spans="1:9">
      <c r="A656" t="s">
        <v>1662</v>
      </c>
      <c r="B656" t="s">
        <v>22</v>
      </c>
      <c r="C656">
        <v>83455000</v>
      </c>
      <c r="D656">
        <v>28706000</v>
      </c>
      <c r="E656" t="s">
        <v>7896</v>
      </c>
      <c r="F656">
        <v>13</v>
      </c>
      <c r="G656" s="12">
        <v>54749000</v>
      </c>
      <c r="H656">
        <v>6419615.384615385</v>
      </c>
      <c r="I656">
        <v>4211461.538461538</v>
      </c>
    </row>
    <row r="657" spans="1:9">
      <c r="A657" t="s">
        <v>1532</v>
      </c>
      <c r="B657" t="s">
        <v>18</v>
      </c>
      <c r="C657">
        <v>47338000</v>
      </c>
      <c r="D657">
        <v>40000000</v>
      </c>
      <c r="E657" t="s">
        <v>7896</v>
      </c>
      <c r="F657">
        <v>2.5</v>
      </c>
      <c r="G657" s="12">
        <v>7338000</v>
      </c>
      <c r="H657">
        <v>18935200</v>
      </c>
      <c r="I657">
        <v>2935200</v>
      </c>
    </row>
    <row r="658" spans="1:9">
      <c r="A658" t="s">
        <v>1527</v>
      </c>
      <c r="B658" t="s">
        <v>18</v>
      </c>
      <c r="C658">
        <v>499000</v>
      </c>
      <c r="D658">
        <v>220000</v>
      </c>
      <c r="E658" t="s">
        <v>7896</v>
      </c>
      <c r="F658">
        <v>2.5</v>
      </c>
      <c r="G658" s="12">
        <v>279000</v>
      </c>
      <c r="H658">
        <v>199600</v>
      </c>
      <c r="I658">
        <v>111600</v>
      </c>
    </row>
    <row r="659" spans="1:9">
      <c r="A659" t="s">
        <v>1532</v>
      </c>
      <c r="B659" t="s">
        <v>18</v>
      </c>
      <c r="C659">
        <v>3691000</v>
      </c>
      <c r="D659">
        <v>3979000</v>
      </c>
      <c r="E659" t="s">
        <v>7896</v>
      </c>
      <c r="F659">
        <v>2.5</v>
      </c>
      <c r="G659" s="12">
        <v>-288000</v>
      </c>
      <c r="H659">
        <v>1476400</v>
      </c>
      <c r="I659">
        <v>-115200</v>
      </c>
    </row>
    <row r="660" spans="1:9">
      <c r="A660" t="s">
        <v>1575</v>
      </c>
      <c r="B660" t="s">
        <v>77</v>
      </c>
      <c r="C660">
        <v>19565000</v>
      </c>
      <c r="D660">
        <v>16964000</v>
      </c>
      <c r="E660" t="s">
        <v>7896</v>
      </c>
      <c r="F660">
        <v>8</v>
      </c>
      <c r="G660" s="12">
        <v>2601000</v>
      </c>
      <c r="H660">
        <v>2445625</v>
      </c>
      <c r="I660">
        <v>325125</v>
      </c>
    </row>
    <row r="661" spans="1:9">
      <c r="A661" t="s">
        <v>1532</v>
      </c>
      <c r="B661" t="s">
        <v>18</v>
      </c>
      <c r="C661">
        <v>729000</v>
      </c>
      <c r="D661">
        <v>678000</v>
      </c>
      <c r="E661" t="s">
        <v>7896</v>
      </c>
      <c r="F661">
        <v>2.5</v>
      </c>
      <c r="G661" s="12">
        <v>51000</v>
      </c>
      <c r="H661">
        <v>291600</v>
      </c>
      <c r="I661">
        <v>20400</v>
      </c>
    </row>
    <row r="662" spans="1:9">
      <c r="A662" t="s">
        <v>1558</v>
      </c>
      <c r="B662" t="s">
        <v>18</v>
      </c>
      <c r="C662">
        <v>1030000</v>
      </c>
      <c r="D662">
        <v>1027000</v>
      </c>
      <c r="E662" t="s">
        <v>7896</v>
      </c>
      <c r="F662">
        <v>2.5</v>
      </c>
      <c r="G662" s="12">
        <v>3000</v>
      </c>
      <c r="H662">
        <v>412000</v>
      </c>
      <c r="I662">
        <v>1200</v>
      </c>
    </row>
    <row r="663" spans="1:9">
      <c r="A663" t="s">
        <v>1524</v>
      </c>
      <c r="B663" t="s">
        <v>18</v>
      </c>
      <c r="C663">
        <v>6309000</v>
      </c>
      <c r="D663">
        <v>5563000</v>
      </c>
      <c r="E663" t="s">
        <v>7896</v>
      </c>
      <c r="F663">
        <v>2.5</v>
      </c>
      <c r="G663" s="12">
        <v>746000</v>
      </c>
      <c r="H663">
        <v>2523600</v>
      </c>
      <c r="I663">
        <v>298400</v>
      </c>
    </row>
    <row r="664" spans="1:9">
      <c r="A664" t="s">
        <v>1604</v>
      </c>
      <c r="B664" t="s">
        <v>18</v>
      </c>
      <c r="C664">
        <v>5293000</v>
      </c>
      <c r="D664">
        <v>3967000</v>
      </c>
      <c r="E664" t="s">
        <v>7896</v>
      </c>
      <c r="F664">
        <v>2.5</v>
      </c>
      <c r="G664" s="12">
        <v>1326000</v>
      </c>
      <c r="H664">
        <v>2117200</v>
      </c>
      <c r="I664">
        <v>530400</v>
      </c>
    </row>
    <row r="665" spans="1:9">
      <c r="A665" t="s">
        <v>1516</v>
      </c>
      <c r="B665" t="s">
        <v>18</v>
      </c>
      <c r="C665">
        <v>48000</v>
      </c>
      <c r="D665">
        <v>48000</v>
      </c>
      <c r="E665" t="s">
        <v>7896</v>
      </c>
      <c r="F665">
        <v>2.5</v>
      </c>
      <c r="G665" s="12">
        <v>0</v>
      </c>
      <c r="H665">
        <v>19200</v>
      </c>
      <c r="I665">
        <v>0</v>
      </c>
    </row>
    <row r="666" spans="1:9">
      <c r="A666" t="s">
        <v>1512</v>
      </c>
      <c r="B666" t="s">
        <v>18</v>
      </c>
      <c r="C666">
        <v>2911000</v>
      </c>
      <c r="D666">
        <v>4321000</v>
      </c>
      <c r="E666" t="s">
        <v>7896</v>
      </c>
      <c r="F666">
        <v>2.5</v>
      </c>
      <c r="G666" s="12">
        <v>-1410000</v>
      </c>
      <c r="H666">
        <v>1164400</v>
      </c>
      <c r="I666">
        <v>-564000</v>
      </c>
    </row>
    <row r="667" spans="1:9">
      <c r="A667" t="s">
        <v>1547</v>
      </c>
      <c r="B667" t="s">
        <v>18</v>
      </c>
      <c r="C667">
        <v>7962000</v>
      </c>
      <c r="D667">
        <v>7962000</v>
      </c>
      <c r="E667" t="s">
        <v>7896</v>
      </c>
      <c r="F667">
        <v>2.5</v>
      </c>
      <c r="G667" s="12">
        <v>0</v>
      </c>
      <c r="H667">
        <v>3184800</v>
      </c>
      <c r="I667">
        <v>0</v>
      </c>
    </row>
    <row r="668" spans="1:9">
      <c r="A668" t="s">
        <v>1649</v>
      </c>
      <c r="B668" t="s">
        <v>18</v>
      </c>
      <c r="C668">
        <v>19168000</v>
      </c>
      <c r="D668">
        <v>17272000</v>
      </c>
      <c r="E668" t="s">
        <v>7896</v>
      </c>
      <c r="F668">
        <v>2.5</v>
      </c>
      <c r="G668" s="12">
        <v>1896000</v>
      </c>
      <c r="H668">
        <v>7667200</v>
      </c>
      <c r="I668">
        <v>758400</v>
      </c>
    </row>
    <row r="669" spans="1:9">
      <c r="A669" t="s">
        <v>1524</v>
      </c>
      <c r="B669" t="s">
        <v>18</v>
      </c>
      <c r="C669">
        <v>82000</v>
      </c>
      <c r="D669">
        <v>50000</v>
      </c>
      <c r="E669" t="s">
        <v>7896</v>
      </c>
      <c r="F669">
        <v>2.5</v>
      </c>
      <c r="G669" s="12">
        <v>32000</v>
      </c>
      <c r="H669">
        <v>32800</v>
      </c>
      <c r="I669">
        <v>12800</v>
      </c>
    </row>
    <row r="670" spans="1:9">
      <c r="A670" t="s">
        <v>1781</v>
      </c>
      <c r="B670" t="s">
        <v>18</v>
      </c>
      <c r="C670">
        <v>2250000</v>
      </c>
      <c r="D670">
        <v>2336000</v>
      </c>
      <c r="E670" t="s">
        <v>7896</v>
      </c>
      <c r="F670">
        <v>2.5</v>
      </c>
      <c r="G670" s="12">
        <v>-86000</v>
      </c>
      <c r="H670">
        <v>900000</v>
      </c>
      <c r="I670">
        <v>-34400</v>
      </c>
    </row>
    <row r="671" spans="1:9">
      <c r="A671" t="s">
        <v>1588</v>
      </c>
      <c r="B671" t="s">
        <v>18</v>
      </c>
      <c r="C671">
        <v>356000</v>
      </c>
      <c r="D671">
        <v>349000</v>
      </c>
      <c r="E671" t="s">
        <v>7896</v>
      </c>
      <c r="F671">
        <v>2.5</v>
      </c>
      <c r="G671" s="12">
        <v>7000</v>
      </c>
      <c r="H671">
        <v>142400</v>
      </c>
      <c r="I671">
        <v>2800</v>
      </c>
    </row>
    <row r="672" spans="1:9">
      <c r="A672" t="s">
        <v>1618</v>
      </c>
      <c r="B672" t="s">
        <v>18</v>
      </c>
      <c r="C672">
        <v>2384000</v>
      </c>
      <c r="D672">
        <v>1808000</v>
      </c>
      <c r="E672" t="s">
        <v>7896</v>
      </c>
      <c r="F672">
        <v>2.5</v>
      </c>
      <c r="G672" s="12">
        <v>576000</v>
      </c>
      <c r="H672">
        <v>953600</v>
      </c>
      <c r="I672">
        <v>230400</v>
      </c>
    </row>
    <row r="673" spans="1:9">
      <c r="A673" t="s">
        <v>1558</v>
      </c>
      <c r="B673" t="s">
        <v>18</v>
      </c>
      <c r="C673">
        <v>1167000</v>
      </c>
      <c r="D673">
        <v>1095000</v>
      </c>
      <c r="E673" t="s">
        <v>7896</v>
      </c>
      <c r="F673">
        <v>2.5</v>
      </c>
      <c r="G673" s="12">
        <v>72000</v>
      </c>
      <c r="H673">
        <v>466800</v>
      </c>
      <c r="I673">
        <v>28800</v>
      </c>
    </row>
    <row r="674" spans="1:9">
      <c r="A674" t="s">
        <v>1558</v>
      </c>
      <c r="B674" t="s">
        <v>77</v>
      </c>
      <c r="C674">
        <v>1636000</v>
      </c>
      <c r="D674">
        <v>1549000</v>
      </c>
      <c r="E674" t="s">
        <v>7896</v>
      </c>
      <c r="F674">
        <v>8</v>
      </c>
      <c r="G674" s="12">
        <v>87000</v>
      </c>
      <c r="H674">
        <v>204500</v>
      </c>
      <c r="I674">
        <v>10875</v>
      </c>
    </row>
    <row r="675" spans="1:9">
      <c r="A675" t="s">
        <v>1629</v>
      </c>
      <c r="B675" t="s">
        <v>18</v>
      </c>
      <c r="C675">
        <v>615000</v>
      </c>
      <c r="D675">
        <v>563000</v>
      </c>
      <c r="E675" t="s">
        <v>7896</v>
      </c>
      <c r="F675">
        <v>2.5</v>
      </c>
      <c r="G675" s="12">
        <v>52000</v>
      </c>
      <c r="H675">
        <v>246000</v>
      </c>
      <c r="I675">
        <v>20800</v>
      </c>
    </row>
    <row r="676" spans="1:9">
      <c r="A676" t="s">
        <v>1512</v>
      </c>
      <c r="B676" t="s">
        <v>18</v>
      </c>
      <c r="C676">
        <v>1871000</v>
      </c>
      <c r="D676">
        <v>1840000</v>
      </c>
      <c r="E676" t="s">
        <v>7896</v>
      </c>
      <c r="F676">
        <v>2.5</v>
      </c>
      <c r="G676" s="12">
        <v>31000</v>
      </c>
      <c r="H676">
        <v>748400</v>
      </c>
      <c r="I676">
        <v>12400</v>
      </c>
    </row>
    <row r="677" spans="1:9">
      <c r="A677" t="s">
        <v>1558</v>
      </c>
      <c r="B677" t="s">
        <v>18</v>
      </c>
      <c r="C677">
        <v>627000</v>
      </c>
      <c r="D677">
        <v>647000</v>
      </c>
      <c r="E677" t="s">
        <v>7896</v>
      </c>
      <c r="F677">
        <v>2.5</v>
      </c>
      <c r="G677" s="12">
        <v>-20000</v>
      </c>
      <c r="H677">
        <v>250800</v>
      </c>
      <c r="I677">
        <v>-8000</v>
      </c>
    </row>
    <row r="678" spans="1:9">
      <c r="A678" t="s">
        <v>1649</v>
      </c>
      <c r="B678" t="s">
        <v>18</v>
      </c>
      <c r="C678">
        <v>1369000</v>
      </c>
      <c r="D678">
        <v>1571000</v>
      </c>
      <c r="E678" t="s">
        <v>7896</v>
      </c>
      <c r="F678">
        <v>2.5</v>
      </c>
      <c r="G678" s="12">
        <v>-202000</v>
      </c>
      <c r="H678">
        <v>547600</v>
      </c>
      <c r="I678">
        <v>-80800</v>
      </c>
    </row>
    <row r="679" spans="1:9">
      <c r="A679" t="s">
        <v>1513</v>
      </c>
      <c r="B679" t="s">
        <v>18</v>
      </c>
      <c r="C679">
        <v>1410000</v>
      </c>
      <c r="D679">
        <v>1396000</v>
      </c>
      <c r="E679" t="s">
        <v>7896</v>
      </c>
      <c r="F679">
        <v>2.5</v>
      </c>
      <c r="G679" s="12">
        <v>14000</v>
      </c>
      <c r="H679">
        <v>564000</v>
      </c>
      <c r="I679">
        <v>5600</v>
      </c>
    </row>
    <row r="680" spans="1:9">
      <c r="A680" t="s">
        <v>1516</v>
      </c>
      <c r="B680" t="s">
        <v>18</v>
      </c>
      <c r="C680">
        <v>3434000</v>
      </c>
      <c r="D680">
        <v>3432000</v>
      </c>
      <c r="E680" t="s">
        <v>7896</v>
      </c>
      <c r="F680">
        <v>2.5</v>
      </c>
      <c r="G680" s="12">
        <v>2000</v>
      </c>
      <c r="H680">
        <v>1373600</v>
      </c>
      <c r="I680">
        <v>800</v>
      </c>
    </row>
    <row r="681" spans="1:9">
      <c r="A681" t="s">
        <v>1509</v>
      </c>
      <c r="B681" t="s">
        <v>18</v>
      </c>
      <c r="C681">
        <v>5256000</v>
      </c>
      <c r="D681">
        <v>4883000</v>
      </c>
      <c r="E681" t="s">
        <v>7896</v>
      </c>
      <c r="F681">
        <v>2.5</v>
      </c>
      <c r="G681" s="12">
        <v>373000</v>
      </c>
      <c r="H681">
        <v>2102400</v>
      </c>
      <c r="I681">
        <v>149200</v>
      </c>
    </row>
    <row r="682" spans="1:9">
      <c r="A682" t="s">
        <v>1509</v>
      </c>
      <c r="B682" t="s">
        <v>18</v>
      </c>
      <c r="C682">
        <v>206000</v>
      </c>
      <c r="D682">
        <v>206000</v>
      </c>
      <c r="E682" t="s">
        <v>7896</v>
      </c>
      <c r="F682">
        <v>2.5</v>
      </c>
      <c r="G682" s="12">
        <v>0</v>
      </c>
      <c r="H682">
        <v>82400</v>
      </c>
      <c r="I682">
        <v>0</v>
      </c>
    </row>
    <row r="683" spans="1:9">
      <c r="A683" t="s">
        <v>1524</v>
      </c>
      <c r="B683" t="s">
        <v>18</v>
      </c>
      <c r="C683">
        <v>195000</v>
      </c>
      <c r="D683">
        <v>489000</v>
      </c>
      <c r="E683" t="s">
        <v>7896</v>
      </c>
      <c r="F683">
        <v>2.5</v>
      </c>
      <c r="G683" s="12">
        <v>-294000</v>
      </c>
      <c r="H683">
        <v>78000</v>
      </c>
      <c r="I683">
        <v>-117600</v>
      </c>
    </row>
    <row r="684" spans="1:9">
      <c r="A684" t="s">
        <v>1801</v>
      </c>
      <c r="B684" t="s">
        <v>77</v>
      </c>
      <c r="C684">
        <v>11807000</v>
      </c>
      <c r="D684">
        <v>13545000</v>
      </c>
      <c r="E684" t="s">
        <v>7896</v>
      </c>
      <c r="F684">
        <v>8</v>
      </c>
      <c r="G684" s="12">
        <v>-1738000</v>
      </c>
      <c r="H684">
        <v>1475875</v>
      </c>
      <c r="I684">
        <v>-217250</v>
      </c>
    </row>
    <row r="685" spans="1:9">
      <c r="A685" t="s">
        <v>1516</v>
      </c>
      <c r="B685" t="s">
        <v>18</v>
      </c>
      <c r="C685">
        <v>2020000</v>
      </c>
      <c r="D685">
        <v>2027000</v>
      </c>
      <c r="E685" t="s">
        <v>7896</v>
      </c>
      <c r="F685">
        <v>2.5</v>
      </c>
      <c r="G685" s="12">
        <v>-7000</v>
      </c>
      <c r="H685">
        <v>808000</v>
      </c>
      <c r="I685">
        <v>-2800</v>
      </c>
    </row>
    <row r="686" spans="1:9">
      <c r="A686" t="s">
        <v>1532</v>
      </c>
      <c r="B686" t="s">
        <v>18</v>
      </c>
      <c r="C686">
        <v>2080000</v>
      </c>
      <c r="D686">
        <v>2088000</v>
      </c>
      <c r="E686" t="s">
        <v>7896</v>
      </c>
      <c r="F686">
        <v>2.5</v>
      </c>
      <c r="G686" s="12">
        <v>-8000</v>
      </c>
      <c r="H686">
        <v>832000</v>
      </c>
      <c r="I686">
        <v>-3200</v>
      </c>
    </row>
    <row r="687" spans="1:9">
      <c r="A687" t="s">
        <v>1533</v>
      </c>
      <c r="B687" t="s">
        <v>18</v>
      </c>
      <c r="C687">
        <v>10312000</v>
      </c>
      <c r="D687">
        <v>10572000</v>
      </c>
      <c r="E687" t="s">
        <v>7896</v>
      </c>
      <c r="F687">
        <v>2.5</v>
      </c>
      <c r="G687" s="12">
        <v>-260000</v>
      </c>
      <c r="H687">
        <v>4124800</v>
      </c>
      <c r="I687">
        <v>-104000</v>
      </c>
    </row>
    <row r="688" spans="1:9">
      <c r="A688" t="s">
        <v>1628</v>
      </c>
      <c r="B688" t="s">
        <v>18</v>
      </c>
      <c r="C688">
        <v>125000</v>
      </c>
      <c r="D688">
        <v>123000</v>
      </c>
      <c r="E688" t="s">
        <v>7896</v>
      </c>
      <c r="F688">
        <v>2.5</v>
      </c>
      <c r="G688" s="12">
        <v>2000</v>
      </c>
      <c r="H688">
        <v>50000</v>
      </c>
      <c r="I688">
        <v>800</v>
      </c>
    </row>
    <row r="689" spans="1:9">
      <c r="A689" t="s">
        <v>1667</v>
      </c>
      <c r="B689" t="s">
        <v>18</v>
      </c>
      <c r="C689">
        <v>12367000</v>
      </c>
      <c r="D689">
        <v>19194000</v>
      </c>
      <c r="E689" t="s">
        <v>7896</v>
      </c>
      <c r="F689">
        <v>2.5</v>
      </c>
      <c r="G689" s="12">
        <v>-6827000</v>
      </c>
      <c r="H689">
        <v>4946800</v>
      </c>
      <c r="I689">
        <v>-2730800</v>
      </c>
    </row>
    <row r="690" spans="1:9">
      <c r="A690" t="s">
        <v>1526</v>
      </c>
      <c r="B690" t="s">
        <v>18</v>
      </c>
      <c r="C690">
        <v>1736000</v>
      </c>
      <c r="D690">
        <v>1047000</v>
      </c>
      <c r="E690" t="s">
        <v>7896</v>
      </c>
      <c r="F690">
        <v>2.5</v>
      </c>
      <c r="G690" s="12">
        <v>689000</v>
      </c>
      <c r="H690">
        <v>694400</v>
      </c>
      <c r="I690">
        <v>275600</v>
      </c>
    </row>
    <row r="691" spans="1:9">
      <c r="A691" t="s">
        <v>1508</v>
      </c>
      <c r="B691" t="s">
        <v>18</v>
      </c>
      <c r="C691">
        <v>1013000</v>
      </c>
      <c r="D691">
        <v>1550000</v>
      </c>
      <c r="E691" t="s">
        <v>7896</v>
      </c>
      <c r="F691">
        <v>2.5</v>
      </c>
      <c r="G691" s="12">
        <v>-537000</v>
      </c>
      <c r="H691">
        <v>405200</v>
      </c>
      <c r="I691">
        <v>-214800</v>
      </c>
    </row>
    <row r="692" spans="1:9">
      <c r="A692" t="s">
        <v>1595</v>
      </c>
      <c r="B692" t="s">
        <v>18</v>
      </c>
      <c r="C692">
        <v>1162000</v>
      </c>
      <c r="D692">
        <v>1210000</v>
      </c>
      <c r="E692" t="s">
        <v>7896</v>
      </c>
      <c r="F692">
        <v>2.5</v>
      </c>
      <c r="G692" s="12">
        <v>-48000</v>
      </c>
      <c r="H692">
        <v>464800</v>
      </c>
      <c r="I692">
        <v>-19200</v>
      </c>
    </row>
    <row r="693" spans="1:9">
      <c r="A693" t="s">
        <v>1524</v>
      </c>
      <c r="B693" t="s">
        <v>18</v>
      </c>
      <c r="C693">
        <v>35000</v>
      </c>
      <c r="D693">
        <v>36000</v>
      </c>
      <c r="E693" t="s">
        <v>7896</v>
      </c>
      <c r="F693">
        <v>2.5</v>
      </c>
      <c r="G693" s="12">
        <v>-1000</v>
      </c>
      <c r="H693">
        <v>14000</v>
      </c>
      <c r="I693">
        <v>-400</v>
      </c>
    </row>
    <row r="694" spans="1:9">
      <c r="A694" t="s">
        <v>1579</v>
      </c>
      <c r="B694" t="s">
        <v>18</v>
      </c>
      <c r="C694">
        <v>31000</v>
      </c>
      <c r="D694">
        <v>22000</v>
      </c>
      <c r="E694" t="s">
        <v>7896</v>
      </c>
      <c r="F694">
        <v>2.5</v>
      </c>
      <c r="G694" s="12">
        <v>9000</v>
      </c>
      <c r="H694">
        <v>12400</v>
      </c>
      <c r="I694">
        <v>3600</v>
      </c>
    </row>
    <row r="695" spans="1:9">
      <c r="A695" t="s">
        <v>1508</v>
      </c>
      <c r="B695" t="s">
        <v>18</v>
      </c>
      <c r="C695">
        <v>19479000</v>
      </c>
      <c r="D695">
        <v>18106000</v>
      </c>
      <c r="E695" t="s">
        <v>7896</v>
      </c>
      <c r="F695">
        <v>2.5</v>
      </c>
      <c r="G695" s="12">
        <v>1373000</v>
      </c>
      <c r="H695">
        <v>7791600</v>
      </c>
      <c r="I695">
        <v>549200</v>
      </c>
    </row>
    <row r="696" spans="1:9">
      <c r="A696" t="s">
        <v>1533</v>
      </c>
      <c r="B696" t="s">
        <v>22</v>
      </c>
      <c r="C696">
        <v>1346000</v>
      </c>
      <c r="D696">
        <v>1677000</v>
      </c>
      <c r="E696" t="s">
        <v>7896</v>
      </c>
      <c r="F696">
        <v>13</v>
      </c>
      <c r="G696" s="12">
        <v>-331000</v>
      </c>
      <c r="H696">
        <v>103538.46153846153</v>
      </c>
      <c r="I696">
        <v>-25461.538461538461</v>
      </c>
    </row>
    <row r="697" spans="1:9">
      <c r="A697" t="s">
        <v>1580</v>
      </c>
      <c r="B697" t="s">
        <v>18</v>
      </c>
      <c r="C697">
        <v>540000</v>
      </c>
      <c r="D697">
        <v>540000</v>
      </c>
      <c r="E697" t="s">
        <v>7896</v>
      </c>
      <c r="F697">
        <v>2.5</v>
      </c>
      <c r="G697" s="12">
        <v>0</v>
      </c>
      <c r="H697">
        <v>216000</v>
      </c>
      <c r="I697">
        <v>0</v>
      </c>
    </row>
    <row r="698" spans="1:9">
      <c r="A698" t="s">
        <v>1532</v>
      </c>
      <c r="B698" t="s">
        <v>18</v>
      </c>
      <c r="C698">
        <v>500000</v>
      </c>
      <c r="D698">
        <v>884000</v>
      </c>
      <c r="E698" t="s">
        <v>7896</v>
      </c>
      <c r="F698">
        <v>2.5</v>
      </c>
      <c r="G698" s="12">
        <v>-384000</v>
      </c>
      <c r="H698">
        <v>200000</v>
      </c>
      <c r="I698">
        <v>-153600</v>
      </c>
    </row>
    <row r="699" spans="1:9">
      <c r="A699" t="s">
        <v>1533</v>
      </c>
      <c r="B699" t="s">
        <v>18</v>
      </c>
      <c r="C699">
        <v>26508000</v>
      </c>
      <c r="D699">
        <v>26577000</v>
      </c>
      <c r="E699" t="s">
        <v>7896</v>
      </c>
      <c r="F699">
        <v>2.5</v>
      </c>
      <c r="G699" s="12">
        <v>-69000</v>
      </c>
      <c r="H699">
        <v>10603200</v>
      </c>
      <c r="I699">
        <v>-27600</v>
      </c>
    </row>
    <row r="700" spans="1:9">
      <c r="A700" t="s">
        <v>1532</v>
      </c>
      <c r="B700" t="s">
        <v>18</v>
      </c>
      <c r="C700">
        <v>1104000</v>
      </c>
      <c r="D700">
        <v>1097000</v>
      </c>
      <c r="E700" t="s">
        <v>7896</v>
      </c>
      <c r="F700">
        <v>2.5</v>
      </c>
      <c r="G700" s="12">
        <v>7000</v>
      </c>
      <c r="H700">
        <v>441600</v>
      </c>
      <c r="I700">
        <v>2800</v>
      </c>
    </row>
    <row r="701" spans="1:9">
      <c r="A701" t="s">
        <v>1521</v>
      </c>
      <c r="B701" t="s">
        <v>77</v>
      </c>
      <c r="C701">
        <v>22727000</v>
      </c>
      <c r="D701">
        <v>25299000</v>
      </c>
      <c r="E701" t="s">
        <v>7896</v>
      </c>
      <c r="F701">
        <v>8</v>
      </c>
      <c r="G701" s="12">
        <v>-2572000</v>
      </c>
      <c r="H701">
        <v>2840875</v>
      </c>
      <c r="I701">
        <v>-321500</v>
      </c>
    </row>
    <row r="702" spans="1:9">
      <c r="A702" t="s">
        <v>1629</v>
      </c>
      <c r="B702" t="s">
        <v>18</v>
      </c>
      <c r="C702">
        <v>3533000</v>
      </c>
      <c r="D702">
        <v>3559000</v>
      </c>
      <c r="E702" t="s">
        <v>7896</v>
      </c>
      <c r="F702">
        <v>2.5</v>
      </c>
      <c r="G702" s="12">
        <v>-26000</v>
      </c>
      <c r="H702">
        <v>1413200</v>
      </c>
      <c r="I702">
        <v>-10400</v>
      </c>
    </row>
    <row r="703" spans="1:9">
      <c r="A703" t="s">
        <v>1504</v>
      </c>
      <c r="B703" t="s">
        <v>18</v>
      </c>
      <c r="C703">
        <v>1542000</v>
      </c>
      <c r="D703">
        <v>1355000</v>
      </c>
      <c r="E703" t="s">
        <v>7896</v>
      </c>
      <c r="F703">
        <v>2.5</v>
      </c>
      <c r="G703" s="12">
        <v>187000</v>
      </c>
      <c r="H703">
        <v>616800</v>
      </c>
      <c r="I703">
        <v>74800</v>
      </c>
    </row>
    <row r="704" spans="1:9">
      <c r="A704" t="s">
        <v>1532</v>
      </c>
      <c r="B704" t="s">
        <v>18</v>
      </c>
      <c r="C704">
        <v>621000</v>
      </c>
      <c r="D704">
        <v>762000</v>
      </c>
      <c r="E704" t="s">
        <v>7896</v>
      </c>
      <c r="F704">
        <v>2.5</v>
      </c>
      <c r="G704" s="12">
        <v>-141000</v>
      </c>
      <c r="H704">
        <v>248400</v>
      </c>
      <c r="I704">
        <v>-56400</v>
      </c>
    </row>
    <row r="705" spans="1:9">
      <c r="A705" t="s">
        <v>1767</v>
      </c>
      <c r="B705" t="s">
        <v>18</v>
      </c>
      <c r="C705">
        <v>296000</v>
      </c>
      <c r="D705">
        <v>296000</v>
      </c>
      <c r="E705" t="s">
        <v>7896</v>
      </c>
      <c r="F705">
        <v>2.5</v>
      </c>
      <c r="G705" s="12">
        <v>0</v>
      </c>
      <c r="H705">
        <v>118400</v>
      </c>
      <c r="I705">
        <v>0</v>
      </c>
    </row>
    <row r="706" spans="1:9">
      <c r="A706" t="s">
        <v>1580</v>
      </c>
      <c r="B706" t="s">
        <v>18</v>
      </c>
      <c r="C706">
        <v>3747000</v>
      </c>
      <c r="D706">
        <v>3287000</v>
      </c>
      <c r="E706" t="s">
        <v>7896</v>
      </c>
      <c r="F706">
        <v>2.5</v>
      </c>
      <c r="G706" s="12">
        <v>460000</v>
      </c>
      <c r="H706">
        <v>1498800</v>
      </c>
      <c r="I706">
        <v>184000</v>
      </c>
    </row>
    <row r="707" spans="1:9">
      <c r="A707" t="s">
        <v>1560</v>
      </c>
      <c r="B707" t="s">
        <v>22</v>
      </c>
      <c r="C707">
        <v>6860000</v>
      </c>
      <c r="D707">
        <v>7129000</v>
      </c>
      <c r="E707" t="s">
        <v>7896</v>
      </c>
      <c r="F707">
        <v>13</v>
      </c>
      <c r="G707" s="12">
        <v>-269000</v>
      </c>
      <c r="H707">
        <v>527692.30769230775</v>
      </c>
      <c r="I707">
        <v>-20692.307692307691</v>
      </c>
    </row>
    <row r="708" spans="1:9">
      <c r="A708" t="s">
        <v>1642</v>
      </c>
      <c r="B708" t="s">
        <v>18</v>
      </c>
      <c r="C708">
        <v>5928000</v>
      </c>
      <c r="D708">
        <v>6244000</v>
      </c>
      <c r="E708" t="s">
        <v>7896</v>
      </c>
      <c r="F708">
        <v>2.5</v>
      </c>
      <c r="G708" s="12">
        <v>-316000</v>
      </c>
      <c r="H708">
        <v>2371200</v>
      </c>
      <c r="I708">
        <v>-126400</v>
      </c>
    </row>
    <row r="709" spans="1:9">
      <c r="A709" t="s">
        <v>1532</v>
      </c>
      <c r="B709" t="s">
        <v>18</v>
      </c>
      <c r="C709">
        <v>2000</v>
      </c>
      <c r="D709">
        <v>2000</v>
      </c>
      <c r="E709" t="s">
        <v>7896</v>
      </c>
      <c r="F709">
        <v>2.5</v>
      </c>
      <c r="G709" s="12">
        <v>0</v>
      </c>
      <c r="H709">
        <v>800</v>
      </c>
      <c r="I709">
        <v>0</v>
      </c>
    </row>
    <row r="710" spans="1:9">
      <c r="A710" t="s">
        <v>1532</v>
      </c>
      <c r="B710" t="s">
        <v>18</v>
      </c>
      <c r="C710">
        <v>1254000</v>
      </c>
      <c r="D710">
        <v>1998000</v>
      </c>
      <c r="E710" t="s">
        <v>7896</v>
      </c>
      <c r="F710">
        <v>2.5</v>
      </c>
      <c r="G710" s="12">
        <v>-744000</v>
      </c>
      <c r="H710">
        <v>501600</v>
      </c>
      <c r="I710">
        <v>-297600</v>
      </c>
    </row>
    <row r="711" spans="1:9">
      <c r="A711" t="s">
        <v>1508</v>
      </c>
      <c r="B711" t="s">
        <v>18</v>
      </c>
      <c r="C711">
        <v>1092000</v>
      </c>
      <c r="D711">
        <v>1180000</v>
      </c>
      <c r="E711" t="s">
        <v>7896</v>
      </c>
      <c r="F711">
        <v>2.5</v>
      </c>
      <c r="G711" s="12">
        <v>-88000</v>
      </c>
      <c r="H711">
        <v>436800</v>
      </c>
      <c r="I711">
        <v>-35200</v>
      </c>
    </row>
    <row r="712" spans="1:9">
      <c r="A712" t="s">
        <v>1532</v>
      </c>
      <c r="B712" t="s">
        <v>22</v>
      </c>
      <c r="C712">
        <v>25085000</v>
      </c>
      <c r="D712">
        <v>21943000</v>
      </c>
      <c r="E712" t="s">
        <v>7896</v>
      </c>
      <c r="F712">
        <v>13</v>
      </c>
      <c r="G712" s="12">
        <v>3142000</v>
      </c>
      <c r="H712">
        <v>1929615.3846153845</v>
      </c>
      <c r="I712">
        <v>241692.30769230769</v>
      </c>
    </row>
    <row r="713" spans="1:9">
      <c r="A713" t="s">
        <v>1559</v>
      </c>
      <c r="B713" t="s">
        <v>77</v>
      </c>
      <c r="C713">
        <v>17813000</v>
      </c>
      <c r="D713">
        <v>17620000</v>
      </c>
      <c r="E713" t="s">
        <v>7896</v>
      </c>
      <c r="F713">
        <v>8</v>
      </c>
      <c r="G713" s="12">
        <v>193000</v>
      </c>
      <c r="H713">
        <v>2226625</v>
      </c>
      <c r="I713">
        <v>24125</v>
      </c>
    </row>
    <row r="714" spans="1:9">
      <c r="A714" t="s">
        <v>1628</v>
      </c>
      <c r="B714" t="s">
        <v>18</v>
      </c>
      <c r="C714">
        <v>928000</v>
      </c>
      <c r="D714">
        <v>928000</v>
      </c>
      <c r="E714" t="s">
        <v>7896</v>
      </c>
      <c r="F714">
        <v>2.5</v>
      </c>
      <c r="G714" s="12">
        <v>0</v>
      </c>
      <c r="H714">
        <v>371200</v>
      </c>
      <c r="I714">
        <v>0</v>
      </c>
    </row>
    <row r="715" spans="1:9">
      <c r="A715" t="s">
        <v>1509</v>
      </c>
      <c r="B715" t="s">
        <v>22</v>
      </c>
      <c r="C715">
        <v>130875000</v>
      </c>
      <c r="D715">
        <v>129010000</v>
      </c>
      <c r="E715" t="s">
        <v>7896</v>
      </c>
      <c r="F715">
        <v>13</v>
      </c>
      <c r="G715" s="12">
        <v>1865000</v>
      </c>
      <c r="H715">
        <v>10067307.692307692</v>
      </c>
      <c r="I715">
        <v>143461.53846153847</v>
      </c>
    </row>
    <row r="716" spans="1:9">
      <c r="A716" t="s">
        <v>1532</v>
      </c>
      <c r="B716" t="s">
        <v>18</v>
      </c>
      <c r="C716">
        <v>97000</v>
      </c>
      <c r="D716">
        <v>94000</v>
      </c>
      <c r="E716" t="s">
        <v>7896</v>
      </c>
      <c r="F716">
        <v>2.5</v>
      </c>
      <c r="G716" s="12">
        <v>3000</v>
      </c>
      <c r="H716">
        <v>38800</v>
      </c>
      <c r="I716">
        <v>1200</v>
      </c>
    </row>
    <row r="717" spans="1:9">
      <c r="A717" t="s">
        <v>1524</v>
      </c>
      <c r="B717" t="s">
        <v>22</v>
      </c>
      <c r="C717">
        <v>4347000</v>
      </c>
      <c r="D717">
        <v>3772000</v>
      </c>
      <c r="E717" t="s">
        <v>7896</v>
      </c>
      <c r="F717">
        <v>13</v>
      </c>
      <c r="G717" s="12">
        <v>575000</v>
      </c>
      <c r="H717">
        <v>334384.61538461538</v>
      </c>
      <c r="I717">
        <v>44230.769230769234</v>
      </c>
    </row>
    <row r="718" spans="1:9">
      <c r="A718" t="s">
        <v>1532</v>
      </c>
      <c r="B718" t="s">
        <v>18</v>
      </c>
      <c r="C718">
        <v>1308000</v>
      </c>
      <c r="D718">
        <v>1091000</v>
      </c>
      <c r="E718" t="s">
        <v>7896</v>
      </c>
      <c r="F718">
        <v>2.5</v>
      </c>
      <c r="G718" s="12">
        <v>217000</v>
      </c>
      <c r="H718">
        <v>523200</v>
      </c>
      <c r="I718">
        <v>86800</v>
      </c>
    </row>
    <row r="719" spans="1:9">
      <c r="A719" t="s">
        <v>1579</v>
      </c>
      <c r="B719" t="s">
        <v>18</v>
      </c>
      <c r="C719">
        <v>1140000</v>
      </c>
      <c r="D719">
        <v>1091000</v>
      </c>
      <c r="E719" t="s">
        <v>7896</v>
      </c>
      <c r="F719">
        <v>2.5</v>
      </c>
      <c r="G719" s="12">
        <v>49000</v>
      </c>
      <c r="H719">
        <v>456000</v>
      </c>
      <c r="I719">
        <v>19600</v>
      </c>
    </row>
    <row r="720" spans="1:9">
      <c r="A720" t="s">
        <v>1667</v>
      </c>
      <c r="B720" t="s">
        <v>18</v>
      </c>
      <c r="C720">
        <v>9429000</v>
      </c>
      <c r="D720">
        <v>5431000</v>
      </c>
      <c r="E720" t="s">
        <v>7896</v>
      </c>
      <c r="F720">
        <v>2.5</v>
      </c>
      <c r="G720" s="12">
        <v>3998000</v>
      </c>
      <c r="H720">
        <v>3771600</v>
      </c>
      <c r="I720">
        <v>1599200</v>
      </c>
    </row>
    <row r="721" spans="1:9">
      <c r="A721" t="s">
        <v>1509</v>
      </c>
      <c r="B721" t="s">
        <v>18</v>
      </c>
      <c r="C721">
        <v>679000</v>
      </c>
      <c r="D721">
        <v>599000</v>
      </c>
      <c r="E721" t="s">
        <v>7896</v>
      </c>
      <c r="F721">
        <v>2.5</v>
      </c>
      <c r="G721" s="12">
        <v>80000</v>
      </c>
      <c r="H721">
        <v>271600</v>
      </c>
      <c r="I721">
        <v>32000</v>
      </c>
    </row>
    <row r="722" spans="1:9">
      <c r="A722" t="s">
        <v>1532</v>
      </c>
      <c r="B722" t="s">
        <v>18</v>
      </c>
      <c r="C722">
        <v>20450000</v>
      </c>
      <c r="D722">
        <v>36058000</v>
      </c>
      <c r="E722" t="s">
        <v>7896</v>
      </c>
      <c r="F722">
        <v>2.5</v>
      </c>
      <c r="G722" s="12">
        <v>-15608000</v>
      </c>
      <c r="H722">
        <v>8180000</v>
      </c>
      <c r="I722">
        <v>-6243200</v>
      </c>
    </row>
    <row r="723" spans="1:9">
      <c r="A723" t="s">
        <v>1524</v>
      </c>
      <c r="B723" t="s">
        <v>18</v>
      </c>
      <c r="C723">
        <v>1928000</v>
      </c>
      <c r="D723">
        <v>1905000</v>
      </c>
      <c r="E723" t="s">
        <v>7896</v>
      </c>
      <c r="F723">
        <v>2.5</v>
      </c>
      <c r="G723" s="12">
        <v>23000</v>
      </c>
      <c r="H723">
        <v>771200</v>
      </c>
      <c r="I723">
        <v>9200</v>
      </c>
    </row>
    <row r="724" spans="1:9">
      <c r="A724" t="s">
        <v>1533</v>
      </c>
      <c r="B724" t="s">
        <v>18</v>
      </c>
      <c r="C724">
        <v>414000</v>
      </c>
      <c r="D724">
        <v>373000</v>
      </c>
      <c r="E724" t="s">
        <v>7896</v>
      </c>
      <c r="F724">
        <v>2.5</v>
      </c>
      <c r="G724" s="12">
        <v>41000</v>
      </c>
      <c r="H724">
        <v>165600</v>
      </c>
      <c r="I724">
        <v>16400</v>
      </c>
    </row>
    <row r="725" spans="1:9">
      <c r="A725" t="s">
        <v>1576</v>
      </c>
      <c r="B725" t="s">
        <v>22</v>
      </c>
      <c r="C725">
        <v>4861000</v>
      </c>
      <c r="D725">
        <v>4715000</v>
      </c>
      <c r="E725" t="s">
        <v>7896</v>
      </c>
      <c r="F725">
        <v>13</v>
      </c>
      <c r="G725" s="12">
        <v>146000</v>
      </c>
      <c r="H725">
        <v>373923.07692307694</v>
      </c>
      <c r="I725">
        <v>11230.76923076923</v>
      </c>
    </row>
    <row r="726" spans="1:9">
      <c r="A726" t="s">
        <v>1512</v>
      </c>
      <c r="B726" t="s">
        <v>18</v>
      </c>
      <c r="C726">
        <v>10376000</v>
      </c>
      <c r="D726">
        <v>11277000</v>
      </c>
      <c r="E726" t="s">
        <v>7896</v>
      </c>
      <c r="F726">
        <v>2.5</v>
      </c>
      <c r="G726" s="12">
        <v>-901000</v>
      </c>
      <c r="H726">
        <v>4150400</v>
      </c>
      <c r="I726">
        <v>-360400</v>
      </c>
    </row>
    <row r="727" spans="1:9">
      <c r="A727" t="s">
        <v>1517</v>
      </c>
      <c r="B727" t="s">
        <v>18</v>
      </c>
      <c r="C727">
        <v>344000</v>
      </c>
      <c r="D727">
        <v>344000</v>
      </c>
      <c r="E727" t="s">
        <v>7896</v>
      </c>
      <c r="F727">
        <v>2.5</v>
      </c>
      <c r="G727" s="12">
        <v>0</v>
      </c>
      <c r="H727">
        <v>137600</v>
      </c>
      <c r="I727">
        <v>0</v>
      </c>
    </row>
    <row r="728" spans="1:9">
      <c r="A728" t="s">
        <v>1509</v>
      </c>
      <c r="B728" t="s">
        <v>18</v>
      </c>
      <c r="C728">
        <v>4264000</v>
      </c>
      <c r="D728">
        <v>4287000</v>
      </c>
      <c r="E728" t="s">
        <v>7896</v>
      </c>
      <c r="F728">
        <v>2.5</v>
      </c>
      <c r="G728" s="12">
        <v>-23000</v>
      </c>
      <c r="H728">
        <v>1705600</v>
      </c>
      <c r="I728">
        <v>-9200</v>
      </c>
    </row>
    <row r="729" spans="1:9">
      <c r="A729" t="s">
        <v>1504</v>
      </c>
      <c r="B729" t="s">
        <v>18</v>
      </c>
      <c r="C729">
        <v>396000</v>
      </c>
      <c r="D729">
        <v>382000</v>
      </c>
      <c r="E729" t="s">
        <v>7896</v>
      </c>
      <c r="F729">
        <v>2.5</v>
      </c>
      <c r="G729" s="12">
        <v>14000</v>
      </c>
      <c r="H729">
        <v>158400</v>
      </c>
      <c r="I729">
        <v>5600</v>
      </c>
    </row>
    <row r="730" spans="1:9">
      <c r="A730" t="s">
        <v>1629</v>
      </c>
      <c r="B730" t="s">
        <v>18</v>
      </c>
      <c r="C730">
        <v>733000</v>
      </c>
      <c r="D730">
        <v>699000</v>
      </c>
      <c r="E730" t="s">
        <v>7896</v>
      </c>
      <c r="F730">
        <v>2.5</v>
      </c>
      <c r="G730" s="12">
        <v>34000</v>
      </c>
      <c r="H730">
        <v>293200</v>
      </c>
      <c r="I730">
        <v>13600</v>
      </c>
    </row>
    <row r="731" spans="1:9">
      <c r="A731" t="s">
        <v>1576</v>
      </c>
      <c r="B731" t="s">
        <v>18</v>
      </c>
      <c r="C731">
        <v>7215000</v>
      </c>
      <c r="D731">
        <v>7030000</v>
      </c>
      <c r="E731" t="s">
        <v>7896</v>
      </c>
      <c r="F731">
        <v>2.5</v>
      </c>
      <c r="G731" s="12">
        <v>185000</v>
      </c>
      <c r="H731">
        <v>2886000</v>
      </c>
      <c r="I731">
        <v>74000</v>
      </c>
    </row>
    <row r="732" spans="1:9">
      <c r="A732" t="s">
        <v>1532</v>
      </c>
      <c r="B732" t="s">
        <v>22</v>
      </c>
      <c r="C732">
        <v>22047000</v>
      </c>
      <c r="D732">
        <v>21313000</v>
      </c>
      <c r="E732" t="s">
        <v>7896</v>
      </c>
      <c r="F732">
        <v>13</v>
      </c>
      <c r="G732" s="12">
        <v>734000</v>
      </c>
      <c r="H732">
        <v>1695923.076923077</v>
      </c>
      <c r="I732">
        <v>56461.538461538461</v>
      </c>
    </row>
    <row r="733" spans="1:9">
      <c r="A733" t="s">
        <v>1524</v>
      </c>
      <c r="B733" t="s">
        <v>18</v>
      </c>
      <c r="C733">
        <v>828000</v>
      </c>
      <c r="D733">
        <v>820000</v>
      </c>
      <c r="E733" t="s">
        <v>7896</v>
      </c>
      <c r="F733">
        <v>2.5</v>
      </c>
      <c r="G733" s="12">
        <v>8000</v>
      </c>
      <c r="H733">
        <v>331200</v>
      </c>
      <c r="I733">
        <v>3200</v>
      </c>
    </row>
    <row r="734" spans="1:9">
      <c r="A734" t="s">
        <v>1519</v>
      </c>
      <c r="B734" t="s">
        <v>18</v>
      </c>
      <c r="C734">
        <v>2390000</v>
      </c>
      <c r="D734">
        <v>2232000</v>
      </c>
      <c r="E734" t="s">
        <v>7896</v>
      </c>
      <c r="F734">
        <v>2.5</v>
      </c>
      <c r="G734" s="12">
        <v>158000</v>
      </c>
      <c r="H734">
        <v>956000</v>
      </c>
      <c r="I734">
        <v>63200</v>
      </c>
    </row>
    <row r="735" spans="1:9">
      <c r="A735" t="s">
        <v>1544</v>
      </c>
      <c r="B735" t="s">
        <v>18</v>
      </c>
      <c r="C735">
        <v>9245000</v>
      </c>
      <c r="D735">
        <v>8916000</v>
      </c>
      <c r="E735" t="s">
        <v>7896</v>
      </c>
      <c r="F735">
        <v>2.5</v>
      </c>
      <c r="G735" s="12">
        <v>329000</v>
      </c>
      <c r="H735">
        <v>3698000</v>
      </c>
      <c r="I735">
        <v>131600</v>
      </c>
    </row>
    <row r="736" spans="1:9">
      <c r="A736" t="s">
        <v>1642</v>
      </c>
      <c r="B736" t="s">
        <v>18</v>
      </c>
      <c r="C736">
        <v>514000</v>
      </c>
      <c r="D736">
        <v>523000</v>
      </c>
      <c r="E736" t="s">
        <v>7896</v>
      </c>
      <c r="F736">
        <v>2.5</v>
      </c>
      <c r="G736" s="12">
        <v>-9000</v>
      </c>
      <c r="H736">
        <v>205600</v>
      </c>
      <c r="I736">
        <v>-3600</v>
      </c>
    </row>
    <row r="737" spans="1:9">
      <c r="A737" t="s">
        <v>1504</v>
      </c>
      <c r="B737" t="s">
        <v>18</v>
      </c>
      <c r="C737">
        <v>1541000</v>
      </c>
      <c r="D737">
        <v>1531000</v>
      </c>
      <c r="E737" t="s">
        <v>7896</v>
      </c>
      <c r="F737">
        <v>2.5</v>
      </c>
      <c r="G737" s="12">
        <v>10000</v>
      </c>
      <c r="H737">
        <v>616400</v>
      </c>
      <c r="I737">
        <v>4000</v>
      </c>
    </row>
    <row r="738" spans="1:9">
      <c r="A738" t="s">
        <v>1589</v>
      </c>
      <c r="B738" t="s">
        <v>18</v>
      </c>
      <c r="C738">
        <v>2610000</v>
      </c>
      <c r="D738">
        <v>2117000</v>
      </c>
      <c r="E738" t="s">
        <v>7896</v>
      </c>
      <c r="F738">
        <v>2.5</v>
      </c>
      <c r="G738" s="12">
        <v>493000</v>
      </c>
      <c r="H738">
        <v>1044000</v>
      </c>
      <c r="I738">
        <v>197200</v>
      </c>
    </row>
    <row r="739" spans="1:9">
      <c r="A739" t="s">
        <v>1667</v>
      </c>
      <c r="B739" t="s">
        <v>18</v>
      </c>
      <c r="C739">
        <v>2291000</v>
      </c>
      <c r="D739">
        <v>1355000</v>
      </c>
      <c r="E739" t="s">
        <v>7896</v>
      </c>
      <c r="F739">
        <v>2.5</v>
      </c>
      <c r="G739" s="12">
        <v>936000</v>
      </c>
      <c r="H739">
        <v>916400</v>
      </c>
      <c r="I739">
        <v>374400</v>
      </c>
    </row>
    <row r="740" spans="1:9">
      <c r="A740" t="s">
        <v>1532</v>
      </c>
      <c r="B740" t="s">
        <v>18</v>
      </c>
      <c r="C740">
        <v>1370000</v>
      </c>
      <c r="D740">
        <v>958000</v>
      </c>
      <c r="E740" t="s">
        <v>7896</v>
      </c>
      <c r="F740">
        <v>2.5</v>
      </c>
      <c r="G740" s="12">
        <v>412000</v>
      </c>
      <c r="H740">
        <v>548000</v>
      </c>
      <c r="I740">
        <v>164800</v>
      </c>
    </row>
    <row r="741" spans="1:9">
      <c r="A741" t="s">
        <v>1508</v>
      </c>
      <c r="B741" t="s">
        <v>18</v>
      </c>
      <c r="C741">
        <v>182000</v>
      </c>
      <c r="D741">
        <v>15000</v>
      </c>
      <c r="E741" t="s">
        <v>7896</v>
      </c>
      <c r="F741">
        <v>2.5</v>
      </c>
      <c r="G741" s="12">
        <v>167000</v>
      </c>
      <c r="H741">
        <v>72800</v>
      </c>
      <c r="I741">
        <v>66800</v>
      </c>
    </row>
    <row r="742" spans="1:9">
      <c r="A742" t="s">
        <v>1516</v>
      </c>
      <c r="B742" t="s">
        <v>18</v>
      </c>
      <c r="C742">
        <v>8824000</v>
      </c>
      <c r="D742">
        <v>7500000</v>
      </c>
      <c r="E742" t="s">
        <v>7896</v>
      </c>
      <c r="F742">
        <v>2.5</v>
      </c>
      <c r="G742" s="12">
        <v>1324000</v>
      </c>
      <c r="H742">
        <v>3529600</v>
      </c>
      <c r="I742">
        <v>529600</v>
      </c>
    </row>
    <row r="743" spans="1:9">
      <c r="A743" t="s">
        <v>1533</v>
      </c>
      <c r="B743" t="s">
        <v>18</v>
      </c>
      <c r="C743">
        <v>285000</v>
      </c>
      <c r="D743">
        <v>292000</v>
      </c>
      <c r="E743" t="s">
        <v>7896</v>
      </c>
      <c r="F743">
        <v>2.5</v>
      </c>
      <c r="G743" s="12">
        <v>-7000</v>
      </c>
      <c r="H743">
        <v>114000</v>
      </c>
      <c r="I743">
        <v>-2800</v>
      </c>
    </row>
    <row r="744" spans="1:9">
      <c r="A744" t="s">
        <v>1619</v>
      </c>
      <c r="B744" t="s">
        <v>18</v>
      </c>
      <c r="C744">
        <v>367000</v>
      </c>
      <c r="D744">
        <v>382000</v>
      </c>
      <c r="E744" t="s">
        <v>7896</v>
      </c>
      <c r="F744">
        <v>2.5</v>
      </c>
      <c r="G744" s="12">
        <v>-15000</v>
      </c>
      <c r="H744">
        <v>146800</v>
      </c>
      <c r="I744">
        <v>-6000</v>
      </c>
    </row>
    <row r="745" spans="1:9">
      <c r="A745" t="s">
        <v>1560</v>
      </c>
      <c r="B745" t="s">
        <v>18</v>
      </c>
      <c r="C745">
        <v>1588000</v>
      </c>
      <c r="D745">
        <v>2573000</v>
      </c>
      <c r="E745" t="s">
        <v>7896</v>
      </c>
      <c r="F745">
        <v>2.5</v>
      </c>
      <c r="G745" s="12">
        <v>-985000</v>
      </c>
      <c r="H745">
        <v>635200</v>
      </c>
      <c r="I745">
        <v>-394000</v>
      </c>
    </row>
    <row r="746" spans="1:9">
      <c r="A746" t="s">
        <v>1524</v>
      </c>
      <c r="B746" t="s">
        <v>18</v>
      </c>
      <c r="C746">
        <v>11000</v>
      </c>
      <c r="D746">
        <v>32000</v>
      </c>
      <c r="E746" t="s">
        <v>7896</v>
      </c>
      <c r="F746">
        <v>2.5</v>
      </c>
      <c r="G746" s="12">
        <v>-21000</v>
      </c>
      <c r="H746">
        <v>4400</v>
      </c>
      <c r="I746">
        <v>-8400</v>
      </c>
    </row>
    <row r="747" spans="1:9">
      <c r="A747" t="s">
        <v>1589</v>
      </c>
      <c r="B747" t="s">
        <v>18</v>
      </c>
      <c r="C747">
        <v>922000</v>
      </c>
      <c r="D747">
        <v>1086000</v>
      </c>
      <c r="E747" t="s">
        <v>7896</v>
      </c>
      <c r="F747">
        <v>2.5</v>
      </c>
      <c r="G747" s="12">
        <v>-164000</v>
      </c>
      <c r="H747">
        <v>368800</v>
      </c>
      <c r="I747">
        <v>-65600</v>
      </c>
    </row>
    <row r="748" spans="1:9">
      <c r="A748" t="s">
        <v>1579</v>
      </c>
      <c r="B748" t="s">
        <v>18</v>
      </c>
      <c r="C748">
        <v>485000</v>
      </c>
      <c r="D748">
        <v>387000</v>
      </c>
      <c r="E748" t="s">
        <v>7896</v>
      </c>
      <c r="F748">
        <v>2.5</v>
      </c>
      <c r="G748" s="12">
        <v>98000</v>
      </c>
      <c r="H748">
        <v>194000</v>
      </c>
      <c r="I748">
        <v>39200</v>
      </c>
    </row>
    <row r="749" spans="1:9">
      <c r="A749" t="s">
        <v>1520</v>
      </c>
      <c r="B749" t="s">
        <v>18</v>
      </c>
      <c r="C749">
        <v>16605000</v>
      </c>
      <c r="D749">
        <v>18092000</v>
      </c>
      <c r="E749" t="s">
        <v>7896</v>
      </c>
      <c r="F749">
        <v>2.5</v>
      </c>
      <c r="G749" s="12">
        <v>-1487000</v>
      </c>
      <c r="H749">
        <v>6642000</v>
      </c>
      <c r="I749">
        <v>-594800</v>
      </c>
    </row>
    <row r="750" spans="1:9">
      <c r="A750" t="s">
        <v>1517</v>
      </c>
      <c r="B750" t="s">
        <v>18</v>
      </c>
      <c r="C750">
        <v>444000</v>
      </c>
      <c r="D750">
        <v>670000</v>
      </c>
      <c r="E750" t="s">
        <v>7896</v>
      </c>
      <c r="F750">
        <v>2.5</v>
      </c>
      <c r="G750" s="12">
        <v>-226000</v>
      </c>
      <c r="H750">
        <v>177600</v>
      </c>
      <c r="I750">
        <v>-90400</v>
      </c>
    </row>
    <row r="751" spans="1:9">
      <c r="A751" t="s">
        <v>1532</v>
      </c>
      <c r="B751" t="s">
        <v>18</v>
      </c>
      <c r="C751">
        <v>292000</v>
      </c>
      <c r="D751">
        <v>274000</v>
      </c>
      <c r="E751" t="s">
        <v>7896</v>
      </c>
      <c r="F751">
        <v>2.5</v>
      </c>
      <c r="G751" s="12">
        <v>18000</v>
      </c>
      <c r="H751">
        <v>116800</v>
      </c>
      <c r="I751">
        <v>7200</v>
      </c>
    </row>
    <row r="752" spans="1:9">
      <c r="A752" t="s">
        <v>1504</v>
      </c>
      <c r="B752" t="s">
        <v>18</v>
      </c>
      <c r="C752">
        <v>2358000</v>
      </c>
      <c r="D752">
        <v>2486000</v>
      </c>
      <c r="E752" t="s">
        <v>7896</v>
      </c>
      <c r="F752">
        <v>2.5</v>
      </c>
      <c r="G752" s="12">
        <v>-128000</v>
      </c>
      <c r="H752">
        <v>943200</v>
      </c>
      <c r="I752">
        <v>-51200</v>
      </c>
    </row>
    <row r="753" spans="1:9">
      <c r="A753" t="s">
        <v>1526</v>
      </c>
      <c r="B753" t="s">
        <v>18</v>
      </c>
      <c r="C753">
        <v>611000</v>
      </c>
      <c r="D753">
        <v>611000</v>
      </c>
      <c r="E753" t="s">
        <v>7896</v>
      </c>
      <c r="F753">
        <v>2.5</v>
      </c>
      <c r="G753" s="12">
        <v>0</v>
      </c>
      <c r="H753">
        <v>244400</v>
      </c>
      <c r="I753">
        <v>0</v>
      </c>
    </row>
    <row r="754" spans="1:9">
      <c r="A754" t="s">
        <v>1532</v>
      </c>
      <c r="B754" t="s">
        <v>18</v>
      </c>
      <c r="C754">
        <v>1294000</v>
      </c>
      <c r="D754">
        <v>1234000</v>
      </c>
      <c r="E754" t="s">
        <v>7896</v>
      </c>
      <c r="F754">
        <v>2.5</v>
      </c>
      <c r="G754" s="12">
        <v>60000</v>
      </c>
      <c r="H754">
        <v>517600</v>
      </c>
      <c r="I754">
        <v>24000</v>
      </c>
    </row>
    <row r="755" spans="1:9">
      <c r="A755" t="s">
        <v>1604</v>
      </c>
      <c r="B755" t="s">
        <v>18</v>
      </c>
      <c r="C755">
        <v>266000</v>
      </c>
      <c r="D755">
        <v>214000</v>
      </c>
      <c r="E755" t="s">
        <v>7896</v>
      </c>
      <c r="F755">
        <v>2.5</v>
      </c>
      <c r="G755" s="12">
        <v>52000</v>
      </c>
      <c r="H755">
        <v>106400</v>
      </c>
      <c r="I755">
        <v>20800</v>
      </c>
    </row>
    <row r="756" spans="1:9">
      <c r="A756" t="s">
        <v>1767</v>
      </c>
      <c r="B756" t="s">
        <v>18</v>
      </c>
      <c r="C756">
        <v>766000</v>
      </c>
      <c r="D756">
        <v>122000</v>
      </c>
      <c r="E756" t="s">
        <v>7896</v>
      </c>
      <c r="F756">
        <v>2.5</v>
      </c>
      <c r="G756" s="12">
        <v>644000</v>
      </c>
      <c r="H756">
        <v>306400</v>
      </c>
      <c r="I756">
        <v>257600</v>
      </c>
    </row>
    <row r="757" spans="1:9">
      <c r="A757" t="s">
        <v>1532</v>
      </c>
      <c r="B757" t="s">
        <v>18</v>
      </c>
      <c r="C757">
        <v>3284000</v>
      </c>
      <c r="D757">
        <v>4281000</v>
      </c>
      <c r="E757" t="s">
        <v>7896</v>
      </c>
      <c r="F757">
        <v>2.5</v>
      </c>
      <c r="G757" s="12">
        <v>-997000</v>
      </c>
      <c r="H757">
        <v>1313600</v>
      </c>
      <c r="I757">
        <v>-398800</v>
      </c>
    </row>
    <row r="758" spans="1:9">
      <c r="A758" t="s">
        <v>1532</v>
      </c>
      <c r="B758" t="s">
        <v>77</v>
      </c>
      <c r="C758">
        <v>43154000</v>
      </c>
      <c r="D758">
        <v>51871000</v>
      </c>
      <c r="E758" t="s">
        <v>7896</v>
      </c>
      <c r="F758">
        <v>8</v>
      </c>
      <c r="G758" s="12">
        <v>-8717000</v>
      </c>
      <c r="H758">
        <v>5394250</v>
      </c>
      <c r="I758">
        <v>-1089625</v>
      </c>
    </row>
    <row r="759" spans="1:9">
      <c r="A759" t="s">
        <v>1881</v>
      </c>
      <c r="B759" t="s">
        <v>18</v>
      </c>
      <c r="C759">
        <v>662000</v>
      </c>
      <c r="D759">
        <v>1110000</v>
      </c>
      <c r="E759" t="s">
        <v>7896</v>
      </c>
      <c r="F759">
        <v>2.5</v>
      </c>
      <c r="G759" s="12">
        <v>-448000</v>
      </c>
      <c r="H759">
        <v>264800</v>
      </c>
      <c r="I759">
        <v>-179200</v>
      </c>
    </row>
    <row r="760" spans="1:9">
      <c r="A760" t="s">
        <v>1533</v>
      </c>
      <c r="B760" t="s">
        <v>18</v>
      </c>
      <c r="C760">
        <v>2700000</v>
      </c>
      <c r="D760">
        <v>2699000</v>
      </c>
      <c r="E760" t="s">
        <v>7896</v>
      </c>
      <c r="F760">
        <v>2.5</v>
      </c>
      <c r="G760" s="12">
        <v>1000</v>
      </c>
      <c r="H760">
        <v>1080000</v>
      </c>
      <c r="I760">
        <v>400</v>
      </c>
    </row>
    <row r="761" spans="1:9">
      <c r="A761" t="s">
        <v>1532</v>
      </c>
      <c r="B761" t="s">
        <v>18</v>
      </c>
      <c r="C761">
        <v>647000</v>
      </c>
      <c r="D761">
        <v>567000</v>
      </c>
      <c r="E761" t="s">
        <v>7896</v>
      </c>
      <c r="F761">
        <v>2.5</v>
      </c>
      <c r="G761" s="12">
        <v>80000</v>
      </c>
      <c r="H761">
        <v>258800</v>
      </c>
      <c r="I761">
        <v>32000</v>
      </c>
    </row>
    <row r="762" spans="1:9">
      <c r="A762" t="s">
        <v>1776</v>
      </c>
      <c r="B762" t="s">
        <v>18</v>
      </c>
      <c r="C762">
        <v>5576000</v>
      </c>
      <c r="D762">
        <v>4571000</v>
      </c>
      <c r="E762" t="s">
        <v>7896</v>
      </c>
      <c r="F762">
        <v>2.5</v>
      </c>
      <c r="G762" s="12">
        <v>1005000</v>
      </c>
      <c r="H762">
        <v>2230400</v>
      </c>
      <c r="I762">
        <v>402000</v>
      </c>
    </row>
    <row r="763" spans="1:9">
      <c r="A763" t="s">
        <v>1589</v>
      </c>
      <c r="B763" t="s">
        <v>18</v>
      </c>
      <c r="C763">
        <v>3904000</v>
      </c>
      <c r="D763">
        <v>3336000</v>
      </c>
      <c r="E763" t="s">
        <v>7896</v>
      </c>
      <c r="F763">
        <v>2.5</v>
      </c>
      <c r="G763" s="12">
        <v>568000</v>
      </c>
      <c r="H763">
        <v>1561600</v>
      </c>
      <c r="I763">
        <v>227200</v>
      </c>
    </row>
    <row r="764" spans="1:9">
      <c r="A764" t="s">
        <v>1532</v>
      </c>
      <c r="B764" t="s">
        <v>18</v>
      </c>
      <c r="C764">
        <v>1122000</v>
      </c>
      <c r="D764">
        <v>1230000</v>
      </c>
      <c r="E764" t="s">
        <v>7896</v>
      </c>
      <c r="F764">
        <v>2.5</v>
      </c>
      <c r="G764" s="12">
        <v>-108000</v>
      </c>
      <c r="H764">
        <v>448800</v>
      </c>
      <c r="I764">
        <v>-43200</v>
      </c>
    </row>
    <row r="765" spans="1:9">
      <c r="A765" t="s">
        <v>1559</v>
      </c>
      <c r="B765" t="s">
        <v>18</v>
      </c>
      <c r="C765">
        <v>76000</v>
      </c>
      <c r="D765">
        <v>44000</v>
      </c>
      <c r="E765" t="s">
        <v>7896</v>
      </c>
      <c r="F765">
        <v>2.5</v>
      </c>
      <c r="G765" s="12">
        <v>32000</v>
      </c>
      <c r="H765">
        <v>30400</v>
      </c>
      <c r="I765">
        <v>12800</v>
      </c>
    </row>
    <row r="766" spans="1:9">
      <c r="A766" t="s">
        <v>1533</v>
      </c>
      <c r="B766" t="s">
        <v>18</v>
      </c>
      <c r="C766">
        <v>320000</v>
      </c>
      <c r="D766">
        <v>320000</v>
      </c>
      <c r="E766" t="s">
        <v>7896</v>
      </c>
      <c r="F766">
        <v>2.5</v>
      </c>
      <c r="G766" s="12">
        <v>0</v>
      </c>
      <c r="H766">
        <v>128000</v>
      </c>
      <c r="I766">
        <v>0</v>
      </c>
    </row>
    <row r="767" spans="1:9">
      <c r="A767" t="s">
        <v>1532</v>
      </c>
      <c r="B767" t="s">
        <v>18</v>
      </c>
      <c r="C767">
        <v>49000</v>
      </c>
      <c r="D767">
        <v>289000</v>
      </c>
      <c r="E767" t="s">
        <v>7896</v>
      </c>
      <c r="F767">
        <v>2.5</v>
      </c>
      <c r="G767" s="12">
        <v>-240000</v>
      </c>
      <c r="H767">
        <v>19600</v>
      </c>
      <c r="I767">
        <v>-96000</v>
      </c>
    </row>
    <row r="768" spans="1:9">
      <c r="A768" t="s">
        <v>1532</v>
      </c>
      <c r="B768" t="s">
        <v>18</v>
      </c>
      <c r="C768">
        <v>17457000</v>
      </c>
      <c r="D768">
        <v>15191000</v>
      </c>
      <c r="E768" t="s">
        <v>7896</v>
      </c>
      <c r="F768">
        <v>2.5</v>
      </c>
      <c r="G768" s="12">
        <v>2266000</v>
      </c>
      <c r="H768">
        <v>6982800</v>
      </c>
      <c r="I768">
        <v>906400</v>
      </c>
    </row>
    <row r="769" spans="1:9">
      <c r="A769" t="s">
        <v>1505</v>
      </c>
      <c r="B769" t="s">
        <v>18</v>
      </c>
      <c r="C769">
        <v>23000</v>
      </c>
      <c r="D769">
        <v>27000</v>
      </c>
      <c r="E769" t="s">
        <v>7896</v>
      </c>
      <c r="F769">
        <v>2.5</v>
      </c>
      <c r="G769" s="12">
        <v>-4000</v>
      </c>
      <c r="H769">
        <v>9200</v>
      </c>
      <c r="I769">
        <v>-1600</v>
      </c>
    </row>
    <row r="770" spans="1:9">
      <c r="A770" t="s">
        <v>1532</v>
      </c>
      <c r="B770" t="s">
        <v>18</v>
      </c>
      <c r="C770">
        <v>14718000</v>
      </c>
      <c r="D770">
        <v>13676000</v>
      </c>
      <c r="E770" t="s">
        <v>7896</v>
      </c>
      <c r="F770">
        <v>2.5</v>
      </c>
      <c r="G770" s="12">
        <v>1042000</v>
      </c>
      <c r="H770">
        <v>5887200</v>
      </c>
      <c r="I770">
        <v>416800</v>
      </c>
    </row>
    <row r="771" spans="1:9">
      <c r="A771" t="s">
        <v>1532</v>
      </c>
      <c r="B771" t="s">
        <v>18</v>
      </c>
      <c r="C771">
        <v>77000</v>
      </c>
      <c r="D771">
        <v>78000</v>
      </c>
      <c r="E771" t="s">
        <v>7896</v>
      </c>
      <c r="F771">
        <v>2.5</v>
      </c>
      <c r="G771" s="12">
        <v>-1000</v>
      </c>
      <c r="H771">
        <v>30800</v>
      </c>
      <c r="I771">
        <v>-400</v>
      </c>
    </row>
    <row r="772" spans="1:9">
      <c r="A772" t="s">
        <v>1629</v>
      </c>
      <c r="B772" t="s">
        <v>18</v>
      </c>
      <c r="C772">
        <v>192000</v>
      </c>
      <c r="D772">
        <v>192000</v>
      </c>
      <c r="E772" t="s">
        <v>7896</v>
      </c>
      <c r="F772">
        <v>2.5</v>
      </c>
      <c r="G772" s="12">
        <v>0</v>
      </c>
      <c r="H772">
        <v>76800</v>
      </c>
      <c r="I772">
        <v>0</v>
      </c>
    </row>
    <row r="773" spans="1:9">
      <c r="A773" t="s">
        <v>1667</v>
      </c>
      <c r="B773" t="s">
        <v>18</v>
      </c>
      <c r="C773">
        <v>1680000</v>
      </c>
      <c r="D773">
        <v>1911000</v>
      </c>
      <c r="E773" t="s">
        <v>7896</v>
      </c>
      <c r="F773">
        <v>2.5</v>
      </c>
      <c r="G773" s="12">
        <v>-231000</v>
      </c>
      <c r="H773">
        <v>672000</v>
      </c>
      <c r="I773">
        <v>-92400</v>
      </c>
    </row>
    <row r="774" spans="1:9">
      <c r="A774" t="s">
        <v>1508</v>
      </c>
      <c r="B774" t="s">
        <v>18</v>
      </c>
      <c r="C774">
        <v>800000</v>
      </c>
      <c r="D774">
        <v>804000</v>
      </c>
      <c r="E774" t="s">
        <v>7896</v>
      </c>
      <c r="F774">
        <v>2.5</v>
      </c>
      <c r="G774" s="12">
        <v>-4000</v>
      </c>
      <c r="H774">
        <v>320000</v>
      </c>
      <c r="I774">
        <v>-1600</v>
      </c>
    </row>
    <row r="775" spans="1:9">
      <c r="A775" t="s">
        <v>1524</v>
      </c>
      <c r="B775" t="s">
        <v>18</v>
      </c>
      <c r="C775">
        <v>1410000</v>
      </c>
      <c r="D775">
        <v>1420000</v>
      </c>
      <c r="E775" t="s">
        <v>7896</v>
      </c>
      <c r="F775">
        <v>2.5</v>
      </c>
      <c r="G775" s="12">
        <v>-10000</v>
      </c>
      <c r="H775">
        <v>564000</v>
      </c>
      <c r="I775">
        <v>-4000</v>
      </c>
    </row>
    <row r="776" spans="1:9">
      <c r="A776" t="s">
        <v>1516</v>
      </c>
      <c r="B776" t="s">
        <v>18</v>
      </c>
      <c r="C776">
        <v>4625000</v>
      </c>
      <c r="D776">
        <v>2946000</v>
      </c>
      <c r="E776" t="s">
        <v>7896</v>
      </c>
      <c r="F776">
        <v>2.5</v>
      </c>
      <c r="G776" s="12">
        <v>1679000</v>
      </c>
      <c r="H776">
        <v>1850000</v>
      </c>
      <c r="I776">
        <v>671600</v>
      </c>
    </row>
    <row r="777" spans="1:9">
      <c r="A777" t="s">
        <v>1517</v>
      </c>
      <c r="B777" t="s">
        <v>18</v>
      </c>
      <c r="C777">
        <v>3500000</v>
      </c>
      <c r="D777">
        <v>3571000</v>
      </c>
      <c r="E777" t="s">
        <v>7896</v>
      </c>
      <c r="F777">
        <v>2.5</v>
      </c>
      <c r="G777" s="12">
        <v>-71000</v>
      </c>
      <c r="H777">
        <v>1400000</v>
      </c>
      <c r="I777">
        <v>-28400</v>
      </c>
    </row>
    <row r="778" spans="1:9">
      <c r="A778" t="s">
        <v>1662</v>
      </c>
      <c r="B778" t="s">
        <v>807</v>
      </c>
      <c r="C778">
        <v>71350000</v>
      </c>
      <c r="D778">
        <v>71271000</v>
      </c>
      <c r="E778" t="s">
        <v>7897</v>
      </c>
      <c r="F778">
        <v>175.5</v>
      </c>
      <c r="G778" s="12">
        <v>79000</v>
      </c>
      <c r="H778">
        <v>406552.70655270654</v>
      </c>
      <c r="I778">
        <v>450.14245014245012</v>
      </c>
    </row>
    <row r="779" spans="1:9">
      <c r="A779" t="s">
        <v>1579</v>
      </c>
      <c r="B779" t="s">
        <v>18</v>
      </c>
      <c r="C779">
        <v>3983000</v>
      </c>
      <c r="D779">
        <v>3983000</v>
      </c>
      <c r="E779" t="s">
        <v>7896</v>
      </c>
      <c r="F779">
        <v>2.5</v>
      </c>
      <c r="G779" s="12">
        <v>0</v>
      </c>
      <c r="H779">
        <v>1593200</v>
      </c>
      <c r="I779">
        <v>0</v>
      </c>
    </row>
    <row r="780" spans="1:9">
      <c r="A780" t="s">
        <v>1881</v>
      </c>
      <c r="B780" t="s">
        <v>18</v>
      </c>
      <c r="C780">
        <v>2721000</v>
      </c>
      <c r="D780">
        <v>2835000</v>
      </c>
      <c r="E780" t="s">
        <v>7896</v>
      </c>
      <c r="F780">
        <v>2.5</v>
      </c>
      <c r="G780" s="12">
        <v>-114000</v>
      </c>
      <c r="H780">
        <v>1088400</v>
      </c>
      <c r="I780">
        <v>-45600</v>
      </c>
    </row>
    <row r="781" spans="1:9">
      <c r="A781" t="s">
        <v>1504</v>
      </c>
      <c r="B781" t="s">
        <v>18</v>
      </c>
      <c r="C781">
        <v>7647000</v>
      </c>
      <c r="D781">
        <v>7152000</v>
      </c>
      <c r="E781" t="s">
        <v>7896</v>
      </c>
      <c r="F781">
        <v>2.5</v>
      </c>
      <c r="G781" s="12">
        <v>495000</v>
      </c>
      <c r="H781">
        <v>3058800</v>
      </c>
      <c r="I781">
        <v>198000</v>
      </c>
    </row>
    <row r="782" spans="1:9">
      <c r="A782" t="s">
        <v>1509</v>
      </c>
      <c r="B782" t="s">
        <v>18</v>
      </c>
      <c r="C782">
        <v>120228000</v>
      </c>
      <c r="D782">
        <v>16390000</v>
      </c>
      <c r="E782" t="s">
        <v>7896</v>
      </c>
      <c r="F782">
        <v>2.5</v>
      </c>
      <c r="G782" s="12">
        <v>103838000</v>
      </c>
      <c r="H782">
        <v>48091200</v>
      </c>
      <c r="I782">
        <v>41535200</v>
      </c>
    </row>
    <row r="783" spans="1:9">
      <c r="A783" t="s">
        <v>1526</v>
      </c>
      <c r="B783" t="s">
        <v>18</v>
      </c>
      <c r="C783">
        <v>190000</v>
      </c>
      <c r="D783">
        <v>91000</v>
      </c>
      <c r="E783" t="s">
        <v>7896</v>
      </c>
      <c r="F783">
        <v>2.5</v>
      </c>
      <c r="G783" s="12">
        <v>99000</v>
      </c>
      <c r="H783">
        <v>76000</v>
      </c>
      <c r="I783">
        <v>39600</v>
      </c>
    </row>
    <row r="784" spans="1:9">
      <c r="A784" t="s">
        <v>1512</v>
      </c>
      <c r="B784" t="s">
        <v>18</v>
      </c>
      <c r="C784">
        <v>1100000</v>
      </c>
      <c r="D784">
        <v>1111000</v>
      </c>
      <c r="E784" t="s">
        <v>7896</v>
      </c>
      <c r="F784">
        <v>2.5</v>
      </c>
      <c r="G784" s="12">
        <v>-11000</v>
      </c>
      <c r="H784">
        <v>440000</v>
      </c>
      <c r="I784">
        <v>-4400</v>
      </c>
    </row>
    <row r="785" spans="1:9">
      <c r="A785" t="s">
        <v>1532</v>
      </c>
      <c r="B785" t="s">
        <v>18</v>
      </c>
      <c r="C785">
        <v>4612000</v>
      </c>
      <c r="D785">
        <v>5016000</v>
      </c>
      <c r="E785" t="s">
        <v>7896</v>
      </c>
      <c r="F785">
        <v>2.5</v>
      </c>
      <c r="G785" s="12">
        <v>-404000</v>
      </c>
      <c r="H785">
        <v>1844800</v>
      </c>
      <c r="I785">
        <v>-161600</v>
      </c>
    </row>
    <row r="786" spans="1:9">
      <c r="A786" t="s">
        <v>1532</v>
      </c>
      <c r="B786" t="s">
        <v>22</v>
      </c>
      <c r="C786">
        <v>62765000</v>
      </c>
      <c r="D786">
        <v>73680000</v>
      </c>
      <c r="E786" t="s">
        <v>7896</v>
      </c>
      <c r="F786">
        <v>13</v>
      </c>
      <c r="G786" s="12">
        <v>-10915000</v>
      </c>
      <c r="H786">
        <v>4828076.923076923</v>
      </c>
      <c r="I786">
        <v>-839615.38461538462</v>
      </c>
    </row>
    <row r="787" spans="1:9">
      <c r="A787" t="s">
        <v>1588</v>
      </c>
      <c r="B787" t="s">
        <v>18</v>
      </c>
      <c r="C787">
        <v>2500000</v>
      </c>
      <c r="D787">
        <v>2512000</v>
      </c>
      <c r="E787" t="s">
        <v>7896</v>
      </c>
      <c r="F787">
        <v>2.5</v>
      </c>
      <c r="G787" s="12">
        <v>-12000</v>
      </c>
      <c r="H787">
        <v>1000000</v>
      </c>
      <c r="I787">
        <v>-4800</v>
      </c>
    </row>
    <row r="788" spans="1:9">
      <c r="A788" t="s">
        <v>1526</v>
      </c>
      <c r="B788" t="s">
        <v>18</v>
      </c>
      <c r="C788">
        <v>1027000</v>
      </c>
      <c r="D788">
        <v>1035000</v>
      </c>
      <c r="E788" t="s">
        <v>7896</v>
      </c>
      <c r="F788">
        <v>2.5</v>
      </c>
      <c r="G788" s="12">
        <v>-8000</v>
      </c>
      <c r="H788">
        <v>410800</v>
      </c>
      <c r="I788">
        <v>-3200</v>
      </c>
    </row>
    <row r="789" spans="1:9">
      <c r="A789" t="s">
        <v>1509</v>
      </c>
      <c r="B789" t="s">
        <v>18</v>
      </c>
      <c r="C789">
        <v>75000</v>
      </c>
      <c r="D789">
        <v>71000</v>
      </c>
      <c r="E789" t="s">
        <v>7896</v>
      </c>
      <c r="F789">
        <v>2.5</v>
      </c>
      <c r="G789" s="12">
        <v>4000</v>
      </c>
      <c r="H789">
        <v>30000</v>
      </c>
      <c r="I789">
        <v>1600</v>
      </c>
    </row>
    <row r="790" spans="1:9">
      <c r="A790" t="s">
        <v>1533</v>
      </c>
      <c r="B790" t="s">
        <v>18</v>
      </c>
      <c r="C790">
        <v>28346000</v>
      </c>
      <c r="D790">
        <v>24187000</v>
      </c>
      <c r="E790" t="s">
        <v>7896</v>
      </c>
      <c r="F790">
        <v>2.5</v>
      </c>
      <c r="G790" s="12">
        <v>4159000</v>
      </c>
      <c r="H790">
        <v>11338400</v>
      </c>
      <c r="I790">
        <v>1663600</v>
      </c>
    </row>
    <row r="791" spans="1:9">
      <c r="A791" t="s">
        <v>1558</v>
      </c>
      <c r="B791" t="s">
        <v>18</v>
      </c>
      <c r="C791">
        <v>5415000</v>
      </c>
      <c r="D791">
        <v>4818000</v>
      </c>
      <c r="E791" t="s">
        <v>7896</v>
      </c>
      <c r="F791">
        <v>2.5</v>
      </c>
      <c r="G791" s="12">
        <v>597000</v>
      </c>
      <c r="H791">
        <v>2166000</v>
      </c>
      <c r="I791">
        <v>238800</v>
      </c>
    </row>
    <row r="792" spans="1:9">
      <c r="A792" t="s">
        <v>1662</v>
      </c>
      <c r="B792" t="s">
        <v>18</v>
      </c>
      <c r="C792">
        <v>5311000</v>
      </c>
      <c r="D792">
        <v>5144000</v>
      </c>
      <c r="E792" t="s">
        <v>7896</v>
      </c>
      <c r="F792">
        <v>2.5</v>
      </c>
      <c r="G792" s="12">
        <v>167000</v>
      </c>
      <c r="H792">
        <v>2124400</v>
      </c>
      <c r="I792">
        <v>66800</v>
      </c>
    </row>
    <row r="793" spans="1:9">
      <c r="A793" t="s">
        <v>1544</v>
      </c>
      <c r="B793" t="s">
        <v>18</v>
      </c>
      <c r="C793">
        <v>38000</v>
      </c>
      <c r="D793">
        <v>44000</v>
      </c>
      <c r="E793" t="s">
        <v>7896</v>
      </c>
      <c r="F793">
        <v>2.5</v>
      </c>
      <c r="G793" s="12">
        <v>-6000</v>
      </c>
      <c r="H793">
        <v>15200</v>
      </c>
      <c r="I793">
        <v>-2400</v>
      </c>
    </row>
    <row r="794" spans="1:9">
      <c r="A794" t="s">
        <v>1532</v>
      </c>
      <c r="B794" t="s">
        <v>18</v>
      </c>
      <c r="C794">
        <v>3103000</v>
      </c>
      <c r="D794">
        <v>2867000</v>
      </c>
      <c r="E794" t="s">
        <v>7896</v>
      </c>
      <c r="F794">
        <v>2.5</v>
      </c>
      <c r="G794" s="12">
        <v>236000</v>
      </c>
      <c r="H794">
        <v>1241200</v>
      </c>
      <c r="I794">
        <v>94400</v>
      </c>
    </row>
    <row r="795" spans="1:9">
      <c r="A795" t="s">
        <v>1524</v>
      </c>
      <c r="B795" t="s">
        <v>18</v>
      </c>
      <c r="C795">
        <v>595000</v>
      </c>
      <c r="D795">
        <v>159000</v>
      </c>
      <c r="E795" t="s">
        <v>7896</v>
      </c>
      <c r="F795">
        <v>2.5</v>
      </c>
      <c r="G795" s="12">
        <v>436000</v>
      </c>
      <c r="H795">
        <v>238000</v>
      </c>
      <c r="I795">
        <v>174400</v>
      </c>
    </row>
    <row r="796" spans="1:9">
      <c r="A796" t="s">
        <v>1509</v>
      </c>
      <c r="B796" t="s">
        <v>18</v>
      </c>
      <c r="C796">
        <v>109000</v>
      </c>
      <c r="D796">
        <v>113000</v>
      </c>
      <c r="E796" t="s">
        <v>7896</v>
      </c>
      <c r="F796">
        <v>2.5</v>
      </c>
      <c r="G796" s="12">
        <v>-4000</v>
      </c>
      <c r="H796">
        <v>43600</v>
      </c>
      <c r="I796">
        <v>-1600</v>
      </c>
    </row>
    <row r="797" spans="1:9">
      <c r="A797" t="s">
        <v>1579</v>
      </c>
      <c r="B797" t="s">
        <v>23</v>
      </c>
      <c r="C797">
        <v>39620000</v>
      </c>
      <c r="D797">
        <v>40134000</v>
      </c>
      <c r="E797" t="s">
        <v>7897</v>
      </c>
      <c r="F797">
        <v>75.5</v>
      </c>
      <c r="G797" s="12">
        <v>-514000</v>
      </c>
      <c r="H797">
        <v>524768.21192052984</v>
      </c>
      <c r="I797">
        <v>-6807.9470198675499</v>
      </c>
    </row>
    <row r="798" spans="1:9">
      <c r="A798" t="s">
        <v>1535</v>
      </c>
      <c r="B798" t="s">
        <v>18</v>
      </c>
      <c r="C798">
        <v>1685000</v>
      </c>
      <c r="D798">
        <v>1663000</v>
      </c>
      <c r="E798" t="s">
        <v>7896</v>
      </c>
      <c r="F798">
        <v>2.5</v>
      </c>
      <c r="G798" s="12">
        <v>22000</v>
      </c>
      <c r="H798">
        <v>674000</v>
      </c>
      <c r="I798">
        <v>8800</v>
      </c>
    </row>
    <row r="799" spans="1:9">
      <c r="A799" t="s">
        <v>1649</v>
      </c>
      <c r="B799" t="s">
        <v>18</v>
      </c>
      <c r="C799">
        <v>768000</v>
      </c>
      <c r="D799">
        <v>802000</v>
      </c>
      <c r="E799" t="s">
        <v>7896</v>
      </c>
      <c r="F799">
        <v>2.5</v>
      </c>
      <c r="G799" s="12">
        <v>-34000</v>
      </c>
      <c r="H799">
        <v>307200</v>
      </c>
      <c r="I799">
        <v>-13600</v>
      </c>
    </row>
    <row r="800" spans="1:9">
      <c r="A800" t="s">
        <v>1558</v>
      </c>
      <c r="B800" t="s">
        <v>77</v>
      </c>
      <c r="C800">
        <v>1369000</v>
      </c>
      <c r="D800">
        <v>1661000</v>
      </c>
      <c r="E800" t="s">
        <v>7896</v>
      </c>
      <c r="F800">
        <v>8</v>
      </c>
      <c r="G800" s="12">
        <v>-292000</v>
      </c>
      <c r="H800">
        <v>171125</v>
      </c>
      <c r="I800">
        <v>-36500</v>
      </c>
    </row>
    <row r="801" spans="1:9">
      <c r="A801" t="s">
        <v>1604</v>
      </c>
      <c r="B801" t="s">
        <v>18</v>
      </c>
      <c r="C801">
        <v>90000</v>
      </c>
      <c r="D801">
        <v>90000</v>
      </c>
      <c r="E801" t="s">
        <v>7896</v>
      </c>
      <c r="F801">
        <v>2.5</v>
      </c>
      <c r="G801" s="12">
        <v>0</v>
      </c>
      <c r="H801">
        <v>36000</v>
      </c>
      <c r="I801">
        <v>0</v>
      </c>
    </row>
    <row r="802" spans="1:9">
      <c r="A802" t="s">
        <v>1534</v>
      </c>
      <c r="B802" t="s">
        <v>18</v>
      </c>
      <c r="C802">
        <v>425000</v>
      </c>
      <c r="D802">
        <v>372000</v>
      </c>
      <c r="E802" t="s">
        <v>7896</v>
      </c>
      <c r="F802">
        <v>2.5</v>
      </c>
      <c r="G802" s="12">
        <v>53000</v>
      </c>
      <c r="H802">
        <v>170000</v>
      </c>
      <c r="I802">
        <v>21200</v>
      </c>
    </row>
    <row r="803" spans="1:9">
      <c r="A803" t="s">
        <v>1781</v>
      </c>
      <c r="B803" t="s">
        <v>18</v>
      </c>
      <c r="C803">
        <v>16570000</v>
      </c>
      <c r="D803">
        <v>14303000</v>
      </c>
      <c r="E803" t="s">
        <v>7896</v>
      </c>
      <c r="F803">
        <v>2.5</v>
      </c>
      <c r="G803" s="12">
        <v>2267000</v>
      </c>
      <c r="H803">
        <v>6628000</v>
      </c>
      <c r="I803">
        <v>906800</v>
      </c>
    </row>
    <row r="804" spans="1:9">
      <c r="A804" t="s">
        <v>1629</v>
      </c>
      <c r="B804" t="s">
        <v>18</v>
      </c>
      <c r="C804">
        <v>20000000</v>
      </c>
      <c r="D804">
        <v>20000000</v>
      </c>
      <c r="E804" t="s">
        <v>7896</v>
      </c>
      <c r="F804">
        <v>2.5</v>
      </c>
      <c r="G804" s="12">
        <v>0</v>
      </c>
      <c r="H804">
        <v>8000000</v>
      </c>
      <c r="I804">
        <v>0</v>
      </c>
    </row>
    <row r="805" spans="1:9">
      <c r="A805" t="s">
        <v>1517</v>
      </c>
      <c r="B805" t="s">
        <v>18</v>
      </c>
      <c r="C805">
        <v>499000</v>
      </c>
      <c r="D805">
        <v>201000</v>
      </c>
      <c r="E805" t="s">
        <v>7896</v>
      </c>
      <c r="F805">
        <v>2.5</v>
      </c>
      <c r="G805" s="12">
        <v>298000</v>
      </c>
      <c r="H805">
        <v>199600</v>
      </c>
      <c r="I805">
        <v>119200</v>
      </c>
    </row>
    <row r="806" spans="1:9">
      <c r="A806" t="s">
        <v>1521</v>
      </c>
      <c r="B806" t="s">
        <v>18</v>
      </c>
      <c r="C806">
        <v>4179000</v>
      </c>
      <c r="D806">
        <v>4172000</v>
      </c>
      <c r="E806" t="s">
        <v>7896</v>
      </c>
      <c r="F806">
        <v>2.5</v>
      </c>
      <c r="G806" s="12">
        <v>7000</v>
      </c>
      <c r="H806">
        <v>1671600</v>
      </c>
      <c r="I806">
        <v>2800</v>
      </c>
    </row>
    <row r="807" spans="1:9">
      <c r="A807" t="s">
        <v>1509</v>
      </c>
      <c r="B807" t="s">
        <v>18</v>
      </c>
      <c r="C807">
        <v>6714000</v>
      </c>
      <c r="D807">
        <v>7733000</v>
      </c>
      <c r="E807" t="s">
        <v>7896</v>
      </c>
      <c r="F807">
        <v>2.5</v>
      </c>
      <c r="G807" s="12">
        <v>-1019000</v>
      </c>
      <c r="H807">
        <v>2685600</v>
      </c>
      <c r="I807">
        <v>-407600</v>
      </c>
    </row>
    <row r="808" spans="1:9">
      <c r="A808" t="s">
        <v>1516</v>
      </c>
      <c r="B808" t="s">
        <v>18</v>
      </c>
      <c r="C808">
        <v>301000</v>
      </c>
      <c r="D808">
        <v>301000</v>
      </c>
      <c r="E808" t="s">
        <v>7896</v>
      </c>
      <c r="F808">
        <v>2.5</v>
      </c>
      <c r="G808" s="12">
        <v>0</v>
      </c>
      <c r="H808">
        <v>120400</v>
      </c>
      <c r="I808">
        <v>0</v>
      </c>
    </row>
    <row r="809" spans="1:9">
      <c r="A809" t="s">
        <v>1565</v>
      </c>
      <c r="B809" t="s">
        <v>18</v>
      </c>
      <c r="C809">
        <v>2500000</v>
      </c>
      <c r="D809">
        <v>2482000</v>
      </c>
      <c r="E809" t="s">
        <v>7896</v>
      </c>
      <c r="F809">
        <v>2.5</v>
      </c>
      <c r="G809" s="12">
        <v>18000</v>
      </c>
      <c r="H809">
        <v>1000000</v>
      </c>
      <c r="I809">
        <v>7200</v>
      </c>
    </row>
    <row r="810" spans="1:9">
      <c r="A810" t="s">
        <v>1619</v>
      </c>
      <c r="B810" t="s">
        <v>18</v>
      </c>
      <c r="C810">
        <v>492000</v>
      </c>
      <c r="D810">
        <v>487000</v>
      </c>
      <c r="E810" t="s">
        <v>7896</v>
      </c>
      <c r="F810">
        <v>2.5</v>
      </c>
      <c r="G810" s="12">
        <v>5000</v>
      </c>
      <c r="H810">
        <v>196800</v>
      </c>
      <c r="I810">
        <v>2000</v>
      </c>
    </row>
    <row r="811" spans="1:9">
      <c r="A811" t="s">
        <v>1618</v>
      </c>
      <c r="B811" t="s">
        <v>18</v>
      </c>
      <c r="C811">
        <v>9023000</v>
      </c>
      <c r="D811">
        <v>9628000</v>
      </c>
      <c r="E811" t="s">
        <v>7896</v>
      </c>
      <c r="F811">
        <v>2.5</v>
      </c>
      <c r="G811" s="12">
        <v>-605000</v>
      </c>
      <c r="H811">
        <v>3609200</v>
      </c>
      <c r="I811">
        <v>-242000</v>
      </c>
    </row>
    <row r="812" spans="1:9">
      <c r="A812" t="s">
        <v>1580</v>
      </c>
      <c r="B812" t="s">
        <v>18</v>
      </c>
      <c r="C812">
        <v>31523000</v>
      </c>
      <c r="D812">
        <v>27480000</v>
      </c>
      <c r="E812" t="s">
        <v>7896</v>
      </c>
      <c r="F812">
        <v>2.5</v>
      </c>
      <c r="G812" s="12">
        <v>4043000</v>
      </c>
      <c r="H812">
        <v>12609200</v>
      </c>
      <c r="I812">
        <v>1617200</v>
      </c>
    </row>
    <row r="813" spans="1:9">
      <c r="A813" t="s">
        <v>1738</v>
      </c>
      <c r="B813" t="s">
        <v>18</v>
      </c>
      <c r="C813">
        <v>4058000</v>
      </c>
      <c r="D813">
        <v>3634000</v>
      </c>
      <c r="E813" t="s">
        <v>7896</v>
      </c>
      <c r="F813">
        <v>2.5</v>
      </c>
      <c r="G813" s="12">
        <v>424000</v>
      </c>
      <c r="H813">
        <v>1623200</v>
      </c>
      <c r="I813">
        <v>169600</v>
      </c>
    </row>
    <row r="814" spans="1:9">
      <c r="A814" t="s">
        <v>1558</v>
      </c>
      <c r="B814" t="s">
        <v>18</v>
      </c>
      <c r="C814">
        <v>1154000</v>
      </c>
      <c r="D814">
        <v>1011000</v>
      </c>
      <c r="E814" t="s">
        <v>7896</v>
      </c>
      <c r="F814">
        <v>2.5</v>
      </c>
      <c r="G814" s="12">
        <v>143000</v>
      </c>
      <c r="H814">
        <v>461600</v>
      </c>
      <c r="I814">
        <v>57200</v>
      </c>
    </row>
    <row r="815" spans="1:9">
      <c r="A815" t="s">
        <v>1509</v>
      </c>
      <c r="B815" t="s">
        <v>18</v>
      </c>
      <c r="C815">
        <v>5090000</v>
      </c>
      <c r="D815">
        <v>4771000</v>
      </c>
      <c r="E815" t="s">
        <v>7896</v>
      </c>
      <c r="F815">
        <v>2.5</v>
      </c>
      <c r="G815" s="12">
        <v>319000</v>
      </c>
      <c r="H815">
        <v>2036000</v>
      </c>
      <c r="I815">
        <v>127600</v>
      </c>
    </row>
    <row r="816" spans="1:9">
      <c r="A816" t="s">
        <v>1595</v>
      </c>
      <c r="B816" t="s">
        <v>18</v>
      </c>
      <c r="C816">
        <v>2331000</v>
      </c>
      <c r="D816">
        <v>2465000</v>
      </c>
      <c r="E816" t="s">
        <v>7896</v>
      </c>
      <c r="F816">
        <v>2.5</v>
      </c>
      <c r="G816" s="12">
        <v>-134000</v>
      </c>
      <c r="H816">
        <v>932400</v>
      </c>
      <c r="I816">
        <v>-53600</v>
      </c>
    </row>
    <row r="817" spans="1:9">
      <c r="A817" t="s">
        <v>1667</v>
      </c>
      <c r="B817" t="s">
        <v>18</v>
      </c>
      <c r="C817">
        <v>6467000</v>
      </c>
      <c r="D817">
        <v>6467000</v>
      </c>
      <c r="E817" t="s">
        <v>7896</v>
      </c>
      <c r="F817">
        <v>2.5</v>
      </c>
      <c r="G817" s="12">
        <v>0</v>
      </c>
      <c r="H817">
        <v>2586800</v>
      </c>
      <c r="I817">
        <v>0</v>
      </c>
    </row>
    <row r="818" spans="1:9">
      <c r="A818" t="s">
        <v>1628</v>
      </c>
      <c r="B818" t="s">
        <v>18</v>
      </c>
      <c r="C818">
        <v>1441000</v>
      </c>
      <c r="D818">
        <v>1052000</v>
      </c>
      <c r="E818" t="s">
        <v>7896</v>
      </c>
      <c r="F818">
        <v>2.5</v>
      </c>
      <c r="G818" s="12">
        <v>389000</v>
      </c>
      <c r="H818">
        <v>576400</v>
      </c>
      <c r="I818">
        <v>155600</v>
      </c>
    </row>
    <row r="819" spans="1:9">
      <c r="A819" t="s">
        <v>1619</v>
      </c>
      <c r="B819" t="s">
        <v>18</v>
      </c>
      <c r="C819">
        <v>500000</v>
      </c>
      <c r="D819">
        <v>969000</v>
      </c>
      <c r="E819" t="s">
        <v>7896</v>
      </c>
      <c r="F819">
        <v>2.5</v>
      </c>
      <c r="G819" s="12">
        <v>-469000</v>
      </c>
      <c r="H819">
        <v>200000</v>
      </c>
      <c r="I819">
        <v>-187600</v>
      </c>
    </row>
    <row r="820" spans="1:9">
      <c r="A820" t="s">
        <v>1509</v>
      </c>
      <c r="B820" t="s">
        <v>18</v>
      </c>
      <c r="C820">
        <v>19619000</v>
      </c>
      <c r="D820">
        <v>18865000</v>
      </c>
      <c r="E820" t="s">
        <v>7896</v>
      </c>
      <c r="F820">
        <v>2.5</v>
      </c>
      <c r="G820" s="12">
        <v>754000</v>
      </c>
      <c r="H820">
        <v>7847600</v>
      </c>
      <c r="I820">
        <v>301600</v>
      </c>
    </row>
    <row r="821" spans="1:9">
      <c r="A821" t="s">
        <v>1517</v>
      </c>
      <c r="B821" t="s">
        <v>18</v>
      </c>
      <c r="C821">
        <v>43000</v>
      </c>
      <c r="D821">
        <v>50000</v>
      </c>
      <c r="E821" t="s">
        <v>7896</v>
      </c>
      <c r="F821">
        <v>2.5</v>
      </c>
      <c r="G821" s="12">
        <v>-7000</v>
      </c>
      <c r="H821">
        <v>17200</v>
      </c>
      <c r="I821">
        <v>-2800</v>
      </c>
    </row>
    <row r="822" spans="1:9">
      <c r="A822" t="s">
        <v>1508</v>
      </c>
      <c r="B822" t="s">
        <v>18</v>
      </c>
      <c r="C822">
        <v>35196000</v>
      </c>
      <c r="D822">
        <v>30806000</v>
      </c>
      <c r="E822" t="s">
        <v>7896</v>
      </c>
      <c r="F822">
        <v>2.5</v>
      </c>
      <c r="G822" s="12">
        <v>4390000</v>
      </c>
      <c r="H822">
        <v>14078400</v>
      </c>
      <c r="I822">
        <v>1756000</v>
      </c>
    </row>
    <row r="823" spans="1:9">
      <c r="A823" t="s">
        <v>1532</v>
      </c>
      <c r="B823" t="s">
        <v>22</v>
      </c>
      <c r="C823">
        <v>11668000</v>
      </c>
      <c r="D823">
        <v>12344000</v>
      </c>
      <c r="E823" t="s">
        <v>7896</v>
      </c>
      <c r="F823">
        <v>13</v>
      </c>
      <c r="G823" s="12">
        <v>-676000</v>
      </c>
      <c r="H823">
        <v>897538.4615384615</v>
      </c>
      <c r="I823">
        <v>-52000</v>
      </c>
    </row>
    <row r="824" spans="1:9">
      <c r="A824" t="s">
        <v>1629</v>
      </c>
      <c r="B824" t="s">
        <v>18</v>
      </c>
      <c r="C824">
        <v>1353000</v>
      </c>
      <c r="D824">
        <v>1233000</v>
      </c>
      <c r="E824" t="s">
        <v>7896</v>
      </c>
      <c r="F824">
        <v>2.5</v>
      </c>
      <c r="G824" s="12">
        <v>120000</v>
      </c>
      <c r="H824">
        <v>541200</v>
      </c>
      <c r="I824">
        <v>48000</v>
      </c>
    </row>
    <row r="825" spans="1:9">
      <c r="A825" t="s">
        <v>1524</v>
      </c>
      <c r="B825" t="s">
        <v>77</v>
      </c>
      <c r="C825">
        <v>32403000</v>
      </c>
      <c r="D825">
        <v>32730000</v>
      </c>
      <c r="E825" t="s">
        <v>7896</v>
      </c>
      <c r="F825">
        <v>8</v>
      </c>
      <c r="G825" s="12">
        <v>-327000</v>
      </c>
      <c r="H825">
        <v>4050375</v>
      </c>
      <c r="I825">
        <v>-40875</v>
      </c>
    </row>
    <row r="826" spans="1:9">
      <c r="A826" t="s">
        <v>1604</v>
      </c>
      <c r="B826" t="s">
        <v>18</v>
      </c>
      <c r="C826">
        <v>263000</v>
      </c>
      <c r="D826">
        <v>258000</v>
      </c>
      <c r="E826" t="s">
        <v>7896</v>
      </c>
      <c r="F826">
        <v>2.5</v>
      </c>
      <c r="G826" s="12">
        <v>5000</v>
      </c>
      <c r="H826">
        <v>105200</v>
      </c>
      <c r="I826">
        <v>2000</v>
      </c>
    </row>
    <row r="827" spans="1:9">
      <c r="A827" t="s">
        <v>1532</v>
      </c>
      <c r="B827" t="s">
        <v>18</v>
      </c>
      <c r="C827">
        <v>38688000</v>
      </c>
      <c r="D827">
        <v>25334000</v>
      </c>
      <c r="E827" t="s">
        <v>7896</v>
      </c>
      <c r="F827">
        <v>2.5</v>
      </c>
      <c r="G827" s="12">
        <v>13354000</v>
      </c>
      <c r="H827">
        <v>15475200</v>
      </c>
      <c r="I827">
        <v>5341600</v>
      </c>
    </row>
    <row r="828" spans="1:9">
      <c r="A828" t="s">
        <v>1524</v>
      </c>
      <c r="B828" t="s">
        <v>18</v>
      </c>
      <c r="C828">
        <v>1564000</v>
      </c>
      <c r="D828">
        <v>1421000</v>
      </c>
      <c r="E828" t="s">
        <v>7896</v>
      </c>
      <c r="F828">
        <v>2.5</v>
      </c>
      <c r="G828" s="12">
        <v>143000</v>
      </c>
      <c r="H828">
        <v>625600</v>
      </c>
      <c r="I828">
        <v>57200</v>
      </c>
    </row>
    <row r="829" spans="1:9">
      <c r="A829" t="s">
        <v>1532</v>
      </c>
      <c r="B829" t="s">
        <v>18</v>
      </c>
      <c r="C829">
        <v>3000</v>
      </c>
      <c r="D829">
        <v>6000</v>
      </c>
      <c r="E829" t="s">
        <v>7896</v>
      </c>
      <c r="F829">
        <v>2.5</v>
      </c>
      <c r="G829" s="12">
        <v>-3000</v>
      </c>
      <c r="H829">
        <v>1200</v>
      </c>
      <c r="I829">
        <v>-1200</v>
      </c>
    </row>
    <row r="830" spans="1:9">
      <c r="A830" t="s">
        <v>1527</v>
      </c>
      <c r="B830" t="s">
        <v>18</v>
      </c>
      <c r="C830">
        <v>642000</v>
      </c>
      <c r="D830">
        <v>642000</v>
      </c>
      <c r="E830" t="s">
        <v>7896</v>
      </c>
      <c r="F830">
        <v>2.5</v>
      </c>
      <c r="G830" s="12">
        <v>0</v>
      </c>
      <c r="H830">
        <v>256800</v>
      </c>
      <c r="I830">
        <v>0</v>
      </c>
    </row>
    <row r="831" spans="1:9">
      <c r="A831" t="s">
        <v>1532</v>
      </c>
      <c r="B831" t="s">
        <v>18</v>
      </c>
      <c r="C831">
        <v>38981000</v>
      </c>
      <c r="D831">
        <v>39707000</v>
      </c>
      <c r="E831" t="s">
        <v>7896</v>
      </c>
      <c r="F831">
        <v>2.5</v>
      </c>
      <c r="G831" s="12">
        <v>-726000</v>
      </c>
      <c r="H831">
        <v>15592400</v>
      </c>
      <c r="I831">
        <v>-290400</v>
      </c>
    </row>
    <row r="832" spans="1:9">
      <c r="A832" t="s">
        <v>1558</v>
      </c>
      <c r="B832" t="s">
        <v>18</v>
      </c>
      <c r="C832">
        <v>963000</v>
      </c>
      <c r="D832">
        <v>1021000</v>
      </c>
      <c r="E832" t="s">
        <v>7896</v>
      </c>
      <c r="F832">
        <v>2.5</v>
      </c>
      <c r="G832" s="12">
        <v>-58000</v>
      </c>
      <c r="H832">
        <v>385200</v>
      </c>
      <c r="I832">
        <v>-23200</v>
      </c>
    </row>
    <row r="833" spans="1:9">
      <c r="A833" t="s">
        <v>1661</v>
      </c>
      <c r="B833" t="s">
        <v>18</v>
      </c>
      <c r="C833">
        <v>2827000</v>
      </c>
      <c r="D833">
        <v>2540000</v>
      </c>
      <c r="E833" t="s">
        <v>7896</v>
      </c>
      <c r="F833">
        <v>2.5</v>
      </c>
      <c r="G833" s="12">
        <v>287000</v>
      </c>
      <c r="H833">
        <v>1130800</v>
      </c>
      <c r="I833">
        <v>114800</v>
      </c>
    </row>
    <row r="834" spans="1:9">
      <c r="A834" t="s">
        <v>1798</v>
      </c>
      <c r="B834" t="s">
        <v>18</v>
      </c>
      <c r="C834">
        <v>23000</v>
      </c>
      <c r="D834">
        <v>62000</v>
      </c>
      <c r="E834" t="s">
        <v>7896</v>
      </c>
      <c r="F834">
        <v>2.5</v>
      </c>
      <c r="G834" s="12">
        <v>-39000</v>
      </c>
      <c r="H834">
        <v>9200</v>
      </c>
      <c r="I834">
        <v>-15600</v>
      </c>
    </row>
    <row r="835" spans="1:9">
      <c r="A835" t="s">
        <v>1532</v>
      </c>
      <c r="B835" t="s">
        <v>18</v>
      </c>
      <c r="C835">
        <v>7537000</v>
      </c>
      <c r="D835">
        <v>6875000</v>
      </c>
      <c r="E835" t="s">
        <v>7896</v>
      </c>
      <c r="F835">
        <v>2.5</v>
      </c>
      <c r="G835" s="12">
        <v>662000</v>
      </c>
      <c r="H835">
        <v>3014800</v>
      </c>
      <c r="I835">
        <v>264800</v>
      </c>
    </row>
    <row r="836" spans="1:9">
      <c r="A836" t="s">
        <v>1625</v>
      </c>
      <c r="B836" t="s">
        <v>18</v>
      </c>
      <c r="C836">
        <v>202000</v>
      </c>
      <c r="D836">
        <v>187000</v>
      </c>
      <c r="E836" t="s">
        <v>7896</v>
      </c>
      <c r="F836">
        <v>2.5</v>
      </c>
      <c r="G836" s="12">
        <v>15000</v>
      </c>
      <c r="H836">
        <v>80800</v>
      </c>
      <c r="I836">
        <v>6000</v>
      </c>
    </row>
    <row r="837" spans="1:9">
      <c r="A837" t="s">
        <v>1533</v>
      </c>
      <c r="B837" t="s">
        <v>18</v>
      </c>
      <c r="C837">
        <v>69000</v>
      </c>
      <c r="D837">
        <v>54000</v>
      </c>
      <c r="E837" t="s">
        <v>7896</v>
      </c>
      <c r="F837">
        <v>2.5</v>
      </c>
      <c r="G837" s="12">
        <v>15000</v>
      </c>
      <c r="H837">
        <v>27600</v>
      </c>
      <c r="I837">
        <v>6000</v>
      </c>
    </row>
    <row r="838" spans="1:9">
      <c r="A838" t="s">
        <v>1511</v>
      </c>
      <c r="B838" t="s">
        <v>18</v>
      </c>
      <c r="C838">
        <v>15000</v>
      </c>
      <c r="D838">
        <v>15000</v>
      </c>
      <c r="E838" t="s">
        <v>7896</v>
      </c>
      <c r="F838">
        <v>2.5</v>
      </c>
      <c r="G838" s="12">
        <v>0</v>
      </c>
      <c r="H838">
        <v>6000</v>
      </c>
      <c r="I838">
        <v>0</v>
      </c>
    </row>
    <row r="839" spans="1:9">
      <c r="A839" t="s">
        <v>1560</v>
      </c>
      <c r="B839" t="s">
        <v>22</v>
      </c>
      <c r="C839">
        <v>1102000</v>
      </c>
      <c r="D839">
        <v>251000</v>
      </c>
      <c r="E839" t="s">
        <v>7896</v>
      </c>
      <c r="F839">
        <v>13</v>
      </c>
      <c r="G839" s="12">
        <v>851000</v>
      </c>
      <c r="H839">
        <v>84769.230769230766</v>
      </c>
      <c r="I839">
        <v>65461.538461538461</v>
      </c>
    </row>
    <row r="840" spans="1:9">
      <c r="A840" t="s">
        <v>1754</v>
      </c>
      <c r="B840" t="s">
        <v>18</v>
      </c>
      <c r="C840">
        <v>2280000</v>
      </c>
      <c r="D840">
        <v>2807000</v>
      </c>
      <c r="E840" t="s">
        <v>7896</v>
      </c>
      <c r="F840">
        <v>2.5</v>
      </c>
      <c r="G840" s="12">
        <v>-527000</v>
      </c>
      <c r="H840">
        <v>912000</v>
      </c>
      <c r="I840">
        <v>-210800</v>
      </c>
    </row>
    <row r="841" spans="1:9">
      <c r="A841" t="s">
        <v>1519</v>
      </c>
      <c r="B841" t="s">
        <v>18</v>
      </c>
      <c r="C841">
        <v>4000</v>
      </c>
      <c r="D841">
        <v>5000</v>
      </c>
      <c r="E841" t="s">
        <v>7896</v>
      </c>
      <c r="F841">
        <v>2.5</v>
      </c>
      <c r="G841" s="12">
        <v>-1000</v>
      </c>
      <c r="H841">
        <v>1600</v>
      </c>
      <c r="I841">
        <v>-400</v>
      </c>
    </row>
    <row r="842" spans="1:9">
      <c r="A842" t="s">
        <v>1560</v>
      </c>
      <c r="B842" t="s">
        <v>18</v>
      </c>
      <c r="C842">
        <v>143000</v>
      </c>
      <c r="D842">
        <v>144000</v>
      </c>
      <c r="E842" t="s">
        <v>7896</v>
      </c>
      <c r="F842">
        <v>2.5</v>
      </c>
      <c r="G842" s="12">
        <v>-1000</v>
      </c>
      <c r="H842">
        <v>57200</v>
      </c>
      <c r="I842">
        <v>-400</v>
      </c>
    </row>
    <row r="843" spans="1:9">
      <c r="A843" t="s">
        <v>1509</v>
      </c>
      <c r="B843" t="s">
        <v>18</v>
      </c>
      <c r="C843">
        <v>1459000</v>
      </c>
      <c r="D843">
        <v>1518000</v>
      </c>
      <c r="E843" t="s">
        <v>7896</v>
      </c>
      <c r="F843">
        <v>2.5</v>
      </c>
      <c r="G843" s="12">
        <v>-59000</v>
      </c>
      <c r="H843">
        <v>583600</v>
      </c>
      <c r="I843">
        <v>-23600</v>
      </c>
    </row>
    <row r="844" spans="1:9">
      <c r="A844" t="s">
        <v>1646</v>
      </c>
      <c r="B844" t="s">
        <v>18</v>
      </c>
      <c r="C844">
        <v>4968000</v>
      </c>
      <c r="D844">
        <v>4887000</v>
      </c>
      <c r="E844" t="s">
        <v>7896</v>
      </c>
      <c r="F844">
        <v>2.5</v>
      </c>
      <c r="G844" s="12">
        <v>81000</v>
      </c>
      <c r="H844">
        <v>1987200</v>
      </c>
      <c r="I844">
        <v>32400</v>
      </c>
    </row>
    <row r="845" spans="1:9">
      <c r="A845" t="s">
        <v>1646</v>
      </c>
      <c r="B845" t="s">
        <v>18</v>
      </c>
      <c r="C845">
        <v>3048000</v>
      </c>
      <c r="D845">
        <v>2847000</v>
      </c>
      <c r="E845" t="s">
        <v>7896</v>
      </c>
      <c r="F845">
        <v>2.5</v>
      </c>
      <c r="G845" s="12">
        <v>201000</v>
      </c>
      <c r="H845">
        <v>1219200</v>
      </c>
      <c r="I845">
        <v>80400</v>
      </c>
    </row>
    <row r="846" spans="1:9">
      <c r="A846" t="s">
        <v>1588</v>
      </c>
      <c r="B846" t="s">
        <v>18</v>
      </c>
      <c r="C846">
        <v>461000</v>
      </c>
      <c r="D846">
        <v>461000</v>
      </c>
      <c r="E846" t="s">
        <v>7896</v>
      </c>
      <c r="F846">
        <v>2.5</v>
      </c>
      <c r="G846" s="12">
        <v>0</v>
      </c>
      <c r="H846">
        <v>184400</v>
      </c>
      <c r="I846">
        <v>0</v>
      </c>
    </row>
    <row r="847" spans="1:9">
      <c r="A847" t="s">
        <v>1662</v>
      </c>
      <c r="B847" t="s">
        <v>18</v>
      </c>
      <c r="C847">
        <v>5094000</v>
      </c>
      <c r="D847">
        <v>5109000</v>
      </c>
      <c r="E847" t="s">
        <v>7896</v>
      </c>
      <c r="F847">
        <v>2.5</v>
      </c>
      <c r="G847" s="12">
        <v>-15000</v>
      </c>
      <c r="H847">
        <v>2037600</v>
      </c>
      <c r="I847">
        <v>-6000</v>
      </c>
    </row>
    <row r="848" spans="1:9">
      <c r="A848" t="s">
        <v>1580</v>
      </c>
      <c r="B848" t="s">
        <v>18</v>
      </c>
      <c r="C848">
        <v>25000</v>
      </c>
      <c r="D848">
        <v>25000</v>
      </c>
      <c r="E848" t="s">
        <v>7896</v>
      </c>
      <c r="F848">
        <v>2.5</v>
      </c>
      <c r="G848" s="12">
        <v>0</v>
      </c>
      <c r="H848">
        <v>10000</v>
      </c>
      <c r="I848">
        <v>0</v>
      </c>
    </row>
    <row r="849" spans="1:9">
      <c r="A849" t="s">
        <v>1508</v>
      </c>
      <c r="B849" t="s">
        <v>18</v>
      </c>
      <c r="C849">
        <v>192000</v>
      </c>
      <c r="D849">
        <v>232000</v>
      </c>
      <c r="E849" t="s">
        <v>7896</v>
      </c>
      <c r="F849">
        <v>2.5</v>
      </c>
      <c r="G849" s="12">
        <v>-40000</v>
      </c>
      <c r="H849">
        <v>76800</v>
      </c>
      <c r="I849">
        <v>-16000</v>
      </c>
    </row>
    <row r="850" spans="1:9">
      <c r="A850" t="s">
        <v>1535</v>
      </c>
      <c r="B850" t="s">
        <v>18</v>
      </c>
      <c r="C850">
        <v>29000</v>
      </c>
      <c r="D850">
        <v>38000</v>
      </c>
      <c r="E850" t="s">
        <v>7896</v>
      </c>
      <c r="F850">
        <v>2.5</v>
      </c>
      <c r="G850" s="12">
        <v>-9000</v>
      </c>
      <c r="H850">
        <v>11600</v>
      </c>
      <c r="I850">
        <v>-3600</v>
      </c>
    </row>
    <row r="851" spans="1:9">
      <c r="A851" t="s">
        <v>1532</v>
      </c>
      <c r="B851" t="s">
        <v>18</v>
      </c>
      <c r="C851">
        <v>409578000</v>
      </c>
      <c r="D851">
        <v>418186000</v>
      </c>
      <c r="E851" t="s">
        <v>7896</v>
      </c>
      <c r="F851">
        <v>2.5</v>
      </c>
      <c r="G851" s="12">
        <v>-8608000</v>
      </c>
      <c r="H851">
        <v>163831200</v>
      </c>
      <c r="I851">
        <v>-3443200</v>
      </c>
    </row>
    <row r="852" spans="1:9">
      <c r="A852" t="s">
        <v>1534</v>
      </c>
      <c r="B852" t="s">
        <v>18</v>
      </c>
      <c r="C852">
        <v>671000</v>
      </c>
      <c r="D852">
        <v>751000</v>
      </c>
      <c r="E852" t="s">
        <v>7896</v>
      </c>
      <c r="F852">
        <v>2.5</v>
      </c>
      <c r="G852" s="12">
        <v>-80000</v>
      </c>
      <c r="H852">
        <v>268400</v>
      </c>
      <c r="I852">
        <v>-32000</v>
      </c>
    </row>
    <row r="853" spans="1:9">
      <c r="A853" t="s">
        <v>1579</v>
      </c>
      <c r="B853" t="s">
        <v>18</v>
      </c>
      <c r="C853">
        <v>4842000</v>
      </c>
      <c r="D853">
        <v>4934000</v>
      </c>
      <c r="E853" t="s">
        <v>7896</v>
      </c>
      <c r="F853">
        <v>2.5</v>
      </c>
      <c r="G853" s="12">
        <v>-92000</v>
      </c>
      <c r="H853">
        <v>1936800</v>
      </c>
      <c r="I853">
        <v>-36800</v>
      </c>
    </row>
    <row r="854" spans="1:9">
      <c r="A854" t="s">
        <v>1526</v>
      </c>
      <c r="B854" t="s">
        <v>18</v>
      </c>
      <c r="C854">
        <v>27604000</v>
      </c>
      <c r="D854">
        <v>28159000</v>
      </c>
      <c r="E854" t="s">
        <v>7896</v>
      </c>
      <c r="F854">
        <v>2.5</v>
      </c>
      <c r="G854" s="12">
        <v>-555000</v>
      </c>
      <c r="H854">
        <v>11041600</v>
      </c>
      <c r="I854">
        <v>-222000</v>
      </c>
    </row>
    <row r="855" spans="1:9">
      <c r="A855" t="s">
        <v>2026</v>
      </c>
      <c r="B855" t="s">
        <v>18</v>
      </c>
      <c r="C855">
        <v>798270000</v>
      </c>
      <c r="D855">
        <v>790904000</v>
      </c>
      <c r="E855" t="s">
        <v>7896</v>
      </c>
      <c r="F855">
        <v>2.5</v>
      </c>
      <c r="G855" s="12">
        <v>7366000</v>
      </c>
      <c r="H855">
        <v>319308000</v>
      </c>
      <c r="I855">
        <v>2946400</v>
      </c>
    </row>
    <row r="856" spans="1:9">
      <c r="A856" t="s">
        <v>1795</v>
      </c>
      <c r="B856" t="s">
        <v>18</v>
      </c>
      <c r="C856">
        <v>200000</v>
      </c>
      <c r="D856">
        <v>5000</v>
      </c>
      <c r="E856" t="s">
        <v>7896</v>
      </c>
      <c r="F856">
        <v>2.5</v>
      </c>
      <c r="G856" s="12">
        <v>195000</v>
      </c>
      <c r="H856">
        <v>80000</v>
      </c>
      <c r="I856">
        <v>78000</v>
      </c>
    </row>
    <row r="857" spans="1:9">
      <c r="A857" t="s">
        <v>1505</v>
      </c>
      <c r="B857" t="s">
        <v>18</v>
      </c>
      <c r="C857">
        <v>326000</v>
      </c>
      <c r="D857">
        <v>347000</v>
      </c>
      <c r="E857" t="s">
        <v>7896</v>
      </c>
      <c r="F857">
        <v>2.5</v>
      </c>
      <c r="G857" s="12">
        <v>-21000</v>
      </c>
      <c r="H857">
        <v>130400</v>
      </c>
      <c r="I857">
        <v>-8400</v>
      </c>
    </row>
    <row r="858" spans="1:9">
      <c r="A858" t="s">
        <v>1532</v>
      </c>
      <c r="B858" t="s">
        <v>18</v>
      </c>
      <c r="C858">
        <v>6788000</v>
      </c>
      <c r="D858">
        <v>6813000</v>
      </c>
      <c r="E858" t="s">
        <v>7896</v>
      </c>
      <c r="F858">
        <v>2.5</v>
      </c>
      <c r="G858" s="12">
        <v>-25000</v>
      </c>
      <c r="H858">
        <v>2715200</v>
      </c>
      <c r="I858">
        <v>-10000</v>
      </c>
    </row>
    <row r="859" spans="1:9">
      <c r="A859" t="s">
        <v>1533</v>
      </c>
      <c r="B859" t="s">
        <v>18</v>
      </c>
      <c r="C859">
        <v>19555000</v>
      </c>
      <c r="D859">
        <v>19578000</v>
      </c>
      <c r="E859" t="s">
        <v>7896</v>
      </c>
      <c r="F859">
        <v>2.5</v>
      </c>
      <c r="G859" s="12">
        <v>-23000</v>
      </c>
      <c r="H859">
        <v>7822000</v>
      </c>
      <c r="I859">
        <v>-9200</v>
      </c>
    </row>
    <row r="860" spans="1:9">
      <c r="A860" t="s">
        <v>1619</v>
      </c>
      <c r="B860" t="s">
        <v>18</v>
      </c>
      <c r="C860">
        <v>2398000</v>
      </c>
      <c r="D860">
        <v>2820000</v>
      </c>
      <c r="E860" t="s">
        <v>7896</v>
      </c>
      <c r="F860">
        <v>2.5</v>
      </c>
      <c r="G860" s="12">
        <v>-422000</v>
      </c>
      <c r="H860">
        <v>959200</v>
      </c>
      <c r="I860">
        <v>-168800</v>
      </c>
    </row>
    <row r="861" spans="1:9">
      <c r="A861" t="s">
        <v>1511</v>
      </c>
      <c r="B861" t="s">
        <v>18</v>
      </c>
      <c r="C861">
        <v>393000</v>
      </c>
      <c r="D861">
        <v>466000</v>
      </c>
      <c r="E861" t="s">
        <v>7896</v>
      </c>
      <c r="F861">
        <v>2.5</v>
      </c>
      <c r="G861" s="12">
        <v>-73000</v>
      </c>
      <c r="H861">
        <v>157200</v>
      </c>
      <c r="I861">
        <v>-29200</v>
      </c>
    </row>
    <row r="862" spans="1:9">
      <c r="A862" t="s">
        <v>1532</v>
      </c>
      <c r="B862" t="s">
        <v>18</v>
      </c>
      <c r="C862">
        <v>359000</v>
      </c>
      <c r="D862">
        <v>594000</v>
      </c>
      <c r="E862" t="s">
        <v>7896</v>
      </c>
      <c r="F862">
        <v>2.5</v>
      </c>
      <c r="G862" s="12">
        <v>-235000</v>
      </c>
      <c r="H862">
        <v>143600</v>
      </c>
      <c r="I862">
        <v>-94000</v>
      </c>
    </row>
    <row r="863" spans="1:9">
      <c r="A863" t="s">
        <v>1781</v>
      </c>
      <c r="B863" t="s">
        <v>18</v>
      </c>
      <c r="C863">
        <v>1313000</v>
      </c>
      <c r="D863">
        <v>1313000</v>
      </c>
      <c r="E863" t="s">
        <v>7896</v>
      </c>
      <c r="F863">
        <v>2.5</v>
      </c>
      <c r="G863" s="12">
        <v>0</v>
      </c>
      <c r="H863">
        <v>525200</v>
      </c>
      <c r="I863">
        <v>0</v>
      </c>
    </row>
    <row r="864" spans="1:9">
      <c r="A864" t="s">
        <v>1513</v>
      </c>
      <c r="B864" t="s">
        <v>18</v>
      </c>
      <c r="C864">
        <v>947000</v>
      </c>
      <c r="D864">
        <v>1105000</v>
      </c>
      <c r="E864" t="s">
        <v>7896</v>
      </c>
      <c r="F864">
        <v>2.5</v>
      </c>
      <c r="G864" s="12">
        <v>-158000</v>
      </c>
      <c r="H864">
        <v>378800</v>
      </c>
      <c r="I864">
        <v>-63200</v>
      </c>
    </row>
    <row r="865" spans="1:9">
      <c r="A865" t="s">
        <v>1512</v>
      </c>
      <c r="B865" t="s">
        <v>22</v>
      </c>
      <c r="C865">
        <v>8036000</v>
      </c>
      <c r="D865">
        <v>8036000</v>
      </c>
      <c r="E865" t="s">
        <v>7896</v>
      </c>
      <c r="F865">
        <v>13</v>
      </c>
      <c r="G865" s="12">
        <v>0</v>
      </c>
      <c r="H865">
        <v>618153.84615384613</v>
      </c>
      <c r="I865">
        <v>0</v>
      </c>
    </row>
    <row r="866" spans="1:9">
      <c r="A866" t="s">
        <v>1579</v>
      </c>
      <c r="B866" t="s">
        <v>18</v>
      </c>
      <c r="C866">
        <v>2640000</v>
      </c>
      <c r="D866">
        <v>2425000</v>
      </c>
      <c r="E866" t="s">
        <v>7896</v>
      </c>
      <c r="F866">
        <v>2.5</v>
      </c>
      <c r="G866" s="12">
        <v>215000</v>
      </c>
      <c r="H866">
        <v>1056000</v>
      </c>
      <c r="I866">
        <v>86000</v>
      </c>
    </row>
    <row r="867" spans="1:9">
      <c r="A867" t="s">
        <v>1629</v>
      </c>
      <c r="B867" t="s">
        <v>77</v>
      </c>
      <c r="C867">
        <v>4913000</v>
      </c>
      <c r="D867">
        <v>3785000</v>
      </c>
      <c r="E867" t="s">
        <v>7896</v>
      </c>
      <c r="F867">
        <v>8</v>
      </c>
      <c r="G867" s="12">
        <v>1128000</v>
      </c>
      <c r="H867">
        <v>614125</v>
      </c>
      <c r="I867">
        <v>141000</v>
      </c>
    </row>
    <row r="868" spans="1:9">
      <c r="A868" t="s">
        <v>1560</v>
      </c>
      <c r="B868" t="s">
        <v>18</v>
      </c>
      <c r="C868">
        <v>624000</v>
      </c>
      <c r="D868">
        <v>8672000</v>
      </c>
      <c r="E868" t="s">
        <v>7896</v>
      </c>
      <c r="F868">
        <v>2.5</v>
      </c>
      <c r="G868" s="12">
        <v>-8048000</v>
      </c>
      <c r="H868">
        <v>249600</v>
      </c>
      <c r="I868">
        <v>-3219200</v>
      </c>
    </row>
    <row r="869" spans="1:9">
      <c r="A869" t="s">
        <v>1532</v>
      </c>
      <c r="B869" t="s">
        <v>18</v>
      </c>
      <c r="C869">
        <v>1534000</v>
      </c>
      <c r="D869">
        <v>2039000</v>
      </c>
      <c r="E869" t="s">
        <v>7896</v>
      </c>
      <c r="F869">
        <v>2.5</v>
      </c>
      <c r="G869" s="12">
        <v>-505000</v>
      </c>
      <c r="H869">
        <v>613600</v>
      </c>
      <c r="I869">
        <v>-202000</v>
      </c>
    </row>
    <row r="870" spans="1:9">
      <c r="A870" t="s">
        <v>1509</v>
      </c>
      <c r="B870" t="s">
        <v>18</v>
      </c>
      <c r="C870">
        <v>169000</v>
      </c>
      <c r="D870">
        <v>158000</v>
      </c>
      <c r="E870" t="s">
        <v>7896</v>
      </c>
      <c r="F870">
        <v>2.5</v>
      </c>
      <c r="G870" s="12">
        <v>11000</v>
      </c>
      <c r="H870">
        <v>67600</v>
      </c>
      <c r="I870">
        <v>4400</v>
      </c>
    </row>
    <row r="871" spans="1:9">
      <c r="A871" t="s">
        <v>1532</v>
      </c>
      <c r="B871" t="s">
        <v>18</v>
      </c>
      <c r="C871">
        <v>871000</v>
      </c>
      <c r="D871">
        <v>1027000</v>
      </c>
      <c r="E871" t="s">
        <v>7896</v>
      </c>
      <c r="F871">
        <v>2.5</v>
      </c>
      <c r="G871" s="12">
        <v>-156000</v>
      </c>
      <c r="H871">
        <v>348400</v>
      </c>
      <c r="I871">
        <v>-62400</v>
      </c>
    </row>
    <row r="872" spans="1:9">
      <c r="A872" t="s">
        <v>1801</v>
      </c>
      <c r="B872" t="s">
        <v>18</v>
      </c>
      <c r="C872">
        <v>670000</v>
      </c>
      <c r="D872">
        <v>564000</v>
      </c>
      <c r="E872" t="s">
        <v>7896</v>
      </c>
      <c r="F872">
        <v>2.5</v>
      </c>
      <c r="G872" s="12">
        <v>106000</v>
      </c>
      <c r="H872">
        <v>268000</v>
      </c>
      <c r="I872">
        <v>42400</v>
      </c>
    </row>
    <row r="873" spans="1:9">
      <c r="A873" t="s">
        <v>1620</v>
      </c>
      <c r="B873" t="s">
        <v>18</v>
      </c>
      <c r="C873">
        <v>904000</v>
      </c>
      <c r="D873">
        <v>1265000</v>
      </c>
      <c r="E873" t="s">
        <v>7896</v>
      </c>
      <c r="F873">
        <v>2.5</v>
      </c>
      <c r="G873" s="12">
        <v>-361000</v>
      </c>
      <c r="H873">
        <v>361600</v>
      </c>
      <c r="I873">
        <v>-144400</v>
      </c>
    </row>
    <row r="874" spans="1:9">
      <c r="A874" t="s">
        <v>1524</v>
      </c>
      <c r="B874" t="s">
        <v>77</v>
      </c>
      <c r="C874">
        <v>12400000</v>
      </c>
      <c r="D874">
        <v>11183000</v>
      </c>
      <c r="E874" t="s">
        <v>7896</v>
      </c>
      <c r="F874">
        <v>8</v>
      </c>
      <c r="G874" s="12">
        <v>1217000</v>
      </c>
      <c r="H874">
        <v>1550000</v>
      </c>
      <c r="I874">
        <v>152125</v>
      </c>
    </row>
    <row r="875" spans="1:9">
      <c r="A875" t="s">
        <v>1661</v>
      </c>
      <c r="B875" t="s">
        <v>77</v>
      </c>
      <c r="C875">
        <v>900000</v>
      </c>
      <c r="D875">
        <v>1257000</v>
      </c>
      <c r="E875" t="s">
        <v>7896</v>
      </c>
      <c r="F875">
        <v>8</v>
      </c>
      <c r="G875" s="12">
        <v>-357000</v>
      </c>
      <c r="H875">
        <v>112500</v>
      </c>
      <c r="I875">
        <v>-44625</v>
      </c>
    </row>
    <row r="876" spans="1:9">
      <c r="A876" t="s">
        <v>1516</v>
      </c>
      <c r="B876" t="s">
        <v>18</v>
      </c>
      <c r="C876">
        <v>345000</v>
      </c>
      <c r="D876">
        <v>345000</v>
      </c>
      <c r="E876" t="s">
        <v>7896</v>
      </c>
      <c r="F876">
        <v>2.5</v>
      </c>
      <c r="G876" s="12">
        <v>0</v>
      </c>
      <c r="H876">
        <v>138000</v>
      </c>
      <c r="I876">
        <v>0</v>
      </c>
    </row>
    <row r="877" spans="1:9">
      <c r="A877" t="s">
        <v>1524</v>
      </c>
      <c r="B877" t="s">
        <v>77</v>
      </c>
      <c r="C877">
        <v>37020000</v>
      </c>
      <c r="D877">
        <v>37016000</v>
      </c>
      <c r="E877" t="s">
        <v>7896</v>
      </c>
      <c r="F877">
        <v>8</v>
      </c>
      <c r="G877" s="12">
        <v>4000</v>
      </c>
      <c r="H877">
        <v>4627500</v>
      </c>
      <c r="I877">
        <v>500</v>
      </c>
    </row>
    <row r="878" spans="1:9">
      <c r="A878" t="s">
        <v>1532</v>
      </c>
      <c r="B878" t="s">
        <v>18</v>
      </c>
      <c r="C878">
        <v>478000</v>
      </c>
      <c r="D878">
        <v>541000</v>
      </c>
      <c r="E878" t="s">
        <v>7896</v>
      </c>
      <c r="F878">
        <v>2.5</v>
      </c>
      <c r="G878" s="12">
        <v>-63000</v>
      </c>
      <c r="H878">
        <v>191200</v>
      </c>
      <c r="I878">
        <v>-25200</v>
      </c>
    </row>
    <row r="879" spans="1:9">
      <c r="A879" t="s">
        <v>1619</v>
      </c>
      <c r="B879" t="s">
        <v>18</v>
      </c>
      <c r="C879">
        <v>3452000</v>
      </c>
      <c r="D879">
        <v>3449000</v>
      </c>
      <c r="E879" t="s">
        <v>7896</v>
      </c>
      <c r="F879">
        <v>2.5</v>
      </c>
      <c r="G879" s="12">
        <v>3000</v>
      </c>
      <c r="H879">
        <v>1380800</v>
      </c>
      <c r="I879">
        <v>1200</v>
      </c>
    </row>
    <row r="880" spans="1:9">
      <c r="A880" t="s">
        <v>1532</v>
      </c>
      <c r="B880" t="s">
        <v>22</v>
      </c>
      <c r="C880">
        <v>9470000</v>
      </c>
      <c r="D880">
        <v>9304000</v>
      </c>
      <c r="E880" t="s">
        <v>7896</v>
      </c>
      <c r="F880">
        <v>13</v>
      </c>
      <c r="G880" s="12">
        <v>166000</v>
      </c>
      <c r="H880">
        <v>728461.5384615385</v>
      </c>
      <c r="I880">
        <v>12769.23076923077</v>
      </c>
    </row>
    <row r="881" spans="1:9">
      <c r="A881" t="s">
        <v>1604</v>
      </c>
      <c r="B881" t="s">
        <v>18</v>
      </c>
      <c r="C881">
        <v>90000</v>
      </c>
      <c r="D881">
        <v>90000</v>
      </c>
      <c r="E881" t="s">
        <v>7896</v>
      </c>
      <c r="F881">
        <v>2.5</v>
      </c>
      <c r="G881" s="12">
        <v>0</v>
      </c>
      <c r="H881">
        <v>36000</v>
      </c>
      <c r="I881">
        <v>0</v>
      </c>
    </row>
    <row r="882" spans="1:9">
      <c r="A882" t="s">
        <v>1532</v>
      </c>
      <c r="B882" t="s">
        <v>18</v>
      </c>
      <c r="C882">
        <v>115108000</v>
      </c>
      <c r="D882">
        <v>89695000</v>
      </c>
      <c r="E882" t="s">
        <v>7896</v>
      </c>
      <c r="F882">
        <v>2.5</v>
      </c>
      <c r="G882" s="12">
        <v>25413000</v>
      </c>
      <c r="H882">
        <v>46043200</v>
      </c>
      <c r="I882">
        <v>10165200</v>
      </c>
    </row>
    <row r="883" spans="1:9">
      <c r="A883" t="s">
        <v>1595</v>
      </c>
      <c r="B883" t="s">
        <v>18</v>
      </c>
      <c r="C883">
        <v>4494000</v>
      </c>
      <c r="D883">
        <v>2542000</v>
      </c>
      <c r="E883" t="s">
        <v>7896</v>
      </c>
      <c r="F883">
        <v>2.5</v>
      </c>
      <c r="G883" s="12">
        <v>1952000</v>
      </c>
      <c r="H883">
        <v>1797600</v>
      </c>
      <c r="I883">
        <v>780800</v>
      </c>
    </row>
    <row r="884" spans="1:9">
      <c r="A884" t="s">
        <v>1532</v>
      </c>
      <c r="B884" t="s">
        <v>18</v>
      </c>
      <c r="C884">
        <v>4798000</v>
      </c>
      <c r="D884">
        <v>4766000</v>
      </c>
      <c r="E884" t="s">
        <v>7896</v>
      </c>
      <c r="F884">
        <v>2.5</v>
      </c>
      <c r="G884" s="12">
        <v>32000</v>
      </c>
      <c r="H884">
        <v>1919200</v>
      </c>
      <c r="I884">
        <v>12800</v>
      </c>
    </row>
    <row r="885" spans="1:9">
      <c r="A885" t="s">
        <v>1532</v>
      </c>
      <c r="B885" t="s">
        <v>18</v>
      </c>
      <c r="C885">
        <v>1286585000</v>
      </c>
      <c r="D885">
        <v>1336140000</v>
      </c>
      <c r="E885" t="s">
        <v>7896</v>
      </c>
      <c r="F885">
        <v>2.5</v>
      </c>
      <c r="G885" s="12">
        <v>-49555000</v>
      </c>
      <c r="H885">
        <v>514634000</v>
      </c>
      <c r="I885">
        <v>-19822000</v>
      </c>
    </row>
    <row r="886" spans="1:9">
      <c r="A886" t="s">
        <v>1629</v>
      </c>
      <c r="B886" t="s">
        <v>18</v>
      </c>
      <c r="C886">
        <v>5300000</v>
      </c>
      <c r="D886">
        <v>5977000</v>
      </c>
      <c r="E886" t="s">
        <v>7896</v>
      </c>
      <c r="F886">
        <v>2.5</v>
      </c>
      <c r="G886" s="12">
        <v>-677000</v>
      </c>
      <c r="H886">
        <v>2120000</v>
      </c>
      <c r="I886">
        <v>-270800</v>
      </c>
    </row>
    <row r="887" spans="1:9">
      <c r="A887" t="s">
        <v>1595</v>
      </c>
      <c r="B887" t="s">
        <v>18</v>
      </c>
      <c r="C887">
        <v>1686000</v>
      </c>
      <c r="D887">
        <v>1252000</v>
      </c>
      <c r="E887" t="s">
        <v>7896</v>
      </c>
      <c r="F887">
        <v>2.5</v>
      </c>
      <c r="G887" s="12">
        <v>434000</v>
      </c>
      <c r="H887">
        <v>674400</v>
      </c>
      <c r="I887">
        <v>173600</v>
      </c>
    </row>
    <row r="888" spans="1:9">
      <c r="A888" t="s">
        <v>1519</v>
      </c>
      <c r="B888" t="s">
        <v>18</v>
      </c>
      <c r="C888">
        <v>271000</v>
      </c>
      <c r="D888">
        <v>733000</v>
      </c>
      <c r="E888" t="s">
        <v>7896</v>
      </c>
      <c r="F888">
        <v>2.5</v>
      </c>
      <c r="G888" s="12">
        <v>-462000</v>
      </c>
      <c r="H888">
        <v>108400</v>
      </c>
      <c r="I888">
        <v>-184800</v>
      </c>
    </row>
    <row r="889" spans="1:9">
      <c r="A889" t="s">
        <v>1589</v>
      </c>
      <c r="B889" t="s">
        <v>18</v>
      </c>
      <c r="C889">
        <v>10006000</v>
      </c>
      <c r="D889">
        <v>10159000</v>
      </c>
      <c r="E889" t="s">
        <v>7896</v>
      </c>
      <c r="F889">
        <v>2.5</v>
      </c>
      <c r="G889" s="12">
        <v>-153000</v>
      </c>
      <c r="H889">
        <v>4002400</v>
      </c>
      <c r="I889">
        <v>-61200</v>
      </c>
    </row>
    <row r="890" spans="1:9">
      <c r="A890" t="s">
        <v>1532</v>
      </c>
      <c r="B890" t="s">
        <v>77</v>
      </c>
      <c r="C890">
        <v>19750000</v>
      </c>
      <c r="D890">
        <v>91155000</v>
      </c>
      <c r="E890" t="s">
        <v>7896</v>
      </c>
      <c r="F890">
        <v>8</v>
      </c>
      <c r="G890" s="12">
        <v>-71405000</v>
      </c>
      <c r="H890">
        <v>2468750</v>
      </c>
      <c r="I890">
        <v>-8925625</v>
      </c>
    </row>
    <row r="891" spans="1:9">
      <c r="A891" t="s">
        <v>1649</v>
      </c>
      <c r="B891" t="s">
        <v>18</v>
      </c>
      <c r="C891">
        <v>1015000</v>
      </c>
      <c r="D891">
        <v>845000</v>
      </c>
      <c r="E891" t="s">
        <v>7896</v>
      </c>
      <c r="F891">
        <v>2.5</v>
      </c>
      <c r="G891" s="12">
        <v>170000</v>
      </c>
      <c r="H891">
        <v>406000</v>
      </c>
      <c r="I891">
        <v>68000</v>
      </c>
    </row>
    <row r="892" spans="1:9">
      <c r="A892" t="s">
        <v>1868</v>
      </c>
      <c r="B892" t="s">
        <v>18</v>
      </c>
      <c r="C892">
        <v>48581000</v>
      </c>
      <c r="D892">
        <v>48725000</v>
      </c>
      <c r="E892" t="s">
        <v>7896</v>
      </c>
      <c r="F892">
        <v>2.5</v>
      </c>
      <c r="G892" s="12">
        <v>-144000</v>
      </c>
      <c r="H892">
        <v>19432400</v>
      </c>
      <c r="I892">
        <v>-57600</v>
      </c>
    </row>
    <row r="893" spans="1:9">
      <c r="A893" t="s">
        <v>1532</v>
      </c>
      <c r="B893" t="s">
        <v>18</v>
      </c>
      <c r="C893">
        <v>2003000</v>
      </c>
      <c r="D893">
        <v>1860000</v>
      </c>
      <c r="E893" t="s">
        <v>7896</v>
      </c>
      <c r="F893">
        <v>2.5</v>
      </c>
      <c r="G893" s="12">
        <v>143000</v>
      </c>
      <c r="H893">
        <v>801200</v>
      </c>
      <c r="I893">
        <v>57200</v>
      </c>
    </row>
    <row r="894" spans="1:9">
      <c r="A894" t="s">
        <v>1565</v>
      </c>
      <c r="B894" t="s">
        <v>18</v>
      </c>
      <c r="C894">
        <v>603000</v>
      </c>
      <c r="D894">
        <v>640000</v>
      </c>
      <c r="E894" t="s">
        <v>7896</v>
      </c>
      <c r="F894">
        <v>2.5</v>
      </c>
      <c r="G894" s="12">
        <v>-37000</v>
      </c>
      <c r="H894">
        <v>241200</v>
      </c>
      <c r="I894">
        <v>-14800</v>
      </c>
    </row>
    <row r="895" spans="1:9">
      <c r="A895" t="s">
        <v>1620</v>
      </c>
      <c r="B895" t="s">
        <v>18</v>
      </c>
      <c r="C895">
        <v>2908000</v>
      </c>
      <c r="D895">
        <v>2907000</v>
      </c>
      <c r="E895" t="s">
        <v>7896</v>
      </c>
      <c r="F895">
        <v>2.5</v>
      </c>
      <c r="G895" s="12">
        <v>1000</v>
      </c>
      <c r="H895">
        <v>1163200</v>
      </c>
      <c r="I895">
        <v>400</v>
      </c>
    </row>
    <row r="896" spans="1:9">
      <c r="A896" t="s">
        <v>1512</v>
      </c>
      <c r="B896" t="s">
        <v>18</v>
      </c>
      <c r="C896">
        <v>1812000</v>
      </c>
      <c r="D896">
        <v>1601000</v>
      </c>
      <c r="E896" t="s">
        <v>7896</v>
      </c>
      <c r="F896">
        <v>2.5</v>
      </c>
      <c r="G896" s="12">
        <v>211000</v>
      </c>
      <c r="H896">
        <v>724800</v>
      </c>
      <c r="I896">
        <v>84400</v>
      </c>
    </row>
    <row r="897" spans="1:9">
      <c r="A897" t="s">
        <v>1510</v>
      </c>
      <c r="B897" t="s">
        <v>18</v>
      </c>
      <c r="C897">
        <v>2528000</v>
      </c>
      <c r="D897">
        <v>4761000</v>
      </c>
      <c r="E897" t="s">
        <v>7896</v>
      </c>
      <c r="F897">
        <v>2.5</v>
      </c>
      <c r="G897" s="12">
        <v>-2233000</v>
      </c>
      <c r="H897">
        <v>1011200</v>
      </c>
      <c r="I897">
        <v>-893200</v>
      </c>
    </row>
    <row r="898" spans="1:9">
      <c r="A898" t="s">
        <v>1508</v>
      </c>
      <c r="B898" t="s">
        <v>18</v>
      </c>
      <c r="C898">
        <v>100000</v>
      </c>
      <c r="D898">
        <v>100000</v>
      </c>
      <c r="E898" t="s">
        <v>7896</v>
      </c>
      <c r="F898">
        <v>2.5</v>
      </c>
      <c r="G898" s="12">
        <v>0</v>
      </c>
      <c r="H898">
        <v>40000</v>
      </c>
      <c r="I898">
        <v>0</v>
      </c>
    </row>
    <row r="899" spans="1:9">
      <c r="A899" t="s">
        <v>1533</v>
      </c>
      <c r="B899" t="s">
        <v>18</v>
      </c>
      <c r="C899">
        <v>890000</v>
      </c>
      <c r="D899">
        <v>970000</v>
      </c>
      <c r="E899" t="s">
        <v>7896</v>
      </c>
      <c r="F899">
        <v>2.5</v>
      </c>
      <c r="G899" s="12">
        <v>-80000</v>
      </c>
      <c r="H899">
        <v>356000</v>
      </c>
      <c r="I899">
        <v>-32000</v>
      </c>
    </row>
    <row r="900" spans="1:9">
      <c r="A900" t="s">
        <v>1526</v>
      </c>
      <c r="B900" t="s">
        <v>22</v>
      </c>
      <c r="C900">
        <v>57865000</v>
      </c>
      <c r="D900">
        <v>46818000</v>
      </c>
      <c r="E900" t="s">
        <v>7896</v>
      </c>
      <c r="F900">
        <v>13</v>
      </c>
      <c r="G900" s="12">
        <v>11047000</v>
      </c>
      <c r="H900">
        <v>4451153.846153846</v>
      </c>
      <c r="I900">
        <v>849769.23076923075</v>
      </c>
    </row>
    <row r="901" spans="1:9">
      <c r="A901" t="s">
        <v>1524</v>
      </c>
      <c r="B901" t="s">
        <v>18</v>
      </c>
      <c r="C901">
        <v>3000</v>
      </c>
      <c r="D901">
        <v>49000</v>
      </c>
      <c r="E901" t="s">
        <v>7896</v>
      </c>
      <c r="F901">
        <v>2.5</v>
      </c>
      <c r="G901" s="12">
        <v>-46000</v>
      </c>
      <c r="H901">
        <v>1200</v>
      </c>
      <c r="I901">
        <v>-18400</v>
      </c>
    </row>
    <row r="902" spans="1:9">
      <c r="A902" t="s">
        <v>1516</v>
      </c>
      <c r="B902" t="s">
        <v>18</v>
      </c>
      <c r="C902">
        <v>3288000</v>
      </c>
      <c r="D902">
        <v>3639000</v>
      </c>
      <c r="E902" t="s">
        <v>7896</v>
      </c>
      <c r="F902">
        <v>2.5</v>
      </c>
      <c r="G902" s="12">
        <v>-351000</v>
      </c>
      <c r="H902">
        <v>1315200</v>
      </c>
      <c r="I902">
        <v>-140400</v>
      </c>
    </row>
    <row r="903" spans="1:9">
      <c r="A903" t="s">
        <v>1516</v>
      </c>
      <c r="B903" t="s">
        <v>18</v>
      </c>
      <c r="C903">
        <v>302000</v>
      </c>
      <c r="D903">
        <v>302000</v>
      </c>
      <c r="E903" t="s">
        <v>7896</v>
      </c>
      <c r="F903">
        <v>2.5</v>
      </c>
      <c r="G903" s="12">
        <v>0</v>
      </c>
      <c r="H903">
        <v>120800</v>
      </c>
      <c r="I903">
        <v>0</v>
      </c>
    </row>
    <row r="904" spans="1:9">
      <c r="A904" t="s">
        <v>1532</v>
      </c>
      <c r="B904" t="s">
        <v>18</v>
      </c>
      <c r="C904">
        <v>166000</v>
      </c>
      <c r="D904">
        <v>177000</v>
      </c>
      <c r="E904" t="s">
        <v>7896</v>
      </c>
      <c r="F904">
        <v>2.5</v>
      </c>
      <c r="G904" s="12">
        <v>-11000</v>
      </c>
      <c r="H904">
        <v>66400</v>
      </c>
      <c r="I904">
        <v>-4400</v>
      </c>
    </row>
    <row r="905" spans="1:9">
      <c r="A905" t="s">
        <v>1584</v>
      </c>
      <c r="B905" t="s">
        <v>18</v>
      </c>
      <c r="C905">
        <v>2056000</v>
      </c>
      <c r="D905">
        <v>2054000</v>
      </c>
      <c r="E905" t="s">
        <v>7896</v>
      </c>
      <c r="F905">
        <v>2.5</v>
      </c>
      <c r="G905" s="12">
        <v>2000</v>
      </c>
      <c r="H905">
        <v>822400</v>
      </c>
      <c r="I905">
        <v>800</v>
      </c>
    </row>
    <row r="906" spans="1:9">
      <c r="A906" t="s">
        <v>1513</v>
      </c>
      <c r="B906" t="s">
        <v>77</v>
      </c>
      <c r="C906">
        <v>10406000</v>
      </c>
      <c r="D906">
        <v>10152000</v>
      </c>
      <c r="E906" t="s">
        <v>7896</v>
      </c>
      <c r="F906">
        <v>8</v>
      </c>
      <c r="G906" s="12">
        <v>254000</v>
      </c>
      <c r="H906">
        <v>1300750</v>
      </c>
      <c r="I906">
        <v>31750</v>
      </c>
    </row>
    <row r="907" spans="1:9">
      <c r="A907" t="s">
        <v>1517</v>
      </c>
      <c r="B907" t="s">
        <v>18</v>
      </c>
      <c r="C907">
        <v>568000</v>
      </c>
      <c r="D907">
        <v>552000</v>
      </c>
      <c r="E907" t="s">
        <v>7896</v>
      </c>
      <c r="F907">
        <v>2.5</v>
      </c>
      <c r="G907" s="12">
        <v>16000</v>
      </c>
      <c r="H907">
        <v>227200</v>
      </c>
      <c r="I907">
        <v>6400</v>
      </c>
    </row>
    <row r="908" spans="1:9">
      <c r="A908" t="s">
        <v>1517</v>
      </c>
      <c r="B908" t="s">
        <v>302</v>
      </c>
      <c r="C908">
        <v>417697000</v>
      </c>
      <c r="D908">
        <v>420553000</v>
      </c>
      <c r="E908" t="s">
        <v>7897</v>
      </c>
      <c r="F908">
        <v>125.5</v>
      </c>
      <c r="G908" s="12">
        <v>-2856000</v>
      </c>
      <c r="H908">
        <v>3328262.9482071712</v>
      </c>
      <c r="I908">
        <v>-22756.972111553783</v>
      </c>
    </row>
    <row r="909" spans="1:9">
      <c r="A909" t="s">
        <v>1532</v>
      </c>
      <c r="B909" t="s">
        <v>18</v>
      </c>
      <c r="C909">
        <v>4054000</v>
      </c>
      <c r="D909">
        <v>2939000</v>
      </c>
      <c r="E909" t="s">
        <v>7896</v>
      </c>
      <c r="F909">
        <v>2.5</v>
      </c>
      <c r="G909" s="12">
        <v>1115000</v>
      </c>
      <c r="H909">
        <v>1621600</v>
      </c>
      <c r="I909">
        <v>446000</v>
      </c>
    </row>
    <row r="910" spans="1:9">
      <c r="A910" t="s">
        <v>1526</v>
      </c>
      <c r="B910" t="s">
        <v>18</v>
      </c>
      <c r="C910">
        <v>178000</v>
      </c>
      <c r="D910">
        <v>178000</v>
      </c>
      <c r="E910" t="s">
        <v>7896</v>
      </c>
      <c r="F910">
        <v>2.5</v>
      </c>
      <c r="G910" s="12">
        <v>0</v>
      </c>
      <c r="H910">
        <v>71200</v>
      </c>
      <c r="I910">
        <v>0</v>
      </c>
    </row>
    <row r="911" spans="1:9">
      <c r="A911" t="s">
        <v>1517</v>
      </c>
      <c r="B911" t="s">
        <v>18</v>
      </c>
      <c r="C911">
        <v>813000</v>
      </c>
      <c r="D911">
        <v>854000</v>
      </c>
      <c r="E911" t="s">
        <v>7896</v>
      </c>
      <c r="F911">
        <v>2.5</v>
      </c>
      <c r="G911" s="12">
        <v>-41000</v>
      </c>
      <c r="H911">
        <v>325200</v>
      </c>
      <c r="I911">
        <v>-16400</v>
      </c>
    </row>
    <row r="912" spans="1:9">
      <c r="A912" t="s">
        <v>1620</v>
      </c>
      <c r="B912" t="s">
        <v>18</v>
      </c>
      <c r="C912">
        <v>8932000</v>
      </c>
      <c r="D912">
        <v>9229000</v>
      </c>
      <c r="E912" t="s">
        <v>7896</v>
      </c>
      <c r="F912">
        <v>2.5</v>
      </c>
      <c r="G912" s="12">
        <v>-297000</v>
      </c>
      <c r="H912">
        <v>3572800</v>
      </c>
      <c r="I912">
        <v>-118800</v>
      </c>
    </row>
    <row r="913" spans="1:9">
      <c r="A913" t="s">
        <v>1558</v>
      </c>
      <c r="B913" t="s">
        <v>18</v>
      </c>
      <c r="C913">
        <v>200000</v>
      </c>
      <c r="D913">
        <v>200000</v>
      </c>
      <c r="E913" t="s">
        <v>7896</v>
      </c>
      <c r="F913">
        <v>2.5</v>
      </c>
      <c r="G913" s="12">
        <v>0</v>
      </c>
      <c r="H913">
        <v>80000</v>
      </c>
      <c r="I913">
        <v>0</v>
      </c>
    </row>
    <row r="914" spans="1:9">
      <c r="A914" t="s">
        <v>1560</v>
      </c>
      <c r="B914" t="s">
        <v>18</v>
      </c>
      <c r="C914">
        <v>3756000</v>
      </c>
      <c r="D914">
        <v>2104000</v>
      </c>
      <c r="E914" t="s">
        <v>7896</v>
      </c>
      <c r="F914">
        <v>2.5</v>
      </c>
      <c r="G914" s="12">
        <v>1652000</v>
      </c>
      <c r="H914">
        <v>1502400</v>
      </c>
      <c r="I914">
        <v>660800</v>
      </c>
    </row>
    <row r="915" spans="1:9">
      <c r="A915" t="s">
        <v>1737</v>
      </c>
      <c r="B915" t="s">
        <v>18</v>
      </c>
      <c r="C915">
        <v>3072000</v>
      </c>
      <c r="D915">
        <v>3083000</v>
      </c>
      <c r="E915" t="s">
        <v>7896</v>
      </c>
      <c r="F915">
        <v>2.5</v>
      </c>
      <c r="G915" s="12">
        <v>-11000</v>
      </c>
      <c r="H915">
        <v>1228800</v>
      </c>
      <c r="I915">
        <v>-4400</v>
      </c>
    </row>
    <row r="916" spans="1:9">
      <c r="A916" t="s">
        <v>1532</v>
      </c>
      <c r="B916" t="s">
        <v>18</v>
      </c>
      <c r="C916">
        <v>163000</v>
      </c>
      <c r="D916">
        <v>45000</v>
      </c>
      <c r="E916" t="s">
        <v>7896</v>
      </c>
      <c r="F916">
        <v>2.5</v>
      </c>
      <c r="G916" s="12">
        <v>118000</v>
      </c>
      <c r="H916">
        <v>65200</v>
      </c>
      <c r="I916">
        <v>47200</v>
      </c>
    </row>
    <row r="917" spans="1:9">
      <c r="A917" t="s">
        <v>1532</v>
      </c>
      <c r="B917" t="s">
        <v>22</v>
      </c>
      <c r="C917">
        <v>6115000</v>
      </c>
      <c r="D917">
        <v>6443000</v>
      </c>
      <c r="E917" t="s">
        <v>7896</v>
      </c>
      <c r="F917">
        <v>13</v>
      </c>
      <c r="G917" s="12">
        <v>-328000</v>
      </c>
      <c r="H917">
        <v>470384.61538461538</v>
      </c>
      <c r="I917">
        <v>-25230.76923076923</v>
      </c>
    </row>
    <row r="918" spans="1:9">
      <c r="A918" t="s">
        <v>2139</v>
      </c>
      <c r="B918" t="s">
        <v>18</v>
      </c>
      <c r="C918">
        <v>173000</v>
      </c>
      <c r="D918">
        <v>194000</v>
      </c>
      <c r="E918" t="s">
        <v>7896</v>
      </c>
      <c r="F918">
        <v>2.5</v>
      </c>
      <c r="G918" s="12">
        <v>-21000</v>
      </c>
      <c r="H918">
        <v>69200</v>
      </c>
      <c r="I918">
        <v>-8400</v>
      </c>
    </row>
    <row r="919" spans="1:9">
      <c r="A919" t="s">
        <v>1661</v>
      </c>
      <c r="B919" t="s">
        <v>18</v>
      </c>
      <c r="C919">
        <v>992000</v>
      </c>
      <c r="D919">
        <v>974000</v>
      </c>
      <c r="E919" t="s">
        <v>7896</v>
      </c>
      <c r="F919">
        <v>2.5</v>
      </c>
      <c r="G919" s="12">
        <v>18000</v>
      </c>
      <c r="H919">
        <v>396800</v>
      </c>
      <c r="I919">
        <v>7200</v>
      </c>
    </row>
    <row r="920" spans="1:9">
      <c r="A920" t="s">
        <v>1798</v>
      </c>
      <c r="B920" t="s">
        <v>18</v>
      </c>
      <c r="C920">
        <v>20000</v>
      </c>
      <c r="D920">
        <v>20000</v>
      </c>
      <c r="E920" t="s">
        <v>7896</v>
      </c>
      <c r="F920">
        <v>2.5</v>
      </c>
      <c r="G920" s="12">
        <v>0</v>
      </c>
      <c r="H920">
        <v>8000</v>
      </c>
      <c r="I920">
        <v>0</v>
      </c>
    </row>
    <row r="921" spans="1:9">
      <c r="A921" t="s">
        <v>1588</v>
      </c>
      <c r="B921" t="s">
        <v>18</v>
      </c>
      <c r="C921">
        <v>499000</v>
      </c>
      <c r="D921">
        <v>743000</v>
      </c>
      <c r="E921" t="s">
        <v>7896</v>
      </c>
      <c r="F921">
        <v>2.5</v>
      </c>
      <c r="G921" s="12">
        <v>-244000</v>
      </c>
      <c r="H921">
        <v>199600</v>
      </c>
      <c r="I921">
        <v>-97600</v>
      </c>
    </row>
    <row r="922" spans="1:9">
      <c r="A922" t="s">
        <v>1532</v>
      </c>
      <c r="B922" t="s">
        <v>18</v>
      </c>
      <c r="C922">
        <v>280000</v>
      </c>
      <c r="D922">
        <v>324000</v>
      </c>
      <c r="E922" t="s">
        <v>7896</v>
      </c>
      <c r="F922">
        <v>2.5</v>
      </c>
      <c r="G922" s="12">
        <v>-44000</v>
      </c>
      <c r="H922">
        <v>112000</v>
      </c>
      <c r="I922">
        <v>-17600</v>
      </c>
    </row>
    <row r="923" spans="1:9">
      <c r="A923" t="s">
        <v>1544</v>
      </c>
      <c r="B923" t="s">
        <v>18</v>
      </c>
      <c r="C923">
        <v>5119000</v>
      </c>
      <c r="D923">
        <v>4400000</v>
      </c>
      <c r="E923" t="s">
        <v>7896</v>
      </c>
      <c r="F923">
        <v>2.5</v>
      </c>
      <c r="G923" s="12">
        <v>719000</v>
      </c>
      <c r="H923">
        <v>2047600</v>
      </c>
      <c r="I923">
        <v>287600</v>
      </c>
    </row>
    <row r="924" spans="1:9">
      <c r="A924" t="s">
        <v>1532</v>
      </c>
      <c r="B924" t="s">
        <v>18</v>
      </c>
      <c r="C924">
        <v>538000</v>
      </c>
      <c r="D924">
        <v>646000</v>
      </c>
      <c r="E924" t="s">
        <v>7896</v>
      </c>
      <c r="F924">
        <v>2.5</v>
      </c>
      <c r="G924" s="12">
        <v>-108000</v>
      </c>
      <c r="H924">
        <v>215200</v>
      </c>
      <c r="I924">
        <v>-43200</v>
      </c>
    </row>
    <row r="925" spans="1:9">
      <c r="A925" t="s">
        <v>1588</v>
      </c>
      <c r="B925" t="s">
        <v>18</v>
      </c>
      <c r="C925">
        <v>2363000</v>
      </c>
      <c r="D925">
        <v>2448000</v>
      </c>
      <c r="E925" t="s">
        <v>7896</v>
      </c>
      <c r="F925">
        <v>2.5</v>
      </c>
      <c r="G925" s="12">
        <v>-85000</v>
      </c>
      <c r="H925">
        <v>945200</v>
      </c>
      <c r="I925">
        <v>-34000</v>
      </c>
    </row>
    <row r="926" spans="1:9">
      <c r="A926" t="s">
        <v>1504</v>
      </c>
      <c r="B926" t="s">
        <v>18</v>
      </c>
      <c r="C926">
        <v>17983000</v>
      </c>
      <c r="D926">
        <v>18054000</v>
      </c>
      <c r="E926" t="s">
        <v>7896</v>
      </c>
      <c r="F926">
        <v>2.5</v>
      </c>
      <c r="G926" s="12">
        <v>-71000</v>
      </c>
      <c r="H926">
        <v>7193200</v>
      </c>
      <c r="I926">
        <v>-28400</v>
      </c>
    </row>
    <row r="927" spans="1:9">
      <c r="A927" t="s">
        <v>1525</v>
      </c>
      <c r="B927" t="s">
        <v>18</v>
      </c>
      <c r="C927">
        <v>738000</v>
      </c>
      <c r="D927">
        <v>448000</v>
      </c>
      <c r="E927" t="s">
        <v>7896</v>
      </c>
      <c r="F927">
        <v>2.5</v>
      </c>
      <c r="G927" s="12">
        <v>290000</v>
      </c>
      <c r="H927">
        <v>295200</v>
      </c>
      <c r="I927">
        <v>116000</v>
      </c>
    </row>
    <row r="928" spans="1:9">
      <c r="A928" t="s">
        <v>1524</v>
      </c>
      <c r="B928" t="s">
        <v>18</v>
      </c>
      <c r="C928">
        <v>12000</v>
      </c>
      <c r="D928">
        <v>12000</v>
      </c>
      <c r="E928" t="s">
        <v>7896</v>
      </c>
      <c r="F928">
        <v>2.5</v>
      </c>
      <c r="G928" s="12">
        <v>0</v>
      </c>
      <c r="H928">
        <v>4800</v>
      </c>
      <c r="I928">
        <v>0</v>
      </c>
    </row>
    <row r="929" spans="1:9">
      <c r="A929" t="s">
        <v>1504</v>
      </c>
      <c r="B929" t="s">
        <v>18</v>
      </c>
      <c r="C929">
        <v>25277000</v>
      </c>
      <c r="D929">
        <v>25244000</v>
      </c>
      <c r="E929" t="s">
        <v>7896</v>
      </c>
      <c r="F929">
        <v>2.5</v>
      </c>
      <c r="G929" s="12">
        <v>33000</v>
      </c>
      <c r="H929">
        <v>10110800</v>
      </c>
      <c r="I929">
        <v>13200</v>
      </c>
    </row>
    <row r="930" spans="1:9">
      <c r="A930" t="s">
        <v>1559</v>
      </c>
      <c r="B930" t="s">
        <v>18</v>
      </c>
      <c r="C930">
        <v>1030000</v>
      </c>
      <c r="D930">
        <v>924000</v>
      </c>
      <c r="E930" t="s">
        <v>7896</v>
      </c>
      <c r="F930">
        <v>2.5</v>
      </c>
      <c r="G930" s="12">
        <v>106000</v>
      </c>
      <c r="H930">
        <v>412000</v>
      </c>
      <c r="I930">
        <v>42400</v>
      </c>
    </row>
    <row r="931" spans="1:9">
      <c r="A931" t="s">
        <v>1532</v>
      </c>
      <c r="B931" t="s">
        <v>18</v>
      </c>
      <c r="C931">
        <v>538000</v>
      </c>
      <c r="D931">
        <v>534000</v>
      </c>
      <c r="E931" t="s">
        <v>7896</v>
      </c>
      <c r="F931">
        <v>2.5</v>
      </c>
      <c r="G931" s="12">
        <v>4000</v>
      </c>
      <c r="H931">
        <v>215200</v>
      </c>
      <c r="I931">
        <v>1600</v>
      </c>
    </row>
    <row r="932" spans="1:9">
      <c r="A932" t="s">
        <v>1588</v>
      </c>
      <c r="B932" t="s">
        <v>18</v>
      </c>
      <c r="C932">
        <v>518000</v>
      </c>
      <c r="D932">
        <v>518000</v>
      </c>
      <c r="E932" t="s">
        <v>7896</v>
      </c>
      <c r="F932">
        <v>2.5</v>
      </c>
      <c r="G932" s="12">
        <v>0</v>
      </c>
      <c r="H932">
        <v>207200</v>
      </c>
      <c r="I932">
        <v>0</v>
      </c>
    </row>
    <row r="933" spans="1:9">
      <c r="A933" t="s">
        <v>1781</v>
      </c>
      <c r="B933" t="s">
        <v>18</v>
      </c>
      <c r="C933">
        <v>2286000</v>
      </c>
      <c r="D933">
        <v>2326000</v>
      </c>
      <c r="E933" t="s">
        <v>7896</v>
      </c>
      <c r="F933">
        <v>2.5</v>
      </c>
      <c r="G933" s="12">
        <v>-40000</v>
      </c>
      <c r="H933">
        <v>914400</v>
      </c>
      <c r="I933">
        <v>-16000</v>
      </c>
    </row>
    <row r="934" spans="1:9">
      <c r="A934" t="s">
        <v>1524</v>
      </c>
      <c r="B934" t="s">
        <v>18</v>
      </c>
      <c r="C934">
        <v>2189000</v>
      </c>
      <c r="D934">
        <v>1601000</v>
      </c>
      <c r="E934" t="s">
        <v>7896</v>
      </c>
      <c r="F934">
        <v>2.5</v>
      </c>
      <c r="G934" s="12">
        <v>588000</v>
      </c>
      <c r="H934">
        <v>875600</v>
      </c>
      <c r="I934">
        <v>235200</v>
      </c>
    </row>
    <row r="935" spans="1:9">
      <c r="A935" t="s">
        <v>1533</v>
      </c>
      <c r="B935" t="s">
        <v>18</v>
      </c>
      <c r="C935">
        <v>4998000</v>
      </c>
      <c r="D935">
        <v>4990000</v>
      </c>
      <c r="E935" t="s">
        <v>7896</v>
      </c>
      <c r="F935">
        <v>2.5</v>
      </c>
      <c r="G935" s="12">
        <v>8000</v>
      </c>
      <c r="H935">
        <v>1999200</v>
      </c>
      <c r="I935">
        <v>3200</v>
      </c>
    </row>
    <row r="936" spans="1:9">
      <c r="A936" t="s">
        <v>1588</v>
      </c>
      <c r="B936" t="s">
        <v>18</v>
      </c>
      <c r="C936">
        <v>482000</v>
      </c>
      <c r="D936">
        <v>477000</v>
      </c>
      <c r="E936" t="s">
        <v>7896</v>
      </c>
      <c r="F936">
        <v>2.5</v>
      </c>
      <c r="G936" s="12">
        <v>5000</v>
      </c>
      <c r="H936">
        <v>192800</v>
      </c>
      <c r="I936">
        <v>2000</v>
      </c>
    </row>
    <row r="937" spans="1:9">
      <c r="A937" t="s">
        <v>1535</v>
      </c>
      <c r="B937" t="s">
        <v>18</v>
      </c>
      <c r="C937">
        <v>895000</v>
      </c>
      <c r="D937">
        <v>1171000</v>
      </c>
      <c r="E937" t="s">
        <v>7896</v>
      </c>
      <c r="F937">
        <v>2.5</v>
      </c>
      <c r="G937" s="12">
        <v>-276000</v>
      </c>
      <c r="H937">
        <v>358000</v>
      </c>
      <c r="I937">
        <v>-110400</v>
      </c>
    </row>
    <row r="938" spans="1:9">
      <c r="A938" t="s">
        <v>1642</v>
      </c>
      <c r="B938" t="s">
        <v>18</v>
      </c>
      <c r="C938">
        <v>5427000</v>
      </c>
      <c r="D938">
        <v>7271000</v>
      </c>
      <c r="E938" t="s">
        <v>7896</v>
      </c>
      <c r="F938">
        <v>2.5</v>
      </c>
      <c r="G938" s="12">
        <v>-1844000</v>
      </c>
      <c r="H938">
        <v>2170800</v>
      </c>
      <c r="I938">
        <v>-737600</v>
      </c>
    </row>
    <row r="939" spans="1:9">
      <c r="A939" t="s">
        <v>1544</v>
      </c>
      <c r="B939" t="s">
        <v>18</v>
      </c>
      <c r="C939">
        <v>9438000</v>
      </c>
      <c r="D939">
        <v>7838000</v>
      </c>
      <c r="E939" t="s">
        <v>7896</v>
      </c>
      <c r="F939">
        <v>2.5</v>
      </c>
      <c r="G939" s="12">
        <v>1600000</v>
      </c>
      <c r="H939">
        <v>3775200</v>
      </c>
      <c r="I939">
        <v>640000</v>
      </c>
    </row>
    <row r="940" spans="1:9">
      <c r="A940" t="s">
        <v>1526</v>
      </c>
      <c r="B940" t="s">
        <v>18</v>
      </c>
      <c r="C940">
        <v>315000</v>
      </c>
      <c r="D940">
        <v>314000</v>
      </c>
      <c r="E940" t="s">
        <v>7896</v>
      </c>
      <c r="F940">
        <v>2.5</v>
      </c>
      <c r="G940" s="12">
        <v>1000</v>
      </c>
      <c r="H940">
        <v>126000</v>
      </c>
      <c r="I940">
        <v>400</v>
      </c>
    </row>
    <row r="941" spans="1:9">
      <c r="A941" t="s">
        <v>1559</v>
      </c>
      <c r="B941" t="s">
        <v>18</v>
      </c>
      <c r="C941">
        <v>186000</v>
      </c>
      <c r="D941">
        <v>154000</v>
      </c>
      <c r="E941" t="s">
        <v>7896</v>
      </c>
      <c r="F941">
        <v>2.5</v>
      </c>
      <c r="G941" s="12">
        <v>32000</v>
      </c>
      <c r="H941">
        <v>74400</v>
      </c>
      <c r="I941">
        <v>12800</v>
      </c>
    </row>
    <row r="942" spans="1:9">
      <c r="A942" t="s">
        <v>1565</v>
      </c>
      <c r="B942" t="s">
        <v>18</v>
      </c>
      <c r="C942">
        <v>103466000</v>
      </c>
      <c r="D942">
        <v>103426000</v>
      </c>
      <c r="E942" t="s">
        <v>7896</v>
      </c>
      <c r="F942">
        <v>2.5</v>
      </c>
      <c r="G942" s="12">
        <v>40000</v>
      </c>
      <c r="H942">
        <v>41386400</v>
      </c>
      <c r="I942">
        <v>16000</v>
      </c>
    </row>
    <row r="943" spans="1:9">
      <c r="A943" t="s">
        <v>1519</v>
      </c>
      <c r="B943" t="s">
        <v>18</v>
      </c>
      <c r="C943">
        <v>6854000</v>
      </c>
      <c r="D943">
        <v>6809000</v>
      </c>
      <c r="E943" t="s">
        <v>7896</v>
      </c>
      <c r="F943">
        <v>2.5</v>
      </c>
      <c r="G943" s="12">
        <v>45000</v>
      </c>
      <c r="H943">
        <v>2741600</v>
      </c>
      <c r="I943">
        <v>18000</v>
      </c>
    </row>
    <row r="944" spans="1:9">
      <c r="A944" t="s">
        <v>1604</v>
      </c>
      <c r="B944" t="s">
        <v>18</v>
      </c>
      <c r="C944">
        <v>1875000</v>
      </c>
      <c r="D944">
        <v>1891000</v>
      </c>
      <c r="E944" t="s">
        <v>7896</v>
      </c>
      <c r="F944">
        <v>2.5</v>
      </c>
      <c r="G944" s="12">
        <v>-16000</v>
      </c>
      <c r="H944">
        <v>750000</v>
      </c>
      <c r="I944">
        <v>-6400</v>
      </c>
    </row>
    <row r="945" spans="1:9">
      <c r="A945" t="s">
        <v>1508</v>
      </c>
      <c r="B945" t="s">
        <v>18</v>
      </c>
      <c r="C945">
        <v>4191000</v>
      </c>
      <c r="D945">
        <v>4121000</v>
      </c>
      <c r="E945" t="s">
        <v>7896</v>
      </c>
      <c r="F945">
        <v>2.5</v>
      </c>
      <c r="G945" s="12">
        <v>70000</v>
      </c>
      <c r="H945">
        <v>1676400</v>
      </c>
      <c r="I945">
        <v>28000</v>
      </c>
    </row>
    <row r="946" spans="1:9">
      <c r="A946" t="s">
        <v>2797</v>
      </c>
      <c r="B946" t="s">
        <v>18</v>
      </c>
      <c r="C946">
        <v>383000</v>
      </c>
      <c r="D946">
        <v>384000</v>
      </c>
      <c r="E946" t="s">
        <v>7896</v>
      </c>
      <c r="F946">
        <v>2.5</v>
      </c>
      <c r="G946" s="12">
        <v>-1000</v>
      </c>
      <c r="H946">
        <v>153200</v>
      </c>
      <c r="I946">
        <v>-400</v>
      </c>
    </row>
    <row r="947" spans="1:9">
      <c r="A947" t="s">
        <v>1588</v>
      </c>
      <c r="B947" t="s">
        <v>18</v>
      </c>
      <c r="C947">
        <v>678000</v>
      </c>
      <c r="D947">
        <v>728000</v>
      </c>
      <c r="E947" t="s">
        <v>7896</v>
      </c>
      <c r="F947">
        <v>2.5</v>
      </c>
      <c r="G947" s="12">
        <v>-50000</v>
      </c>
      <c r="H947">
        <v>271200</v>
      </c>
      <c r="I947">
        <v>-20000</v>
      </c>
    </row>
    <row r="948" spans="1:9">
      <c r="A948" t="s">
        <v>1558</v>
      </c>
      <c r="B948" t="s">
        <v>18</v>
      </c>
      <c r="C948">
        <v>91000</v>
      </c>
      <c r="D948">
        <v>91000</v>
      </c>
      <c r="E948" t="s">
        <v>7896</v>
      </c>
      <c r="F948">
        <v>2.5</v>
      </c>
      <c r="G948" s="12">
        <v>0</v>
      </c>
      <c r="H948">
        <v>36400</v>
      </c>
      <c r="I948">
        <v>0</v>
      </c>
    </row>
    <row r="949" spans="1:9">
      <c r="A949" t="s">
        <v>1532</v>
      </c>
      <c r="B949" t="s">
        <v>18</v>
      </c>
      <c r="C949">
        <v>341000</v>
      </c>
      <c r="D949">
        <v>342000</v>
      </c>
      <c r="E949" t="s">
        <v>7896</v>
      </c>
      <c r="F949">
        <v>2.5</v>
      </c>
      <c r="G949" s="12">
        <v>-1000</v>
      </c>
      <c r="H949">
        <v>136400</v>
      </c>
      <c r="I949">
        <v>-400</v>
      </c>
    </row>
    <row r="950" spans="1:9">
      <c r="A950" t="s">
        <v>1525</v>
      </c>
      <c r="B950" t="s">
        <v>18</v>
      </c>
      <c r="C950">
        <v>100000</v>
      </c>
      <c r="D950">
        <v>100000</v>
      </c>
      <c r="E950" t="s">
        <v>7896</v>
      </c>
      <c r="F950">
        <v>2.5</v>
      </c>
      <c r="G950" s="12">
        <v>0</v>
      </c>
      <c r="H950">
        <v>40000</v>
      </c>
      <c r="I950">
        <v>0</v>
      </c>
    </row>
    <row r="951" spans="1:9">
      <c r="A951" t="s">
        <v>1646</v>
      </c>
      <c r="B951" t="s">
        <v>18</v>
      </c>
      <c r="C951">
        <v>234000</v>
      </c>
      <c r="D951">
        <v>155000</v>
      </c>
      <c r="E951" t="s">
        <v>7896</v>
      </c>
      <c r="F951">
        <v>2.5</v>
      </c>
      <c r="G951" s="12">
        <v>79000</v>
      </c>
      <c r="H951">
        <v>93600</v>
      </c>
      <c r="I951">
        <v>31600</v>
      </c>
    </row>
    <row r="952" spans="1:9">
      <c r="A952" t="s">
        <v>1680</v>
      </c>
      <c r="B952" t="s">
        <v>18</v>
      </c>
      <c r="C952">
        <v>209000</v>
      </c>
      <c r="D952">
        <v>206000</v>
      </c>
      <c r="E952" t="s">
        <v>7896</v>
      </c>
      <c r="F952">
        <v>2.5</v>
      </c>
      <c r="G952" s="12">
        <v>3000</v>
      </c>
      <c r="H952">
        <v>83600</v>
      </c>
      <c r="I952">
        <v>1200</v>
      </c>
    </row>
    <row r="953" spans="1:9">
      <c r="A953" t="s">
        <v>1520</v>
      </c>
      <c r="B953" t="s">
        <v>18</v>
      </c>
      <c r="C953">
        <v>2824000</v>
      </c>
      <c r="D953">
        <v>2847000</v>
      </c>
      <c r="E953" t="s">
        <v>7896</v>
      </c>
      <c r="F953">
        <v>2.5</v>
      </c>
      <c r="G953" s="12">
        <v>-23000</v>
      </c>
      <c r="H953">
        <v>1129600</v>
      </c>
      <c r="I953">
        <v>-9200</v>
      </c>
    </row>
    <row r="954" spans="1:9">
      <c r="A954" t="s">
        <v>1979</v>
      </c>
      <c r="B954" t="s">
        <v>18</v>
      </c>
      <c r="C954">
        <v>189009000</v>
      </c>
      <c r="D954">
        <v>599000</v>
      </c>
      <c r="E954" t="s">
        <v>7896</v>
      </c>
      <c r="F954">
        <v>2.5</v>
      </c>
      <c r="G954" s="12">
        <v>188410000</v>
      </c>
      <c r="H954">
        <v>75603600</v>
      </c>
      <c r="I954">
        <v>75364000</v>
      </c>
    </row>
    <row r="955" spans="1:9">
      <c r="A955" t="s">
        <v>1524</v>
      </c>
      <c r="B955" t="s">
        <v>18</v>
      </c>
      <c r="C955">
        <v>201000</v>
      </c>
      <c r="D955">
        <v>203000</v>
      </c>
      <c r="E955" t="s">
        <v>7896</v>
      </c>
      <c r="F955">
        <v>2.5</v>
      </c>
      <c r="G955" s="12">
        <v>-2000</v>
      </c>
      <c r="H955">
        <v>80400</v>
      </c>
      <c r="I955">
        <v>-800</v>
      </c>
    </row>
    <row r="956" spans="1:9">
      <c r="A956" t="s">
        <v>1595</v>
      </c>
      <c r="B956" t="s">
        <v>18</v>
      </c>
      <c r="C956">
        <v>1062000</v>
      </c>
      <c r="D956">
        <v>1098000</v>
      </c>
      <c r="E956" t="s">
        <v>7896</v>
      </c>
      <c r="F956">
        <v>2.5</v>
      </c>
      <c r="G956" s="12">
        <v>-36000</v>
      </c>
      <c r="H956">
        <v>424800</v>
      </c>
      <c r="I956">
        <v>-14400</v>
      </c>
    </row>
    <row r="957" spans="1:9">
      <c r="A957" t="s">
        <v>1642</v>
      </c>
      <c r="B957" t="s">
        <v>18</v>
      </c>
      <c r="C957">
        <v>327000</v>
      </c>
      <c r="D957">
        <v>375000</v>
      </c>
      <c r="E957" t="s">
        <v>7896</v>
      </c>
      <c r="F957">
        <v>2.5</v>
      </c>
      <c r="G957" s="12">
        <v>-48000</v>
      </c>
      <c r="H957">
        <v>130800</v>
      </c>
      <c r="I957">
        <v>-19200</v>
      </c>
    </row>
    <row r="958" spans="1:9">
      <c r="A958" t="s">
        <v>1625</v>
      </c>
      <c r="B958" t="s">
        <v>18</v>
      </c>
      <c r="C958">
        <v>2013000</v>
      </c>
      <c r="D958">
        <v>2125000</v>
      </c>
      <c r="E958" t="s">
        <v>7896</v>
      </c>
      <c r="F958">
        <v>2.5</v>
      </c>
      <c r="G958" s="12">
        <v>-112000</v>
      </c>
      <c r="H958">
        <v>805200</v>
      </c>
      <c r="I958">
        <v>-44800</v>
      </c>
    </row>
    <row r="959" spans="1:9">
      <c r="A959" t="s">
        <v>1649</v>
      </c>
      <c r="B959" t="s">
        <v>18</v>
      </c>
      <c r="C959">
        <v>8550000</v>
      </c>
      <c r="D959">
        <v>8114000</v>
      </c>
      <c r="E959" t="s">
        <v>7896</v>
      </c>
      <c r="F959">
        <v>2.5</v>
      </c>
      <c r="G959" s="12">
        <v>436000</v>
      </c>
      <c r="H959">
        <v>3420000</v>
      </c>
      <c r="I959">
        <v>174400</v>
      </c>
    </row>
    <row r="960" spans="1:9">
      <c r="A960" t="s">
        <v>1580</v>
      </c>
      <c r="B960" t="s">
        <v>18</v>
      </c>
      <c r="C960">
        <v>21000000</v>
      </c>
      <c r="D960">
        <v>9026000</v>
      </c>
      <c r="E960" t="s">
        <v>7896</v>
      </c>
      <c r="F960">
        <v>2.5</v>
      </c>
      <c r="G960" s="12">
        <v>11974000</v>
      </c>
      <c r="H960">
        <v>8400000</v>
      </c>
      <c r="I960">
        <v>4789600</v>
      </c>
    </row>
    <row r="961" spans="1:9">
      <c r="A961" t="s">
        <v>1518</v>
      </c>
      <c r="B961" t="s">
        <v>22</v>
      </c>
      <c r="C961">
        <v>22696000</v>
      </c>
      <c r="D961">
        <v>32828000</v>
      </c>
      <c r="E961" t="s">
        <v>7896</v>
      </c>
      <c r="F961">
        <v>13</v>
      </c>
      <c r="G961" s="12">
        <v>-10132000</v>
      </c>
      <c r="H961">
        <v>1745846.1538461538</v>
      </c>
      <c r="I961">
        <v>-779384.61538461538</v>
      </c>
    </row>
    <row r="962" spans="1:9">
      <c r="A962" t="s">
        <v>1661</v>
      </c>
      <c r="B962" t="s">
        <v>18</v>
      </c>
      <c r="C962">
        <v>2072000</v>
      </c>
      <c r="D962">
        <v>2050000</v>
      </c>
      <c r="E962" t="s">
        <v>7896</v>
      </c>
      <c r="F962">
        <v>2.5</v>
      </c>
      <c r="G962" s="12">
        <v>22000</v>
      </c>
      <c r="H962">
        <v>828800</v>
      </c>
      <c r="I962">
        <v>8800</v>
      </c>
    </row>
    <row r="963" spans="1:9">
      <c r="A963" t="s">
        <v>1579</v>
      </c>
      <c r="B963" t="s">
        <v>18</v>
      </c>
      <c r="C963">
        <v>115000</v>
      </c>
      <c r="D963">
        <v>73000</v>
      </c>
      <c r="E963" t="s">
        <v>7896</v>
      </c>
      <c r="F963">
        <v>2.5</v>
      </c>
      <c r="G963" s="12">
        <v>42000</v>
      </c>
      <c r="H963">
        <v>46000</v>
      </c>
      <c r="I963">
        <v>16800</v>
      </c>
    </row>
    <row r="964" spans="1:9">
      <c r="A964" t="s">
        <v>1680</v>
      </c>
      <c r="B964" t="s">
        <v>18</v>
      </c>
      <c r="C964">
        <v>2697000</v>
      </c>
      <c r="D964">
        <v>2697000</v>
      </c>
      <c r="E964" t="s">
        <v>7896</v>
      </c>
      <c r="F964">
        <v>2.5</v>
      </c>
      <c r="G964" s="12">
        <v>0</v>
      </c>
      <c r="H964">
        <v>1078800</v>
      </c>
      <c r="I964">
        <v>0</v>
      </c>
    </row>
    <row r="965" spans="1:9">
      <c r="A965" t="s">
        <v>1820</v>
      </c>
      <c r="B965" t="s">
        <v>18</v>
      </c>
      <c r="C965">
        <v>2091000</v>
      </c>
      <c r="D965">
        <v>2091000</v>
      </c>
      <c r="E965" t="s">
        <v>7896</v>
      </c>
      <c r="F965">
        <v>2.5</v>
      </c>
      <c r="G965" s="12">
        <v>0</v>
      </c>
      <c r="H965">
        <v>836400</v>
      </c>
      <c r="I965">
        <v>0</v>
      </c>
    </row>
    <row r="966" spans="1:9">
      <c r="A966" t="s">
        <v>1588</v>
      </c>
      <c r="B966" t="s">
        <v>18</v>
      </c>
      <c r="C966">
        <v>6347000</v>
      </c>
      <c r="D966">
        <v>6708000</v>
      </c>
      <c r="E966" t="s">
        <v>7896</v>
      </c>
      <c r="F966">
        <v>2.5</v>
      </c>
      <c r="G966" s="12">
        <v>-361000</v>
      </c>
      <c r="H966">
        <v>2538800</v>
      </c>
      <c r="I966">
        <v>-144400</v>
      </c>
    </row>
    <row r="967" spans="1:9">
      <c r="A967" t="s">
        <v>1592</v>
      </c>
      <c r="B967" t="s">
        <v>18</v>
      </c>
      <c r="C967">
        <v>230000</v>
      </c>
      <c r="D967">
        <v>232000</v>
      </c>
      <c r="E967" t="s">
        <v>7896</v>
      </c>
      <c r="F967">
        <v>2.5</v>
      </c>
      <c r="G967" s="12">
        <v>-2000</v>
      </c>
      <c r="H967">
        <v>92000</v>
      </c>
      <c r="I967">
        <v>-800</v>
      </c>
    </row>
    <row r="968" spans="1:9">
      <c r="A968" t="s">
        <v>1544</v>
      </c>
      <c r="B968" t="s">
        <v>22</v>
      </c>
      <c r="C968">
        <v>22575000</v>
      </c>
      <c r="D968">
        <v>18246000</v>
      </c>
      <c r="E968" t="s">
        <v>7896</v>
      </c>
      <c r="F968">
        <v>13</v>
      </c>
      <c r="G968" s="12">
        <v>4329000</v>
      </c>
      <c r="H968">
        <v>1736538.4615384615</v>
      </c>
      <c r="I968">
        <v>333000</v>
      </c>
    </row>
    <row r="969" spans="1:9">
      <c r="A969" t="s">
        <v>1579</v>
      </c>
      <c r="B969" t="s">
        <v>22</v>
      </c>
      <c r="C969">
        <v>648499000</v>
      </c>
      <c r="D969">
        <v>652563000</v>
      </c>
      <c r="E969" t="s">
        <v>7896</v>
      </c>
      <c r="F969">
        <v>13</v>
      </c>
      <c r="G969" s="12">
        <v>-4064000</v>
      </c>
      <c r="H969">
        <v>49884538.461538464</v>
      </c>
      <c r="I969">
        <v>-312615.38461538462</v>
      </c>
    </row>
    <row r="970" spans="1:9">
      <c r="A970" t="s">
        <v>1516</v>
      </c>
      <c r="B970" t="s">
        <v>18</v>
      </c>
      <c r="C970">
        <v>2943000</v>
      </c>
      <c r="D970">
        <v>3043000</v>
      </c>
      <c r="E970" t="s">
        <v>7896</v>
      </c>
      <c r="F970">
        <v>2.5</v>
      </c>
      <c r="G970" s="12">
        <v>-100000</v>
      </c>
      <c r="H970">
        <v>1177200</v>
      </c>
      <c r="I970">
        <v>-40000</v>
      </c>
    </row>
    <row r="971" spans="1:9">
      <c r="A971" t="s">
        <v>1558</v>
      </c>
      <c r="B971" t="s">
        <v>18</v>
      </c>
      <c r="C971">
        <v>10420000</v>
      </c>
      <c r="D971">
        <v>10594000</v>
      </c>
      <c r="E971" t="s">
        <v>7896</v>
      </c>
      <c r="F971">
        <v>2.5</v>
      </c>
      <c r="G971" s="12">
        <v>-174000</v>
      </c>
      <c r="H971">
        <v>4168000</v>
      </c>
      <c r="I971">
        <v>-69600</v>
      </c>
    </row>
    <row r="972" spans="1:9">
      <c r="A972" t="s">
        <v>1526</v>
      </c>
      <c r="B972" t="s">
        <v>18</v>
      </c>
      <c r="C972">
        <v>284000</v>
      </c>
      <c r="D972">
        <v>264000</v>
      </c>
      <c r="E972" t="s">
        <v>7896</v>
      </c>
      <c r="F972">
        <v>2.5</v>
      </c>
      <c r="G972" s="12">
        <v>20000</v>
      </c>
      <c r="H972">
        <v>113600</v>
      </c>
      <c r="I972">
        <v>8000</v>
      </c>
    </row>
    <row r="973" spans="1:9">
      <c r="A973" t="s">
        <v>1508</v>
      </c>
      <c r="B973" t="s">
        <v>18</v>
      </c>
      <c r="C973">
        <v>10000</v>
      </c>
      <c r="D973">
        <v>10000</v>
      </c>
      <c r="E973" t="s">
        <v>7896</v>
      </c>
      <c r="F973">
        <v>2.5</v>
      </c>
      <c r="G973" s="12">
        <v>0</v>
      </c>
      <c r="H973">
        <v>4000</v>
      </c>
      <c r="I973">
        <v>0</v>
      </c>
    </row>
    <row r="974" spans="1:9">
      <c r="A974" t="s">
        <v>1532</v>
      </c>
      <c r="B974" t="s">
        <v>18</v>
      </c>
      <c r="C974">
        <v>11292000</v>
      </c>
      <c r="D974">
        <v>11280000</v>
      </c>
      <c r="E974" t="s">
        <v>7896</v>
      </c>
      <c r="F974">
        <v>2.5</v>
      </c>
      <c r="G974" s="12">
        <v>12000</v>
      </c>
      <c r="H974">
        <v>4516800</v>
      </c>
      <c r="I974">
        <v>4800</v>
      </c>
    </row>
    <row r="975" spans="1:9">
      <c r="A975" t="s">
        <v>1532</v>
      </c>
      <c r="B975" t="s">
        <v>18</v>
      </c>
      <c r="C975">
        <v>7389000</v>
      </c>
      <c r="D975">
        <v>7309000</v>
      </c>
      <c r="E975" t="s">
        <v>7896</v>
      </c>
      <c r="F975">
        <v>2.5</v>
      </c>
      <c r="G975" s="12">
        <v>80000</v>
      </c>
      <c r="H975">
        <v>2955600</v>
      </c>
      <c r="I975">
        <v>32000</v>
      </c>
    </row>
    <row r="976" spans="1:9">
      <c r="A976" t="s">
        <v>1532</v>
      </c>
      <c r="B976" t="s">
        <v>18</v>
      </c>
      <c r="C976">
        <v>1378000</v>
      </c>
      <c r="D976">
        <v>1651000</v>
      </c>
      <c r="E976" t="s">
        <v>7896</v>
      </c>
      <c r="F976">
        <v>2.5</v>
      </c>
      <c r="G976" s="12">
        <v>-273000</v>
      </c>
      <c r="H976">
        <v>551200</v>
      </c>
      <c r="I976">
        <v>-109200</v>
      </c>
    </row>
    <row r="977" spans="1:9">
      <c r="A977" t="s">
        <v>1518</v>
      </c>
      <c r="B977" t="s">
        <v>18</v>
      </c>
      <c r="C977">
        <v>6234000</v>
      </c>
      <c r="D977">
        <v>6132000</v>
      </c>
      <c r="E977" t="s">
        <v>7896</v>
      </c>
      <c r="F977">
        <v>2.5</v>
      </c>
      <c r="G977" s="12">
        <v>102000</v>
      </c>
      <c r="H977">
        <v>2493600</v>
      </c>
      <c r="I977">
        <v>40800</v>
      </c>
    </row>
    <row r="978" spans="1:9">
      <c r="A978" t="s">
        <v>1781</v>
      </c>
      <c r="B978" t="s">
        <v>18</v>
      </c>
      <c r="C978">
        <v>195450000</v>
      </c>
      <c r="D978">
        <v>178368000</v>
      </c>
      <c r="E978" t="s">
        <v>7896</v>
      </c>
      <c r="F978">
        <v>2.5</v>
      </c>
      <c r="G978" s="12">
        <v>17082000</v>
      </c>
      <c r="H978">
        <v>78180000</v>
      </c>
      <c r="I978">
        <v>6832800</v>
      </c>
    </row>
    <row r="979" spans="1:9">
      <c r="A979" t="s">
        <v>1776</v>
      </c>
      <c r="B979" t="s">
        <v>18</v>
      </c>
      <c r="C979">
        <v>1325000</v>
      </c>
      <c r="D979">
        <v>783000</v>
      </c>
      <c r="E979" t="s">
        <v>7896</v>
      </c>
      <c r="F979">
        <v>2.5</v>
      </c>
      <c r="G979" s="12">
        <v>542000</v>
      </c>
      <c r="H979">
        <v>530000</v>
      </c>
      <c r="I979">
        <v>216800</v>
      </c>
    </row>
    <row r="980" spans="1:9">
      <c r="A980" t="s">
        <v>1520</v>
      </c>
      <c r="B980" t="s">
        <v>18</v>
      </c>
      <c r="C980">
        <v>2695000</v>
      </c>
      <c r="D980">
        <v>2213000</v>
      </c>
      <c r="E980" t="s">
        <v>7896</v>
      </c>
      <c r="F980">
        <v>2.5</v>
      </c>
      <c r="G980" s="12">
        <v>482000</v>
      </c>
      <c r="H980">
        <v>1078000</v>
      </c>
      <c r="I980">
        <v>192800</v>
      </c>
    </row>
    <row r="981" spans="1:9">
      <c r="A981" t="s">
        <v>1504</v>
      </c>
      <c r="B981" t="s">
        <v>18</v>
      </c>
      <c r="C981">
        <v>2583000</v>
      </c>
      <c r="D981">
        <v>2530000</v>
      </c>
      <c r="E981" t="s">
        <v>7896</v>
      </c>
      <c r="F981">
        <v>2.5</v>
      </c>
      <c r="G981" s="12">
        <v>53000</v>
      </c>
      <c r="H981">
        <v>1033200</v>
      </c>
      <c r="I981">
        <v>21200</v>
      </c>
    </row>
    <row r="982" spans="1:9">
      <c r="A982" t="s">
        <v>1565</v>
      </c>
      <c r="B982" t="s">
        <v>18</v>
      </c>
      <c r="C982">
        <v>20851000</v>
      </c>
      <c r="D982">
        <v>20824000</v>
      </c>
      <c r="E982" t="s">
        <v>7896</v>
      </c>
      <c r="F982">
        <v>2.5</v>
      </c>
      <c r="G982" s="12">
        <v>27000</v>
      </c>
      <c r="H982">
        <v>8340400</v>
      </c>
      <c r="I982">
        <v>10800</v>
      </c>
    </row>
    <row r="983" spans="1:9">
      <c r="A983" t="s">
        <v>1526</v>
      </c>
      <c r="B983" t="s">
        <v>18</v>
      </c>
      <c r="C983">
        <v>226000</v>
      </c>
      <c r="D983">
        <v>222000</v>
      </c>
      <c r="E983" t="s">
        <v>7896</v>
      </c>
      <c r="F983">
        <v>2.5</v>
      </c>
      <c r="G983" s="12">
        <v>4000</v>
      </c>
      <c r="H983">
        <v>90400</v>
      </c>
      <c r="I983">
        <v>1600</v>
      </c>
    </row>
    <row r="984" spans="1:9">
      <c r="A984" t="s">
        <v>1559</v>
      </c>
      <c r="B984" t="s">
        <v>18</v>
      </c>
      <c r="C984">
        <v>239143000</v>
      </c>
      <c r="D984">
        <v>260688000</v>
      </c>
      <c r="E984" t="s">
        <v>7896</v>
      </c>
      <c r="F984">
        <v>2.5</v>
      </c>
      <c r="G984" s="12">
        <v>-21545000</v>
      </c>
      <c r="H984">
        <v>95657200</v>
      </c>
      <c r="I984">
        <v>-8618000</v>
      </c>
    </row>
    <row r="985" spans="1:9">
      <c r="A985" t="s">
        <v>1533</v>
      </c>
      <c r="B985" t="s">
        <v>18</v>
      </c>
      <c r="C985">
        <v>1664000</v>
      </c>
      <c r="D985">
        <v>1661000</v>
      </c>
      <c r="E985" t="s">
        <v>7896</v>
      </c>
      <c r="F985">
        <v>2.5</v>
      </c>
      <c r="G985" s="12">
        <v>3000</v>
      </c>
      <c r="H985">
        <v>665600</v>
      </c>
      <c r="I985">
        <v>1200</v>
      </c>
    </row>
    <row r="986" spans="1:9">
      <c r="A986" t="s">
        <v>1504</v>
      </c>
      <c r="B986" t="s">
        <v>18</v>
      </c>
      <c r="C986">
        <v>3480000</v>
      </c>
      <c r="D986">
        <v>4041000</v>
      </c>
      <c r="E986" t="s">
        <v>7896</v>
      </c>
      <c r="F986">
        <v>2.5</v>
      </c>
      <c r="G986" s="12">
        <v>-561000</v>
      </c>
      <c r="H986">
        <v>1392000</v>
      </c>
      <c r="I986">
        <v>-224400</v>
      </c>
    </row>
    <row r="987" spans="1:9">
      <c r="A987" t="s">
        <v>1580</v>
      </c>
      <c r="B987" t="s">
        <v>18</v>
      </c>
      <c r="C987">
        <v>23500000</v>
      </c>
      <c r="D987">
        <v>23315000</v>
      </c>
      <c r="E987" t="s">
        <v>7896</v>
      </c>
      <c r="F987">
        <v>2.5</v>
      </c>
      <c r="G987" s="12">
        <v>185000</v>
      </c>
      <c r="H987">
        <v>9400000</v>
      </c>
      <c r="I987">
        <v>74000</v>
      </c>
    </row>
    <row r="988" spans="1:9">
      <c r="A988" t="s">
        <v>1580</v>
      </c>
      <c r="B988" t="s">
        <v>18</v>
      </c>
      <c r="C988">
        <v>107000</v>
      </c>
      <c r="D988">
        <v>116000</v>
      </c>
      <c r="E988" t="s">
        <v>7896</v>
      </c>
      <c r="F988">
        <v>2.5</v>
      </c>
      <c r="G988" s="12">
        <v>-9000</v>
      </c>
      <c r="H988">
        <v>42800</v>
      </c>
      <c r="I988">
        <v>-3600</v>
      </c>
    </row>
    <row r="989" spans="1:9">
      <c r="A989" t="s">
        <v>1579</v>
      </c>
      <c r="B989" t="s">
        <v>77</v>
      </c>
      <c r="C989">
        <v>17848000</v>
      </c>
      <c r="D989">
        <v>14538000</v>
      </c>
      <c r="E989" t="s">
        <v>7896</v>
      </c>
      <c r="F989">
        <v>8</v>
      </c>
      <c r="G989" s="12">
        <v>3310000</v>
      </c>
      <c r="H989">
        <v>2231000</v>
      </c>
      <c r="I989">
        <v>413750</v>
      </c>
    </row>
    <row r="990" spans="1:9">
      <c r="A990" t="s">
        <v>1513</v>
      </c>
      <c r="B990" t="s">
        <v>18</v>
      </c>
      <c r="C990">
        <v>290000</v>
      </c>
      <c r="D990">
        <v>269000</v>
      </c>
      <c r="E990" t="s">
        <v>7896</v>
      </c>
      <c r="F990">
        <v>2.5</v>
      </c>
      <c r="G990" s="12">
        <v>21000</v>
      </c>
      <c r="H990">
        <v>116000</v>
      </c>
      <c r="I990">
        <v>8400</v>
      </c>
    </row>
    <row r="991" spans="1:9">
      <c r="A991" t="s">
        <v>1680</v>
      </c>
      <c r="B991" t="s">
        <v>18</v>
      </c>
      <c r="C991">
        <v>168000</v>
      </c>
      <c r="D991">
        <v>166000</v>
      </c>
      <c r="E991" t="s">
        <v>7896</v>
      </c>
      <c r="F991">
        <v>2.5</v>
      </c>
      <c r="G991" s="12">
        <v>2000</v>
      </c>
      <c r="H991">
        <v>67200</v>
      </c>
      <c r="I991">
        <v>800</v>
      </c>
    </row>
    <row r="992" spans="1:9">
      <c r="A992" t="s">
        <v>1524</v>
      </c>
      <c r="B992" t="s">
        <v>18</v>
      </c>
      <c r="C992">
        <v>480000</v>
      </c>
      <c r="D992">
        <v>1114000</v>
      </c>
      <c r="E992" t="s">
        <v>7896</v>
      </c>
      <c r="F992">
        <v>2.5</v>
      </c>
      <c r="G992" s="12">
        <v>-634000</v>
      </c>
      <c r="H992">
        <v>192000</v>
      </c>
      <c r="I992">
        <v>-253600</v>
      </c>
    </row>
    <row r="993" spans="1:9">
      <c r="A993" t="s">
        <v>1898</v>
      </c>
      <c r="B993" t="s">
        <v>18</v>
      </c>
      <c r="C993">
        <v>8580000</v>
      </c>
      <c r="D993">
        <v>8622000</v>
      </c>
      <c r="E993" t="s">
        <v>7896</v>
      </c>
      <c r="F993">
        <v>2.5</v>
      </c>
      <c r="G993" s="12">
        <v>-42000</v>
      </c>
      <c r="H993">
        <v>3432000</v>
      </c>
      <c r="I993">
        <v>-16800</v>
      </c>
    </row>
    <row r="994" spans="1:9">
      <c r="A994" t="s">
        <v>2139</v>
      </c>
      <c r="B994" t="s">
        <v>22</v>
      </c>
      <c r="C994">
        <v>836770000</v>
      </c>
      <c r="D994">
        <v>701581000</v>
      </c>
      <c r="E994" t="s">
        <v>7896</v>
      </c>
      <c r="F994">
        <v>13</v>
      </c>
      <c r="G994" s="12">
        <v>135189000</v>
      </c>
      <c r="H994">
        <v>64366923.07692308</v>
      </c>
      <c r="I994">
        <v>10399153.846153846</v>
      </c>
    </row>
    <row r="995" spans="1:9">
      <c r="A995" t="s">
        <v>1820</v>
      </c>
      <c r="B995" t="s">
        <v>18</v>
      </c>
      <c r="C995">
        <v>75000</v>
      </c>
      <c r="D995">
        <v>75000</v>
      </c>
      <c r="E995" t="s">
        <v>7896</v>
      </c>
      <c r="F995">
        <v>2.5</v>
      </c>
      <c r="G995" s="12">
        <v>0</v>
      </c>
      <c r="H995">
        <v>30000</v>
      </c>
      <c r="I995">
        <v>0</v>
      </c>
    </row>
    <row r="996" spans="1:9">
      <c r="A996" t="s">
        <v>1518</v>
      </c>
      <c r="B996" t="s">
        <v>77</v>
      </c>
      <c r="C996">
        <v>2973000</v>
      </c>
      <c r="D996">
        <v>2681000</v>
      </c>
      <c r="E996" t="s">
        <v>7896</v>
      </c>
      <c r="F996">
        <v>8</v>
      </c>
      <c r="G996" s="12">
        <v>292000</v>
      </c>
      <c r="H996">
        <v>371625</v>
      </c>
      <c r="I996">
        <v>36500</v>
      </c>
    </row>
    <row r="997" spans="1:9">
      <c r="A997" t="s">
        <v>1504</v>
      </c>
      <c r="B997" t="s">
        <v>18</v>
      </c>
      <c r="C997">
        <v>3579000</v>
      </c>
      <c r="D997">
        <v>4850000</v>
      </c>
      <c r="E997" t="s">
        <v>7896</v>
      </c>
      <c r="F997">
        <v>2.5</v>
      </c>
      <c r="G997" s="12">
        <v>-1271000</v>
      </c>
      <c r="H997">
        <v>1431600</v>
      </c>
      <c r="I997">
        <v>-508400</v>
      </c>
    </row>
    <row r="998" spans="1:9">
      <c r="A998" t="s">
        <v>1532</v>
      </c>
      <c r="B998" t="s">
        <v>18</v>
      </c>
      <c r="C998">
        <v>745000</v>
      </c>
      <c r="D998">
        <v>11000</v>
      </c>
      <c r="E998" t="s">
        <v>7896</v>
      </c>
      <c r="F998">
        <v>2.5</v>
      </c>
      <c r="G998" s="12">
        <v>734000</v>
      </c>
      <c r="H998">
        <v>298000</v>
      </c>
      <c r="I998">
        <v>293600</v>
      </c>
    </row>
    <row r="999" spans="1:9">
      <c r="A999" t="s">
        <v>1526</v>
      </c>
      <c r="B999" t="s">
        <v>18</v>
      </c>
      <c r="C999">
        <v>9044000</v>
      </c>
      <c r="D999">
        <v>8954000</v>
      </c>
      <c r="E999" t="s">
        <v>7896</v>
      </c>
      <c r="F999">
        <v>2.5</v>
      </c>
      <c r="G999" s="12">
        <v>90000</v>
      </c>
      <c r="H999">
        <v>3617600</v>
      </c>
      <c r="I999">
        <v>36000</v>
      </c>
    </row>
    <row r="1000" spans="1:9">
      <c r="A1000" t="s">
        <v>1505</v>
      </c>
      <c r="B1000" t="s">
        <v>18</v>
      </c>
      <c r="C1000">
        <v>5000</v>
      </c>
      <c r="D1000">
        <v>5000</v>
      </c>
      <c r="E1000" t="s">
        <v>7896</v>
      </c>
      <c r="F1000">
        <v>2.5</v>
      </c>
      <c r="G1000" s="12">
        <v>0</v>
      </c>
      <c r="H1000">
        <v>2000</v>
      </c>
      <c r="I1000">
        <v>0</v>
      </c>
    </row>
    <row r="1001" spans="1:9">
      <c r="A1001" t="s">
        <v>1629</v>
      </c>
      <c r="B1001" t="s">
        <v>18</v>
      </c>
      <c r="C1001">
        <v>290000</v>
      </c>
      <c r="D1001">
        <v>260000</v>
      </c>
      <c r="E1001" t="s">
        <v>7896</v>
      </c>
      <c r="F1001">
        <v>2.5</v>
      </c>
      <c r="G1001" s="12">
        <v>30000</v>
      </c>
      <c r="H1001">
        <v>116000</v>
      </c>
      <c r="I1001">
        <v>12000</v>
      </c>
    </row>
    <row r="1002" spans="1:9">
      <c r="A1002" t="s">
        <v>1512</v>
      </c>
      <c r="B1002" t="s">
        <v>18</v>
      </c>
      <c r="C1002">
        <v>1414000</v>
      </c>
      <c r="D1002">
        <v>1378000</v>
      </c>
      <c r="E1002" t="s">
        <v>7896</v>
      </c>
      <c r="F1002">
        <v>2.5</v>
      </c>
      <c r="G1002" s="12">
        <v>36000</v>
      </c>
      <c r="H1002">
        <v>565600</v>
      </c>
      <c r="I1002">
        <v>14400</v>
      </c>
    </row>
    <row r="1003" spans="1:9">
      <c r="A1003" t="s">
        <v>1618</v>
      </c>
      <c r="B1003" t="s">
        <v>18</v>
      </c>
      <c r="C1003">
        <v>46000</v>
      </c>
      <c r="D1003">
        <v>46000</v>
      </c>
      <c r="E1003" t="s">
        <v>7896</v>
      </c>
      <c r="F1003">
        <v>2.5</v>
      </c>
      <c r="G1003" s="12">
        <v>0</v>
      </c>
      <c r="H1003">
        <v>18400</v>
      </c>
      <c r="I1003">
        <v>0</v>
      </c>
    </row>
    <row r="1004" spans="1:9">
      <c r="A1004" t="s">
        <v>1619</v>
      </c>
      <c r="B1004" t="s">
        <v>18</v>
      </c>
      <c r="C1004">
        <v>1467000</v>
      </c>
      <c r="D1004">
        <v>1399000</v>
      </c>
      <c r="E1004" t="s">
        <v>7896</v>
      </c>
      <c r="F1004">
        <v>2.5</v>
      </c>
      <c r="G1004" s="12">
        <v>68000</v>
      </c>
      <c r="H1004">
        <v>586800</v>
      </c>
      <c r="I1004">
        <v>27200</v>
      </c>
    </row>
    <row r="1005" spans="1:9">
      <c r="A1005" t="s">
        <v>1520</v>
      </c>
      <c r="B1005" t="s">
        <v>18</v>
      </c>
      <c r="C1005">
        <v>200000</v>
      </c>
      <c r="D1005">
        <v>239000</v>
      </c>
      <c r="E1005" t="s">
        <v>7896</v>
      </c>
      <c r="F1005">
        <v>2.5</v>
      </c>
      <c r="G1005" s="12">
        <v>-39000</v>
      </c>
      <c r="H1005">
        <v>80000</v>
      </c>
      <c r="I1005">
        <v>-15600</v>
      </c>
    </row>
    <row r="1006" spans="1:9">
      <c r="A1006" t="s">
        <v>1533</v>
      </c>
      <c r="B1006" t="s">
        <v>18</v>
      </c>
      <c r="C1006">
        <v>898000</v>
      </c>
      <c r="D1006">
        <v>967000</v>
      </c>
      <c r="E1006" t="s">
        <v>7896</v>
      </c>
      <c r="F1006">
        <v>2.5</v>
      </c>
      <c r="G1006" s="12">
        <v>-69000</v>
      </c>
      <c r="H1006">
        <v>359200</v>
      </c>
      <c r="I1006">
        <v>-27600</v>
      </c>
    </row>
    <row r="1007" spans="1:9">
      <c r="A1007" t="s">
        <v>1532</v>
      </c>
      <c r="B1007" t="s">
        <v>18</v>
      </c>
      <c r="C1007">
        <v>800000</v>
      </c>
      <c r="D1007">
        <v>899000</v>
      </c>
      <c r="E1007" t="s">
        <v>7896</v>
      </c>
      <c r="F1007">
        <v>2.5</v>
      </c>
      <c r="G1007" s="12">
        <v>-99000</v>
      </c>
      <c r="H1007">
        <v>320000</v>
      </c>
      <c r="I1007">
        <v>-39600</v>
      </c>
    </row>
    <row r="1008" spans="1:9">
      <c r="A1008" t="s">
        <v>1519</v>
      </c>
      <c r="B1008" t="s">
        <v>18</v>
      </c>
      <c r="C1008">
        <v>14377000</v>
      </c>
      <c r="D1008">
        <v>13691000</v>
      </c>
      <c r="E1008" t="s">
        <v>7896</v>
      </c>
      <c r="F1008">
        <v>2.5</v>
      </c>
      <c r="G1008" s="12">
        <v>686000</v>
      </c>
      <c r="H1008">
        <v>5750800</v>
      </c>
      <c r="I1008">
        <v>274400</v>
      </c>
    </row>
    <row r="1009" spans="1:9">
      <c r="A1009" t="s">
        <v>1509</v>
      </c>
      <c r="B1009" t="s">
        <v>23</v>
      </c>
      <c r="C1009">
        <v>90832000</v>
      </c>
      <c r="D1009">
        <v>98283000</v>
      </c>
      <c r="E1009" t="s">
        <v>7897</v>
      </c>
      <c r="F1009">
        <v>75.5</v>
      </c>
      <c r="G1009" s="12">
        <v>-7451000</v>
      </c>
      <c r="H1009">
        <v>1203072.8476821191</v>
      </c>
      <c r="I1009">
        <v>-98688.741721854298</v>
      </c>
    </row>
    <row r="1010" spans="1:9">
      <c r="A1010" t="s">
        <v>1560</v>
      </c>
      <c r="B1010" t="s">
        <v>18</v>
      </c>
      <c r="C1010">
        <v>588000</v>
      </c>
      <c r="D1010">
        <v>630000</v>
      </c>
      <c r="E1010" t="s">
        <v>7896</v>
      </c>
      <c r="F1010">
        <v>2.5</v>
      </c>
      <c r="G1010" s="12">
        <v>-42000</v>
      </c>
      <c r="H1010">
        <v>235200</v>
      </c>
      <c r="I1010">
        <v>-16800</v>
      </c>
    </row>
    <row r="1011" spans="1:9">
      <c r="A1011" t="s">
        <v>1738</v>
      </c>
      <c r="B1011" t="s">
        <v>18</v>
      </c>
      <c r="C1011">
        <v>1284000</v>
      </c>
      <c r="D1011">
        <v>1319000</v>
      </c>
      <c r="E1011" t="s">
        <v>7896</v>
      </c>
      <c r="F1011">
        <v>2.5</v>
      </c>
      <c r="G1011" s="12">
        <v>-35000</v>
      </c>
      <c r="H1011">
        <v>513600</v>
      </c>
      <c r="I1011">
        <v>-14000</v>
      </c>
    </row>
    <row r="1012" spans="1:9">
      <c r="A1012" t="s">
        <v>1524</v>
      </c>
      <c r="B1012" t="s">
        <v>18</v>
      </c>
      <c r="C1012">
        <v>831000</v>
      </c>
      <c r="D1012">
        <v>442000</v>
      </c>
      <c r="E1012" t="s">
        <v>7896</v>
      </c>
      <c r="F1012">
        <v>2.5</v>
      </c>
      <c r="G1012" s="12">
        <v>389000</v>
      </c>
      <c r="H1012">
        <v>332400</v>
      </c>
      <c r="I1012">
        <v>155600</v>
      </c>
    </row>
    <row r="1013" spans="1:9">
      <c r="A1013" t="s">
        <v>1509</v>
      </c>
      <c r="B1013" t="s">
        <v>18</v>
      </c>
      <c r="C1013">
        <v>38855000</v>
      </c>
      <c r="D1013">
        <v>32486000</v>
      </c>
      <c r="E1013" t="s">
        <v>7896</v>
      </c>
      <c r="F1013">
        <v>2.5</v>
      </c>
      <c r="G1013" s="12">
        <v>6369000</v>
      </c>
      <c r="H1013">
        <v>15542000</v>
      </c>
      <c r="I1013">
        <v>2547600</v>
      </c>
    </row>
    <row r="1014" spans="1:9">
      <c r="A1014" t="s">
        <v>1558</v>
      </c>
      <c r="B1014" t="s">
        <v>18</v>
      </c>
      <c r="C1014">
        <v>1258000</v>
      </c>
      <c r="D1014">
        <v>917000</v>
      </c>
      <c r="E1014" t="s">
        <v>7896</v>
      </c>
      <c r="F1014">
        <v>2.5</v>
      </c>
      <c r="G1014" s="12">
        <v>341000</v>
      </c>
      <c r="H1014">
        <v>503200</v>
      </c>
      <c r="I1014">
        <v>136400</v>
      </c>
    </row>
    <row r="1015" spans="1:9">
      <c r="A1015" t="s">
        <v>1649</v>
      </c>
      <c r="B1015" t="s">
        <v>77</v>
      </c>
      <c r="C1015">
        <v>10927000</v>
      </c>
      <c r="D1015">
        <v>12422000</v>
      </c>
      <c r="E1015" t="s">
        <v>7896</v>
      </c>
      <c r="F1015">
        <v>8</v>
      </c>
      <c r="G1015" s="12">
        <v>-1495000</v>
      </c>
      <c r="H1015">
        <v>1365875</v>
      </c>
      <c r="I1015">
        <v>-186875</v>
      </c>
    </row>
    <row r="1016" spans="1:9">
      <c r="A1016" t="s">
        <v>1628</v>
      </c>
      <c r="B1016" t="s">
        <v>18</v>
      </c>
      <c r="C1016">
        <v>5657000</v>
      </c>
      <c r="D1016">
        <v>5666000</v>
      </c>
      <c r="E1016" t="s">
        <v>7896</v>
      </c>
      <c r="F1016">
        <v>2.5</v>
      </c>
      <c r="G1016" s="12">
        <v>-9000</v>
      </c>
      <c r="H1016">
        <v>2262800</v>
      </c>
      <c r="I1016">
        <v>-3600</v>
      </c>
    </row>
    <row r="1017" spans="1:9">
      <c r="A1017" t="s">
        <v>1520</v>
      </c>
      <c r="B1017" t="s">
        <v>18</v>
      </c>
      <c r="C1017">
        <v>3862000</v>
      </c>
      <c r="D1017">
        <v>4425000</v>
      </c>
      <c r="E1017" t="s">
        <v>7896</v>
      </c>
      <c r="F1017">
        <v>2.5</v>
      </c>
      <c r="G1017" s="12">
        <v>-563000</v>
      </c>
      <c r="H1017">
        <v>1544800</v>
      </c>
      <c r="I1017">
        <v>-225200</v>
      </c>
    </row>
    <row r="1018" spans="1:9">
      <c r="A1018" t="s">
        <v>1579</v>
      </c>
      <c r="B1018" t="s">
        <v>18</v>
      </c>
      <c r="C1018">
        <v>564000</v>
      </c>
      <c r="D1018">
        <v>803000</v>
      </c>
      <c r="E1018" t="s">
        <v>7896</v>
      </c>
      <c r="F1018">
        <v>2.5</v>
      </c>
      <c r="G1018" s="12">
        <v>-239000</v>
      </c>
      <c r="H1018">
        <v>225600</v>
      </c>
      <c r="I1018">
        <v>-95600</v>
      </c>
    </row>
    <row r="1019" spans="1:9">
      <c r="A1019" t="s">
        <v>1588</v>
      </c>
      <c r="B1019" t="s">
        <v>18</v>
      </c>
      <c r="C1019">
        <v>787000</v>
      </c>
      <c r="D1019">
        <v>787000</v>
      </c>
      <c r="E1019" t="s">
        <v>7896</v>
      </c>
      <c r="F1019">
        <v>2.5</v>
      </c>
      <c r="G1019" s="12">
        <v>0</v>
      </c>
      <c r="H1019">
        <v>314800</v>
      </c>
      <c r="I1019">
        <v>0</v>
      </c>
    </row>
    <row r="1020" spans="1:9">
      <c r="A1020" t="s">
        <v>1526</v>
      </c>
      <c r="B1020" t="s">
        <v>18</v>
      </c>
      <c r="C1020">
        <v>43287000</v>
      </c>
      <c r="D1020">
        <v>45202000</v>
      </c>
      <c r="E1020" t="s">
        <v>7896</v>
      </c>
      <c r="F1020">
        <v>2.5</v>
      </c>
      <c r="G1020" s="12">
        <v>-1915000</v>
      </c>
      <c r="H1020">
        <v>17314800</v>
      </c>
      <c r="I1020">
        <v>-766000</v>
      </c>
    </row>
    <row r="1021" spans="1:9">
      <c r="A1021" t="s">
        <v>1547</v>
      </c>
      <c r="B1021" t="s">
        <v>23</v>
      </c>
      <c r="C1021">
        <v>4216000</v>
      </c>
      <c r="D1021">
        <v>4486000</v>
      </c>
      <c r="E1021" t="s">
        <v>7897</v>
      </c>
      <c r="F1021">
        <v>75.5</v>
      </c>
      <c r="G1021" s="12">
        <v>-270000</v>
      </c>
      <c r="H1021">
        <v>55841.059602649009</v>
      </c>
      <c r="I1021">
        <v>-3576.1589403973512</v>
      </c>
    </row>
    <row r="1022" spans="1:9">
      <c r="A1022" t="s">
        <v>1524</v>
      </c>
      <c r="B1022" t="s">
        <v>18</v>
      </c>
      <c r="C1022">
        <v>2113000</v>
      </c>
      <c r="D1022">
        <v>2113000</v>
      </c>
      <c r="E1022" t="s">
        <v>7896</v>
      </c>
      <c r="F1022">
        <v>2.5</v>
      </c>
      <c r="G1022" s="12">
        <v>0</v>
      </c>
      <c r="H1022">
        <v>845200</v>
      </c>
      <c r="I1022">
        <v>0</v>
      </c>
    </row>
    <row r="1023" spans="1:9">
      <c r="A1023" t="s">
        <v>1516</v>
      </c>
      <c r="B1023" t="s">
        <v>18</v>
      </c>
      <c r="C1023">
        <v>207000</v>
      </c>
      <c r="D1023">
        <v>207000</v>
      </c>
      <c r="E1023" t="s">
        <v>7896</v>
      </c>
      <c r="F1023">
        <v>2.5</v>
      </c>
      <c r="G1023" s="12">
        <v>0</v>
      </c>
      <c r="H1023">
        <v>82800</v>
      </c>
      <c r="I1023">
        <v>0</v>
      </c>
    </row>
    <row r="1024" spans="1:9">
      <c r="A1024" t="s">
        <v>1524</v>
      </c>
      <c r="B1024" t="s">
        <v>18</v>
      </c>
      <c r="C1024">
        <v>3172000</v>
      </c>
      <c r="D1024">
        <v>3491000</v>
      </c>
      <c r="E1024" t="s">
        <v>7896</v>
      </c>
      <c r="F1024">
        <v>2.5</v>
      </c>
      <c r="G1024" s="12">
        <v>-319000</v>
      </c>
      <c r="H1024">
        <v>1268800</v>
      </c>
      <c r="I1024">
        <v>-127600</v>
      </c>
    </row>
    <row r="1025" spans="1:9">
      <c r="A1025" t="s">
        <v>1508</v>
      </c>
      <c r="B1025" t="s">
        <v>18</v>
      </c>
      <c r="C1025">
        <v>9993000</v>
      </c>
      <c r="D1025">
        <v>9645000</v>
      </c>
      <c r="E1025" t="s">
        <v>7896</v>
      </c>
      <c r="F1025">
        <v>2.5</v>
      </c>
      <c r="G1025" s="12">
        <v>348000</v>
      </c>
      <c r="H1025">
        <v>3997200</v>
      </c>
      <c r="I1025">
        <v>139200</v>
      </c>
    </row>
    <row r="1026" spans="1:9">
      <c r="A1026" t="s">
        <v>1521</v>
      </c>
      <c r="B1026" t="s">
        <v>22</v>
      </c>
      <c r="C1026">
        <v>23522000</v>
      </c>
      <c r="D1026">
        <v>23765000</v>
      </c>
      <c r="E1026" t="s">
        <v>7896</v>
      </c>
      <c r="F1026">
        <v>13</v>
      </c>
      <c r="G1026" s="12">
        <v>-243000</v>
      </c>
      <c r="H1026">
        <v>1809384.6153846155</v>
      </c>
      <c r="I1026">
        <v>-18692.307692307691</v>
      </c>
    </row>
    <row r="1027" spans="1:9">
      <c r="A1027" t="s">
        <v>1532</v>
      </c>
      <c r="B1027" t="s">
        <v>18</v>
      </c>
      <c r="C1027">
        <v>1885000</v>
      </c>
      <c r="D1027">
        <v>2006000</v>
      </c>
      <c r="E1027" t="s">
        <v>7896</v>
      </c>
      <c r="F1027">
        <v>2.5</v>
      </c>
      <c r="G1027" s="12">
        <v>-121000</v>
      </c>
      <c r="H1027">
        <v>754000</v>
      </c>
      <c r="I1027">
        <v>-48400</v>
      </c>
    </row>
    <row r="1028" spans="1:9">
      <c r="A1028" t="s">
        <v>1560</v>
      </c>
      <c r="B1028" t="s">
        <v>18</v>
      </c>
      <c r="C1028">
        <v>930000</v>
      </c>
      <c r="D1028">
        <v>1014000</v>
      </c>
      <c r="E1028" t="s">
        <v>7896</v>
      </c>
      <c r="F1028">
        <v>2.5</v>
      </c>
      <c r="G1028" s="12">
        <v>-84000</v>
      </c>
      <c r="H1028">
        <v>372000</v>
      </c>
      <c r="I1028">
        <v>-33600</v>
      </c>
    </row>
    <row r="1029" spans="1:9">
      <c r="A1029" t="s">
        <v>1558</v>
      </c>
      <c r="B1029" t="s">
        <v>18</v>
      </c>
      <c r="C1029">
        <v>344639000</v>
      </c>
      <c r="D1029">
        <v>304329000</v>
      </c>
      <c r="E1029" t="s">
        <v>7896</v>
      </c>
      <c r="F1029">
        <v>2.5</v>
      </c>
      <c r="G1029" s="12">
        <v>40310000</v>
      </c>
      <c r="H1029">
        <v>137855600</v>
      </c>
      <c r="I1029">
        <v>16124000</v>
      </c>
    </row>
    <row r="1030" spans="1:9">
      <c r="A1030" t="s">
        <v>1565</v>
      </c>
      <c r="B1030" t="s">
        <v>18</v>
      </c>
      <c r="C1030">
        <v>1015000</v>
      </c>
      <c r="D1030">
        <v>1023000</v>
      </c>
      <c r="E1030" t="s">
        <v>7896</v>
      </c>
      <c r="F1030">
        <v>2.5</v>
      </c>
      <c r="G1030" s="12">
        <v>-8000</v>
      </c>
      <c r="H1030">
        <v>406000</v>
      </c>
      <c r="I1030">
        <v>-3200</v>
      </c>
    </row>
    <row r="1031" spans="1:9">
      <c r="A1031" t="s">
        <v>1618</v>
      </c>
      <c r="B1031" t="s">
        <v>18</v>
      </c>
      <c r="C1031">
        <v>219000</v>
      </c>
      <c r="D1031">
        <v>173000</v>
      </c>
      <c r="E1031" t="s">
        <v>7896</v>
      </c>
      <c r="F1031">
        <v>2.5</v>
      </c>
      <c r="G1031" s="12">
        <v>46000</v>
      </c>
      <c r="H1031">
        <v>87600</v>
      </c>
      <c r="I1031">
        <v>18400</v>
      </c>
    </row>
    <row r="1032" spans="1:9">
      <c r="A1032" t="s">
        <v>1532</v>
      </c>
      <c r="B1032" t="s">
        <v>18</v>
      </c>
      <c r="C1032">
        <v>15898000</v>
      </c>
      <c r="D1032">
        <v>15236000</v>
      </c>
      <c r="E1032" t="s">
        <v>7896</v>
      </c>
      <c r="F1032">
        <v>2.5</v>
      </c>
      <c r="G1032" s="12">
        <v>662000</v>
      </c>
      <c r="H1032">
        <v>6359200</v>
      </c>
      <c r="I1032">
        <v>264800</v>
      </c>
    </row>
    <row r="1033" spans="1:9">
      <c r="A1033" t="s">
        <v>1532</v>
      </c>
      <c r="B1033" t="s">
        <v>18</v>
      </c>
      <c r="C1033">
        <v>1980000</v>
      </c>
      <c r="D1033">
        <v>2093000</v>
      </c>
      <c r="E1033" t="s">
        <v>7896</v>
      </c>
      <c r="F1033">
        <v>2.5</v>
      </c>
      <c r="G1033" s="12">
        <v>-113000</v>
      </c>
      <c r="H1033">
        <v>792000</v>
      </c>
      <c r="I1033">
        <v>-45200</v>
      </c>
    </row>
    <row r="1034" spans="1:9">
      <c r="A1034" t="s">
        <v>1589</v>
      </c>
      <c r="B1034" t="s">
        <v>18</v>
      </c>
      <c r="C1034">
        <v>4664000</v>
      </c>
      <c r="D1034">
        <v>4487000</v>
      </c>
      <c r="E1034" t="s">
        <v>7896</v>
      </c>
      <c r="F1034">
        <v>2.5</v>
      </c>
      <c r="G1034" s="12">
        <v>177000</v>
      </c>
      <c r="H1034">
        <v>1865600</v>
      </c>
      <c r="I1034">
        <v>70800</v>
      </c>
    </row>
    <row r="1035" spans="1:9">
      <c r="A1035" t="s">
        <v>1588</v>
      </c>
      <c r="B1035" t="s">
        <v>18</v>
      </c>
      <c r="C1035">
        <v>43000</v>
      </c>
      <c r="D1035">
        <v>43000</v>
      </c>
      <c r="E1035" t="s">
        <v>7896</v>
      </c>
      <c r="F1035">
        <v>2.5</v>
      </c>
      <c r="G1035" s="12">
        <v>0</v>
      </c>
      <c r="H1035">
        <v>17200</v>
      </c>
      <c r="I1035">
        <v>0</v>
      </c>
    </row>
    <row r="1036" spans="1:9">
      <c r="A1036" t="s">
        <v>1868</v>
      </c>
      <c r="B1036" t="s">
        <v>18</v>
      </c>
      <c r="C1036">
        <v>36401000</v>
      </c>
      <c r="D1036">
        <v>1053000</v>
      </c>
      <c r="E1036" t="s">
        <v>7896</v>
      </c>
      <c r="F1036">
        <v>2.5</v>
      </c>
      <c r="G1036" s="12">
        <v>35348000</v>
      </c>
      <c r="H1036">
        <v>14560400</v>
      </c>
      <c r="I1036">
        <v>14139200</v>
      </c>
    </row>
    <row r="1037" spans="1:9">
      <c r="A1037" t="s">
        <v>1595</v>
      </c>
      <c r="B1037" t="s">
        <v>22</v>
      </c>
      <c r="C1037">
        <v>10652000</v>
      </c>
      <c r="D1037">
        <v>13090000</v>
      </c>
      <c r="E1037" t="s">
        <v>7896</v>
      </c>
      <c r="F1037">
        <v>13</v>
      </c>
      <c r="G1037" s="12">
        <v>-2438000</v>
      </c>
      <c r="H1037">
        <v>819384.61538461538</v>
      </c>
      <c r="I1037">
        <v>-187538.46153846153</v>
      </c>
    </row>
    <row r="1038" spans="1:9">
      <c r="A1038" t="s">
        <v>1504</v>
      </c>
      <c r="B1038" t="s">
        <v>18</v>
      </c>
      <c r="C1038">
        <v>504000</v>
      </c>
      <c r="D1038">
        <v>564000</v>
      </c>
      <c r="E1038" t="s">
        <v>7896</v>
      </c>
      <c r="F1038">
        <v>2.5</v>
      </c>
      <c r="G1038" s="12">
        <v>-60000</v>
      </c>
      <c r="H1038">
        <v>201600</v>
      </c>
      <c r="I1038">
        <v>-24000</v>
      </c>
    </row>
    <row r="1039" spans="1:9">
      <c r="A1039" t="s">
        <v>1533</v>
      </c>
      <c r="B1039" t="s">
        <v>18</v>
      </c>
      <c r="C1039">
        <v>4182000</v>
      </c>
      <c r="D1039">
        <v>2748000</v>
      </c>
      <c r="E1039" t="s">
        <v>7896</v>
      </c>
      <c r="F1039">
        <v>2.5</v>
      </c>
      <c r="G1039" s="12">
        <v>1434000</v>
      </c>
      <c r="H1039">
        <v>1672800</v>
      </c>
      <c r="I1039">
        <v>573600</v>
      </c>
    </row>
    <row r="1040" spans="1:9">
      <c r="A1040" t="s">
        <v>1585</v>
      </c>
      <c r="B1040" t="s">
        <v>18</v>
      </c>
      <c r="C1040">
        <v>579000</v>
      </c>
      <c r="D1040">
        <v>564000</v>
      </c>
      <c r="E1040" t="s">
        <v>7896</v>
      </c>
      <c r="F1040">
        <v>2.5</v>
      </c>
      <c r="G1040" s="12">
        <v>15000</v>
      </c>
      <c r="H1040">
        <v>231600</v>
      </c>
      <c r="I1040">
        <v>6000</v>
      </c>
    </row>
    <row r="1041" spans="1:9">
      <c r="A1041" t="s">
        <v>1629</v>
      </c>
      <c r="B1041" t="s">
        <v>18</v>
      </c>
      <c r="C1041">
        <v>5171000</v>
      </c>
      <c r="D1041">
        <v>5300000</v>
      </c>
      <c r="E1041" t="s">
        <v>7896</v>
      </c>
      <c r="F1041">
        <v>2.5</v>
      </c>
      <c r="G1041" s="12">
        <v>-129000</v>
      </c>
      <c r="H1041">
        <v>2068400</v>
      </c>
      <c r="I1041">
        <v>-51600</v>
      </c>
    </row>
    <row r="1042" spans="1:9">
      <c r="A1042" t="s">
        <v>1526</v>
      </c>
      <c r="B1042" t="s">
        <v>18</v>
      </c>
      <c r="C1042">
        <v>50000</v>
      </c>
      <c r="D1042">
        <v>87000</v>
      </c>
      <c r="E1042" t="s">
        <v>7896</v>
      </c>
      <c r="F1042">
        <v>2.5</v>
      </c>
      <c r="G1042" s="12">
        <v>-37000</v>
      </c>
      <c r="H1042">
        <v>20000</v>
      </c>
      <c r="I1042">
        <v>-14800</v>
      </c>
    </row>
    <row r="1043" spans="1:9">
      <c r="A1043" t="s">
        <v>1579</v>
      </c>
      <c r="B1043" t="s">
        <v>18</v>
      </c>
      <c r="C1043">
        <v>102000</v>
      </c>
      <c r="D1043">
        <v>102000</v>
      </c>
      <c r="E1043" t="s">
        <v>7896</v>
      </c>
      <c r="F1043">
        <v>2.5</v>
      </c>
      <c r="G1043" s="12">
        <v>0</v>
      </c>
      <c r="H1043">
        <v>40800</v>
      </c>
      <c r="I1043">
        <v>0</v>
      </c>
    </row>
    <row r="1044" spans="1:9">
      <c r="A1044" t="s">
        <v>1532</v>
      </c>
      <c r="B1044" t="s">
        <v>18</v>
      </c>
      <c r="C1044">
        <v>4920000</v>
      </c>
      <c r="D1044">
        <v>17519000</v>
      </c>
      <c r="E1044" t="s">
        <v>7896</v>
      </c>
      <c r="F1044">
        <v>2.5</v>
      </c>
      <c r="G1044" s="12">
        <v>-12599000</v>
      </c>
      <c r="H1044">
        <v>1968000</v>
      </c>
      <c r="I1044">
        <v>-5039600</v>
      </c>
    </row>
    <row r="1045" spans="1:9">
      <c r="A1045" t="s">
        <v>1533</v>
      </c>
      <c r="B1045" t="s">
        <v>18</v>
      </c>
      <c r="C1045">
        <v>2809000</v>
      </c>
      <c r="D1045">
        <v>2755000</v>
      </c>
      <c r="E1045" t="s">
        <v>7896</v>
      </c>
      <c r="F1045">
        <v>2.5</v>
      </c>
      <c r="G1045" s="12">
        <v>54000</v>
      </c>
      <c r="H1045">
        <v>1123600</v>
      </c>
      <c r="I1045">
        <v>21600</v>
      </c>
    </row>
    <row r="1046" spans="1:9">
      <c r="A1046" t="s">
        <v>1504</v>
      </c>
      <c r="B1046" t="s">
        <v>18</v>
      </c>
      <c r="C1046">
        <v>3805000</v>
      </c>
      <c r="D1046">
        <v>3099000</v>
      </c>
      <c r="E1046" t="s">
        <v>7896</v>
      </c>
      <c r="F1046">
        <v>2.5</v>
      </c>
      <c r="G1046" s="12">
        <v>706000</v>
      </c>
      <c r="H1046">
        <v>1522000</v>
      </c>
      <c r="I1046">
        <v>282400</v>
      </c>
    </row>
    <row r="1047" spans="1:9">
      <c r="A1047" t="s">
        <v>1868</v>
      </c>
      <c r="B1047" t="s">
        <v>18</v>
      </c>
      <c r="C1047">
        <v>3957000</v>
      </c>
      <c r="D1047">
        <v>4383000</v>
      </c>
      <c r="E1047" t="s">
        <v>7896</v>
      </c>
      <c r="F1047">
        <v>2.5</v>
      </c>
      <c r="G1047" s="12">
        <v>-426000</v>
      </c>
      <c r="H1047">
        <v>1582800</v>
      </c>
      <c r="I1047">
        <v>-170400</v>
      </c>
    </row>
    <row r="1048" spans="1:9">
      <c r="A1048" t="s">
        <v>1580</v>
      </c>
      <c r="B1048" t="s">
        <v>18</v>
      </c>
      <c r="C1048">
        <v>2890000</v>
      </c>
      <c r="D1048">
        <v>3837000</v>
      </c>
      <c r="E1048" t="s">
        <v>7896</v>
      </c>
      <c r="F1048">
        <v>2.5</v>
      </c>
      <c r="G1048" s="12">
        <v>-947000</v>
      </c>
      <c r="H1048">
        <v>1156000</v>
      </c>
      <c r="I1048">
        <v>-378800</v>
      </c>
    </row>
    <row r="1049" spans="1:9">
      <c r="A1049" t="s">
        <v>1504</v>
      </c>
      <c r="B1049" t="s">
        <v>18</v>
      </c>
      <c r="C1049">
        <v>2585000</v>
      </c>
      <c r="D1049">
        <v>1805000</v>
      </c>
      <c r="E1049" t="s">
        <v>7896</v>
      </c>
      <c r="F1049">
        <v>2.5</v>
      </c>
      <c r="G1049" s="12">
        <v>780000</v>
      </c>
      <c r="H1049">
        <v>1034000</v>
      </c>
      <c r="I1049">
        <v>312000</v>
      </c>
    </row>
    <row r="1050" spans="1:9">
      <c r="A1050" t="s">
        <v>1532</v>
      </c>
      <c r="B1050" t="s">
        <v>18</v>
      </c>
      <c r="C1050">
        <v>95000</v>
      </c>
      <c r="D1050">
        <v>163000</v>
      </c>
      <c r="E1050" t="s">
        <v>7896</v>
      </c>
      <c r="F1050">
        <v>2.5</v>
      </c>
      <c r="G1050" s="12">
        <v>-68000</v>
      </c>
      <c r="H1050">
        <v>38000</v>
      </c>
      <c r="I1050">
        <v>-27200</v>
      </c>
    </row>
    <row r="1051" spans="1:9">
      <c r="A1051" t="s">
        <v>1521</v>
      </c>
      <c r="B1051" t="s">
        <v>18</v>
      </c>
      <c r="C1051">
        <v>2001000</v>
      </c>
      <c r="D1051">
        <v>2148000</v>
      </c>
      <c r="E1051" t="s">
        <v>7896</v>
      </c>
      <c r="F1051">
        <v>2.5</v>
      </c>
      <c r="G1051" s="12">
        <v>-147000</v>
      </c>
      <c r="H1051">
        <v>800400</v>
      </c>
      <c r="I1051">
        <v>-58800</v>
      </c>
    </row>
    <row r="1052" spans="1:9">
      <c r="A1052" t="s">
        <v>1532</v>
      </c>
      <c r="B1052" t="s">
        <v>18</v>
      </c>
      <c r="C1052">
        <v>967000</v>
      </c>
      <c r="D1052">
        <v>1336000</v>
      </c>
      <c r="E1052" t="s">
        <v>7896</v>
      </c>
      <c r="F1052">
        <v>2.5</v>
      </c>
      <c r="G1052" s="12">
        <v>-369000</v>
      </c>
      <c r="H1052">
        <v>386800</v>
      </c>
      <c r="I1052">
        <v>-147600</v>
      </c>
    </row>
    <row r="1053" spans="1:9">
      <c r="A1053" t="s">
        <v>1560</v>
      </c>
      <c r="B1053" t="s">
        <v>18</v>
      </c>
      <c r="C1053">
        <v>600000</v>
      </c>
      <c r="D1053">
        <v>628000</v>
      </c>
      <c r="E1053" t="s">
        <v>7896</v>
      </c>
      <c r="F1053">
        <v>2.5</v>
      </c>
      <c r="G1053" s="12">
        <v>-28000</v>
      </c>
      <c r="H1053">
        <v>240000</v>
      </c>
      <c r="I1053">
        <v>-11200</v>
      </c>
    </row>
    <row r="1054" spans="1:9">
      <c r="A1054" t="s">
        <v>1532</v>
      </c>
      <c r="B1054" t="s">
        <v>18</v>
      </c>
      <c r="C1054">
        <v>6312000</v>
      </c>
      <c r="D1054">
        <v>6809000</v>
      </c>
      <c r="E1054" t="s">
        <v>7896</v>
      </c>
      <c r="F1054">
        <v>2.5</v>
      </c>
      <c r="G1054" s="12">
        <v>-497000</v>
      </c>
      <c r="H1054">
        <v>2524800</v>
      </c>
      <c r="I1054">
        <v>-198800</v>
      </c>
    </row>
    <row r="1055" spans="1:9">
      <c r="A1055" t="s">
        <v>1504</v>
      </c>
      <c r="B1055" t="s">
        <v>18</v>
      </c>
      <c r="C1055">
        <v>43000</v>
      </c>
      <c r="D1055">
        <v>214000</v>
      </c>
      <c r="E1055" t="s">
        <v>7896</v>
      </c>
      <c r="F1055">
        <v>2.5</v>
      </c>
      <c r="G1055" s="12">
        <v>-171000</v>
      </c>
      <c r="H1055">
        <v>17200</v>
      </c>
      <c r="I1055">
        <v>-68400</v>
      </c>
    </row>
    <row r="1056" spans="1:9">
      <c r="A1056" t="s">
        <v>1520</v>
      </c>
      <c r="B1056" t="s">
        <v>18</v>
      </c>
      <c r="C1056">
        <v>431000</v>
      </c>
      <c r="D1056">
        <v>609000</v>
      </c>
      <c r="E1056" t="s">
        <v>7896</v>
      </c>
      <c r="F1056">
        <v>2.5</v>
      </c>
      <c r="G1056" s="12">
        <v>-178000</v>
      </c>
      <c r="H1056">
        <v>172400</v>
      </c>
      <c r="I1056">
        <v>-71200</v>
      </c>
    </row>
    <row r="1057" spans="1:9">
      <c r="A1057" t="s">
        <v>1524</v>
      </c>
      <c r="B1057" t="s">
        <v>18</v>
      </c>
      <c r="C1057">
        <v>1500000</v>
      </c>
      <c r="D1057">
        <v>1758000</v>
      </c>
      <c r="E1057" t="s">
        <v>7896</v>
      </c>
      <c r="F1057">
        <v>2.5</v>
      </c>
      <c r="G1057" s="12">
        <v>-258000</v>
      </c>
      <c r="H1057">
        <v>600000</v>
      </c>
      <c r="I1057">
        <v>-103200</v>
      </c>
    </row>
    <row r="1058" spans="1:9">
      <c r="A1058" t="s">
        <v>1526</v>
      </c>
      <c r="B1058" t="s">
        <v>18</v>
      </c>
      <c r="C1058">
        <v>2118000</v>
      </c>
      <c r="D1058">
        <v>2118000</v>
      </c>
      <c r="E1058" t="s">
        <v>7896</v>
      </c>
      <c r="F1058">
        <v>2.5</v>
      </c>
      <c r="G1058" s="12">
        <v>0</v>
      </c>
      <c r="H1058">
        <v>847200</v>
      </c>
      <c r="I1058">
        <v>0</v>
      </c>
    </row>
    <row r="1059" spans="1:9">
      <c r="A1059" t="s">
        <v>1518</v>
      </c>
      <c r="B1059" t="s">
        <v>18</v>
      </c>
      <c r="C1059">
        <v>3098000</v>
      </c>
      <c r="D1059">
        <v>3332000</v>
      </c>
      <c r="E1059" t="s">
        <v>7896</v>
      </c>
      <c r="F1059">
        <v>2.5</v>
      </c>
      <c r="G1059" s="12">
        <v>-234000</v>
      </c>
      <c r="H1059">
        <v>1239200</v>
      </c>
      <c r="I1059">
        <v>-93600</v>
      </c>
    </row>
    <row r="1060" spans="1:9">
      <c r="A1060" t="s">
        <v>1532</v>
      </c>
      <c r="B1060" t="s">
        <v>18</v>
      </c>
      <c r="C1060">
        <v>120000</v>
      </c>
      <c r="D1060">
        <v>19000</v>
      </c>
      <c r="E1060" t="s">
        <v>7896</v>
      </c>
      <c r="F1060">
        <v>2.5</v>
      </c>
      <c r="G1060" s="12">
        <v>101000</v>
      </c>
      <c r="H1060">
        <v>48000</v>
      </c>
      <c r="I1060">
        <v>40400</v>
      </c>
    </row>
    <row r="1061" spans="1:9">
      <c r="A1061" t="s">
        <v>1588</v>
      </c>
      <c r="B1061" t="s">
        <v>18</v>
      </c>
      <c r="C1061">
        <v>6929000</v>
      </c>
      <c r="D1061">
        <v>6833000</v>
      </c>
      <c r="E1061" t="s">
        <v>7896</v>
      </c>
      <c r="F1061">
        <v>2.5</v>
      </c>
      <c r="G1061" s="12">
        <v>96000</v>
      </c>
      <c r="H1061">
        <v>2771600</v>
      </c>
      <c r="I1061">
        <v>38400</v>
      </c>
    </row>
    <row r="1062" spans="1:9">
      <c r="A1062" t="s">
        <v>1544</v>
      </c>
      <c r="B1062" t="s">
        <v>18</v>
      </c>
      <c r="C1062">
        <v>2954000</v>
      </c>
      <c r="D1062">
        <v>340000</v>
      </c>
      <c r="E1062" t="s">
        <v>7896</v>
      </c>
      <c r="F1062">
        <v>2.5</v>
      </c>
      <c r="G1062" s="12">
        <v>2614000</v>
      </c>
      <c r="H1062">
        <v>1181600</v>
      </c>
      <c r="I1062">
        <v>1045600</v>
      </c>
    </row>
    <row r="1063" spans="1:9">
      <c r="A1063" t="s">
        <v>1517</v>
      </c>
      <c r="B1063" t="s">
        <v>18</v>
      </c>
      <c r="C1063">
        <v>18521000</v>
      </c>
      <c r="D1063">
        <v>73705000</v>
      </c>
      <c r="E1063" t="s">
        <v>7896</v>
      </c>
      <c r="F1063">
        <v>2.5</v>
      </c>
      <c r="G1063" s="12">
        <v>-55184000</v>
      </c>
      <c r="H1063">
        <v>7408400</v>
      </c>
      <c r="I1063">
        <v>-22073600</v>
      </c>
    </row>
    <row r="1064" spans="1:9">
      <c r="A1064" t="s">
        <v>1749</v>
      </c>
      <c r="B1064" t="s">
        <v>18</v>
      </c>
      <c r="C1064">
        <v>57000</v>
      </c>
      <c r="D1064">
        <v>52000</v>
      </c>
      <c r="E1064" t="s">
        <v>7896</v>
      </c>
      <c r="F1064">
        <v>2.5</v>
      </c>
      <c r="G1064" s="12">
        <v>5000</v>
      </c>
      <c r="H1064">
        <v>22800</v>
      </c>
      <c r="I1064">
        <v>2000</v>
      </c>
    </row>
    <row r="1065" spans="1:9">
      <c r="A1065" t="s">
        <v>1898</v>
      </c>
      <c r="B1065" t="s">
        <v>18</v>
      </c>
      <c r="C1065">
        <v>2013000</v>
      </c>
      <c r="D1065">
        <v>2194000</v>
      </c>
      <c r="E1065" t="s">
        <v>7896</v>
      </c>
      <c r="F1065">
        <v>2.5</v>
      </c>
      <c r="G1065" s="12">
        <v>-181000</v>
      </c>
      <c r="H1065">
        <v>805200</v>
      </c>
      <c r="I1065">
        <v>-72400</v>
      </c>
    </row>
    <row r="1066" spans="1:9">
      <c r="A1066" t="s">
        <v>1749</v>
      </c>
      <c r="B1066" t="s">
        <v>18</v>
      </c>
      <c r="C1066">
        <v>2743000</v>
      </c>
      <c r="D1066">
        <v>2685000</v>
      </c>
      <c r="E1066" t="s">
        <v>7896</v>
      </c>
      <c r="F1066">
        <v>2.5</v>
      </c>
      <c r="G1066" s="12">
        <v>58000</v>
      </c>
      <c r="H1066">
        <v>1097200</v>
      </c>
      <c r="I1066">
        <v>23200</v>
      </c>
    </row>
    <row r="1067" spans="1:9">
      <c r="A1067" t="s">
        <v>1521</v>
      </c>
      <c r="B1067" t="s">
        <v>18</v>
      </c>
      <c r="C1067">
        <v>4159000</v>
      </c>
      <c r="D1067">
        <v>3919000</v>
      </c>
      <c r="E1067" t="s">
        <v>7896</v>
      </c>
      <c r="F1067">
        <v>2.5</v>
      </c>
      <c r="G1067" s="12">
        <v>240000</v>
      </c>
      <c r="H1067">
        <v>1663600</v>
      </c>
      <c r="I1067">
        <v>96000</v>
      </c>
    </row>
    <row r="1068" spans="1:9">
      <c r="A1068" t="s">
        <v>1580</v>
      </c>
      <c r="B1068" t="s">
        <v>18</v>
      </c>
      <c r="C1068">
        <v>94000</v>
      </c>
      <c r="D1068">
        <v>100000</v>
      </c>
      <c r="E1068" t="s">
        <v>7896</v>
      </c>
      <c r="F1068">
        <v>2.5</v>
      </c>
      <c r="G1068" s="12">
        <v>-6000</v>
      </c>
      <c r="H1068">
        <v>37600</v>
      </c>
      <c r="I1068">
        <v>-2400</v>
      </c>
    </row>
    <row r="1069" spans="1:9">
      <c r="A1069" t="s">
        <v>1579</v>
      </c>
      <c r="B1069" t="s">
        <v>18</v>
      </c>
      <c r="C1069">
        <v>774000</v>
      </c>
      <c r="D1069">
        <v>557000</v>
      </c>
      <c r="E1069" t="s">
        <v>7896</v>
      </c>
      <c r="F1069">
        <v>2.5</v>
      </c>
      <c r="G1069" s="12">
        <v>217000</v>
      </c>
      <c r="H1069">
        <v>309600</v>
      </c>
      <c r="I1069">
        <v>86800</v>
      </c>
    </row>
    <row r="1070" spans="1:9">
      <c r="A1070" t="s">
        <v>1629</v>
      </c>
      <c r="B1070" t="s">
        <v>18</v>
      </c>
      <c r="C1070">
        <v>506000</v>
      </c>
      <c r="D1070">
        <v>467000</v>
      </c>
      <c r="E1070" t="s">
        <v>7896</v>
      </c>
      <c r="F1070">
        <v>2.5</v>
      </c>
      <c r="G1070" s="12">
        <v>39000</v>
      </c>
      <c r="H1070">
        <v>202400</v>
      </c>
      <c r="I1070">
        <v>15600</v>
      </c>
    </row>
    <row r="1071" spans="1:9">
      <c r="A1071" t="s">
        <v>1518</v>
      </c>
      <c r="B1071" t="s">
        <v>22</v>
      </c>
      <c r="C1071">
        <v>8329000</v>
      </c>
      <c r="D1071">
        <v>6900000</v>
      </c>
      <c r="E1071" t="s">
        <v>7896</v>
      </c>
      <c r="F1071">
        <v>13</v>
      </c>
      <c r="G1071" s="12">
        <v>1429000</v>
      </c>
      <c r="H1071">
        <v>640692.30769230775</v>
      </c>
      <c r="I1071">
        <v>109923.07692307692</v>
      </c>
    </row>
    <row r="1072" spans="1:9">
      <c r="A1072" t="s">
        <v>1516</v>
      </c>
      <c r="B1072" t="s">
        <v>18</v>
      </c>
      <c r="C1072">
        <v>127000</v>
      </c>
      <c r="D1072">
        <v>127000</v>
      </c>
      <c r="E1072" t="s">
        <v>7896</v>
      </c>
      <c r="F1072">
        <v>2.5</v>
      </c>
      <c r="G1072" s="12">
        <v>0</v>
      </c>
      <c r="H1072">
        <v>50800</v>
      </c>
      <c r="I1072">
        <v>0</v>
      </c>
    </row>
    <row r="1073" spans="1:9">
      <c r="A1073" t="s">
        <v>1533</v>
      </c>
      <c r="B1073" t="s">
        <v>18</v>
      </c>
      <c r="C1073">
        <v>3233000</v>
      </c>
      <c r="D1073">
        <v>3024000</v>
      </c>
      <c r="E1073" t="s">
        <v>7896</v>
      </c>
      <c r="F1073">
        <v>2.5</v>
      </c>
      <c r="G1073" s="12">
        <v>209000</v>
      </c>
      <c r="H1073">
        <v>1293200</v>
      </c>
      <c r="I1073">
        <v>83600</v>
      </c>
    </row>
    <row r="1074" spans="1:9">
      <c r="A1074" t="s">
        <v>2139</v>
      </c>
      <c r="B1074" t="s">
        <v>18</v>
      </c>
      <c r="C1074">
        <v>8000</v>
      </c>
      <c r="D1074">
        <v>12000</v>
      </c>
      <c r="E1074" t="s">
        <v>7896</v>
      </c>
      <c r="F1074">
        <v>2.5</v>
      </c>
      <c r="G1074" s="12">
        <v>-4000</v>
      </c>
      <c r="H1074">
        <v>3200</v>
      </c>
      <c r="I1074">
        <v>-1600</v>
      </c>
    </row>
    <row r="1075" spans="1:9">
      <c r="A1075" t="s">
        <v>1629</v>
      </c>
      <c r="B1075" t="s">
        <v>18</v>
      </c>
      <c r="C1075">
        <v>3275000</v>
      </c>
      <c r="D1075">
        <v>3122000</v>
      </c>
      <c r="E1075" t="s">
        <v>7896</v>
      </c>
      <c r="F1075">
        <v>2.5</v>
      </c>
      <c r="G1075" s="12">
        <v>153000</v>
      </c>
      <c r="H1075">
        <v>1310000</v>
      </c>
      <c r="I1075">
        <v>61200</v>
      </c>
    </row>
    <row r="1076" spans="1:9">
      <c r="A1076" t="s">
        <v>1509</v>
      </c>
      <c r="B1076" t="s">
        <v>18</v>
      </c>
      <c r="C1076">
        <v>563000</v>
      </c>
      <c r="D1076">
        <v>575000</v>
      </c>
      <c r="E1076" t="s">
        <v>7896</v>
      </c>
      <c r="F1076">
        <v>2.5</v>
      </c>
      <c r="G1076" s="12">
        <v>-12000</v>
      </c>
      <c r="H1076">
        <v>225200</v>
      </c>
      <c r="I1076">
        <v>-4800</v>
      </c>
    </row>
    <row r="1077" spans="1:9">
      <c r="A1077" t="s">
        <v>1535</v>
      </c>
      <c r="B1077" t="s">
        <v>18</v>
      </c>
      <c r="C1077">
        <v>358000</v>
      </c>
      <c r="D1077">
        <v>292000</v>
      </c>
      <c r="E1077" t="s">
        <v>7896</v>
      </c>
      <c r="F1077">
        <v>2.5</v>
      </c>
      <c r="G1077" s="12">
        <v>66000</v>
      </c>
      <c r="H1077">
        <v>143200</v>
      </c>
      <c r="I1077">
        <v>26400</v>
      </c>
    </row>
    <row r="1078" spans="1:9">
      <c r="A1078" t="s">
        <v>1767</v>
      </c>
      <c r="B1078" t="s">
        <v>77</v>
      </c>
      <c r="C1078">
        <v>29425000</v>
      </c>
      <c r="D1078">
        <v>34396000</v>
      </c>
      <c r="E1078" t="s">
        <v>7896</v>
      </c>
      <c r="F1078">
        <v>8</v>
      </c>
      <c r="G1078" s="12">
        <v>-4971000</v>
      </c>
      <c r="H1078">
        <v>3678125</v>
      </c>
      <c r="I1078">
        <v>-621375</v>
      </c>
    </row>
    <row r="1079" spans="1:9">
      <c r="A1079" t="s">
        <v>1738</v>
      </c>
      <c r="B1079" t="s">
        <v>18</v>
      </c>
      <c r="C1079">
        <v>4307000</v>
      </c>
      <c r="D1079">
        <v>4304000</v>
      </c>
      <c r="E1079" t="s">
        <v>7896</v>
      </c>
      <c r="F1079">
        <v>2.5</v>
      </c>
      <c r="G1079" s="12">
        <v>3000</v>
      </c>
      <c r="H1079">
        <v>1722800</v>
      </c>
      <c r="I1079">
        <v>1200</v>
      </c>
    </row>
    <row r="1080" spans="1:9">
      <c r="A1080" t="s">
        <v>1754</v>
      </c>
      <c r="B1080" t="s">
        <v>18</v>
      </c>
      <c r="C1080">
        <v>58000</v>
      </c>
      <c r="D1080">
        <v>56000</v>
      </c>
      <c r="E1080" t="s">
        <v>7896</v>
      </c>
      <c r="F1080">
        <v>2.5</v>
      </c>
      <c r="G1080" s="12">
        <v>2000</v>
      </c>
      <c r="H1080">
        <v>23200</v>
      </c>
      <c r="I1080">
        <v>800</v>
      </c>
    </row>
    <row r="1081" spans="1:9">
      <c r="A1081" t="s">
        <v>1560</v>
      </c>
      <c r="B1081" t="s">
        <v>18</v>
      </c>
      <c r="C1081">
        <v>3120000</v>
      </c>
      <c r="D1081">
        <v>13335000</v>
      </c>
      <c r="E1081" t="s">
        <v>7896</v>
      </c>
      <c r="F1081">
        <v>2.5</v>
      </c>
      <c r="G1081" s="12">
        <v>-10215000</v>
      </c>
      <c r="H1081">
        <v>1248000</v>
      </c>
      <c r="I1081">
        <v>-4086000</v>
      </c>
    </row>
    <row r="1082" spans="1:9">
      <c r="A1082" t="s">
        <v>1560</v>
      </c>
      <c r="B1082" t="s">
        <v>18</v>
      </c>
      <c r="C1082">
        <v>13588000</v>
      </c>
      <c r="D1082">
        <v>12768000</v>
      </c>
      <c r="E1082" t="s">
        <v>7896</v>
      </c>
      <c r="F1082">
        <v>2.5</v>
      </c>
      <c r="G1082" s="12">
        <v>820000</v>
      </c>
      <c r="H1082">
        <v>5435200</v>
      </c>
      <c r="I1082">
        <v>328000</v>
      </c>
    </row>
    <row r="1083" spans="1:9">
      <c r="A1083" t="s">
        <v>1628</v>
      </c>
      <c r="B1083" t="s">
        <v>18</v>
      </c>
      <c r="C1083">
        <v>422000</v>
      </c>
      <c r="D1083">
        <v>455000</v>
      </c>
      <c r="E1083" t="s">
        <v>7896</v>
      </c>
      <c r="F1083">
        <v>2.5</v>
      </c>
      <c r="G1083" s="12">
        <v>-33000</v>
      </c>
      <c r="H1083">
        <v>168800</v>
      </c>
      <c r="I1083">
        <v>-13200</v>
      </c>
    </row>
    <row r="1084" spans="1:9">
      <c r="A1084" t="s">
        <v>1517</v>
      </c>
      <c r="B1084" t="s">
        <v>18</v>
      </c>
      <c r="C1084">
        <v>36875000</v>
      </c>
      <c r="D1084">
        <v>36471000</v>
      </c>
      <c r="E1084" t="s">
        <v>7896</v>
      </c>
      <c r="F1084">
        <v>2.5</v>
      </c>
      <c r="G1084" s="12">
        <v>404000</v>
      </c>
      <c r="H1084">
        <v>14750000</v>
      </c>
      <c r="I1084">
        <v>161600</v>
      </c>
    </row>
    <row r="1085" spans="1:9">
      <c r="A1085" t="s">
        <v>1534</v>
      </c>
      <c r="B1085" t="s">
        <v>18</v>
      </c>
      <c r="C1085">
        <v>973000</v>
      </c>
      <c r="D1085">
        <v>270000</v>
      </c>
      <c r="E1085" t="s">
        <v>7896</v>
      </c>
      <c r="F1085">
        <v>2.5</v>
      </c>
      <c r="G1085" s="12">
        <v>703000</v>
      </c>
      <c r="H1085">
        <v>389200</v>
      </c>
      <c r="I1085">
        <v>281200</v>
      </c>
    </row>
    <row r="1086" spans="1:9">
      <c r="A1086" t="s">
        <v>1565</v>
      </c>
      <c r="B1086" t="s">
        <v>18</v>
      </c>
      <c r="C1086">
        <v>187000</v>
      </c>
      <c r="D1086">
        <v>321000</v>
      </c>
      <c r="E1086" t="s">
        <v>7896</v>
      </c>
      <c r="F1086">
        <v>2.5</v>
      </c>
      <c r="G1086" s="12">
        <v>-134000</v>
      </c>
      <c r="H1086">
        <v>74800</v>
      </c>
      <c r="I1086">
        <v>-53600</v>
      </c>
    </row>
    <row r="1087" spans="1:9">
      <c r="A1087" t="s">
        <v>1595</v>
      </c>
      <c r="B1087" t="s">
        <v>18</v>
      </c>
      <c r="C1087">
        <v>915000</v>
      </c>
      <c r="D1087">
        <v>861000</v>
      </c>
      <c r="E1087" t="s">
        <v>7896</v>
      </c>
      <c r="F1087">
        <v>2.5</v>
      </c>
      <c r="G1087" s="12">
        <v>54000</v>
      </c>
      <c r="H1087">
        <v>366000</v>
      </c>
      <c r="I1087">
        <v>21600</v>
      </c>
    </row>
    <row r="1088" spans="1:9">
      <c r="A1088" t="s">
        <v>1532</v>
      </c>
      <c r="B1088" t="s">
        <v>22</v>
      </c>
      <c r="C1088">
        <v>4999000</v>
      </c>
      <c r="D1088">
        <v>11911000</v>
      </c>
      <c r="E1088" t="s">
        <v>7896</v>
      </c>
      <c r="F1088">
        <v>13</v>
      </c>
      <c r="G1088" s="12">
        <v>-6912000</v>
      </c>
      <c r="H1088">
        <v>384538.46153846156</v>
      </c>
      <c r="I1088">
        <v>-531692.30769230775</v>
      </c>
    </row>
    <row r="1089" spans="1:9">
      <c r="A1089" t="s">
        <v>1580</v>
      </c>
      <c r="B1089" t="s">
        <v>18</v>
      </c>
      <c r="C1089">
        <v>104000</v>
      </c>
      <c r="D1089">
        <v>106000</v>
      </c>
      <c r="E1089" t="s">
        <v>7896</v>
      </c>
      <c r="F1089">
        <v>2.5</v>
      </c>
      <c r="G1089" s="12">
        <v>-2000</v>
      </c>
      <c r="H1089">
        <v>41600</v>
      </c>
      <c r="I1089">
        <v>-800</v>
      </c>
    </row>
    <row r="1090" spans="1:9">
      <c r="A1090" t="s">
        <v>1532</v>
      </c>
      <c r="B1090" t="s">
        <v>18</v>
      </c>
      <c r="C1090">
        <v>5000</v>
      </c>
      <c r="D1090">
        <v>4000</v>
      </c>
      <c r="E1090" t="s">
        <v>7896</v>
      </c>
      <c r="F1090">
        <v>2.5</v>
      </c>
      <c r="G1090" s="12">
        <v>1000</v>
      </c>
      <c r="H1090">
        <v>2000</v>
      </c>
      <c r="I1090">
        <v>400</v>
      </c>
    </row>
    <row r="1091" spans="1:9">
      <c r="A1091" t="s">
        <v>1509</v>
      </c>
      <c r="B1091" t="s">
        <v>77</v>
      </c>
      <c r="C1091">
        <v>6422000</v>
      </c>
      <c r="D1091">
        <v>6838000</v>
      </c>
      <c r="E1091" t="s">
        <v>7896</v>
      </c>
      <c r="F1091">
        <v>8</v>
      </c>
      <c r="G1091" s="12">
        <v>-416000</v>
      </c>
      <c r="H1091">
        <v>802750</v>
      </c>
      <c r="I1091">
        <v>-52000</v>
      </c>
    </row>
    <row r="1092" spans="1:9">
      <c r="A1092" t="s">
        <v>1524</v>
      </c>
      <c r="B1092" t="s">
        <v>18</v>
      </c>
      <c r="C1092">
        <v>730000</v>
      </c>
      <c r="D1092">
        <v>682000</v>
      </c>
      <c r="E1092" t="s">
        <v>7896</v>
      </c>
      <c r="F1092">
        <v>2.5</v>
      </c>
      <c r="G1092" s="12">
        <v>48000</v>
      </c>
      <c r="H1092">
        <v>292000</v>
      </c>
      <c r="I1092">
        <v>19200</v>
      </c>
    </row>
    <row r="1093" spans="1:9">
      <c r="A1093" t="s">
        <v>1560</v>
      </c>
      <c r="B1093" t="s">
        <v>18</v>
      </c>
      <c r="C1093">
        <v>12220000</v>
      </c>
      <c r="D1093">
        <v>35258000</v>
      </c>
      <c r="E1093" t="s">
        <v>7896</v>
      </c>
      <c r="F1093">
        <v>2.5</v>
      </c>
      <c r="G1093" s="12">
        <v>-23038000</v>
      </c>
      <c r="H1093">
        <v>4888000</v>
      </c>
      <c r="I1093">
        <v>-9215200</v>
      </c>
    </row>
    <row r="1094" spans="1:9">
      <c r="A1094" t="s">
        <v>1580</v>
      </c>
      <c r="B1094" t="s">
        <v>18</v>
      </c>
      <c r="C1094">
        <v>14224000</v>
      </c>
      <c r="D1094">
        <v>15202000</v>
      </c>
      <c r="E1094" t="s">
        <v>7896</v>
      </c>
      <c r="F1094">
        <v>2.5</v>
      </c>
      <c r="G1094" s="12">
        <v>-978000</v>
      </c>
      <c r="H1094">
        <v>5689600</v>
      </c>
      <c r="I1094">
        <v>-391200</v>
      </c>
    </row>
    <row r="1095" spans="1:9">
      <c r="A1095" t="s">
        <v>1580</v>
      </c>
      <c r="B1095" t="s">
        <v>18</v>
      </c>
      <c r="C1095">
        <v>6274000</v>
      </c>
      <c r="D1095">
        <v>8735000</v>
      </c>
      <c r="E1095" t="s">
        <v>7896</v>
      </c>
      <c r="F1095">
        <v>2.5</v>
      </c>
      <c r="G1095" s="12">
        <v>-2461000</v>
      </c>
      <c r="H1095">
        <v>2509600</v>
      </c>
      <c r="I1095">
        <v>-984400</v>
      </c>
    </row>
    <row r="1096" spans="1:9">
      <c r="A1096" t="s">
        <v>1629</v>
      </c>
      <c r="B1096" t="s">
        <v>18</v>
      </c>
      <c r="C1096">
        <v>2394000</v>
      </c>
      <c r="D1096">
        <v>2450000</v>
      </c>
      <c r="E1096" t="s">
        <v>7896</v>
      </c>
      <c r="F1096">
        <v>2.5</v>
      </c>
      <c r="G1096" s="12">
        <v>-56000</v>
      </c>
      <c r="H1096">
        <v>957600</v>
      </c>
      <c r="I1096">
        <v>-22400</v>
      </c>
    </row>
    <row r="1097" spans="1:9">
      <c r="A1097" t="s">
        <v>1526</v>
      </c>
      <c r="B1097" t="s">
        <v>77</v>
      </c>
      <c r="C1097">
        <v>115000</v>
      </c>
      <c r="D1097">
        <v>96000</v>
      </c>
      <c r="E1097" t="s">
        <v>7896</v>
      </c>
      <c r="F1097">
        <v>8</v>
      </c>
      <c r="G1097" s="12">
        <v>19000</v>
      </c>
      <c r="H1097">
        <v>14375</v>
      </c>
      <c r="I1097">
        <v>2375</v>
      </c>
    </row>
    <row r="1098" spans="1:9">
      <c r="A1098" t="s">
        <v>1580</v>
      </c>
      <c r="B1098" t="s">
        <v>18</v>
      </c>
      <c r="C1098">
        <v>2415000</v>
      </c>
      <c r="D1098">
        <v>2846000</v>
      </c>
      <c r="E1098" t="s">
        <v>7896</v>
      </c>
      <c r="F1098">
        <v>2.5</v>
      </c>
      <c r="G1098" s="12">
        <v>-431000</v>
      </c>
      <c r="H1098">
        <v>966000</v>
      </c>
      <c r="I1098">
        <v>-172400</v>
      </c>
    </row>
    <row r="1099" spans="1:9">
      <c r="A1099" t="s">
        <v>1560</v>
      </c>
      <c r="B1099" t="s">
        <v>22</v>
      </c>
      <c r="C1099">
        <v>15407000</v>
      </c>
      <c r="D1099">
        <v>14014000</v>
      </c>
      <c r="E1099" t="s">
        <v>7896</v>
      </c>
      <c r="F1099">
        <v>13</v>
      </c>
      <c r="G1099" s="12">
        <v>1393000</v>
      </c>
      <c r="H1099">
        <v>1185153.8461538462</v>
      </c>
      <c r="I1099">
        <v>107153.84615384616</v>
      </c>
    </row>
    <row r="1100" spans="1:9">
      <c r="A1100" t="s">
        <v>1519</v>
      </c>
      <c r="B1100" t="s">
        <v>18</v>
      </c>
      <c r="C1100">
        <v>110000</v>
      </c>
      <c r="D1100">
        <v>110000</v>
      </c>
      <c r="E1100" t="s">
        <v>7896</v>
      </c>
      <c r="F1100">
        <v>2.5</v>
      </c>
      <c r="G1100" s="12">
        <v>0</v>
      </c>
      <c r="H1100">
        <v>44000</v>
      </c>
      <c r="I1100">
        <v>0</v>
      </c>
    </row>
    <row r="1101" spans="1:9">
      <c r="A1101" t="s">
        <v>1560</v>
      </c>
      <c r="B1101" t="s">
        <v>18</v>
      </c>
      <c r="C1101">
        <v>84320000</v>
      </c>
      <c r="D1101">
        <v>69595000</v>
      </c>
      <c r="E1101" t="s">
        <v>7896</v>
      </c>
      <c r="F1101">
        <v>2.5</v>
      </c>
      <c r="G1101" s="12">
        <v>14725000</v>
      </c>
      <c r="H1101">
        <v>33728000</v>
      </c>
      <c r="I1101">
        <v>5890000</v>
      </c>
    </row>
    <row r="1102" spans="1:9">
      <c r="A1102" t="s">
        <v>1629</v>
      </c>
      <c r="B1102" t="s">
        <v>18</v>
      </c>
      <c r="C1102">
        <v>820000</v>
      </c>
      <c r="D1102">
        <v>851000</v>
      </c>
      <c r="E1102" t="s">
        <v>7896</v>
      </c>
      <c r="F1102">
        <v>2.5</v>
      </c>
      <c r="G1102" s="12">
        <v>-31000</v>
      </c>
      <c r="H1102">
        <v>328000</v>
      </c>
      <c r="I1102">
        <v>-12400</v>
      </c>
    </row>
    <row r="1103" spans="1:9">
      <c r="A1103" t="s">
        <v>1558</v>
      </c>
      <c r="B1103" t="s">
        <v>18</v>
      </c>
      <c r="C1103">
        <v>441000</v>
      </c>
      <c r="D1103">
        <v>834000</v>
      </c>
      <c r="E1103" t="s">
        <v>7896</v>
      </c>
      <c r="F1103">
        <v>2.5</v>
      </c>
      <c r="G1103" s="12">
        <v>-393000</v>
      </c>
      <c r="H1103">
        <v>176400</v>
      </c>
      <c r="I1103">
        <v>-157200</v>
      </c>
    </row>
    <row r="1104" spans="1:9">
      <c r="A1104" t="s">
        <v>1580</v>
      </c>
      <c r="B1104" t="s">
        <v>22</v>
      </c>
      <c r="C1104">
        <v>26979000</v>
      </c>
      <c r="D1104">
        <v>26484000</v>
      </c>
      <c r="E1104" t="s">
        <v>7896</v>
      </c>
      <c r="F1104">
        <v>13</v>
      </c>
      <c r="G1104" s="12">
        <v>495000</v>
      </c>
      <c r="H1104">
        <v>2075307.6923076923</v>
      </c>
      <c r="I1104">
        <v>38076.923076923078</v>
      </c>
    </row>
    <row r="1105" spans="1:9">
      <c r="A1105" t="s">
        <v>1738</v>
      </c>
      <c r="B1105" t="s">
        <v>18</v>
      </c>
      <c r="C1105">
        <v>3445000</v>
      </c>
      <c r="D1105">
        <v>3628000</v>
      </c>
      <c r="E1105" t="s">
        <v>7896</v>
      </c>
      <c r="F1105">
        <v>2.5</v>
      </c>
      <c r="G1105" s="12">
        <v>-183000</v>
      </c>
      <c r="H1105">
        <v>1378000</v>
      </c>
      <c r="I1105">
        <v>-73200</v>
      </c>
    </row>
    <row r="1106" spans="1:9">
      <c r="A1106" t="s">
        <v>1580</v>
      </c>
      <c r="B1106" t="s">
        <v>18</v>
      </c>
      <c r="C1106">
        <v>859000</v>
      </c>
      <c r="D1106">
        <v>962000</v>
      </c>
      <c r="E1106" t="s">
        <v>7896</v>
      </c>
      <c r="F1106">
        <v>2.5</v>
      </c>
      <c r="G1106" s="12">
        <v>-103000</v>
      </c>
      <c r="H1106">
        <v>343600</v>
      </c>
      <c r="I1106">
        <v>-41200</v>
      </c>
    </row>
    <row r="1107" spans="1:9">
      <c r="A1107" t="s">
        <v>1767</v>
      </c>
      <c r="B1107" t="s">
        <v>18</v>
      </c>
      <c r="C1107">
        <v>138000</v>
      </c>
      <c r="D1107">
        <v>177000</v>
      </c>
      <c r="E1107" t="s">
        <v>7896</v>
      </c>
      <c r="F1107">
        <v>2.5</v>
      </c>
      <c r="G1107" s="12">
        <v>-39000</v>
      </c>
      <c r="H1107">
        <v>55200</v>
      </c>
      <c r="I1107">
        <v>-15600</v>
      </c>
    </row>
    <row r="1108" spans="1:9">
      <c r="A1108" t="s">
        <v>1516</v>
      </c>
      <c r="B1108" t="s">
        <v>18</v>
      </c>
      <c r="C1108">
        <v>219000</v>
      </c>
      <c r="D1108">
        <v>407000</v>
      </c>
      <c r="E1108" t="s">
        <v>7896</v>
      </c>
      <c r="F1108">
        <v>2.5</v>
      </c>
      <c r="G1108" s="12">
        <v>-188000</v>
      </c>
      <c r="H1108">
        <v>87600</v>
      </c>
      <c r="I1108">
        <v>-75200</v>
      </c>
    </row>
    <row r="1109" spans="1:9">
      <c r="A1109" t="s">
        <v>1533</v>
      </c>
      <c r="B1109" t="s">
        <v>18</v>
      </c>
      <c r="C1109">
        <v>17000</v>
      </c>
      <c r="D1109">
        <v>8000</v>
      </c>
      <c r="E1109" t="s">
        <v>7896</v>
      </c>
      <c r="F1109">
        <v>2.5</v>
      </c>
      <c r="G1109" s="12">
        <v>9000</v>
      </c>
      <c r="H1109">
        <v>6800</v>
      </c>
      <c r="I1109">
        <v>3600</v>
      </c>
    </row>
    <row r="1110" spans="1:9">
      <c r="A1110" t="s">
        <v>1534</v>
      </c>
      <c r="B1110" t="s">
        <v>18</v>
      </c>
      <c r="C1110">
        <v>1980000</v>
      </c>
      <c r="D1110">
        <v>1925000</v>
      </c>
      <c r="E1110" t="s">
        <v>7896</v>
      </c>
      <c r="F1110">
        <v>2.5</v>
      </c>
      <c r="G1110" s="12">
        <v>55000</v>
      </c>
      <c r="H1110">
        <v>792000</v>
      </c>
      <c r="I1110">
        <v>22000</v>
      </c>
    </row>
    <row r="1111" spans="1:9">
      <c r="A1111" t="s">
        <v>1588</v>
      </c>
      <c r="B1111" t="s">
        <v>18</v>
      </c>
      <c r="C1111">
        <v>2123000</v>
      </c>
      <c r="D1111">
        <v>2020000</v>
      </c>
      <c r="E1111" t="s">
        <v>7896</v>
      </c>
      <c r="F1111">
        <v>2.5</v>
      </c>
      <c r="G1111" s="12">
        <v>103000</v>
      </c>
      <c r="H1111">
        <v>849200</v>
      </c>
      <c r="I1111">
        <v>41200</v>
      </c>
    </row>
    <row r="1112" spans="1:9">
      <c r="A1112" t="s">
        <v>1532</v>
      </c>
      <c r="B1112" t="s">
        <v>18</v>
      </c>
      <c r="C1112">
        <v>494000</v>
      </c>
      <c r="D1112">
        <v>492000</v>
      </c>
      <c r="E1112" t="s">
        <v>7896</v>
      </c>
      <c r="F1112">
        <v>2.5</v>
      </c>
      <c r="G1112" s="12">
        <v>2000</v>
      </c>
      <c r="H1112">
        <v>197600</v>
      </c>
      <c r="I1112">
        <v>800</v>
      </c>
    </row>
    <row r="1113" spans="1:9">
      <c r="A1113" t="s">
        <v>1580</v>
      </c>
      <c r="B1113" t="s">
        <v>18</v>
      </c>
      <c r="C1113">
        <v>443000</v>
      </c>
      <c r="D1113">
        <v>379000</v>
      </c>
      <c r="E1113" t="s">
        <v>7896</v>
      </c>
      <c r="F1113">
        <v>2.5</v>
      </c>
      <c r="G1113" s="12">
        <v>64000</v>
      </c>
      <c r="H1113">
        <v>177200</v>
      </c>
      <c r="I1113">
        <v>25600</v>
      </c>
    </row>
    <row r="1114" spans="1:9">
      <c r="A1114" t="s">
        <v>1801</v>
      </c>
      <c r="B1114" t="s">
        <v>18</v>
      </c>
      <c r="C1114">
        <v>686000</v>
      </c>
      <c r="D1114">
        <v>663000</v>
      </c>
      <c r="E1114" t="s">
        <v>7896</v>
      </c>
      <c r="F1114">
        <v>2.5</v>
      </c>
      <c r="G1114" s="12">
        <v>23000</v>
      </c>
      <c r="H1114">
        <v>274400</v>
      </c>
      <c r="I1114">
        <v>9200</v>
      </c>
    </row>
    <row r="1115" spans="1:9">
      <c r="A1115" t="s">
        <v>1511</v>
      </c>
      <c r="B1115" t="s">
        <v>18</v>
      </c>
      <c r="C1115">
        <v>425000</v>
      </c>
      <c r="D1115">
        <v>424000</v>
      </c>
      <c r="E1115" t="s">
        <v>7896</v>
      </c>
      <c r="F1115">
        <v>2.5</v>
      </c>
      <c r="G1115" s="12">
        <v>1000</v>
      </c>
      <c r="H1115">
        <v>170000</v>
      </c>
      <c r="I1115">
        <v>400</v>
      </c>
    </row>
    <row r="1116" spans="1:9">
      <c r="A1116" t="s">
        <v>1532</v>
      </c>
      <c r="B1116" t="s">
        <v>18</v>
      </c>
      <c r="C1116">
        <v>7000</v>
      </c>
      <c r="D1116">
        <v>7000</v>
      </c>
      <c r="E1116" t="s">
        <v>7896</v>
      </c>
      <c r="F1116">
        <v>2.5</v>
      </c>
      <c r="G1116" s="12">
        <v>0</v>
      </c>
      <c r="H1116">
        <v>2800</v>
      </c>
      <c r="I1116">
        <v>0</v>
      </c>
    </row>
    <row r="1117" spans="1:9">
      <c r="A1117" t="s">
        <v>1505</v>
      </c>
      <c r="B1117" t="s">
        <v>18</v>
      </c>
      <c r="C1117">
        <v>1603000</v>
      </c>
      <c r="D1117">
        <v>1218000</v>
      </c>
      <c r="E1117" t="s">
        <v>7896</v>
      </c>
      <c r="F1117">
        <v>2.5</v>
      </c>
      <c r="G1117" s="12">
        <v>385000</v>
      </c>
      <c r="H1117">
        <v>641200</v>
      </c>
      <c r="I1117">
        <v>154000</v>
      </c>
    </row>
    <row r="1118" spans="1:9">
      <c r="A1118" t="s">
        <v>1508</v>
      </c>
      <c r="B1118" t="s">
        <v>18</v>
      </c>
      <c r="C1118">
        <v>13615000</v>
      </c>
      <c r="D1118">
        <v>10249000</v>
      </c>
      <c r="E1118" t="s">
        <v>7896</v>
      </c>
      <c r="F1118">
        <v>2.5</v>
      </c>
      <c r="G1118" s="12">
        <v>3366000</v>
      </c>
      <c r="H1118">
        <v>5446000</v>
      </c>
      <c r="I1118">
        <v>1346400</v>
      </c>
    </row>
    <row r="1119" spans="1:9">
      <c r="A1119" t="s">
        <v>1524</v>
      </c>
      <c r="B1119" t="s">
        <v>18</v>
      </c>
      <c r="C1119">
        <v>1036000</v>
      </c>
      <c r="D1119">
        <v>1036000</v>
      </c>
      <c r="E1119" t="s">
        <v>7896</v>
      </c>
      <c r="F1119">
        <v>2.5</v>
      </c>
      <c r="G1119" s="12">
        <v>0</v>
      </c>
      <c r="H1119">
        <v>414400</v>
      </c>
      <c r="I1119">
        <v>0</v>
      </c>
    </row>
    <row r="1120" spans="1:9">
      <c r="A1120" t="s">
        <v>1509</v>
      </c>
      <c r="B1120" t="s">
        <v>18</v>
      </c>
      <c r="C1120">
        <v>242000</v>
      </c>
      <c r="D1120">
        <v>265000</v>
      </c>
      <c r="E1120" t="s">
        <v>7896</v>
      </c>
      <c r="F1120">
        <v>2.5</v>
      </c>
      <c r="G1120" s="12">
        <v>-23000</v>
      </c>
      <c r="H1120">
        <v>96800</v>
      </c>
      <c r="I1120">
        <v>-9200</v>
      </c>
    </row>
    <row r="1121" spans="1:9">
      <c r="A1121" t="s">
        <v>1527</v>
      </c>
      <c r="B1121" t="s">
        <v>18</v>
      </c>
      <c r="C1121">
        <v>4105000</v>
      </c>
      <c r="D1121">
        <v>4123000</v>
      </c>
      <c r="E1121" t="s">
        <v>7896</v>
      </c>
      <c r="F1121">
        <v>2.5</v>
      </c>
      <c r="G1121" s="12">
        <v>-18000</v>
      </c>
      <c r="H1121">
        <v>1642000</v>
      </c>
      <c r="I1121">
        <v>-7200</v>
      </c>
    </row>
    <row r="1122" spans="1:9">
      <c r="A1122" t="s">
        <v>1532</v>
      </c>
      <c r="B1122" t="s">
        <v>18</v>
      </c>
      <c r="C1122">
        <v>60000</v>
      </c>
      <c r="D1122">
        <v>60000</v>
      </c>
      <c r="E1122" t="s">
        <v>7896</v>
      </c>
      <c r="F1122">
        <v>2.5</v>
      </c>
      <c r="G1122" s="12">
        <v>0</v>
      </c>
      <c r="H1122">
        <v>24000</v>
      </c>
      <c r="I1122">
        <v>0</v>
      </c>
    </row>
    <row r="1123" spans="1:9">
      <c r="A1123" t="s">
        <v>1588</v>
      </c>
      <c r="B1123" t="s">
        <v>18</v>
      </c>
      <c r="C1123">
        <v>3374000</v>
      </c>
      <c r="D1123">
        <v>2686000</v>
      </c>
      <c r="E1123" t="s">
        <v>7896</v>
      </c>
      <c r="F1123">
        <v>2.5</v>
      </c>
      <c r="G1123" s="12">
        <v>688000</v>
      </c>
      <c r="H1123">
        <v>1349600</v>
      </c>
      <c r="I1123">
        <v>275200</v>
      </c>
    </row>
    <row r="1124" spans="1:9">
      <c r="A1124" t="s">
        <v>1505</v>
      </c>
      <c r="B1124" t="s">
        <v>18</v>
      </c>
      <c r="C1124">
        <v>2995000</v>
      </c>
      <c r="D1124">
        <v>2844000</v>
      </c>
      <c r="E1124" t="s">
        <v>7896</v>
      </c>
      <c r="F1124">
        <v>2.5</v>
      </c>
      <c r="G1124" s="12">
        <v>151000</v>
      </c>
      <c r="H1124">
        <v>1198000</v>
      </c>
      <c r="I1124">
        <v>60400</v>
      </c>
    </row>
    <row r="1125" spans="1:9">
      <c r="A1125" t="s">
        <v>1532</v>
      </c>
      <c r="B1125" t="s">
        <v>18</v>
      </c>
      <c r="C1125">
        <v>177000</v>
      </c>
      <c r="D1125">
        <v>148000</v>
      </c>
      <c r="E1125" t="s">
        <v>7896</v>
      </c>
      <c r="F1125">
        <v>2.5</v>
      </c>
      <c r="G1125" s="12">
        <v>29000</v>
      </c>
      <c r="H1125">
        <v>70800</v>
      </c>
      <c r="I1125">
        <v>11600</v>
      </c>
    </row>
    <row r="1126" spans="1:9">
      <c r="A1126" t="s">
        <v>1767</v>
      </c>
      <c r="B1126" t="s">
        <v>22</v>
      </c>
      <c r="C1126">
        <v>10276000</v>
      </c>
      <c r="D1126">
        <v>13324000</v>
      </c>
      <c r="E1126" t="s">
        <v>7896</v>
      </c>
      <c r="F1126">
        <v>13</v>
      </c>
      <c r="G1126" s="12">
        <v>-3048000</v>
      </c>
      <c r="H1126">
        <v>790461.5384615385</v>
      </c>
      <c r="I1126">
        <v>-234461.53846153847</v>
      </c>
    </row>
    <row r="1127" spans="1:9">
      <c r="A1127" t="s">
        <v>1781</v>
      </c>
      <c r="B1127" t="s">
        <v>18</v>
      </c>
      <c r="C1127">
        <v>963000</v>
      </c>
      <c r="D1127">
        <v>851000</v>
      </c>
      <c r="E1127" t="s">
        <v>7896</v>
      </c>
      <c r="F1127">
        <v>2.5</v>
      </c>
      <c r="G1127" s="12">
        <v>112000</v>
      </c>
      <c r="H1127">
        <v>385200</v>
      </c>
      <c r="I1127">
        <v>44800</v>
      </c>
    </row>
    <row r="1128" spans="1:9">
      <c r="A1128" t="s">
        <v>1558</v>
      </c>
      <c r="B1128" t="s">
        <v>18</v>
      </c>
      <c r="C1128">
        <v>675000</v>
      </c>
      <c r="D1128">
        <v>677000</v>
      </c>
      <c r="E1128" t="s">
        <v>7896</v>
      </c>
      <c r="F1128">
        <v>2.5</v>
      </c>
      <c r="G1128" s="12">
        <v>-2000</v>
      </c>
      <c r="H1128">
        <v>270000</v>
      </c>
      <c r="I1128">
        <v>-800</v>
      </c>
    </row>
    <row r="1129" spans="1:9">
      <c r="A1129" t="s">
        <v>1558</v>
      </c>
      <c r="B1129" t="s">
        <v>18</v>
      </c>
      <c r="C1129">
        <v>481000</v>
      </c>
      <c r="D1129">
        <v>482000</v>
      </c>
      <c r="E1129" t="s">
        <v>7896</v>
      </c>
      <c r="F1129">
        <v>2.5</v>
      </c>
      <c r="G1129" s="12">
        <v>-1000</v>
      </c>
      <c r="H1129">
        <v>192400</v>
      </c>
      <c r="I1129">
        <v>-400</v>
      </c>
    </row>
    <row r="1130" spans="1:9">
      <c r="A1130" t="s">
        <v>1504</v>
      </c>
      <c r="B1130" t="s">
        <v>18</v>
      </c>
      <c r="C1130">
        <v>425000</v>
      </c>
      <c r="D1130">
        <v>333000</v>
      </c>
      <c r="E1130" t="s">
        <v>7896</v>
      </c>
      <c r="F1130">
        <v>2.5</v>
      </c>
      <c r="G1130" s="12">
        <v>92000</v>
      </c>
      <c r="H1130">
        <v>170000</v>
      </c>
      <c r="I1130">
        <v>36800</v>
      </c>
    </row>
    <row r="1131" spans="1:9">
      <c r="A1131" t="s">
        <v>1579</v>
      </c>
      <c r="B1131" t="s">
        <v>18</v>
      </c>
      <c r="C1131">
        <v>7515000</v>
      </c>
      <c r="D1131">
        <v>5784000</v>
      </c>
      <c r="E1131" t="s">
        <v>7896</v>
      </c>
      <c r="F1131">
        <v>2.5</v>
      </c>
      <c r="G1131" s="12">
        <v>1731000</v>
      </c>
      <c r="H1131">
        <v>3006000</v>
      </c>
      <c r="I1131">
        <v>692400</v>
      </c>
    </row>
    <row r="1132" spans="1:9">
      <c r="A1132" t="s">
        <v>1504</v>
      </c>
      <c r="B1132" t="s">
        <v>18</v>
      </c>
      <c r="C1132">
        <v>343000</v>
      </c>
      <c r="D1132">
        <v>337000</v>
      </c>
      <c r="E1132" t="s">
        <v>7896</v>
      </c>
      <c r="F1132">
        <v>2.5</v>
      </c>
      <c r="G1132" s="12">
        <v>6000</v>
      </c>
      <c r="H1132">
        <v>137200</v>
      </c>
      <c r="I1132">
        <v>2400</v>
      </c>
    </row>
    <row r="1133" spans="1:9">
      <c r="A1133" t="s">
        <v>1504</v>
      </c>
      <c r="B1133" t="s">
        <v>18</v>
      </c>
      <c r="C1133">
        <v>5904000</v>
      </c>
      <c r="D1133">
        <v>6098000</v>
      </c>
      <c r="E1133" t="s">
        <v>7896</v>
      </c>
      <c r="F1133">
        <v>2.5</v>
      </c>
      <c r="G1133" s="12">
        <v>-194000</v>
      </c>
      <c r="H1133">
        <v>2361600</v>
      </c>
      <c r="I1133">
        <v>-77600</v>
      </c>
    </row>
    <row r="1134" spans="1:9">
      <c r="A1134" t="s">
        <v>1533</v>
      </c>
      <c r="B1134" t="s">
        <v>18</v>
      </c>
      <c r="C1134">
        <v>15137000</v>
      </c>
      <c r="D1134">
        <v>15135000</v>
      </c>
      <c r="E1134" t="s">
        <v>7896</v>
      </c>
      <c r="F1134">
        <v>2.5</v>
      </c>
      <c r="G1134" s="12">
        <v>2000</v>
      </c>
      <c r="H1134">
        <v>6054800</v>
      </c>
      <c r="I1134">
        <v>800</v>
      </c>
    </row>
    <row r="1135" spans="1:9">
      <c r="A1135" t="s">
        <v>1544</v>
      </c>
      <c r="B1135" t="s">
        <v>18</v>
      </c>
      <c r="C1135">
        <v>2527000</v>
      </c>
      <c r="D1135">
        <v>2395000</v>
      </c>
      <c r="E1135" t="s">
        <v>7896</v>
      </c>
      <c r="F1135">
        <v>2.5</v>
      </c>
      <c r="G1135" s="12">
        <v>132000</v>
      </c>
      <c r="H1135">
        <v>1010800</v>
      </c>
      <c r="I1135">
        <v>52800</v>
      </c>
    </row>
    <row r="1136" spans="1:9">
      <c r="A1136" t="s">
        <v>1532</v>
      </c>
      <c r="B1136" t="s">
        <v>18</v>
      </c>
      <c r="C1136">
        <v>793000</v>
      </c>
      <c r="D1136">
        <v>1014000</v>
      </c>
      <c r="E1136" t="s">
        <v>7896</v>
      </c>
      <c r="F1136">
        <v>2.5</v>
      </c>
      <c r="G1136" s="12">
        <v>-221000</v>
      </c>
      <c r="H1136">
        <v>317200</v>
      </c>
      <c r="I1136">
        <v>-88400</v>
      </c>
    </row>
    <row r="1137" spans="1:9">
      <c r="A1137" t="s">
        <v>1619</v>
      </c>
      <c r="B1137" t="s">
        <v>18</v>
      </c>
      <c r="C1137">
        <v>392000</v>
      </c>
      <c r="D1137">
        <v>415000</v>
      </c>
      <c r="E1137" t="s">
        <v>7896</v>
      </c>
      <c r="F1137">
        <v>2.5</v>
      </c>
      <c r="G1137" s="12">
        <v>-23000</v>
      </c>
      <c r="H1137">
        <v>156800</v>
      </c>
      <c r="I1137">
        <v>-9200</v>
      </c>
    </row>
    <row r="1138" spans="1:9">
      <c r="A1138" t="s">
        <v>1558</v>
      </c>
      <c r="B1138" t="s">
        <v>18</v>
      </c>
      <c r="C1138">
        <v>658000</v>
      </c>
      <c r="D1138">
        <v>654000</v>
      </c>
      <c r="E1138" t="s">
        <v>7896</v>
      </c>
      <c r="F1138">
        <v>2.5</v>
      </c>
      <c r="G1138" s="12">
        <v>4000</v>
      </c>
      <c r="H1138">
        <v>263200</v>
      </c>
      <c r="I1138">
        <v>1600</v>
      </c>
    </row>
    <row r="1139" spans="1:9">
      <c r="A1139" t="s">
        <v>1558</v>
      </c>
      <c r="B1139" t="s">
        <v>18</v>
      </c>
      <c r="C1139">
        <v>798000</v>
      </c>
      <c r="D1139">
        <v>798000</v>
      </c>
      <c r="E1139" t="s">
        <v>7896</v>
      </c>
      <c r="F1139">
        <v>2.5</v>
      </c>
      <c r="G1139" s="12">
        <v>0</v>
      </c>
      <c r="H1139">
        <v>319200</v>
      </c>
      <c r="I1139">
        <v>0</v>
      </c>
    </row>
    <row r="1140" spans="1:9">
      <c r="A1140" t="s">
        <v>1558</v>
      </c>
      <c r="B1140" t="s">
        <v>18</v>
      </c>
      <c r="C1140">
        <v>1402000</v>
      </c>
      <c r="D1140">
        <v>1432000</v>
      </c>
      <c r="E1140" t="s">
        <v>7896</v>
      </c>
      <c r="F1140">
        <v>2.5</v>
      </c>
      <c r="G1140" s="12">
        <v>-30000</v>
      </c>
      <c r="H1140">
        <v>560800</v>
      </c>
      <c r="I1140">
        <v>-12000</v>
      </c>
    </row>
    <row r="1141" spans="1:9">
      <c r="A1141" t="s">
        <v>1558</v>
      </c>
      <c r="B1141" t="s">
        <v>18</v>
      </c>
      <c r="C1141">
        <v>3160000</v>
      </c>
      <c r="D1141">
        <v>2484000</v>
      </c>
      <c r="E1141" t="s">
        <v>7896</v>
      </c>
      <c r="F1141">
        <v>2.5</v>
      </c>
      <c r="G1141" s="12">
        <v>676000</v>
      </c>
      <c r="H1141">
        <v>1264000</v>
      </c>
      <c r="I1141">
        <v>270400</v>
      </c>
    </row>
    <row r="1142" spans="1:9">
      <c r="A1142" t="s">
        <v>1619</v>
      </c>
      <c r="B1142" t="s">
        <v>22</v>
      </c>
      <c r="C1142">
        <v>9550000</v>
      </c>
      <c r="D1142">
        <v>10436000</v>
      </c>
      <c r="E1142" t="s">
        <v>7896</v>
      </c>
      <c r="F1142">
        <v>13</v>
      </c>
      <c r="G1142" s="12">
        <v>-886000</v>
      </c>
      <c r="H1142">
        <v>734615.38461538462</v>
      </c>
      <c r="I1142">
        <v>-68153.846153846156</v>
      </c>
    </row>
    <row r="1143" spans="1:9">
      <c r="A1143" t="s">
        <v>1738</v>
      </c>
      <c r="B1143" t="s">
        <v>18</v>
      </c>
      <c r="C1143">
        <v>28000</v>
      </c>
      <c r="D1143">
        <v>26000</v>
      </c>
      <c r="E1143" t="s">
        <v>7896</v>
      </c>
      <c r="F1143">
        <v>2.5</v>
      </c>
      <c r="G1143" s="12">
        <v>2000</v>
      </c>
      <c r="H1143">
        <v>11200</v>
      </c>
      <c r="I1143">
        <v>800</v>
      </c>
    </row>
    <row r="1144" spans="1:9">
      <c r="A1144" t="s">
        <v>1579</v>
      </c>
      <c r="B1144" t="s">
        <v>18</v>
      </c>
      <c r="C1144">
        <v>3137000</v>
      </c>
      <c r="D1144">
        <v>3088000</v>
      </c>
      <c r="E1144" t="s">
        <v>7896</v>
      </c>
      <c r="F1144">
        <v>2.5</v>
      </c>
      <c r="G1144" s="12">
        <v>49000</v>
      </c>
      <c r="H1144">
        <v>1254800</v>
      </c>
      <c r="I1144">
        <v>19600</v>
      </c>
    </row>
    <row r="1145" spans="1:9">
      <c r="A1145" t="s">
        <v>1558</v>
      </c>
      <c r="B1145" t="s">
        <v>18</v>
      </c>
      <c r="C1145">
        <v>100000</v>
      </c>
      <c r="D1145">
        <v>175000</v>
      </c>
      <c r="E1145" t="s">
        <v>7896</v>
      </c>
      <c r="F1145">
        <v>2.5</v>
      </c>
      <c r="G1145" s="12">
        <v>-75000</v>
      </c>
      <c r="H1145">
        <v>40000</v>
      </c>
      <c r="I1145">
        <v>-30000</v>
      </c>
    </row>
    <row r="1146" spans="1:9">
      <c r="A1146" t="s">
        <v>1618</v>
      </c>
      <c r="B1146" t="s">
        <v>18</v>
      </c>
      <c r="C1146">
        <v>5184000</v>
      </c>
      <c r="D1146">
        <v>839000</v>
      </c>
      <c r="E1146" t="s">
        <v>7896</v>
      </c>
      <c r="F1146">
        <v>2.5</v>
      </c>
      <c r="G1146" s="12">
        <v>4345000</v>
      </c>
      <c r="H1146">
        <v>2073600</v>
      </c>
      <c r="I1146">
        <v>1738000</v>
      </c>
    </row>
    <row r="1147" spans="1:9">
      <c r="A1147" t="s">
        <v>1526</v>
      </c>
      <c r="B1147" t="s">
        <v>18</v>
      </c>
      <c r="C1147">
        <v>2551000</v>
      </c>
      <c r="D1147">
        <v>2623000</v>
      </c>
      <c r="E1147" t="s">
        <v>7896</v>
      </c>
      <c r="F1147">
        <v>2.5</v>
      </c>
      <c r="G1147" s="12">
        <v>-72000</v>
      </c>
      <c r="H1147">
        <v>1020400</v>
      </c>
      <c r="I1147">
        <v>-28800</v>
      </c>
    </row>
    <row r="1148" spans="1:9">
      <c r="A1148" t="s">
        <v>1526</v>
      </c>
      <c r="B1148" t="s">
        <v>18</v>
      </c>
      <c r="C1148">
        <v>3321000</v>
      </c>
      <c r="D1148">
        <v>3218000</v>
      </c>
      <c r="E1148" t="s">
        <v>7896</v>
      </c>
      <c r="F1148">
        <v>2.5</v>
      </c>
      <c r="G1148" s="12">
        <v>103000</v>
      </c>
      <c r="H1148">
        <v>1328400</v>
      </c>
      <c r="I1148">
        <v>41200</v>
      </c>
    </row>
    <row r="1149" spans="1:9">
      <c r="A1149" t="s">
        <v>1749</v>
      </c>
      <c r="B1149" t="s">
        <v>18</v>
      </c>
      <c r="C1149">
        <v>5202000</v>
      </c>
      <c r="D1149">
        <v>5161000</v>
      </c>
      <c r="E1149" t="s">
        <v>7896</v>
      </c>
      <c r="F1149">
        <v>2.5</v>
      </c>
      <c r="G1149" s="12">
        <v>41000</v>
      </c>
      <c r="H1149">
        <v>2080800</v>
      </c>
      <c r="I1149">
        <v>16400</v>
      </c>
    </row>
    <row r="1150" spans="1:9">
      <c r="A1150" t="s">
        <v>1533</v>
      </c>
      <c r="B1150" t="s">
        <v>18</v>
      </c>
      <c r="C1150">
        <v>7438000</v>
      </c>
      <c r="D1150">
        <v>7196000</v>
      </c>
      <c r="E1150" t="s">
        <v>7896</v>
      </c>
      <c r="F1150">
        <v>2.5</v>
      </c>
      <c r="G1150" s="12">
        <v>242000</v>
      </c>
      <c r="H1150">
        <v>2975200</v>
      </c>
      <c r="I1150">
        <v>96800</v>
      </c>
    </row>
    <row r="1151" spans="1:9">
      <c r="A1151" t="s">
        <v>1534</v>
      </c>
      <c r="B1151" t="s">
        <v>18</v>
      </c>
      <c r="C1151">
        <v>1305000</v>
      </c>
      <c r="D1151">
        <v>1182000</v>
      </c>
      <c r="E1151" t="s">
        <v>7896</v>
      </c>
      <c r="F1151">
        <v>2.5</v>
      </c>
      <c r="G1151" s="12">
        <v>123000</v>
      </c>
      <c r="H1151">
        <v>522000</v>
      </c>
      <c r="I1151">
        <v>49200</v>
      </c>
    </row>
    <row r="1152" spans="1:9">
      <c r="A1152" t="s">
        <v>1558</v>
      </c>
      <c r="B1152" t="s">
        <v>18</v>
      </c>
      <c r="C1152">
        <v>11000</v>
      </c>
      <c r="D1152">
        <v>12000</v>
      </c>
      <c r="E1152" t="s">
        <v>7896</v>
      </c>
      <c r="F1152">
        <v>2.5</v>
      </c>
      <c r="G1152" s="12">
        <v>-1000</v>
      </c>
      <c r="H1152">
        <v>4400</v>
      </c>
      <c r="I1152">
        <v>-400</v>
      </c>
    </row>
    <row r="1153" spans="1:9">
      <c r="A1153" t="s">
        <v>1558</v>
      </c>
      <c r="B1153" t="s">
        <v>18</v>
      </c>
      <c r="C1153">
        <v>6664000</v>
      </c>
      <c r="D1153">
        <v>6425000</v>
      </c>
      <c r="E1153" t="s">
        <v>7896</v>
      </c>
      <c r="F1153">
        <v>2.5</v>
      </c>
      <c r="G1153" s="12">
        <v>239000</v>
      </c>
      <c r="H1153">
        <v>2665600</v>
      </c>
      <c r="I1153">
        <v>95600</v>
      </c>
    </row>
    <row r="1154" spans="1:9">
      <c r="A1154" t="s">
        <v>1518</v>
      </c>
      <c r="B1154" t="s">
        <v>18</v>
      </c>
      <c r="C1154">
        <v>4064000</v>
      </c>
      <c r="D1154">
        <v>3568000</v>
      </c>
      <c r="E1154" t="s">
        <v>7896</v>
      </c>
      <c r="F1154">
        <v>2.5</v>
      </c>
      <c r="G1154" s="12">
        <v>496000</v>
      </c>
      <c r="H1154">
        <v>1625600</v>
      </c>
      <c r="I1154">
        <v>198400</v>
      </c>
    </row>
    <row r="1155" spans="1:9">
      <c r="A1155" t="s">
        <v>1532</v>
      </c>
      <c r="B1155" t="s">
        <v>18</v>
      </c>
      <c r="C1155">
        <v>1218000</v>
      </c>
      <c r="D1155">
        <v>1270000</v>
      </c>
      <c r="E1155" t="s">
        <v>7896</v>
      </c>
      <c r="F1155">
        <v>2.5</v>
      </c>
      <c r="G1155" s="12">
        <v>-52000</v>
      </c>
      <c r="H1155">
        <v>487200</v>
      </c>
      <c r="I1155">
        <v>-20800</v>
      </c>
    </row>
    <row r="1156" spans="1:9">
      <c r="A1156" t="s">
        <v>1532</v>
      </c>
      <c r="B1156" t="s">
        <v>18</v>
      </c>
      <c r="C1156">
        <v>422000</v>
      </c>
      <c r="D1156">
        <v>414000</v>
      </c>
      <c r="E1156" t="s">
        <v>7896</v>
      </c>
      <c r="F1156">
        <v>2.5</v>
      </c>
      <c r="G1156" s="12">
        <v>8000</v>
      </c>
      <c r="H1156">
        <v>168800</v>
      </c>
      <c r="I1156">
        <v>3200</v>
      </c>
    </row>
    <row r="1157" spans="1:9">
      <c r="A1157" t="s">
        <v>1619</v>
      </c>
      <c r="B1157" t="s">
        <v>18</v>
      </c>
      <c r="C1157">
        <v>1420000</v>
      </c>
      <c r="D1157">
        <v>1622000</v>
      </c>
      <c r="E1157" t="s">
        <v>7896</v>
      </c>
      <c r="F1157">
        <v>2.5</v>
      </c>
      <c r="G1157" s="12">
        <v>-202000</v>
      </c>
      <c r="H1157">
        <v>568000</v>
      </c>
      <c r="I1157">
        <v>-80800</v>
      </c>
    </row>
    <row r="1158" spans="1:9">
      <c r="A1158" t="s">
        <v>1532</v>
      </c>
      <c r="B1158" t="s">
        <v>22</v>
      </c>
      <c r="C1158">
        <v>30299000</v>
      </c>
      <c r="D1158">
        <v>32148000</v>
      </c>
      <c r="E1158" t="s">
        <v>7896</v>
      </c>
      <c r="F1158">
        <v>13</v>
      </c>
      <c r="G1158" s="12">
        <v>-1849000</v>
      </c>
      <c r="H1158">
        <v>2330692.3076923075</v>
      </c>
      <c r="I1158">
        <v>-142230.76923076922</v>
      </c>
    </row>
    <row r="1159" spans="1:9">
      <c r="A1159" t="s">
        <v>1579</v>
      </c>
      <c r="B1159" t="s">
        <v>18</v>
      </c>
      <c r="C1159">
        <v>527000</v>
      </c>
      <c r="D1159">
        <v>527000</v>
      </c>
      <c r="E1159" t="s">
        <v>7896</v>
      </c>
      <c r="F1159">
        <v>2.5</v>
      </c>
      <c r="G1159" s="12">
        <v>0</v>
      </c>
      <c r="H1159">
        <v>210800</v>
      </c>
      <c r="I1159">
        <v>0</v>
      </c>
    </row>
    <row r="1160" spans="1:9">
      <c r="A1160" t="s">
        <v>1646</v>
      </c>
      <c r="B1160" t="s">
        <v>18</v>
      </c>
      <c r="C1160">
        <v>345000</v>
      </c>
      <c r="D1160">
        <v>331000</v>
      </c>
      <c r="E1160" t="s">
        <v>7896</v>
      </c>
      <c r="F1160">
        <v>2.5</v>
      </c>
      <c r="G1160" s="12">
        <v>14000</v>
      </c>
      <c r="H1160">
        <v>138000</v>
      </c>
      <c r="I1160">
        <v>5600</v>
      </c>
    </row>
    <row r="1161" spans="1:9">
      <c r="A1161" t="s">
        <v>1518</v>
      </c>
      <c r="B1161" t="s">
        <v>18</v>
      </c>
      <c r="C1161">
        <v>750000</v>
      </c>
      <c r="D1161">
        <v>649000</v>
      </c>
      <c r="E1161" t="s">
        <v>7896</v>
      </c>
      <c r="F1161">
        <v>2.5</v>
      </c>
      <c r="G1161" s="12">
        <v>101000</v>
      </c>
      <c r="H1161">
        <v>300000</v>
      </c>
      <c r="I1161">
        <v>40400</v>
      </c>
    </row>
    <row r="1162" spans="1:9">
      <c r="A1162" t="s">
        <v>1579</v>
      </c>
      <c r="B1162" t="s">
        <v>18</v>
      </c>
      <c r="C1162">
        <v>838000</v>
      </c>
      <c r="D1162">
        <v>893000</v>
      </c>
      <c r="E1162" t="s">
        <v>7896</v>
      </c>
      <c r="F1162">
        <v>2.5</v>
      </c>
      <c r="G1162" s="12">
        <v>-55000</v>
      </c>
      <c r="H1162">
        <v>335200</v>
      </c>
      <c r="I1162">
        <v>-22000</v>
      </c>
    </row>
    <row r="1163" spans="1:9">
      <c r="A1163" t="s">
        <v>1532</v>
      </c>
      <c r="B1163" t="s">
        <v>18</v>
      </c>
      <c r="C1163">
        <v>2200000</v>
      </c>
      <c r="D1163">
        <v>2038000</v>
      </c>
      <c r="E1163" t="s">
        <v>7896</v>
      </c>
      <c r="F1163">
        <v>2.5</v>
      </c>
      <c r="G1163" s="12">
        <v>162000</v>
      </c>
      <c r="H1163">
        <v>880000</v>
      </c>
      <c r="I1163">
        <v>64800</v>
      </c>
    </row>
    <row r="1164" spans="1:9">
      <c r="A1164" t="s">
        <v>1560</v>
      </c>
      <c r="B1164" t="s">
        <v>18</v>
      </c>
      <c r="C1164">
        <v>1078000</v>
      </c>
      <c r="D1164">
        <v>1053000</v>
      </c>
      <c r="E1164" t="s">
        <v>7896</v>
      </c>
      <c r="F1164">
        <v>2.5</v>
      </c>
      <c r="G1164" s="12">
        <v>25000</v>
      </c>
      <c r="H1164">
        <v>431200</v>
      </c>
      <c r="I1164">
        <v>10000</v>
      </c>
    </row>
    <row r="1165" spans="1:9">
      <c r="A1165" t="s">
        <v>1532</v>
      </c>
      <c r="B1165" t="s">
        <v>18</v>
      </c>
      <c r="C1165">
        <v>1480000</v>
      </c>
      <c r="D1165">
        <v>1915000</v>
      </c>
      <c r="E1165" t="s">
        <v>7896</v>
      </c>
      <c r="F1165">
        <v>2.5</v>
      </c>
      <c r="G1165" s="12">
        <v>-435000</v>
      </c>
      <c r="H1165">
        <v>592000</v>
      </c>
      <c r="I1165">
        <v>-174000</v>
      </c>
    </row>
    <row r="1166" spans="1:9">
      <c r="A1166" t="s">
        <v>1643</v>
      </c>
      <c r="B1166" t="s">
        <v>18</v>
      </c>
      <c r="C1166">
        <v>1972000</v>
      </c>
      <c r="D1166">
        <v>1715000</v>
      </c>
      <c r="E1166" t="s">
        <v>7896</v>
      </c>
      <c r="F1166">
        <v>2.5</v>
      </c>
      <c r="G1166" s="12">
        <v>257000</v>
      </c>
      <c r="H1166">
        <v>788800</v>
      </c>
      <c r="I1166">
        <v>102800</v>
      </c>
    </row>
    <row r="1167" spans="1:9">
      <c r="A1167" t="s">
        <v>1532</v>
      </c>
      <c r="B1167" t="s">
        <v>18</v>
      </c>
      <c r="C1167">
        <v>1267000</v>
      </c>
      <c r="D1167">
        <v>1265000</v>
      </c>
      <c r="E1167" t="s">
        <v>7896</v>
      </c>
      <c r="F1167">
        <v>2.5</v>
      </c>
      <c r="G1167" s="12">
        <v>2000</v>
      </c>
      <c r="H1167">
        <v>506800</v>
      </c>
      <c r="I1167">
        <v>800</v>
      </c>
    </row>
    <row r="1168" spans="1:9">
      <c r="A1168" t="s">
        <v>1516</v>
      </c>
      <c r="B1168" t="s">
        <v>18</v>
      </c>
      <c r="C1168">
        <v>2850000</v>
      </c>
      <c r="D1168">
        <v>2509000</v>
      </c>
      <c r="E1168" t="s">
        <v>7896</v>
      </c>
      <c r="F1168">
        <v>2.5</v>
      </c>
      <c r="G1168" s="12">
        <v>341000</v>
      </c>
      <c r="H1168">
        <v>1140000</v>
      </c>
      <c r="I1168">
        <v>136400</v>
      </c>
    </row>
    <row r="1169" spans="1:9">
      <c r="A1169" t="s">
        <v>1560</v>
      </c>
      <c r="B1169" t="s">
        <v>18</v>
      </c>
      <c r="C1169">
        <v>1690000</v>
      </c>
      <c r="D1169">
        <v>2252000</v>
      </c>
      <c r="E1169" t="s">
        <v>7896</v>
      </c>
      <c r="F1169">
        <v>2.5</v>
      </c>
      <c r="G1169" s="12">
        <v>-562000</v>
      </c>
      <c r="H1169">
        <v>676000</v>
      </c>
      <c r="I1169">
        <v>-224800</v>
      </c>
    </row>
    <row r="1170" spans="1:9">
      <c r="A1170" t="s">
        <v>1575</v>
      </c>
      <c r="B1170" t="s">
        <v>18</v>
      </c>
      <c r="C1170">
        <v>650000</v>
      </c>
      <c r="D1170">
        <v>617000</v>
      </c>
      <c r="E1170" t="s">
        <v>7896</v>
      </c>
      <c r="F1170">
        <v>2.5</v>
      </c>
      <c r="G1170" s="12">
        <v>33000</v>
      </c>
      <c r="H1170">
        <v>260000</v>
      </c>
      <c r="I1170">
        <v>13200</v>
      </c>
    </row>
    <row r="1171" spans="1:9">
      <c r="A1171" t="s">
        <v>1524</v>
      </c>
      <c r="B1171" t="s">
        <v>18</v>
      </c>
      <c r="C1171">
        <v>1872000</v>
      </c>
      <c r="D1171">
        <v>1824000</v>
      </c>
      <c r="E1171" t="s">
        <v>7896</v>
      </c>
      <c r="F1171">
        <v>2.5</v>
      </c>
      <c r="G1171" s="12">
        <v>48000</v>
      </c>
      <c r="H1171">
        <v>748800</v>
      </c>
      <c r="I1171">
        <v>19200</v>
      </c>
    </row>
    <row r="1172" spans="1:9">
      <c r="A1172" t="s">
        <v>1588</v>
      </c>
      <c r="B1172" t="s">
        <v>18</v>
      </c>
      <c r="C1172">
        <v>688000</v>
      </c>
      <c r="D1172">
        <v>835000</v>
      </c>
      <c r="E1172" t="s">
        <v>7896</v>
      </c>
      <c r="F1172">
        <v>2.5</v>
      </c>
      <c r="G1172" s="12">
        <v>-147000</v>
      </c>
      <c r="H1172">
        <v>275200</v>
      </c>
      <c r="I1172">
        <v>-58800</v>
      </c>
    </row>
    <row r="1173" spans="1:9">
      <c r="A1173" t="s">
        <v>1524</v>
      </c>
      <c r="B1173" t="s">
        <v>18</v>
      </c>
      <c r="C1173">
        <v>1373000</v>
      </c>
      <c r="D1173">
        <v>1100000</v>
      </c>
      <c r="E1173" t="s">
        <v>7896</v>
      </c>
      <c r="F1173">
        <v>2.5</v>
      </c>
      <c r="G1173" s="12">
        <v>273000</v>
      </c>
      <c r="H1173">
        <v>549200</v>
      </c>
      <c r="I1173">
        <v>109200</v>
      </c>
    </row>
    <row r="1174" spans="1:9">
      <c r="A1174" t="s">
        <v>1560</v>
      </c>
      <c r="B1174" t="s">
        <v>18</v>
      </c>
      <c r="C1174">
        <v>506000</v>
      </c>
      <c r="D1174">
        <v>457000</v>
      </c>
      <c r="E1174" t="s">
        <v>7896</v>
      </c>
      <c r="F1174">
        <v>2.5</v>
      </c>
      <c r="G1174" s="12">
        <v>49000</v>
      </c>
      <c r="H1174">
        <v>202400</v>
      </c>
      <c r="I1174">
        <v>19600</v>
      </c>
    </row>
    <row r="1175" spans="1:9">
      <c r="A1175" t="s">
        <v>1547</v>
      </c>
      <c r="B1175" t="s">
        <v>18</v>
      </c>
      <c r="C1175">
        <v>362195000</v>
      </c>
      <c r="D1175">
        <v>351349000</v>
      </c>
      <c r="E1175" t="s">
        <v>7896</v>
      </c>
      <c r="F1175">
        <v>2.5</v>
      </c>
      <c r="G1175" s="12">
        <v>10846000</v>
      </c>
      <c r="H1175">
        <v>144878000</v>
      </c>
      <c r="I1175">
        <v>4338400</v>
      </c>
    </row>
    <row r="1176" spans="1:9">
      <c r="A1176" t="s">
        <v>1532</v>
      </c>
      <c r="B1176" t="s">
        <v>18</v>
      </c>
      <c r="C1176">
        <v>20000</v>
      </c>
      <c r="D1176">
        <v>25000</v>
      </c>
      <c r="E1176" t="s">
        <v>7896</v>
      </c>
      <c r="F1176">
        <v>2.5</v>
      </c>
      <c r="G1176" s="12">
        <v>-5000</v>
      </c>
      <c r="H1176">
        <v>8000</v>
      </c>
      <c r="I1176">
        <v>-2000</v>
      </c>
    </row>
    <row r="1177" spans="1:9">
      <c r="A1177" t="s">
        <v>1516</v>
      </c>
      <c r="B1177" t="s">
        <v>18</v>
      </c>
      <c r="C1177">
        <v>90000</v>
      </c>
      <c r="D1177">
        <v>90000</v>
      </c>
      <c r="E1177" t="s">
        <v>7896</v>
      </c>
      <c r="F1177">
        <v>2.5</v>
      </c>
      <c r="G1177" s="12">
        <v>0</v>
      </c>
      <c r="H1177">
        <v>36000</v>
      </c>
      <c r="I1177">
        <v>0</v>
      </c>
    </row>
    <row r="1178" spans="1:9">
      <c r="A1178" t="s">
        <v>1508</v>
      </c>
      <c r="B1178" t="s">
        <v>18</v>
      </c>
      <c r="C1178">
        <v>602000</v>
      </c>
      <c r="D1178">
        <v>427000</v>
      </c>
      <c r="E1178" t="s">
        <v>7896</v>
      </c>
      <c r="F1178">
        <v>2.5</v>
      </c>
      <c r="G1178" s="12">
        <v>175000</v>
      </c>
      <c r="H1178">
        <v>240800</v>
      </c>
      <c r="I1178">
        <v>70000</v>
      </c>
    </row>
    <row r="1179" spans="1:9">
      <c r="A1179" t="s">
        <v>1519</v>
      </c>
      <c r="B1179" t="s">
        <v>18</v>
      </c>
      <c r="C1179">
        <v>730000</v>
      </c>
      <c r="D1179">
        <v>621000</v>
      </c>
      <c r="E1179" t="s">
        <v>7896</v>
      </c>
      <c r="F1179">
        <v>2.5</v>
      </c>
      <c r="G1179" s="12">
        <v>109000</v>
      </c>
      <c r="H1179">
        <v>292000</v>
      </c>
      <c r="I1179">
        <v>43600</v>
      </c>
    </row>
    <row r="1180" spans="1:9">
      <c r="A1180" t="s">
        <v>1526</v>
      </c>
      <c r="B1180" t="s">
        <v>18</v>
      </c>
      <c r="C1180">
        <v>377000</v>
      </c>
      <c r="D1180">
        <v>118000</v>
      </c>
      <c r="E1180" t="s">
        <v>7896</v>
      </c>
      <c r="F1180">
        <v>2.5</v>
      </c>
      <c r="G1180" s="12">
        <v>259000</v>
      </c>
      <c r="H1180">
        <v>150800</v>
      </c>
      <c r="I1180">
        <v>103600</v>
      </c>
    </row>
    <row r="1181" spans="1:9">
      <c r="A1181" t="s">
        <v>1801</v>
      </c>
      <c r="B1181" t="s">
        <v>18</v>
      </c>
      <c r="C1181">
        <v>4094000</v>
      </c>
      <c r="D1181">
        <v>4360000</v>
      </c>
      <c r="E1181" t="s">
        <v>7896</v>
      </c>
      <c r="F1181">
        <v>2.5</v>
      </c>
      <c r="G1181" s="12">
        <v>-266000</v>
      </c>
      <c r="H1181">
        <v>1637600</v>
      </c>
      <c r="I1181">
        <v>-106400</v>
      </c>
    </row>
    <row r="1182" spans="1:9">
      <c r="A1182" t="s">
        <v>1516</v>
      </c>
      <c r="B1182" t="s">
        <v>18</v>
      </c>
      <c r="C1182">
        <v>5540000</v>
      </c>
      <c r="D1182">
        <v>5345000</v>
      </c>
      <c r="E1182" t="s">
        <v>7896</v>
      </c>
      <c r="F1182">
        <v>2.5</v>
      </c>
      <c r="G1182" s="12">
        <v>195000</v>
      </c>
      <c r="H1182">
        <v>2216000</v>
      </c>
      <c r="I1182">
        <v>78000</v>
      </c>
    </row>
    <row r="1183" spans="1:9">
      <c r="A1183" t="s">
        <v>1524</v>
      </c>
      <c r="B1183" t="s">
        <v>18</v>
      </c>
      <c r="C1183">
        <v>1897000</v>
      </c>
      <c r="D1183">
        <v>1701000</v>
      </c>
      <c r="E1183" t="s">
        <v>7896</v>
      </c>
      <c r="F1183">
        <v>2.5</v>
      </c>
      <c r="G1183" s="12">
        <v>196000</v>
      </c>
      <c r="H1183">
        <v>758800</v>
      </c>
      <c r="I1183">
        <v>78400</v>
      </c>
    </row>
    <row r="1184" spans="1:9">
      <c r="A1184" t="s">
        <v>1509</v>
      </c>
      <c r="B1184" t="s">
        <v>18</v>
      </c>
      <c r="C1184">
        <v>6926000</v>
      </c>
      <c r="D1184">
        <v>7250000</v>
      </c>
      <c r="E1184" t="s">
        <v>7896</v>
      </c>
      <c r="F1184">
        <v>2.5</v>
      </c>
      <c r="G1184" s="12">
        <v>-324000</v>
      </c>
      <c r="H1184">
        <v>2770400</v>
      </c>
      <c r="I1184">
        <v>-129600</v>
      </c>
    </row>
    <row r="1185" spans="1:9">
      <c r="A1185" t="s">
        <v>1794</v>
      </c>
      <c r="B1185" t="s">
        <v>18</v>
      </c>
      <c r="C1185">
        <v>9924000</v>
      </c>
      <c r="D1185">
        <v>9974000</v>
      </c>
      <c r="E1185" t="s">
        <v>7896</v>
      </c>
      <c r="F1185">
        <v>2.5</v>
      </c>
      <c r="G1185" s="12">
        <v>-50000</v>
      </c>
      <c r="H1185">
        <v>3969600</v>
      </c>
      <c r="I1185">
        <v>-20000</v>
      </c>
    </row>
    <row r="1186" spans="1:9">
      <c r="A1186" t="s">
        <v>1629</v>
      </c>
      <c r="B1186" t="s">
        <v>18</v>
      </c>
      <c r="C1186">
        <v>1466000</v>
      </c>
      <c r="D1186">
        <v>1483000</v>
      </c>
      <c r="E1186" t="s">
        <v>7896</v>
      </c>
      <c r="F1186">
        <v>2.5</v>
      </c>
      <c r="G1186" s="12">
        <v>-17000</v>
      </c>
      <c r="H1186">
        <v>586400</v>
      </c>
      <c r="I1186">
        <v>-6800</v>
      </c>
    </row>
    <row r="1187" spans="1:9">
      <c r="A1187" t="s">
        <v>1559</v>
      </c>
      <c r="B1187" t="s">
        <v>18</v>
      </c>
      <c r="C1187">
        <v>22895000</v>
      </c>
      <c r="D1187">
        <v>22895000</v>
      </c>
      <c r="E1187" t="s">
        <v>7896</v>
      </c>
      <c r="F1187">
        <v>2.5</v>
      </c>
      <c r="G1187" s="12">
        <v>0</v>
      </c>
      <c r="H1187">
        <v>9158000</v>
      </c>
      <c r="I1187">
        <v>0</v>
      </c>
    </row>
    <row r="1188" spans="1:9">
      <c r="A1188" t="s">
        <v>1533</v>
      </c>
      <c r="B1188" t="s">
        <v>18</v>
      </c>
      <c r="C1188">
        <v>52000</v>
      </c>
      <c r="D1188">
        <v>249000</v>
      </c>
      <c r="E1188" t="s">
        <v>7896</v>
      </c>
      <c r="F1188">
        <v>2.5</v>
      </c>
      <c r="G1188" s="12">
        <v>-197000</v>
      </c>
      <c r="H1188">
        <v>20800</v>
      </c>
      <c r="I1188">
        <v>-78800</v>
      </c>
    </row>
    <row r="1189" spans="1:9">
      <c r="A1189" t="s">
        <v>1580</v>
      </c>
      <c r="B1189" t="s">
        <v>18</v>
      </c>
      <c r="C1189">
        <v>461000</v>
      </c>
      <c r="D1189">
        <v>345000</v>
      </c>
      <c r="E1189" t="s">
        <v>7896</v>
      </c>
      <c r="F1189">
        <v>2.5</v>
      </c>
      <c r="G1189" s="12">
        <v>116000</v>
      </c>
      <c r="H1189">
        <v>184400</v>
      </c>
      <c r="I1189">
        <v>46400</v>
      </c>
    </row>
    <row r="1190" spans="1:9">
      <c r="A1190" t="s">
        <v>1524</v>
      </c>
      <c r="B1190" t="s">
        <v>18</v>
      </c>
      <c r="C1190">
        <v>7484000</v>
      </c>
      <c r="D1190">
        <v>7410000</v>
      </c>
      <c r="E1190" t="s">
        <v>7896</v>
      </c>
      <c r="F1190">
        <v>2.5</v>
      </c>
      <c r="G1190" s="12">
        <v>74000</v>
      </c>
      <c r="H1190">
        <v>2993600</v>
      </c>
      <c r="I1190">
        <v>29600</v>
      </c>
    </row>
    <row r="1191" spans="1:9">
      <c r="A1191" t="s">
        <v>1558</v>
      </c>
      <c r="B1191" t="s">
        <v>18</v>
      </c>
      <c r="C1191">
        <v>1623000</v>
      </c>
      <c r="D1191">
        <v>1667000</v>
      </c>
      <c r="E1191" t="s">
        <v>7896</v>
      </c>
      <c r="F1191">
        <v>2.5</v>
      </c>
      <c r="G1191" s="12">
        <v>-44000</v>
      </c>
      <c r="H1191">
        <v>649200</v>
      </c>
      <c r="I1191">
        <v>-17600</v>
      </c>
    </row>
    <row r="1192" spans="1:9">
      <c r="A1192" t="s">
        <v>1754</v>
      </c>
      <c r="B1192" t="s">
        <v>18</v>
      </c>
      <c r="C1192">
        <v>1735000</v>
      </c>
      <c r="D1192">
        <v>1735000</v>
      </c>
      <c r="E1192" t="s">
        <v>7896</v>
      </c>
      <c r="F1192">
        <v>2.5</v>
      </c>
      <c r="G1192" s="12">
        <v>0</v>
      </c>
      <c r="H1192">
        <v>694000</v>
      </c>
      <c r="I1192">
        <v>0</v>
      </c>
    </row>
    <row r="1193" spans="1:9">
      <c r="A1193" t="s">
        <v>1532</v>
      </c>
      <c r="B1193" t="s">
        <v>18</v>
      </c>
      <c r="C1193">
        <v>1377000</v>
      </c>
      <c r="D1193">
        <v>282000</v>
      </c>
      <c r="E1193" t="s">
        <v>7896</v>
      </c>
      <c r="F1193">
        <v>2.5</v>
      </c>
      <c r="G1193" s="12">
        <v>1095000</v>
      </c>
      <c r="H1193">
        <v>550800</v>
      </c>
      <c r="I1193">
        <v>438000</v>
      </c>
    </row>
    <row r="1194" spans="1:9">
      <c r="A1194" t="s">
        <v>1524</v>
      </c>
      <c r="B1194" t="s">
        <v>18</v>
      </c>
      <c r="C1194">
        <v>2555000</v>
      </c>
      <c r="D1194">
        <v>3492000</v>
      </c>
      <c r="E1194" t="s">
        <v>7896</v>
      </c>
      <c r="F1194">
        <v>2.5</v>
      </c>
      <c r="G1194" s="12">
        <v>-937000</v>
      </c>
      <c r="H1194">
        <v>1022000</v>
      </c>
      <c r="I1194">
        <v>-374800</v>
      </c>
    </row>
    <row r="1195" spans="1:9">
      <c r="A1195" t="s">
        <v>1532</v>
      </c>
      <c r="B1195" t="s">
        <v>18</v>
      </c>
      <c r="C1195">
        <v>20230000</v>
      </c>
      <c r="D1195">
        <v>20074000</v>
      </c>
      <c r="E1195" t="s">
        <v>7896</v>
      </c>
      <c r="F1195">
        <v>2.5</v>
      </c>
      <c r="G1195" s="12">
        <v>156000</v>
      </c>
      <c r="H1195">
        <v>8092000</v>
      </c>
      <c r="I1195">
        <v>62400</v>
      </c>
    </row>
    <row r="1196" spans="1:9">
      <c r="A1196" t="s">
        <v>1588</v>
      </c>
      <c r="B1196" t="s">
        <v>18</v>
      </c>
      <c r="C1196">
        <v>131000</v>
      </c>
      <c r="D1196">
        <v>89000</v>
      </c>
      <c r="E1196" t="s">
        <v>7896</v>
      </c>
      <c r="F1196">
        <v>2.5</v>
      </c>
      <c r="G1196" s="12">
        <v>42000</v>
      </c>
      <c r="H1196">
        <v>52400</v>
      </c>
      <c r="I1196">
        <v>16800</v>
      </c>
    </row>
    <row r="1197" spans="1:9">
      <c r="A1197" t="s">
        <v>1661</v>
      </c>
      <c r="B1197" t="s">
        <v>18</v>
      </c>
      <c r="C1197">
        <v>215000</v>
      </c>
      <c r="D1197">
        <v>205000</v>
      </c>
      <c r="E1197" t="s">
        <v>7896</v>
      </c>
      <c r="F1197">
        <v>2.5</v>
      </c>
      <c r="G1197" s="12">
        <v>10000</v>
      </c>
      <c r="H1197">
        <v>86000</v>
      </c>
      <c r="I1197">
        <v>4000</v>
      </c>
    </row>
    <row r="1198" spans="1:9">
      <c r="A1198" t="s">
        <v>1533</v>
      </c>
      <c r="B1198" t="s">
        <v>77</v>
      </c>
      <c r="C1198">
        <v>340903000</v>
      </c>
      <c r="D1198">
        <v>311511000</v>
      </c>
      <c r="E1198" t="s">
        <v>7896</v>
      </c>
      <c r="F1198">
        <v>8</v>
      </c>
      <c r="G1198" s="12">
        <v>29392000</v>
      </c>
      <c r="H1198">
        <v>42612875</v>
      </c>
      <c r="I1198">
        <v>3674000</v>
      </c>
    </row>
    <row r="1199" spans="1:9">
      <c r="A1199" t="s">
        <v>1559</v>
      </c>
      <c r="B1199" t="s">
        <v>18</v>
      </c>
      <c r="C1199">
        <v>2666000</v>
      </c>
      <c r="D1199">
        <v>2345000</v>
      </c>
      <c r="E1199" t="s">
        <v>7896</v>
      </c>
      <c r="F1199">
        <v>2.5</v>
      </c>
      <c r="G1199" s="12">
        <v>321000</v>
      </c>
      <c r="H1199">
        <v>1066400</v>
      </c>
      <c r="I1199">
        <v>128400</v>
      </c>
    </row>
    <row r="1200" spans="1:9">
      <c r="A1200" t="s">
        <v>1532</v>
      </c>
      <c r="B1200" t="s">
        <v>18</v>
      </c>
      <c r="C1200">
        <v>600000</v>
      </c>
      <c r="D1200">
        <v>1494000</v>
      </c>
      <c r="E1200" t="s">
        <v>7896</v>
      </c>
      <c r="F1200">
        <v>2.5</v>
      </c>
      <c r="G1200" s="12">
        <v>-894000</v>
      </c>
      <c r="H1200">
        <v>240000</v>
      </c>
      <c r="I1200">
        <v>-357600</v>
      </c>
    </row>
    <row r="1201" spans="1:9">
      <c r="A1201" t="s">
        <v>1532</v>
      </c>
      <c r="B1201" t="s">
        <v>18</v>
      </c>
      <c r="C1201">
        <v>694000</v>
      </c>
      <c r="D1201">
        <v>775000</v>
      </c>
      <c r="E1201" t="s">
        <v>7896</v>
      </c>
      <c r="F1201">
        <v>2.5</v>
      </c>
      <c r="G1201" s="12">
        <v>-81000</v>
      </c>
      <c r="H1201">
        <v>277600</v>
      </c>
      <c r="I1201">
        <v>-32400</v>
      </c>
    </row>
    <row r="1202" spans="1:9">
      <c r="A1202" t="s">
        <v>1508</v>
      </c>
      <c r="B1202" t="s">
        <v>23</v>
      </c>
      <c r="C1202">
        <v>31375000</v>
      </c>
      <c r="D1202">
        <v>7635000</v>
      </c>
      <c r="E1202" t="s">
        <v>7897</v>
      </c>
      <c r="F1202">
        <v>75.5</v>
      </c>
      <c r="G1202" s="12">
        <v>23740000</v>
      </c>
      <c r="H1202">
        <v>415562.91390728479</v>
      </c>
      <c r="I1202">
        <v>314437.08609271521</v>
      </c>
    </row>
    <row r="1203" spans="1:9">
      <c r="A1203" t="s">
        <v>1642</v>
      </c>
      <c r="B1203" t="s">
        <v>18</v>
      </c>
      <c r="C1203">
        <v>2993000</v>
      </c>
      <c r="D1203">
        <v>1903000</v>
      </c>
      <c r="E1203" t="s">
        <v>7896</v>
      </c>
      <c r="F1203">
        <v>2.5</v>
      </c>
      <c r="G1203" s="12">
        <v>1090000</v>
      </c>
      <c r="H1203">
        <v>1197200</v>
      </c>
      <c r="I1203">
        <v>436000</v>
      </c>
    </row>
    <row r="1204" spans="1:9">
      <c r="A1204" t="s">
        <v>1580</v>
      </c>
      <c r="B1204" t="s">
        <v>18</v>
      </c>
      <c r="C1204">
        <v>34000</v>
      </c>
      <c r="D1204">
        <v>25000</v>
      </c>
      <c r="E1204" t="s">
        <v>7896</v>
      </c>
      <c r="F1204">
        <v>2.5</v>
      </c>
      <c r="G1204" s="12">
        <v>9000</v>
      </c>
      <c r="H1204">
        <v>13600</v>
      </c>
      <c r="I1204">
        <v>3600</v>
      </c>
    </row>
    <row r="1205" spans="1:9">
      <c r="A1205" t="s">
        <v>1524</v>
      </c>
      <c r="B1205" t="s">
        <v>18</v>
      </c>
      <c r="C1205">
        <v>1740000</v>
      </c>
      <c r="D1205">
        <v>3819000</v>
      </c>
      <c r="E1205" t="s">
        <v>7896</v>
      </c>
      <c r="F1205">
        <v>2.5</v>
      </c>
      <c r="G1205" s="12">
        <v>-2079000</v>
      </c>
      <c r="H1205">
        <v>696000</v>
      </c>
      <c r="I1205">
        <v>-831600</v>
      </c>
    </row>
    <row r="1206" spans="1:9">
      <c r="A1206" t="s">
        <v>1532</v>
      </c>
      <c r="B1206" t="s">
        <v>18</v>
      </c>
      <c r="C1206">
        <v>10000</v>
      </c>
      <c r="D1206">
        <v>10000</v>
      </c>
      <c r="E1206" t="s">
        <v>7896</v>
      </c>
      <c r="F1206">
        <v>2.5</v>
      </c>
      <c r="G1206" s="12">
        <v>0</v>
      </c>
      <c r="H1206">
        <v>4000</v>
      </c>
      <c r="I1206">
        <v>0</v>
      </c>
    </row>
    <row r="1207" spans="1:9">
      <c r="A1207" t="s">
        <v>1504</v>
      </c>
      <c r="B1207" t="s">
        <v>18</v>
      </c>
      <c r="C1207">
        <v>155000</v>
      </c>
      <c r="D1207">
        <v>197000</v>
      </c>
      <c r="E1207" t="s">
        <v>7896</v>
      </c>
      <c r="F1207">
        <v>2.5</v>
      </c>
      <c r="G1207" s="12">
        <v>-42000</v>
      </c>
      <c r="H1207">
        <v>62000</v>
      </c>
      <c r="I1207">
        <v>-16800</v>
      </c>
    </row>
    <row r="1208" spans="1:9">
      <c r="A1208" t="s">
        <v>1565</v>
      </c>
      <c r="B1208" t="s">
        <v>18</v>
      </c>
      <c r="C1208">
        <v>926000</v>
      </c>
      <c r="D1208">
        <v>894000</v>
      </c>
      <c r="E1208" t="s">
        <v>7896</v>
      </c>
      <c r="F1208">
        <v>2.5</v>
      </c>
      <c r="G1208" s="12">
        <v>32000</v>
      </c>
      <c r="H1208">
        <v>370400</v>
      </c>
      <c r="I1208">
        <v>12800</v>
      </c>
    </row>
    <row r="1209" spans="1:9">
      <c r="A1209" t="s">
        <v>1680</v>
      </c>
      <c r="B1209" t="s">
        <v>18</v>
      </c>
      <c r="C1209">
        <v>418000</v>
      </c>
      <c r="D1209">
        <v>392000</v>
      </c>
      <c r="E1209" t="s">
        <v>7896</v>
      </c>
      <c r="F1209">
        <v>2.5</v>
      </c>
      <c r="G1209" s="12">
        <v>26000</v>
      </c>
      <c r="H1209">
        <v>167200</v>
      </c>
      <c r="I1209">
        <v>10400</v>
      </c>
    </row>
    <row r="1210" spans="1:9">
      <c r="A1210" t="s">
        <v>1560</v>
      </c>
      <c r="B1210" t="s">
        <v>18</v>
      </c>
      <c r="C1210">
        <v>584000</v>
      </c>
      <c r="D1210">
        <v>578000</v>
      </c>
      <c r="E1210" t="s">
        <v>7896</v>
      </c>
      <c r="F1210">
        <v>2.5</v>
      </c>
      <c r="G1210" s="12">
        <v>6000</v>
      </c>
      <c r="H1210">
        <v>233600</v>
      </c>
      <c r="I1210">
        <v>2400</v>
      </c>
    </row>
    <row r="1211" spans="1:9">
      <c r="A1211" t="s">
        <v>1776</v>
      </c>
      <c r="B1211" t="s">
        <v>18</v>
      </c>
      <c r="C1211">
        <v>41000</v>
      </c>
      <c r="D1211">
        <v>73000</v>
      </c>
      <c r="E1211" t="s">
        <v>7896</v>
      </c>
      <c r="F1211">
        <v>2.5</v>
      </c>
      <c r="G1211" s="12">
        <v>-32000</v>
      </c>
      <c r="H1211">
        <v>16400</v>
      </c>
      <c r="I1211">
        <v>-12800</v>
      </c>
    </row>
    <row r="1212" spans="1:9">
      <c r="A1212" t="s">
        <v>1881</v>
      </c>
      <c r="B1212" t="s">
        <v>18</v>
      </c>
      <c r="C1212">
        <v>785000</v>
      </c>
      <c r="D1212">
        <v>778000</v>
      </c>
      <c r="E1212" t="s">
        <v>7896</v>
      </c>
      <c r="F1212">
        <v>2.5</v>
      </c>
      <c r="G1212" s="12">
        <v>7000</v>
      </c>
      <c r="H1212">
        <v>314000</v>
      </c>
      <c r="I1212">
        <v>2800</v>
      </c>
    </row>
    <row r="1213" spans="1:9">
      <c r="A1213" t="s">
        <v>1535</v>
      </c>
      <c r="B1213" t="s">
        <v>18</v>
      </c>
      <c r="C1213">
        <v>6440000</v>
      </c>
      <c r="D1213">
        <v>3747000</v>
      </c>
      <c r="E1213" t="s">
        <v>7896</v>
      </c>
      <c r="F1213">
        <v>2.5</v>
      </c>
      <c r="G1213" s="12">
        <v>2693000</v>
      </c>
      <c r="H1213">
        <v>2576000</v>
      </c>
      <c r="I1213">
        <v>1077200</v>
      </c>
    </row>
    <row r="1214" spans="1:9">
      <c r="A1214" t="s">
        <v>1504</v>
      </c>
      <c r="B1214" t="s">
        <v>18</v>
      </c>
      <c r="C1214">
        <v>2497000</v>
      </c>
      <c r="D1214">
        <v>1698000</v>
      </c>
      <c r="E1214" t="s">
        <v>7896</v>
      </c>
      <c r="F1214">
        <v>2.5</v>
      </c>
      <c r="G1214" s="12">
        <v>799000</v>
      </c>
      <c r="H1214">
        <v>998800</v>
      </c>
      <c r="I1214">
        <v>319600</v>
      </c>
    </row>
    <row r="1215" spans="1:9">
      <c r="A1215" t="s">
        <v>1532</v>
      </c>
      <c r="B1215" t="s">
        <v>18</v>
      </c>
      <c r="C1215">
        <v>1022000</v>
      </c>
      <c r="D1215">
        <v>929000</v>
      </c>
      <c r="E1215" t="s">
        <v>7896</v>
      </c>
      <c r="F1215">
        <v>2.5</v>
      </c>
      <c r="G1215" s="12">
        <v>93000</v>
      </c>
      <c r="H1215">
        <v>408800</v>
      </c>
      <c r="I1215">
        <v>37200</v>
      </c>
    </row>
    <row r="1216" spans="1:9">
      <c r="A1216" t="s">
        <v>1754</v>
      </c>
      <c r="B1216" t="s">
        <v>18</v>
      </c>
      <c r="C1216">
        <v>1936000</v>
      </c>
      <c r="D1216">
        <v>1919000</v>
      </c>
      <c r="E1216" t="s">
        <v>7896</v>
      </c>
      <c r="F1216">
        <v>2.5</v>
      </c>
      <c r="G1216" s="12">
        <v>17000</v>
      </c>
      <c r="H1216">
        <v>774400</v>
      </c>
      <c r="I1216">
        <v>6800</v>
      </c>
    </row>
    <row r="1217" spans="1:9">
      <c r="A1217" t="s">
        <v>1532</v>
      </c>
      <c r="B1217" t="s">
        <v>18</v>
      </c>
      <c r="C1217">
        <v>463287</v>
      </c>
      <c r="D1217">
        <v>299175</v>
      </c>
      <c r="E1217" t="s">
        <v>7896</v>
      </c>
      <c r="F1217">
        <v>2.5</v>
      </c>
      <c r="G1217" s="12">
        <v>164112</v>
      </c>
      <c r="H1217">
        <v>185314.8</v>
      </c>
      <c r="I1217">
        <v>65644.800000000003</v>
      </c>
    </row>
    <row r="1218" spans="1:9">
      <c r="A1218" t="s">
        <v>1526</v>
      </c>
      <c r="B1218" t="s">
        <v>18</v>
      </c>
      <c r="C1218">
        <v>1177000</v>
      </c>
      <c r="D1218">
        <v>1191000</v>
      </c>
      <c r="E1218" t="s">
        <v>7896</v>
      </c>
      <c r="F1218">
        <v>2.5</v>
      </c>
      <c r="G1218" s="12">
        <v>-14000</v>
      </c>
      <c r="H1218">
        <v>470800</v>
      </c>
      <c r="I1218">
        <v>-5600</v>
      </c>
    </row>
    <row r="1219" spans="1:9">
      <c r="A1219" t="s">
        <v>1605</v>
      </c>
      <c r="B1219" t="s">
        <v>18</v>
      </c>
      <c r="C1219">
        <v>1638000</v>
      </c>
      <c r="D1219">
        <v>1638000</v>
      </c>
      <c r="E1219" t="s">
        <v>7896</v>
      </c>
      <c r="F1219">
        <v>2.5</v>
      </c>
      <c r="G1219" s="12">
        <v>0</v>
      </c>
      <c r="H1219">
        <v>655200</v>
      </c>
      <c r="I1219">
        <v>0</v>
      </c>
    </row>
    <row r="1220" spans="1:9">
      <c r="A1220" t="s">
        <v>1520</v>
      </c>
      <c r="B1220" t="s">
        <v>18</v>
      </c>
      <c r="C1220">
        <v>138000</v>
      </c>
      <c r="D1220">
        <v>89000</v>
      </c>
      <c r="E1220" t="s">
        <v>7896</v>
      </c>
      <c r="F1220">
        <v>2.5</v>
      </c>
      <c r="G1220" s="12">
        <v>49000</v>
      </c>
      <c r="H1220">
        <v>55200</v>
      </c>
      <c r="I1220">
        <v>19600</v>
      </c>
    </row>
    <row r="1221" spans="1:9">
      <c r="A1221" t="s">
        <v>1520</v>
      </c>
      <c r="B1221" t="s">
        <v>18</v>
      </c>
      <c r="C1221">
        <v>2327000</v>
      </c>
      <c r="D1221">
        <v>995000</v>
      </c>
      <c r="E1221" t="s">
        <v>7896</v>
      </c>
      <c r="F1221">
        <v>2.5</v>
      </c>
      <c r="G1221" s="12">
        <v>1332000</v>
      </c>
      <c r="H1221">
        <v>930800</v>
      </c>
      <c r="I1221">
        <v>532800</v>
      </c>
    </row>
    <row r="1222" spans="1:9">
      <c r="A1222" t="s">
        <v>1868</v>
      </c>
      <c r="B1222" t="s">
        <v>18</v>
      </c>
      <c r="C1222">
        <v>6351000</v>
      </c>
      <c r="D1222">
        <v>6385000</v>
      </c>
      <c r="E1222" t="s">
        <v>7896</v>
      </c>
      <c r="F1222">
        <v>2.5</v>
      </c>
      <c r="G1222" s="12">
        <v>-34000</v>
      </c>
      <c r="H1222">
        <v>2540400</v>
      </c>
      <c r="I1222">
        <v>-13600</v>
      </c>
    </row>
    <row r="1223" spans="1:9">
      <c r="A1223" t="s">
        <v>1629</v>
      </c>
      <c r="B1223" t="s">
        <v>18</v>
      </c>
      <c r="C1223">
        <v>576000</v>
      </c>
      <c r="D1223">
        <v>687000</v>
      </c>
      <c r="E1223" t="s">
        <v>7896</v>
      </c>
      <c r="F1223">
        <v>2.5</v>
      </c>
      <c r="G1223" s="12">
        <v>-111000</v>
      </c>
      <c r="H1223">
        <v>230400</v>
      </c>
      <c r="I1223">
        <v>-44400</v>
      </c>
    </row>
    <row r="1224" spans="1:9">
      <c r="A1224" t="s">
        <v>1509</v>
      </c>
      <c r="B1224" t="s">
        <v>18</v>
      </c>
      <c r="C1224">
        <v>1962000</v>
      </c>
      <c r="D1224">
        <v>1796000</v>
      </c>
      <c r="E1224" t="s">
        <v>7896</v>
      </c>
      <c r="F1224">
        <v>2.5</v>
      </c>
      <c r="G1224" s="12">
        <v>166000</v>
      </c>
      <c r="H1224">
        <v>784800</v>
      </c>
      <c r="I1224">
        <v>66400</v>
      </c>
    </row>
    <row r="1225" spans="1:9">
      <c r="A1225" t="s">
        <v>1524</v>
      </c>
      <c r="B1225" t="s">
        <v>18</v>
      </c>
      <c r="C1225">
        <v>941000</v>
      </c>
      <c r="D1225">
        <v>1112000</v>
      </c>
      <c r="E1225" t="s">
        <v>7896</v>
      </c>
      <c r="F1225">
        <v>2.5</v>
      </c>
      <c r="G1225" s="12">
        <v>-171000</v>
      </c>
      <c r="H1225">
        <v>376400</v>
      </c>
      <c r="I1225">
        <v>-68400</v>
      </c>
    </row>
    <row r="1226" spans="1:9">
      <c r="A1226" t="s">
        <v>1781</v>
      </c>
      <c r="B1226" t="s">
        <v>18</v>
      </c>
      <c r="C1226">
        <v>870000</v>
      </c>
      <c r="D1226">
        <v>532000</v>
      </c>
      <c r="E1226" t="s">
        <v>7896</v>
      </c>
      <c r="F1226">
        <v>2.5</v>
      </c>
      <c r="G1226" s="12">
        <v>338000</v>
      </c>
      <c r="H1226">
        <v>348000</v>
      </c>
      <c r="I1226">
        <v>135200</v>
      </c>
    </row>
    <row r="1227" spans="1:9">
      <c r="A1227" t="s">
        <v>1508</v>
      </c>
      <c r="B1227" t="s">
        <v>18</v>
      </c>
      <c r="C1227">
        <v>300000</v>
      </c>
      <c r="D1227">
        <v>175000</v>
      </c>
      <c r="E1227" t="s">
        <v>7896</v>
      </c>
      <c r="F1227">
        <v>2.5</v>
      </c>
      <c r="G1227" s="12">
        <v>125000</v>
      </c>
      <c r="H1227">
        <v>120000</v>
      </c>
      <c r="I1227">
        <v>50000</v>
      </c>
    </row>
    <row r="1228" spans="1:9">
      <c r="A1228" t="s">
        <v>1646</v>
      </c>
      <c r="B1228" t="s">
        <v>18</v>
      </c>
      <c r="C1228">
        <v>1190000</v>
      </c>
      <c r="D1228">
        <v>752000</v>
      </c>
      <c r="E1228" t="s">
        <v>7896</v>
      </c>
      <c r="F1228">
        <v>2.5</v>
      </c>
      <c r="G1228" s="12">
        <v>438000</v>
      </c>
      <c r="H1228">
        <v>476000</v>
      </c>
      <c r="I1228">
        <v>175200</v>
      </c>
    </row>
    <row r="1229" spans="1:9">
      <c r="A1229" t="s">
        <v>1820</v>
      </c>
      <c r="B1229" t="s">
        <v>18</v>
      </c>
      <c r="C1229">
        <v>2300000</v>
      </c>
      <c r="D1229">
        <v>2249000</v>
      </c>
      <c r="E1229" t="s">
        <v>7896</v>
      </c>
      <c r="F1229">
        <v>2.5</v>
      </c>
      <c r="G1229" s="12">
        <v>51000</v>
      </c>
      <c r="H1229">
        <v>920000</v>
      </c>
      <c r="I1229">
        <v>20400</v>
      </c>
    </row>
    <row r="1230" spans="1:9">
      <c r="A1230" t="s">
        <v>1512</v>
      </c>
      <c r="B1230" t="s">
        <v>18</v>
      </c>
      <c r="C1230">
        <v>845000</v>
      </c>
      <c r="D1230">
        <v>845000</v>
      </c>
      <c r="E1230" t="s">
        <v>7896</v>
      </c>
      <c r="F1230">
        <v>2.5</v>
      </c>
      <c r="G1230" s="12">
        <v>0</v>
      </c>
      <c r="H1230">
        <v>338000</v>
      </c>
      <c r="I1230">
        <v>0</v>
      </c>
    </row>
    <row r="1231" spans="1:9">
      <c r="A1231" t="s">
        <v>1737</v>
      </c>
      <c r="B1231" t="s">
        <v>18</v>
      </c>
      <c r="C1231">
        <v>3511000</v>
      </c>
      <c r="D1231">
        <v>3511000</v>
      </c>
      <c r="E1231" t="s">
        <v>7896</v>
      </c>
      <c r="F1231">
        <v>2.5</v>
      </c>
      <c r="G1231" s="12">
        <v>0</v>
      </c>
      <c r="H1231">
        <v>1404400</v>
      </c>
      <c r="I1231">
        <v>0</v>
      </c>
    </row>
    <row r="1232" spans="1:9">
      <c r="A1232" t="s">
        <v>1801</v>
      </c>
      <c r="B1232" t="s">
        <v>18</v>
      </c>
      <c r="C1232">
        <v>22450000</v>
      </c>
      <c r="D1232">
        <v>280593000</v>
      </c>
      <c r="E1232" t="s">
        <v>7896</v>
      </c>
      <c r="F1232">
        <v>2.5</v>
      </c>
      <c r="G1232" s="12">
        <v>-258143000</v>
      </c>
      <c r="H1232">
        <v>8980000</v>
      </c>
      <c r="I1232">
        <v>-103257200</v>
      </c>
    </row>
    <row r="1233" spans="1:9">
      <c r="A1233" t="s">
        <v>1505</v>
      </c>
      <c r="B1233" t="s">
        <v>18</v>
      </c>
      <c r="C1233">
        <v>425000</v>
      </c>
      <c r="D1233">
        <v>440000</v>
      </c>
      <c r="E1233" t="s">
        <v>7896</v>
      </c>
      <c r="F1233">
        <v>2.5</v>
      </c>
      <c r="G1233" s="12">
        <v>-15000</v>
      </c>
      <c r="H1233">
        <v>170000</v>
      </c>
      <c r="I1233">
        <v>-6000</v>
      </c>
    </row>
    <row r="1234" spans="1:9">
      <c r="A1234" t="s">
        <v>1642</v>
      </c>
      <c r="B1234" t="s">
        <v>18</v>
      </c>
      <c r="C1234">
        <v>723000</v>
      </c>
      <c r="D1234">
        <v>723000</v>
      </c>
      <c r="E1234" t="s">
        <v>7896</v>
      </c>
      <c r="F1234">
        <v>2.5</v>
      </c>
      <c r="G1234" s="12">
        <v>0</v>
      </c>
      <c r="H1234">
        <v>289200</v>
      </c>
      <c r="I1234">
        <v>0</v>
      </c>
    </row>
    <row r="1235" spans="1:9">
      <c r="A1235" t="s">
        <v>1533</v>
      </c>
      <c r="B1235" t="s">
        <v>18</v>
      </c>
      <c r="C1235">
        <v>5010000</v>
      </c>
      <c r="D1235">
        <v>4917000</v>
      </c>
      <c r="E1235" t="s">
        <v>7896</v>
      </c>
      <c r="F1235">
        <v>2.5</v>
      </c>
      <c r="G1235" s="12">
        <v>93000</v>
      </c>
      <c r="H1235">
        <v>2004000</v>
      </c>
      <c r="I1235">
        <v>37200</v>
      </c>
    </row>
    <row r="1236" spans="1:9">
      <c r="A1236" t="s">
        <v>2430</v>
      </c>
      <c r="B1236" t="s">
        <v>18</v>
      </c>
      <c r="C1236">
        <v>82166000</v>
      </c>
      <c r="D1236">
        <v>82857000</v>
      </c>
      <c r="E1236" t="s">
        <v>7896</v>
      </c>
      <c r="F1236">
        <v>2.5</v>
      </c>
      <c r="G1236" s="12">
        <v>-691000</v>
      </c>
      <c r="H1236">
        <v>32866400</v>
      </c>
      <c r="I1236">
        <v>-276400</v>
      </c>
    </row>
    <row r="1237" spans="1:9">
      <c r="A1237" t="s">
        <v>1534</v>
      </c>
      <c r="B1237" t="s">
        <v>18</v>
      </c>
      <c r="C1237">
        <v>2018000</v>
      </c>
      <c r="D1237">
        <v>1942000</v>
      </c>
      <c r="E1237" t="s">
        <v>7896</v>
      </c>
      <c r="F1237">
        <v>2.5</v>
      </c>
      <c r="G1237" s="12">
        <v>76000</v>
      </c>
      <c r="H1237">
        <v>807200</v>
      </c>
      <c r="I1237">
        <v>30400</v>
      </c>
    </row>
    <row r="1238" spans="1:9">
      <c r="A1238" t="s">
        <v>1512</v>
      </c>
      <c r="B1238" t="s">
        <v>18</v>
      </c>
      <c r="C1238">
        <v>1072000</v>
      </c>
      <c r="D1238">
        <v>1072000</v>
      </c>
      <c r="E1238" t="s">
        <v>7896</v>
      </c>
      <c r="F1238">
        <v>2.5</v>
      </c>
      <c r="G1238" s="12">
        <v>0</v>
      </c>
      <c r="H1238">
        <v>428800</v>
      </c>
      <c r="I1238">
        <v>0</v>
      </c>
    </row>
    <row r="1239" spans="1:9">
      <c r="A1239" t="s">
        <v>1754</v>
      </c>
      <c r="B1239" t="s">
        <v>18</v>
      </c>
      <c r="C1239">
        <v>50000</v>
      </c>
      <c r="D1239">
        <v>43000</v>
      </c>
      <c r="E1239" t="s">
        <v>7896</v>
      </c>
      <c r="F1239">
        <v>2.5</v>
      </c>
      <c r="G1239" s="12">
        <v>7000</v>
      </c>
      <c r="H1239">
        <v>20000</v>
      </c>
      <c r="I1239">
        <v>2800</v>
      </c>
    </row>
    <row r="1240" spans="1:9">
      <c r="A1240" t="s">
        <v>1532</v>
      </c>
      <c r="B1240" t="s">
        <v>18</v>
      </c>
      <c r="C1240">
        <v>11435000</v>
      </c>
      <c r="D1240">
        <v>11255000</v>
      </c>
      <c r="E1240" t="s">
        <v>7896</v>
      </c>
      <c r="F1240">
        <v>2.5</v>
      </c>
      <c r="G1240" s="12">
        <v>180000</v>
      </c>
      <c r="H1240">
        <v>4574000</v>
      </c>
      <c r="I1240">
        <v>72000</v>
      </c>
    </row>
    <row r="1241" spans="1:9">
      <c r="A1241" t="s">
        <v>1532</v>
      </c>
      <c r="B1241" t="s">
        <v>18</v>
      </c>
      <c r="C1241">
        <v>2310000</v>
      </c>
      <c r="D1241">
        <v>2254000</v>
      </c>
      <c r="E1241" t="s">
        <v>7896</v>
      </c>
      <c r="F1241">
        <v>2.5</v>
      </c>
      <c r="G1241" s="12">
        <v>56000</v>
      </c>
      <c r="H1241">
        <v>924000</v>
      </c>
      <c r="I1241">
        <v>22400</v>
      </c>
    </row>
    <row r="1242" spans="1:9">
      <c r="A1242" t="s">
        <v>1504</v>
      </c>
      <c r="B1242" t="s">
        <v>18</v>
      </c>
      <c r="C1242">
        <v>1308000</v>
      </c>
      <c r="D1242">
        <v>1312000</v>
      </c>
      <c r="E1242" t="s">
        <v>7896</v>
      </c>
      <c r="F1242">
        <v>2.5</v>
      </c>
      <c r="G1242" s="12">
        <v>-4000</v>
      </c>
      <c r="H1242">
        <v>523200</v>
      </c>
      <c r="I1242">
        <v>-1600</v>
      </c>
    </row>
    <row r="1243" spans="1:9">
      <c r="A1243" t="s">
        <v>1662</v>
      </c>
      <c r="B1243" t="s">
        <v>18</v>
      </c>
      <c r="C1243">
        <v>2747000</v>
      </c>
      <c r="D1243">
        <v>2703000</v>
      </c>
      <c r="E1243" t="s">
        <v>7896</v>
      </c>
      <c r="F1243">
        <v>2.5</v>
      </c>
      <c r="G1243" s="12">
        <v>44000</v>
      </c>
      <c r="H1243">
        <v>1098800</v>
      </c>
      <c r="I1243">
        <v>17600</v>
      </c>
    </row>
    <row r="1244" spans="1:9">
      <c r="A1244" t="s">
        <v>1524</v>
      </c>
      <c r="B1244" t="s">
        <v>18</v>
      </c>
      <c r="C1244">
        <v>960000</v>
      </c>
      <c r="D1244">
        <v>960000</v>
      </c>
      <c r="E1244" t="s">
        <v>7896</v>
      </c>
      <c r="F1244">
        <v>2.5</v>
      </c>
      <c r="G1244" s="12">
        <v>0</v>
      </c>
      <c r="H1244">
        <v>384000</v>
      </c>
      <c r="I1244">
        <v>0</v>
      </c>
    </row>
    <row r="1245" spans="1:9">
      <c r="A1245" t="s">
        <v>1524</v>
      </c>
      <c r="B1245" t="s">
        <v>18</v>
      </c>
      <c r="C1245">
        <v>1125000</v>
      </c>
      <c r="D1245">
        <v>1270000</v>
      </c>
      <c r="E1245" t="s">
        <v>7896</v>
      </c>
      <c r="F1245">
        <v>2.5</v>
      </c>
      <c r="G1245" s="12">
        <v>-145000</v>
      </c>
      <c r="H1245">
        <v>450000</v>
      </c>
      <c r="I1245">
        <v>-58000</v>
      </c>
    </row>
    <row r="1246" spans="1:9">
      <c r="A1246" t="s">
        <v>1524</v>
      </c>
      <c r="B1246" t="s">
        <v>18</v>
      </c>
      <c r="C1246">
        <v>1615000</v>
      </c>
      <c r="D1246">
        <v>2240000</v>
      </c>
      <c r="E1246" t="s">
        <v>7896</v>
      </c>
      <c r="F1246">
        <v>2.5</v>
      </c>
      <c r="G1246" s="12">
        <v>-625000</v>
      </c>
      <c r="H1246">
        <v>646000</v>
      </c>
      <c r="I1246">
        <v>-250000</v>
      </c>
    </row>
    <row r="1247" spans="1:9">
      <c r="A1247" t="s">
        <v>1662</v>
      </c>
      <c r="B1247" t="s">
        <v>18</v>
      </c>
      <c r="C1247">
        <v>1417000</v>
      </c>
      <c r="D1247">
        <v>1613000</v>
      </c>
      <c r="E1247" t="s">
        <v>7896</v>
      </c>
      <c r="F1247">
        <v>2.5</v>
      </c>
      <c r="G1247" s="12">
        <v>-196000</v>
      </c>
      <c r="H1247">
        <v>566800</v>
      </c>
      <c r="I1247">
        <v>-78400</v>
      </c>
    </row>
    <row r="1248" spans="1:9">
      <c r="A1248" t="s">
        <v>1532</v>
      </c>
      <c r="B1248" t="s">
        <v>18</v>
      </c>
      <c r="C1248">
        <v>10083000</v>
      </c>
      <c r="D1248">
        <v>8877000</v>
      </c>
      <c r="E1248" t="s">
        <v>7896</v>
      </c>
      <c r="F1248">
        <v>2.5</v>
      </c>
      <c r="G1248" s="12">
        <v>1206000</v>
      </c>
      <c r="H1248">
        <v>4033200</v>
      </c>
      <c r="I1248">
        <v>482400</v>
      </c>
    </row>
    <row r="1249" spans="1:9">
      <c r="A1249" t="s">
        <v>1801</v>
      </c>
      <c r="B1249" t="s">
        <v>18</v>
      </c>
      <c r="C1249">
        <v>114000</v>
      </c>
      <c r="D1249">
        <v>115000</v>
      </c>
      <c r="E1249" t="s">
        <v>7896</v>
      </c>
      <c r="F1249">
        <v>2.5</v>
      </c>
      <c r="G1249" s="12">
        <v>-1000</v>
      </c>
      <c r="H1249">
        <v>45600</v>
      </c>
      <c r="I1249">
        <v>-400</v>
      </c>
    </row>
    <row r="1250" spans="1:9">
      <c r="A1250" t="s">
        <v>1560</v>
      </c>
      <c r="B1250" t="s">
        <v>18</v>
      </c>
      <c r="C1250">
        <v>3106000</v>
      </c>
      <c r="D1250">
        <v>2920000</v>
      </c>
      <c r="E1250" t="s">
        <v>7896</v>
      </c>
      <c r="F1250">
        <v>2.5</v>
      </c>
      <c r="G1250" s="12">
        <v>186000</v>
      </c>
      <c r="H1250">
        <v>1242400</v>
      </c>
      <c r="I1250">
        <v>74400</v>
      </c>
    </row>
    <row r="1251" spans="1:9">
      <c r="A1251" t="s">
        <v>1767</v>
      </c>
      <c r="B1251" t="s">
        <v>18</v>
      </c>
      <c r="C1251">
        <v>4798000</v>
      </c>
      <c r="D1251">
        <v>4516000</v>
      </c>
      <c r="E1251" t="s">
        <v>7896</v>
      </c>
      <c r="F1251">
        <v>2.5</v>
      </c>
      <c r="G1251" s="12">
        <v>282000</v>
      </c>
      <c r="H1251">
        <v>1919200</v>
      </c>
      <c r="I1251">
        <v>112800</v>
      </c>
    </row>
    <row r="1252" spans="1:9">
      <c r="A1252" t="s">
        <v>1642</v>
      </c>
      <c r="B1252" t="s">
        <v>18</v>
      </c>
      <c r="C1252">
        <v>2212000</v>
      </c>
      <c r="D1252">
        <v>2043000</v>
      </c>
      <c r="E1252" t="s">
        <v>7896</v>
      </c>
      <c r="F1252">
        <v>2.5</v>
      </c>
      <c r="G1252" s="12">
        <v>169000</v>
      </c>
      <c r="H1252">
        <v>884800</v>
      </c>
      <c r="I1252">
        <v>67600</v>
      </c>
    </row>
    <row r="1253" spans="1:9">
      <c r="A1253" t="s">
        <v>1801</v>
      </c>
      <c r="B1253" t="s">
        <v>18</v>
      </c>
      <c r="C1253">
        <v>1998000</v>
      </c>
      <c r="D1253">
        <v>2067000</v>
      </c>
      <c r="E1253" t="s">
        <v>7896</v>
      </c>
      <c r="F1253">
        <v>2.5</v>
      </c>
      <c r="G1253" s="12">
        <v>-69000</v>
      </c>
      <c r="H1253">
        <v>799200</v>
      </c>
      <c r="I1253">
        <v>-27600</v>
      </c>
    </row>
    <row r="1254" spans="1:9">
      <c r="A1254" t="s">
        <v>1532</v>
      </c>
      <c r="B1254" t="s">
        <v>18</v>
      </c>
      <c r="C1254">
        <v>356000</v>
      </c>
      <c r="D1254">
        <v>194000</v>
      </c>
      <c r="E1254" t="s">
        <v>7896</v>
      </c>
      <c r="F1254">
        <v>2.5</v>
      </c>
      <c r="G1254" s="12">
        <v>162000</v>
      </c>
      <c r="H1254">
        <v>142400</v>
      </c>
      <c r="I1254">
        <v>64800</v>
      </c>
    </row>
    <row r="1255" spans="1:9">
      <c r="A1255" t="s">
        <v>1519</v>
      </c>
      <c r="B1255" t="s">
        <v>18</v>
      </c>
      <c r="C1255">
        <v>27921000</v>
      </c>
      <c r="D1255">
        <v>38075000</v>
      </c>
      <c r="E1255" t="s">
        <v>7896</v>
      </c>
      <c r="F1255">
        <v>2.5</v>
      </c>
      <c r="G1255" s="12">
        <v>-10154000</v>
      </c>
      <c r="H1255">
        <v>11168400</v>
      </c>
      <c r="I1255">
        <v>-4061600</v>
      </c>
    </row>
    <row r="1256" spans="1:9">
      <c r="A1256" t="s">
        <v>1642</v>
      </c>
      <c r="B1256" t="s">
        <v>18</v>
      </c>
      <c r="C1256">
        <v>1202000</v>
      </c>
      <c r="D1256">
        <v>1121000</v>
      </c>
      <c r="E1256" t="s">
        <v>7896</v>
      </c>
      <c r="F1256">
        <v>2.5</v>
      </c>
      <c r="G1256" s="12">
        <v>81000</v>
      </c>
      <c r="H1256">
        <v>480800</v>
      </c>
      <c r="I1256">
        <v>32400</v>
      </c>
    </row>
    <row r="1257" spans="1:9">
      <c r="A1257" t="s">
        <v>1511</v>
      </c>
      <c r="B1257" t="s">
        <v>18</v>
      </c>
      <c r="C1257">
        <v>2815000</v>
      </c>
      <c r="D1257">
        <v>2964000</v>
      </c>
      <c r="E1257" t="s">
        <v>7896</v>
      </c>
      <c r="F1257">
        <v>2.5</v>
      </c>
      <c r="G1257" s="12">
        <v>-149000</v>
      </c>
      <c r="H1257">
        <v>1126000</v>
      </c>
      <c r="I1257">
        <v>-59600</v>
      </c>
    </row>
    <row r="1258" spans="1:9">
      <c r="A1258" t="s">
        <v>1519</v>
      </c>
      <c r="B1258" t="s">
        <v>18</v>
      </c>
      <c r="C1258">
        <v>12742000</v>
      </c>
      <c r="D1258">
        <v>9784000</v>
      </c>
      <c r="E1258" t="s">
        <v>7896</v>
      </c>
      <c r="F1258">
        <v>2.5</v>
      </c>
      <c r="G1258" s="12">
        <v>2958000</v>
      </c>
      <c r="H1258">
        <v>5096800</v>
      </c>
      <c r="I1258">
        <v>1183200</v>
      </c>
    </row>
    <row r="1259" spans="1:9">
      <c r="A1259" t="s">
        <v>1535</v>
      </c>
      <c r="B1259" t="s">
        <v>18</v>
      </c>
      <c r="C1259">
        <v>94800000</v>
      </c>
      <c r="D1259">
        <v>115501000</v>
      </c>
      <c r="E1259" t="s">
        <v>7896</v>
      </c>
      <c r="F1259">
        <v>2.5</v>
      </c>
      <c r="G1259" s="12">
        <v>-20701000</v>
      </c>
      <c r="H1259">
        <v>37920000</v>
      </c>
      <c r="I1259">
        <v>-8280400</v>
      </c>
    </row>
    <row r="1260" spans="1:9">
      <c r="A1260" t="s">
        <v>1584</v>
      </c>
      <c r="B1260" t="s">
        <v>18</v>
      </c>
      <c r="C1260">
        <v>8302000</v>
      </c>
      <c r="D1260">
        <v>6494000</v>
      </c>
      <c r="E1260" t="s">
        <v>7896</v>
      </c>
      <c r="F1260">
        <v>2.5</v>
      </c>
      <c r="G1260" s="12">
        <v>1808000</v>
      </c>
      <c r="H1260">
        <v>3320800</v>
      </c>
      <c r="I1260">
        <v>723200</v>
      </c>
    </row>
    <row r="1261" spans="1:9">
      <c r="A1261" t="s">
        <v>1533</v>
      </c>
      <c r="B1261" t="s">
        <v>18</v>
      </c>
      <c r="C1261">
        <v>242000</v>
      </c>
      <c r="D1261">
        <v>4000</v>
      </c>
      <c r="E1261" t="s">
        <v>7896</v>
      </c>
      <c r="F1261">
        <v>2.5</v>
      </c>
      <c r="G1261" s="12">
        <v>238000</v>
      </c>
      <c r="H1261">
        <v>96800</v>
      </c>
      <c r="I1261">
        <v>95200</v>
      </c>
    </row>
    <row r="1262" spans="1:9">
      <c r="A1262" t="s">
        <v>1558</v>
      </c>
      <c r="B1262" t="s">
        <v>18</v>
      </c>
      <c r="C1262">
        <v>646000</v>
      </c>
      <c r="D1262">
        <v>649000</v>
      </c>
      <c r="E1262" t="s">
        <v>7896</v>
      </c>
      <c r="F1262">
        <v>2.5</v>
      </c>
      <c r="G1262" s="12">
        <v>-3000</v>
      </c>
      <c r="H1262">
        <v>258400</v>
      </c>
      <c r="I1262">
        <v>-1200</v>
      </c>
    </row>
    <row r="1263" spans="1:9">
      <c r="A1263" t="s">
        <v>1532</v>
      </c>
      <c r="B1263" t="s">
        <v>18</v>
      </c>
      <c r="C1263">
        <v>828000</v>
      </c>
      <c r="D1263">
        <v>3001000</v>
      </c>
      <c r="E1263" t="s">
        <v>7896</v>
      </c>
      <c r="F1263">
        <v>2.5</v>
      </c>
      <c r="G1263" s="12">
        <v>-2173000</v>
      </c>
      <c r="H1263">
        <v>331200</v>
      </c>
      <c r="I1263">
        <v>-869200</v>
      </c>
    </row>
    <row r="1264" spans="1:9">
      <c r="A1264" t="s">
        <v>1520</v>
      </c>
      <c r="B1264" t="s">
        <v>18</v>
      </c>
      <c r="C1264">
        <v>10904000</v>
      </c>
      <c r="D1264">
        <v>11361000</v>
      </c>
      <c r="E1264" t="s">
        <v>7896</v>
      </c>
      <c r="F1264">
        <v>2.5</v>
      </c>
      <c r="G1264" s="12">
        <v>-457000</v>
      </c>
      <c r="H1264">
        <v>4361600</v>
      </c>
      <c r="I1264">
        <v>-182800</v>
      </c>
    </row>
    <row r="1265" spans="1:9">
      <c r="A1265" t="s">
        <v>1649</v>
      </c>
      <c r="B1265" t="s">
        <v>18</v>
      </c>
      <c r="C1265">
        <v>2984000</v>
      </c>
      <c r="D1265">
        <v>2823000</v>
      </c>
      <c r="E1265" t="s">
        <v>7896</v>
      </c>
      <c r="F1265">
        <v>2.5</v>
      </c>
      <c r="G1265" s="12">
        <v>161000</v>
      </c>
      <c r="H1265">
        <v>1193600</v>
      </c>
      <c r="I1265">
        <v>64400</v>
      </c>
    </row>
    <row r="1266" spans="1:9">
      <c r="A1266" t="s">
        <v>1526</v>
      </c>
      <c r="B1266" t="s">
        <v>18</v>
      </c>
      <c r="C1266">
        <v>3435000</v>
      </c>
      <c r="D1266">
        <v>1157000</v>
      </c>
      <c r="E1266" t="s">
        <v>7896</v>
      </c>
      <c r="F1266">
        <v>2.5</v>
      </c>
      <c r="G1266" s="12">
        <v>2278000</v>
      </c>
      <c r="H1266">
        <v>1374000</v>
      </c>
      <c r="I1266">
        <v>911200</v>
      </c>
    </row>
    <row r="1267" spans="1:9">
      <c r="A1267" t="s">
        <v>1532</v>
      </c>
      <c r="B1267" t="s">
        <v>18</v>
      </c>
      <c r="C1267">
        <v>17463000</v>
      </c>
      <c r="D1267">
        <v>14738000</v>
      </c>
      <c r="E1267" t="s">
        <v>7896</v>
      </c>
      <c r="F1267">
        <v>2.5</v>
      </c>
      <c r="G1267" s="12">
        <v>2725000</v>
      </c>
      <c r="H1267">
        <v>6985200</v>
      </c>
      <c r="I1267">
        <v>1090000</v>
      </c>
    </row>
    <row r="1268" spans="1:9">
      <c r="A1268" t="s">
        <v>1508</v>
      </c>
      <c r="B1268" t="s">
        <v>18</v>
      </c>
      <c r="C1268">
        <v>38543000</v>
      </c>
      <c r="D1268">
        <v>45893000</v>
      </c>
      <c r="E1268" t="s">
        <v>7896</v>
      </c>
      <c r="F1268">
        <v>2.5</v>
      </c>
      <c r="G1268" s="12">
        <v>-7350000</v>
      </c>
      <c r="H1268">
        <v>15417200</v>
      </c>
      <c r="I1268">
        <v>-2940000</v>
      </c>
    </row>
    <row r="1269" spans="1:9">
      <c r="A1269" t="s">
        <v>1667</v>
      </c>
      <c r="B1269" t="s">
        <v>18</v>
      </c>
      <c r="C1269">
        <v>3243000</v>
      </c>
      <c r="D1269">
        <v>3145000</v>
      </c>
      <c r="E1269" t="s">
        <v>7896</v>
      </c>
      <c r="F1269">
        <v>2.5</v>
      </c>
      <c r="G1269" s="12">
        <v>98000</v>
      </c>
      <c r="H1269">
        <v>1297200</v>
      </c>
      <c r="I1269">
        <v>39200</v>
      </c>
    </row>
    <row r="1270" spans="1:9">
      <c r="A1270" t="s">
        <v>1979</v>
      </c>
      <c r="B1270" t="s">
        <v>18</v>
      </c>
      <c r="C1270">
        <v>8936000</v>
      </c>
      <c r="D1270">
        <v>9617000</v>
      </c>
      <c r="E1270" t="s">
        <v>7896</v>
      </c>
      <c r="F1270">
        <v>2.5</v>
      </c>
      <c r="G1270" s="12">
        <v>-681000</v>
      </c>
      <c r="H1270">
        <v>3574400</v>
      </c>
      <c r="I1270">
        <v>-272400</v>
      </c>
    </row>
    <row r="1271" spans="1:9">
      <c r="A1271" t="s">
        <v>1517</v>
      </c>
      <c r="B1271" t="s">
        <v>18</v>
      </c>
      <c r="C1271">
        <v>214000</v>
      </c>
      <c r="D1271">
        <v>297000</v>
      </c>
      <c r="E1271" t="s">
        <v>7896</v>
      </c>
      <c r="F1271">
        <v>2.5</v>
      </c>
      <c r="G1271" s="12">
        <v>-83000</v>
      </c>
      <c r="H1271">
        <v>85600</v>
      </c>
      <c r="I1271">
        <v>-33200</v>
      </c>
    </row>
    <row r="1272" spans="1:9">
      <c r="A1272" t="s">
        <v>1619</v>
      </c>
      <c r="B1272" t="s">
        <v>18</v>
      </c>
      <c r="C1272">
        <v>1281000</v>
      </c>
      <c r="D1272">
        <v>1287000</v>
      </c>
      <c r="E1272" t="s">
        <v>7896</v>
      </c>
      <c r="F1272">
        <v>2.5</v>
      </c>
      <c r="G1272" s="12">
        <v>-6000</v>
      </c>
      <c r="H1272">
        <v>512400</v>
      </c>
      <c r="I1272">
        <v>-2400</v>
      </c>
    </row>
    <row r="1273" spans="1:9">
      <c r="A1273" t="s">
        <v>1881</v>
      </c>
      <c r="B1273" t="s">
        <v>18</v>
      </c>
      <c r="C1273">
        <v>24730000</v>
      </c>
      <c r="D1273">
        <v>24779000</v>
      </c>
      <c r="E1273" t="s">
        <v>7896</v>
      </c>
      <c r="F1273">
        <v>2.5</v>
      </c>
      <c r="G1273" s="12">
        <v>-49000</v>
      </c>
      <c r="H1273">
        <v>9892000</v>
      </c>
      <c r="I1273">
        <v>-19600</v>
      </c>
    </row>
    <row r="1274" spans="1:9">
      <c r="A1274" t="s">
        <v>1532</v>
      </c>
      <c r="B1274" t="s">
        <v>18</v>
      </c>
      <c r="C1274">
        <v>3463000</v>
      </c>
      <c r="D1274">
        <v>5580000</v>
      </c>
      <c r="E1274" t="s">
        <v>7896</v>
      </c>
      <c r="F1274">
        <v>2.5</v>
      </c>
      <c r="G1274" s="12">
        <v>-2117000</v>
      </c>
      <c r="H1274">
        <v>1385200</v>
      </c>
      <c r="I1274">
        <v>-846800</v>
      </c>
    </row>
    <row r="1275" spans="1:9">
      <c r="A1275" t="s">
        <v>1795</v>
      </c>
      <c r="B1275" t="s">
        <v>18</v>
      </c>
      <c r="C1275">
        <v>5842000</v>
      </c>
      <c r="D1275">
        <v>5293000</v>
      </c>
      <c r="E1275" t="s">
        <v>7896</v>
      </c>
      <c r="F1275">
        <v>2.5</v>
      </c>
      <c r="G1275" s="12">
        <v>549000</v>
      </c>
      <c r="H1275">
        <v>2336800</v>
      </c>
      <c r="I1275">
        <v>219600</v>
      </c>
    </row>
    <row r="1276" spans="1:9">
      <c r="A1276" t="s">
        <v>1643</v>
      </c>
      <c r="B1276" t="s">
        <v>77</v>
      </c>
      <c r="C1276">
        <v>7904000</v>
      </c>
      <c r="D1276">
        <v>8423000</v>
      </c>
      <c r="E1276" t="s">
        <v>7896</v>
      </c>
      <c r="F1276">
        <v>8</v>
      </c>
      <c r="G1276" s="12">
        <v>-519000</v>
      </c>
      <c r="H1276">
        <v>988000</v>
      </c>
      <c r="I1276">
        <v>-64875</v>
      </c>
    </row>
    <row r="1277" spans="1:9">
      <c r="A1277" t="s">
        <v>1508</v>
      </c>
      <c r="B1277" t="s">
        <v>18</v>
      </c>
      <c r="C1277">
        <v>20000</v>
      </c>
      <c r="D1277">
        <v>42000</v>
      </c>
      <c r="E1277" t="s">
        <v>7896</v>
      </c>
      <c r="F1277">
        <v>2.5</v>
      </c>
      <c r="G1277" s="12">
        <v>-22000</v>
      </c>
      <c r="H1277">
        <v>8000</v>
      </c>
      <c r="I1277">
        <v>-8800</v>
      </c>
    </row>
    <row r="1278" spans="1:9">
      <c r="A1278" t="s">
        <v>1505</v>
      </c>
      <c r="B1278" t="s">
        <v>18</v>
      </c>
      <c r="C1278">
        <v>2857000</v>
      </c>
      <c r="D1278">
        <v>1508000</v>
      </c>
      <c r="E1278" t="s">
        <v>7896</v>
      </c>
      <c r="F1278">
        <v>2.5</v>
      </c>
      <c r="G1278" s="12">
        <v>1349000</v>
      </c>
      <c r="H1278">
        <v>1142800</v>
      </c>
      <c r="I1278">
        <v>539600</v>
      </c>
    </row>
    <row r="1279" spans="1:9">
      <c r="A1279" t="s">
        <v>1532</v>
      </c>
      <c r="B1279" t="s">
        <v>18</v>
      </c>
      <c r="C1279">
        <v>3098000</v>
      </c>
      <c r="D1279">
        <v>2897000</v>
      </c>
      <c r="E1279" t="s">
        <v>7896</v>
      </c>
      <c r="F1279">
        <v>2.5</v>
      </c>
      <c r="G1279" s="12">
        <v>201000</v>
      </c>
      <c r="H1279">
        <v>1239200</v>
      </c>
      <c r="I1279">
        <v>80400</v>
      </c>
    </row>
    <row r="1280" spans="1:9">
      <c r="A1280" t="s">
        <v>1625</v>
      </c>
      <c r="B1280" t="s">
        <v>18</v>
      </c>
      <c r="C1280">
        <v>4015000</v>
      </c>
      <c r="D1280">
        <v>2830000</v>
      </c>
      <c r="E1280" t="s">
        <v>7896</v>
      </c>
      <c r="F1280">
        <v>2.5</v>
      </c>
      <c r="G1280" s="12">
        <v>1185000</v>
      </c>
      <c r="H1280">
        <v>1606000</v>
      </c>
      <c r="I1280">
        <v>474000</v>
      </c>
    </row>
    <row r="1281" spans="1:9">
      <c r="A1281" t="s">
        <v>1527</v>
      </c>
      <c r="B1281" t="s">
        <v>77</v>
      </c>
      <c r="C1281">
        <v>4497000</v>
      </c>
      <c r="D1281">
        <v>4277000</v>
      </c>
      <c r="E1281" t="s">
        <v>7896</v>
      </c>
      <c r="F1281">
        <v>8</v>
      </c>
      <c r="G1281" s="12">
        <v>220000</v>
      </c>
      <c r="H1281">
        <v>562125</v>
      </c>
      <c r="I1281">
        <v>27500</v>
      </c>
    </row>
    <row r="1282" spans="1:9">
      <c r="A1282" t="s">
        <v>1533</v>
      </c>
      <c r="B1282" t="s">
        <v>77</v>
      </c>
      <c r="C1282">
        <v>11768000</v>
      </c>
      <c r="D1282">
        <v>14028000</v>
      </c>
      <c r="E1282" t="s">
        <v>7896</v>
      </c>
      <c r="F1282">
        <v>8</v>
      </c>
      <c r="G1282" s="12">
        <v>-2260000</v>
      </c>
      <c r="H1282">
        <v>1471000</v>
      </c>
      <c r="I1282">
        <v>-282500</v>
      </c>
    </row>
    <row r="1283" spans="1:9">
      <c r="A1283" t="s">
        <v>1521</v>
      </c>
      <c r="B1283" t="s">
        <v>18</v>
      </c>
      <c r="C1283">
        <v>28906000</v>
      </c>
      <c r="D1283">
        <v>25265000</v>
      </c>
      <c r="E1283" t="s">
        <v>7896</v>
      </c>
      <c r="F1283">
        <v>2.5</v>
      </c>
      <c r="G1283" s="12">
        <v>3641000</v>
      </c>
      <c r="H1283">
        <v>11562400</v>
      </c>
      <c r="I1283">
        <v>1456400</v>
      </c>
    </row>
    <row r="1284" spans="1:9">
      <c r="A1284" t="s">
        <v>1509</v>
      </c>
      <c r="B1284" t="s">
        <v>18</v>
      </c>
      <c r="C1284">
        <v>1381000</v>
      </c>
      <c r="D1284">
        <v>1383000</v>
      </c>
      <c r="E1284" t="s">
        <v>7896</v>
      </c>
      <c r="F1284">
        <v>2.5</v>
      </c>
      <c r="G1284" s="12">
        <v>-2000</v>
      </c>
      <c r="H1284">
        <v>552400</v>
      </c>
      <c r="I1284">
        <v>-800</v>
      </c>
    </row>
    <row r="1285" spans="1:9">
      <c r="A1285" t="s">
        <v>1667</v>
      </c>
      <c r="B1285" t="s">
        <v>18</v>
      </c>
      <c r="C1285">
        <v>50000</v>
      </c>
      <c r="D1285">
        <v>80000</v>
      </c>
      <c r="E1285" t="s">
        <v>7896</v>
      </c>
      <c r="F1285">
        <v>2.5</v>
      </c>
      <c r="G1285" s="12">
        <v>-30000</v>
      </c>
      <c r="H1285">
        <v>20000</v>
      </c>
      <c r="I1285">
        <v>-12000</v>
      </c>
    </row>
    <row r="1286" spans="1:9">
      <c r="A1286" t="s">
        <v>1558</v>
      </c>
      <c r="B1286" t="s">
        <v>18</v>
      </c>
      <c r="C1286">
        <v>534000</v>
      </c>
      <c r="D1286">
        <v>504000</v>
      </c>
      <c r="E1286" t="s">
        <v>7896</v>
      </c>
      <c r="F1286">
        <v>2.5</v>
      </c>
      <c r="G1286" s="12">
        <v>30000</v>
      </c>
      <c r="H1286">
        <v>213600</v>
      </c>
      <c r="I1286">
        <v>12000</v>
      </c>
    </row>
    <row r="1287" spans="1:9">
      <c r="A1287" t="s">
        <v>1558</v>
      </c>
      <c r="B1287" t="s">
        <v>18</v>
      </c>
      <c r="C1287">
        <v>2225000</v>
      </c>
      <c r="D1287">
        <v>2099000</v>
      </c>
      <c r="E1287" t="s">
        <v>7896</v>
      </c>
      <c r="F1287">
        <v>2.5</v>
      </c>
      <c r="G1287" s="12">
        <v>126000</v>
      </c>
      <c r="H1287">
        <v>890000</v>
      </c>
      <c r="I1287">
        <v>50400</v>
      </c>
    </row>
    <row r="1288" spans="1:9">
      <c r="A1288" t="s">
        <v>1534</v>
      </c>
      <c r="B1288" t="s">
        <v>18</v>
      </c>
      <c r="C1288">
        <v>1745000</v>
      </c>
      <c r="D1288">
        <v>1664000</v>
      </c>
      <c r="E1288" t="s">
        <v>7896</v>
      </c>
      <c r="F1288">
        <v>2.5</v>
      </c>
      <c r="G1288" s="12">
        <v>81000</v>
      </c>
      <c r="H1288">
        <v>698000</v>
      </c>
      <c r="I1288">
        <v>32400</v>
      </c>
    </row>
    <row r="1289" spans="1:9">
      <c r="A1289" t="s">
        <v>1512</v>
      </c>
      <c r="B1289" t="s">
        <v>18</v>
      </c>
      <c r="C1289">
        <v>989000</v>
      </c>
      <c r="D1289">
        <v>559000</v>
      </c>
      <c r="E1289" t="s">
        <v>7896</v>
      </c>
      <c r="F1289">
        <v>2.5</v>
      </c>
      <c r="G1289" s="12">
        <v>430000</v>
      </c>
      <c r="H1289">
        <v>395600</v>
      </c>
      <c r="I1289">
        <v>172000</v>
      </c>
    </row>
    <row r="1290" spans="1:9">
      <c r="A1290" t="s">
        <v>1558</v>
      </c>
      <c r="B1290" t="s">
        <v>18</v>
      </c>
      <c r="C1290">
        <v>830000</v>
      </c>
      <c r="D1290">
        <v>869000</v>
      </c>
      <c r="E1290" t="s">
        <v>7896</v>
      </c>
      <c r="F1290">
        <v>2.5</v>
      </c>
      <c r="G1290" s="12">
        <v>-39000</v>
      </c>
      <c r="H1290">
        <v>332000</v>
      </c>
      <c r="I1290">
        <v>-15600</v>
      </c>
    </row>
    <row r="1291" spans="1:9">
      <c r="A1291" t="s">
        <v>1558</v>
      </c>
      <c r="B1291" t="s">
        <v>18</v>
      </c>
      <c r="C1291">
        <v>2930000</v>
      </c>
      <c r="D1291">
        <v>2635000</v>
      </c>
      <c r="E1291" t="s">
        <v>7896</v>
      </c>
      <c r="F1291">
        <v>2.5</v>
      </c>
      <c r="G1291" s="12">
        <v>295000</v>
      </c>
      <c r="H1291">
        <v>1172000</v>
      </c>
      <c r="I1291">
        <v>118000</v>
      </c>
    </row>
    <row r="1292" spans="1:9">
      <c r="A1292" t="s">
        <v>1512</v>
      </c>
      <c r="B1292" t="s">
        <v>18</v>
      </c>
      <c r="C1292">
        <v>813000</v>
      </c>
      <c r="D1292">
        <v>809000</v>
      </c>
      <c r="E1292" t="s">
        <v>7896</v>
      </c>
      <c r="F1292">
        <v>2.5</v>
      </c>
      <c r="G1292" s="12">
        <v>4000</v>
      </c>
      <c r="H1292">
        <v>325200</v>
      </c>
      <c r="I1292">
        <v>1600</v>
      </c>
    </row>
    <row r="1293" spans="1:9">
      <c r="A1293" t="s">
        <v>1558</v>
      </c>
      <c r="B1293" t="s">
        <v>18</v>
      </c>
      <c r="C1293">
        <v>1582000</v>
      </c>
      <c r="D1293">
        <v>1535000</v>
      </c>
      <c r="E1293" t="s">
        <v>7896</v>
      </c>
      <c r="F1293">
        <v>2.5</v>
      </c>
      <c r="G1293" s="12">
        <v>47000</v>
      </c>
      <c r="H1293">
        <v>632800</v>
      </c>
      <c r="I1293">
        <v>18800</v>
      </c>
    </row>
    <row r="1294" spans="1:9">
      <c r="A1294" t="s">
        <v>1558</v>
      </c>
      <c r="B1294" t="s">
        <v>18</v>
      </c>
      <c r="C1294">
        <v>196230000</v>
      </c>
      <c r="D1294">
        <v>172977000</v>
      </c>
      <c r="E1294" t="s">
        <v>7896</v>
      </c>
      <c r="F1294">
        <v>2.5</v>
      </c>
      <c r="G1294" s="12">
        <v>23253000</v>
      </c>
      <c r="H1294">
        <v>78492000</v>
      </c>
      <c r="I1294">
        <v>9301200</v>
      </c>
    </row>
    <row r="1295" spans="1:9">
      <c r="A1295" t="s">
        <v>1558</v>
      </c>
      <c r="B1295" t="s">
        <v>18</v>
      </c>
      <c r="C1295">
        <v>1234000</v>
      </c>
      <c r="D1295">
        <v>1270000</v>
      </c>
      <c r="E1295" t="s">
        <v>7896</v>
      </c>
      <c r="F1295">
        <v>2.5</v>
      </c>
      <c r="G1295" s="12">
        <v>-36000</v>
      </c>
      <c r="H1295">
        <v>493600</v>
      </c>
      <c r="I1295">
        <v>-14400</v>
      </c>
    </row>
    <row r="1296" spans="1:9">
      <c r="A1296" t="s">
        <v>1533</v>
      </c>
      <c r="B1296" t="s">
        <v>18</v>
      </c>
      <c r="C1296">
        <v>5030000</v>
      </c>
      <c r="D1296">
        <v>6742000</v>
      </c>
      <c r="E1296" t="s">
        <v>7896</v>
      </c>
      <c r="F1296">
        <v>2.5</v>
      </c>
      <c r="G1296" s="12">
        <v>-1712000</v>
      </c>
      <c r="H1296">
        <v>2012000</v>
      </c>
      <c r="I1296">
        <v>-684800</v>
      </c>
    </row>
    <row r="1297" spans="1:9">
      <c r="A1297" t="s">
        <v>1558</v>
      </c>
      <c r="B1297" t="s">
        <v>18</v>
      </c>
      <c r="C1297">
        <v>197000</v>
      </c>
      <c r="D1297">
        <v>211000</v>
      </c>
      <c r="E1297" t="s">
        <v>7896</v>
      </c>
      <c r="F1297">
        <v>2.5</v>
      </c>
      <c r="G1297" s="12">
        <v>-14000</v>
      </c>
      <c r="H1297">
        <v>78800</v>
      </c>
      <c r="I1297">
        <v>-5600</v>
      </c>
    </row>
    <row r="1298" spans="1:9">
      <c r="A1298" t="s">
        <v>1738</v>
      </c>
      <c r="B1298" t="s">
        <v>18</v>
      </c>
      <c r="C1298">
        <v>575000</v>
      </c>
      <c r="D1298">
        <v>593000</v>
      </c>
      <c r="E1298" t="s">
        <v>7896</v>
      </c>
      <c r="F1298">
        <v>2.5</v>
      </c>
      <c r="G1298" s="12">
        <v>-18000</v>
      </c>
      <c r="H1298">
        <v>230000</v>
      </c>
      <c r="I1298">
        <v>-7200</v>
      </c>
    </row>
    <row r="1299" spans="1:9">
      <c r="A1299" t="s">
        <v>1532</v>
      </c>
      <c r="B1299" t="s">
        <v>18</v>
      </c>
      <c r="C1299">
        <v>5465000</v>
      </c>
      <c r="D1299">
        <v>5341000</v>
      </c>
      <c r="E1299" t="s">
        <v>7896</v>
      </c>
      <c r="F1299">
        <v>2.5</v>
      </c>
      <c r="G1299" s="12">
        <v>124000</v>
      </c>
      <c r="H1299">
        <v>2186000</v>
      </c>
      <c r="I1299">
        <v>49600</v>
      </c>
    </row>
    <row r="1300" spans="1:9">
      <c r="A1300" t="s">
        <v>1521</v>
      </c>
      <c r="B1300" t="s">
        <v>18</v>
      </c>
      <c r="C1300">
        <v>731000</v>
      </c>
      <c r="D1300">
        <v>950000</v>
      </c>
      <c r="E1300" t="s">
        <v>7896</v>
      </c>
      <c r="F1300">
        <v>2.5</v>
      </c>
      <c r="G1300" s="12">
        <v>-219000</v>
      </c>
      <c r="H1300">
        <v>292400</v>
      </c>
      <c r="I1300">
        <v>-87600</v>
      </c>
    </row>
    <row r="1301" spans="1:9">
      <c r="A1301" t="s">
        <v>1518</v>
      </c>
      <c r="B1301" t="s">
        <v>18</v>
      </c>
      <c r="C1301">
        <v>1203000</v>
      </c>
      <c r="D1301">
        <v>1250000</v>
      </c>
      <c r="E1301" t="s">
        <v>7896</v>
      </c>
      <c r="F1301">
        <v>2.5</v>
      </c>
      <c r="G1301" s="12">
        <v>-47000</v>
      </c>
      <c r="H1301">
        <v>481200</v>
      </c>
      <c r="I1301">
        <v>-18800</v>
      </c>
    </row>
    <row r="1302" spans="1:9">
      <c r="A1302" t="s">
        <v>1508</v>
      </c>
      <c r="B1302" t="s">
        <v>18</v>
      </c>
      <c r="C1302">
        <v>817000</v>
      </c>
      <c r="D1302">
        <v>779000</v>
      </c>
      <c r="E1302" t="s">
        <v>7896</v>
      </c>
      <c r="F1302">
        <v>2.5</v>
      </c>
      <c r="G1302" s="12">
        <v>38000</v>
      </c>
      <c r="H1302">
        <v>326800</v>
      </c>
      <c r="I1302">
        <v>15200</v>
      </c>
    </row>
    <row r="1303" spans="1:9">
      <c r="A1303" t="s">
        <v>1580</v>
      </c>
      <c r="B1303" t="s">
        <v>18</v>
      </c>
      <c r="C1303">
        <v>271000</v>
      </c>
      <c r="D1303">
        <v>534000</v>
      </c>
      <c r="E1303" t="s">
        <v>7896</v>
      </c>
      <c r="F1303">
        <v>2.5</v>
      </c>
      <c r="G1303" s="12">
        <v>-263000</v>
      </c>
      <c r="H1303">
        <v>108400</v>
      </c>
      <c r="I1303">
        <v>-105200</v>
      </c>
    </row>
    <row r="1304" spans="1:9">
      <c r="A1304" t="s">
        <v>1516</v>
      </c>
      <c r="B1304" t="s">
        <v>18</v>
      </c>
      <c r="C1304">
        <v>2060000</v>
      </c>
      <c r="D1304">
        <v>1996000</v>
      </c>
      <c r="E1304" t="s">
        <v>7896</v>
      </c>
      <c r="F1304">
        <v>2.5</v>
      </c>
      <c r="G1304" s="12">
        <v>64000</v>
      </c>
      <c r="H1304">
        <v>824000</v>
      </c>
      <c r="I1304">
        <v>25600</v>
      </c>
    </row>
    <row r="1305" spans="1:9">
      <c r="A1305" t="s">
        <v>1504</v>
      </c>
      <c r="B1305" t="s">
        <v>18</v>
      </c>
      <c r="C1305">
        <v>45297000</v>
      </c>
      <c r="D1305">
        <v>44529000</v>
      </c>
      <c r="E1305" t="s">
        <v>7896</v>
      </c>
      <c r="F1305">
        <v>2.5</v>
      </c>
      <c r="G1305" s="12">
        <v>768000</v>
      </c>
      <c r="H1305">
        <v>18118800</v>
      </c>
      <c r="I1305">
        <v>307200</v>
      </c>
    </row>
    <row r="1306" spans="1:9">
      <c r="A1306" t="s">
        <v>1580</v>
      </c>
      <c r="B1306" t="s">
        <v>18</v>
      </c>
      <c r="C1306">
        <v>510000</v>
      </c>
      <c r="D1306">
        <v>522000</v>
      </c>
      <c r="E1306" t="s">
        <v>7896</v>
      </c>
      <c r="F1306">
        <v>2.5</v>
      </c>
      <c r="G1306" s="12">
        <v>-12000</v>
      </c>
      <c r="H1306">
        <v>204000</v>
      </c>
      <c r="I1306">
        <v>-4800</v>
      </c>
    </row>
    <row r="1307" spans="1:9">
      <c r="A1307" t="s">
        <v>1526</v>
      </c>
      <c r="B1307" t="s">
        <v>18</v>
      </c>
      <c r="C1307">
        <v>2150000</v>
      </c>
      <c r="D1307">
        <v>2172000</v>
      </c>
      <c r="E1307" t="s">
        <v>7896</v>
      </c>
      <c r="F1307">
        <v>2.5</v>
      </c>
      <c r="G1307" s="12">
        <v>-22000</v>
      </c>
      <c r="H1307">
        <v>860000</v>
      </c>
      <c r="I1307">
        <v>-8800</v>
      </c>
    </row>
    <row r="1308" spans="1:9">
      <c r="A1308" t="s">
        <v>1524</v>
      </c>
      <c r="B1308" t="s">
        <v>18</v>
      </c>
      <c r="C1308">
        <v>1370000</v>
      </c>
      <c r="D1308">
        <v>1581000</v>
      </c>
      <c r="E1308" t="s">
        <v>7896</v>
      </c>
      <c r="F1308">
        <v>2.5</v>
      </c>
      <c r="G1308" s="12">
        <v>-211000</v>
      </c>
      <c r="H1308">
        <v>548000</v>
      </c>
      <c r="I1308">
        <v>-84400</v>
      </c>
    </row>
    <row r="1309" spans="1:9">
      <c r="A1309" t="s">
        <v>1560</v>
      </c>
      <c r="B1309" t="s">
        <v>18</v>
      </c>
      <c r="C1309">
        <v>2869000</v>
      </c>
      <c r="D1309">
        <v>2797000</v>
      </c>
      <c r="E1309" t="s">
        <v>7896</v>
      </c>
      <c r="F1309">
        <v>2.5</v>
      </c>
      <c r="G1309" s="12">
        <v>72000</v>
      </c>
      <c r="H1309">
        <v>1147600</v>
      </c>
      <c r="I1309">
        <v>28800</v>
      </c>
    </row>
    <row r="1310" spans="1:9">
      <c r="A1310" t="s">
        <v>1508</v>
      </c>
      <c r="B1310" t="s">
        <v>18</v>
      </c>
      <c r="C1310">
        <v>804000</v>
      </c>
      <c r="D1310">
        <v>674000</v>
      </c>
      <c r="E1310" t="s">
        <v>7896</v>
      </c>
      <c r="F1310">
        <v>2.5</v>
      </c>
      <c r="G1310" s="12">
        <v>130000</v>
      </c>
      <c r="H1310">
        <v>321600</v>
      </c>
      <c r="I1310">
        <v>52000</v>
      </c>
    </row>
    <row r="1311" spans="1:9">
      <c r="A1311" t="s">
        <v>1532</v>
      </c>
      <c r="B1311" t="s">
        <v>22</v>
      </c>
      <c r="C1311">
        <v>16616000</v>
      </c>
      <c r="D1311">
        <v>18101000</v>
      </c>
      <c r="E1311" t="s">
        <v>7896</v>
      </c>
      <c r="F1311">
        <v>13</v>
      </c>
      <c r="G1311" s="12">
        <v>-1485000</v>
      </c>
      <c r="H1311">
        <v>1278153.8461538462</v>
      </c>
      <c r="I1311">
        <v>-114230.76923076923</v>
      </c>
    </row>
    <row r="1312" spans="1:9">
      <c r="A1312" t="s">
        <v>1508</v>
      </c>
      <c r="B1312" t="s">
        <v>22</v>
      </c>
      <c r="C1312">
        <v>18308000</v>
      </c>
      <c r="D1312">
        <v>18705000</v>
      </c>
      <c r="E1312" t="s">
        <v>7896</v>
      </c>
      <c r="F1312">
        <v>13</v>
      </c>
      <c r="G1312" s="12">
        <v>-397000</v>
      </c>
      <c r="H1312">
        <v>1408307.6923076923</v>
      </c>
      <c r="I1312">
        <v>-30538.461538461539</v>
      </c>
    </row>
    <row r="1313" spans="1:9">
      <c r="A1313" t="s">
        <v>1532</v>
      </c>
      <c r="B1313" t="s">
        <v>18</v>
      </c>
      <c r="C1313">
        <v>73000</v>
      </c>
      <c r="D1313">
        <v>175000</v>
      </c>
      <c r="E1313" t="s">
        <v>7896</v>
      </c>
      <c r="F1313">
        <v>2.5</v>
      </c>
      <c r="G1313" s="12">
        <v>-102000</v>
      </c>
      <c r="H1313">
        <v>29200</v>
      </c>
      <c r="I1313">
        <v>-40800</v>
      </c>
    </row>
    <row r="1314" spans="1:9">
      <c r="A1314" t="s">
        <v>1605</v>
      </c>
      <c r="B1314" t="s">
        <v>18</v>
      </c>
      <c r="C1314">
        <v>31000</v>
      </c>
      <c r="D1314">
        <v>31000</v>
      </c>
      <c r="E1314" t="s">
        <v>7896</v>
      </c>
      <c r="F1314">
        <v>2.5</v>
      </c>
      <c r="G1314" s="12">
        <v>0</v>
      </c>
      <c r="H1314">
        <v>12400</v>
      </c>
      <c r="I1314">
        <v>0</v>
      </c>
    </row>
    <row r="1315" spans="1:9">
      <c r="A1315" t="s">
        <v>1642</v>
      </c>
      <c r="B1315" t="s">
        <v>18</v>
      </c>
      <c r="C1315">
        <v>13232000</v>
      </c>
      <c r="D1315">
        <v>15410000</v>
      </c>
      <c r="E1315" t="s">
        <v>7896</v>
      </c>
      <c r="F1315">
        <v>2.5</v>
      </c>
      <c r="G1315" s="12">
        <v>-2178000</v>
      </c>
      <c r="H1315">
        <v>5292800</v>
      </c>
      <c r="I1315">
        <v>-871200</v>
      </c>
    </row>
    <row r="1316" spans="1:9">
      <c r="A1316" t="s">
        <v>1795</v>
      </c>
      <c r="B1316" t="s">
        <v>18</v>
      </c>
      <c r="C1316">
        <v>277000</v>
      </c>
      <c r="D1316">
        <v>282000</v>
      </c>
      <c r="E1316" t="s">
        <v>7896</v>
      </c>
      <c r="F1316">
        <v>2.5</v>
      </c>
      <c r="G1316" s="12">
        <v>-5000</v>
      </c>
      <c r="H1316">
        <v>110800</v>
      </c>
      <c r="I1316">
        <v>-2000</v>
      </c>
    </row>
    <row r="1317" spans="1:9">
      <c r="A1317" t="s">
        <v>1505</v>
      </c>
      <c r="B1317" t="s">
        <v>18</v>
      </c>
      <c r="C1317">
        <v>345000</v>
      </c>
      <c r="D1317">
        <v>348000</v>
      </c>
      <c r="E1317" t="s">
        <v>7896</v>
      </c>
      <c r="F1317">
        <v>2.5</v>
      </c>
      <c r="G1317" s="12">
        <v>-3000</v>
      </c>
      <c r="H1317">
        <v>138000</v>
      </c>
      <c r="I1317">
        <v>-1200</v>
      </c>
    </row>
    <row r="1318" spans="1:9">
      <c r="A1318" t="s">
        <v>1544</v>
      </c>
      <c r="B1318" t="s">
        <v>18</v>
      </c>
      <c r="C1318">
        <v>8521000</v>
      </c>
      <c r="D1318">
        <v>8430000</v>
      </c>
      <c r="E1318" t="s">
        <v>7896</v>
      </c>
      <c r="F1318">
        <v>2.5</v>
      </c>
      <c r="G1318" s="12">
        <v>91000</v>
      </c>
      <c r="H1318">
        <v>3408400</v>
      </c>
      <c r="I1318">
        <v>36400</v>
      </c>
    </row>
    <row r="1319" spans="1:9">
      <c r="A1319" t="s">
        <v>1628</v>
      </c>
      <c r="B1319" t="s">
        <v>18</v>
      </c>
      <c r="C1319">
        <v>11018000</v>
      </c>
      <c r="D1319">
        <v>16168000</v>
      </c>
      <c r="E1319" t="s">
        <v>7896</v>
      </c>
      <c r="F1319">
        <v>2.5</v>
      </c>
      <c r="G1319" s="12">
        <v>-5150000</v>
      </c>
      <c r="H1319">
        <v>4407200</v>
      </c>
      <c r="I1319">
        <v>-2060000</v>
      </c>
    </row>
    <row r="1320" spans="1:9">
      <c r="A1320" t="s">
        <v>1533</v>
      </c>
      <c r="B1320" t="s">
        <v>18</v>
      </c>
      <c r="C1320">
        <v>13213000</v>
      </c>
      <c r="D1320">
        <v>14049000</v>
      </c>
      <c r="E1320" t="s">
        <v>7896</v>
      </c>
      <c r="F1320">
        <v>2.5</v>
      </c>
      <c r="G1320" s="12">
        <v>-836000</v>
      </c>
      <c r="H1320">
        <v>5285200</v>
      </c>
      <c r="I1320">
        <v>-334400</v>
      </c>
    </row>
    <row r="1321" spans="1:9">
      <c r="A1321" t="s">
        <v>1508</v>
      </c>
      <c r="B1321" t="s">
        <v>18</v>
      </c>
      <c r="C1321">
        <v>193000</v>
      </c>
      <c r="D1321">
        <v>163000</v>
      </c>
      <c r="E1321" t="s">
        <v>7896</v>
      </c>
      <c r="F1321">
        <v>2.5</v>
      </c>
      <c r="G1321" s="12">
        <v>30000</v>
      </c>
      <c r="H1321">
        <v>77200</v>
      </c>
      <c r="I1321">
        <v>12000</v>
      </c>
    </row>
    <row r="1322" spans="1:9">
      <c r="A1322" t="s">
        <v>1579</v>
      </c>
      <c r="B1322" t="s">
        <v>77</v>
      </c>
      <c r="C1322">
        <v>272246000</v>
      </c>
      <c r="D1322">
        <v>273568000</v>
      </c>
      <c r="E1322" t="s">
        <v>7896</v>
      </c>
      <c r="F1322">
        <v>8</v>
      </c>
      <c r="G1322" s="12">
        <v>-1322000</v>
      </c>
      <c r="H1322">
        <v>34030750</v>
      </c>
      <c r="I1322">
        <v>-165250</v>
      </c>
    </row>
    <row r="1323" spans="1:9">
      <c r="A1323" t="s">
        <v>1646</v>
      </c>
      <c r="B1323" t="s">
        <v>18</v>
      </c>
      <c r="C1323">
        <v>12633000</v>
      </c>
      <c r="D1323">
        <v>7153000</v>
      </c>
      <c r="E1323" t="s">
        <v>7896</v>
      </c>
      <c r="F1323">
        <v>2.5</v>
      </c>
      <c r="G1323" s="12">
        <v>5480000</v>
      </c>
      <c r="H1323">
        <v>5053200</v>
      </c>
      <c r="I1323">
        <v>2192000</v>
      </c>
    </row>
    <row r="1324" spans="1:9">
      <c r="A1324" t="s">
        <v>1619</v>
      </c>
      <c r="B1324" t="s">
        <v>18</v>
      </c>
      <c r="C1324">
        <v>91000</v>
      </c>
      <c r="D1324">
        <v>92000</v>
      </c>
      <c r="E1324" t="s">
        <v>7896</v>
      </c>
      <c r="F1324">
        <v>2.5</v>
      </c>
      <c r="G1324" s="12">
        <v>-1000</v>
      </c>
      <c r="H1324">
        <v>36400</v>
      </c>
      <c r="I1324">
        <v>-400</v>
      </c>
    </row>
    <row r="1325" spans="1:9">
      <c r="A1325" t="s">
        <v>1781</v>
      </c>
      <c r="B1325" t="s">
        <v>18</v>
      </c>
      <c r="C1325">
        <v>1884000</v>
      </c>
      <c r="D1325">
        <v>1907000</v>
      </c>
      <c r="E1325" t="s">
        <v>7896</v>
      </c>
      <c r="F1325">
        <v>2.5</v>
      </c>
      <c r="G1325" s="12">
        <v>-23000</v>
      </c>
      <c r="H1325">
        <v>753600</v>
      </c>
      <c r="I1325">
        <v>-9200</v>
      </c>
    </row>
    <row r="1326" spans="1:9">
      <c r="A1326" t="s">
        <v>1532</v>
      </c>
      <c r="B1326" t="s">
        <v>18</v>
      </c>
      <c r="C1326">
        <v>273000</v>
      </c>
      <c r="D1326">
        <v>233000</v>
      </c>
      <c r="E1326" t="s">
        <v>7896</v>
      </c>
      <c r="F1326">
        <v>2.5</v>
      </c>
      <c r="G1326" s="12">
        <v>40000</v>
      </c>
      <c r="H1326">
        <v>109200</v>
      </c>
      <c r="I1326">
        <v>16000</v>
      </c>
    </row>
    <row r="1327" spans="1:9">
      <c r="A1327" t="s">
        <v>1580</v>
      </c>
      <c r="B1327" t="s">
        <v>18</v>
      </c>
      <c r="C1327">
        <v>6000</v>
      </c>
      <c r="D1327">
        <v>6000</v>
      </c>
      <c r="E1327" t="s">
        <v>7896</v>
      </c>
      <c r="F1327">
        <v>2.5</v>
      </c>
      <c r="G1327" s="12">
        <v>0</v>
      </c>
      <c r="H1327">
        <v>2400</v>
      </c>
      <c r="I1327">
        <v>0</v>
      </c>
    </row>
    <row r="1328" spans="1:9">
      <c r="A1328" t="s">
        <v>1604</v>
      </c>
      <c r="B1328" t="s">
        <v>18</v>
      </c>
      <c r="C1328">
        <v>510000</v>
      </c>
      <c r="D1328">
        <v>481000</v>
      </c>
      <c r="E1328" t="s">
        <v>7896</v>
      </c>
      <c r="F1328">
        <v>2.5</v>
      </c>
      <c r="G1328" s="12">
        <v>29000</v>
      </c>
      <c r="H1328">
        <v>204000</v>
      </c>
      <c r="I1328">
        <v>11600</v>
      </c>
    </row>
    <row r="1329" spans="1:9">
      <c r="A1329" t="s">
        <v>1532</v>
      </c>
      <c r="B1329" t="s">
        <v>18</v>
      </c>
      <c r="C1329">
        <v>2655000</v>
      </c>
      <c r="D1329">
        <v>3653000</v>
      </c>
      <c r="E1329" t="s">
        <v>7896</v>
      </c>
      <c r="F1329">
        <v>2.5</v>
      </c>
      <c r="G1329" s="12">
        <v>-998000</v>
      </c>
      <c r="H1329">
        <v>1062000</v>
      </c>
      <c r="I1329">
        <v>-399200</v>
      </c>
    </row>
    <row r="1330" spans="1:9">
      <c r="A1330" t="s">
        <v>1532</v>
      </c>
      <c r="B1330" t="s">
        <v>18</v>
      </c>
      <c r="C1330">
        <v>27390000</v>
      </c>
      <c r="D1330">
        <v>29284000</v>
      </c>
      <c r="E1330" t="s">
        <v>7896</v>
      </c>
      <c r="F1330">
        <v>2.5</v>
      </c>
      <c r="G1330" s="12">
        <v>-1894000</v>
      </c>
      <c r="H1330">
        <v>10956000</v>
      </c>
      <c r="I1330">
        <v>-757600</v>
      </c>
    </row>
    <row r="1331" spans="1:9">
      <c r="A1331" t="s">
        <v>1801</v>
      </c>
      <c r="B1331" t="s">
        <v>18</v>
      </c>
      <c r="C1331">
        <v>4107000</v>
      </c>
      <c r="D1331">
        <v>4237000</v>
      </c>
      <c r="E1331" t="s">
        <v>7896</v>
      </c>
      <c r="F1331">
        <v>2.5</v>
      </c>
      <c r="G1331" s="12">
        <v>-130000</v>
      </c>
      <c r="H1331">
        <v>1642800</v>
      </c>
      <c r="I1331">
        <v>-52000</v>
      </c>
    </row>
    <row r="1332" spans="1:9">
      <c r="A1332" t="s">
        <v>1532</v>
      </c>
      <c r="B1332" t="s">
        <v>18</v>
      </c>
      <c r="C1332">
        <v>1541000</v>
      </c>
      <c r="D1332">
        <v>1541000</v>
      </c>
      <c r="E1332" t="s">
        <v>7896</v>
      </c>
      <c r="F1332">
        <v>2.5</v>
      </c>
      <c r="G1332" s="12">
        <v>0</v>
      </c>
      <c r="H1332">
        <v>616400</v>
      </c>
      <c r="I1332">
        <v>0</v>
      </c>
    </row>
    <row r="1333" spans="1:9">
      <c r="A1333" t="s">
        <v>1532</v>
      </c>
      <c r="B1333" t="s">
        <v>18</v>
      </c>
      <c r="C1333">
        <v>1044000</v>
      </c>
      <c r="D1333">
        <v>766000</v>
      </c>
      <c r="E1333" t="s">
        <v>7896</v>
      </c>
      <c r="F1333">
        <v>2.5</v>
      </c>
      <c r="G1333" s="12">
        <v>278000</v>
      </c>
      <c r="H1333">
        <v>417600</v>
      </c>
      <c r="I1333">
        <v>111200</v>
      </c>
    </row>
    <row r="1334" spans="1:9">
      <c r="A1334" t="s">
        <v>1513</v>
      </c>
      <c r="B1334" t="s">
        <v>18</v>
      </c>
      <c r="C1334">
        <v>57749000</v>
      </c>
      <c r="D1334">
        <v>101501000</v>
      </c>
      <c r="E1334" t="s">
        <v>7896</v>
      </c>
      <c r="F1334">
        <v>2.5</v>
      </c>
      <c r="G1334" s="12">
        <v>-43752000</v>
      </c>
      <c r="H1334">
        <v>23099600</v>
      </c>
      <c r="I1334">
        <v>-17500800</v>
      </c>
    </row>
    <row r="1335" spans="1:9">
      <c r="A1335" t="s">
        <v>1511</v>
      </c>
      <c r="B1335" t="s">
        <v>18</v>
      </c>
      <c r="C1335">
        <v>2513000</v>
      </c>
      <c r="D1335">
        <v>2562000</v>
      </c>
      <c r="E1335" t="s">
        <v>7896</v>
      </c>
      <c r="F1335">
        <v>2.5</v>
      </c>
      <c r="G1335" s="12">
        <v>-49000</v>
      </c>
      <c r="H1335">
        <v>1005200</v>
      </c>
      <c r="I1335">
        <v>-19600</v>
      </c>
    </row>
    <row r="1336" spans="1:9">
      <c r="A1336" t="s">
        <v>1535</v>
      </c>
      <c r="B1336" t="s">
        <v>18</v>
      </c>
      <c r="C1336">
        <v>41000</v>
      </c>
      <c r="D1336">
        <v>35000</v>
      </c>
      <c r="E1336" t="s">
        <v>7896</v>
      </c>
      <c r="F1336">
        <v>2.5</v>
      </c>
      <c r="G1336" s="12">
        <v>6000</v>
      </c>
      <c r="H1336">
        <v>16400</v>
      </c>
      <c r="I1336">
        <v>2400</v>
      </c>
    </row>
    <row r="1337" spans="1:9">
      <c r="A1337" t="s">
        <v>1565</v>
      </c>
      <c r="B1337" t="s">
        <v>18</v>
      </c>
      <c r="C1337">
        <v>571000</v>
      </c>
      <c r="D1337">
        <v>705000</v>
      </c>
      <c r="E1337" t="s">
        <v>7896</v>
      </c>
      <c r="F1337">
        <v>2.5</v>
      </c>
      <c r="G1337" s="12">
        <v>-134000</v>
      </c>
      <c r="H1337">
        <v>228400</v>
      </c>
      <c r="I1337">
        <v>-53600</v>
      </c>
    </row>
    <row r="1338" spans="1:9">
      <c r="A1338" t="s">
        <v>1667</v>
      </c>
      <c r="B1338" t="s">
        <v>18</v>
      </c>
      <c r="C1338">
        <v>2368000</v>
      </c>
      <c r="D1338">
        <v>2397000</v>
      </c>
      <c r="E1338" t="s">
        <v>7896</v>
      </c>
      <c r="F1338">
        <v>2.5</v>
      </c>
      <c r="G1338" s="12">
        <v>-29000</v>
      </c>
      <c r="H1338">
        <v>947200</v>
      </c>
      <c r="I1338">
        <v>-11600</v>
      </c>
    </row>
    <row r="1339" spans="1:9">
      <c r="A1339" t="s">
        <v>1558</v>
      </c>
      <c r="B1339" t="s">
        <v>18</v>
      </c>
      <c r="C1339">
        <v>4914000</v>
      </c>
      <c r="D1339">
        <v>3579000</v>
      </c>
      <c r="E1339" t="s">
        <v>7896</v>
      </c>
      <c r="F1339">
        <v>2.5</v>
      </c>
      <c r="G1339" s="12">
        <v>1335000</v>
      </c>
      <c r="H1339">
        <v>1965600</v>
      </c>
      <c r="I1339">
        <v>534000</v>
      </c>
    </row>
    <row r="1340" spans="1:9">
      <c r="A1340" t="s">
        <v>1620</v>
      </c>
      <c r="B1340" t="s">
        <v>18</v>
      </c>
      <c r="C1340">
        <v>12591000</v>
      </c>
      <c r="D1340">
        <v>10489000</v>
      </c>
      <c r="E1340" t="s">
        <v>7896</v>
      </c>
      <c r="F1340">
        <v>2.5</v>
      </c>
      <c r="G1340" s="12">
        <v>2102000</v>
      </c>
      <c r="H1340">
        <v>5036400</v>
      </c>
      <c r="I1340">
        <v>840800</v>
      </c>
    </row>
    <row r="1341" spans="1:9">
      <c r="A1341" t="s">
        <v>1532</v>
      </c>
      <c r="B1341" t="s">
        <v>18</v>
      </c>
      <c r="C1341">
        <v>185000</v>
      </c>
      <c r="D1341">
        <v>186000</v>
      </c>
      <c r="E1341" t="s">
        <v>7896</v>
      </c>
      <c r="F1341">
        <v>2.5</v>
      </c>
      <c r="G1341" s="12">
        <v>-1000</v>
      </c>
      <c r="H1341">
        <v>74000</v>
      </c>
      <c r="I1341">
        <v>-400</v>
      </c>
    </row>
    <row r="1342" spans="1:9">
      <c r="A1342" t="s">
        <v>1520</v>
      </c>
      <c r="B1342" t="s">
        <v>18</v>
      </c>
      <c r="C1342">
        <v>480000</v>
      </c>
      <c r="D1342">
        <v>460000</v>
      </c>
      <c r="E1342" t="s">
        <v>7896</v>
      </c>
      <c r="F1342">
        <v>2.5</v>
      </c>
      <c r="G1342" s="12">
        <v>20000</v>
      </c>
      <c r="H1342">
        <v>192000</v>
      </c>
      <c r="I1342">
        <v>8000</v>
      </c>
    </row>
    <row r="1343" spans="1:9">
      <c r="A1343" t="s">
        <v>1565</v>
      </c>
      <c r="B1343" t="s">
        <v>18</v>
      </c>
      <c r="C1343">
        <v>2061000</v>
      </c>
      <c r="D1343">
        <v>2061000</v>
      </c>
      <c r="E1343" t="s">
        <v>7896</v>
      </c>
      <c r="F1343">
        <v>2.5</v>
      </c>
      <c r="G1343" s="12">
        <v>0</v>
      </c>
      <c r="H1343">
        <v>824400</v>
      </c>
      <c r="I1343">
        <v>0</v>
      </c>
    </row>
    <row r="1344" spans="1:9">
      <c r="A1344" t="s">
        <v>1588</v>
      </c>
      <c r="B1344" t="s">
        <v>18</v>
      </c>
      <c r="C1344">
        <v>275000</v>
      </c>
      <c r="D1344">
        <v>272000</v>
      </c>
      <c r="E1344" t="s">
        <v>7896</v>
      </c>
      <c r="F1344">
        <v>2.5</v>
      </c>
      <c r="G1344" s="12">
        <v>3000</v>
      </c>
      <c r="H1344">
        <v>110000</v>
      </c>
      <c r="I1344">
        <v>1200</v>
      </c>
    </row>
    <row r="1345" spans="1:9">
      <c r="A1345" t="s">
        <v>1518</v>
      </c>
      <c r="B1345" t="s">
        <v>18</v>
      </c>
      <c r="C1345">
        <v>606000</v>
      </c>
      <c r="D1345">
        <v>585000</v>
      </c>
      <c r="E1345" t="s">
        <v>7896</v>
      </c>
      <c r="F1345">
        <v>2.5</v>
      </c>
      <c r="G1345" s="12">
        <v>21000</v>
      </c>
      <c r="H1345">
        <v>242400</v>
      </c>
      <c r="I1345">
        <v>8400</v>
      </c>
    </row>
    <row r="1346" spans="1:9">
      <c r="A1346" t="s">
        <v>1532</v>
      </c>
      <c r="B1346" t="s">
        <v>22</v>
      </c>
      <c r="C1346">
        <v>15307000</v>
      </c>
      <c r="D1346">
        <v>13198000</v>
      </c>
      <c r="E1346" t="s">
        <v>7896</v>
      </c>
      <c r="F1346">
        <v>13</v>
      </c>
      <c r="G1346" s="12">
        <v>2109000</v>
      </c>
      <c r="H1346">
        <v>1177461.5384615385</v>
      </c>
      <c r="I1346">
        <v>162230.76923076922</v>
      </c>
    </row>
    <row r="1347" spans="1:9">
      <c r="A1347" t="s">
        <v>1798</v>
      </c>
      <c r="B1347" t="s">
        <v>18</v>
      </c>
      <c r="C1347">
        <v>2035000</v>
      </c>
      <c r="D1347">
        <v>1511000</v>
      </c>
      <c r="E1347" t="s">
        <v>7896</v>
      </c>
      <c r="F1347">
        <v>2.5</v>
      </c>
      <c r="G1347" s="12">
        <v>524000</v>
      </c>
      <c r="H1347">
        <v>814000</v>
      </c>
      <c r="I1347">
        <v>209600</v>
      </c>
    </row>
    <row r="1348" spans="1:9">
      <c r="A1348" t="s">
        <v>1508</v>
      </c>
      <c r="B1348" t="s">
        <v>18</v>
      </c>
      <c r="C1348">
        <v>820000</v>
      </c>
      <c r="D1348">
        <v>537000</v>
      </c>
      <c r="E1348" t="s">
        <v>7896</v>
      </c>
      <c r="F1348">
        <v>2.5</v>
      </c>
      <c r="G1348" s="12">
        <v>283000</v>
      </c>
      <c r="H1348">
        <v>328000</v>
      </c>
      <c r="I1348">
        <v>113200</v>
      </c>
    </row>
    <row r="1349" spans="1:9">
      <c r="A1349" t="s">
        <v>1667</v>
      </c>
      <c r="B1349" t="s">
        <v>18</v>
      </c>
      <c r="C1349">
        <v>24258000</v>
      </c>
      <c r="D1349">
        <v>25635000</v>
      </c>
      <c r="E1349" t="s">
        <v>7896</v>
      </c>
      <c r="F1349">
        <v>2.5</v>
      </c>
      <c r="G1349" s="12">
        <v>-1377000</v>
      </c>
      <c r="H1349">
        <v>9703200</v>
      </c>
      <c r="I1349">
        <v>-550800</v>
      </c>
    </row>
    <row r="1350" spans="1:9">
      <c r="A1350" t="s">
        <v>1535</v>
      </c>
      <c r="B1350" t="s">
        <v>18</v>
      </c>
      <c r="C1350">
        <v>7980000</v>
      </c>
      <c r="D1350">
        <v>7111000</v>
      </c>
      <c r="E1350" t="s">
        <v>7896</v>
      </c>
      <c r="F1350">
        <v>2.5</v>
      </c>
      <c r="G1350" s="12">
        <v>869000</v>
      </c>
      <c r="H1350">
        <v>3192000</v>
      </c>
      <c r="I1350">
        <v>347600</v>
      </c>
    </row>
    <row r="1351" spans="1:9">
      <c r="A1351" t="s">
        <v>1516</v>
      </c>
      <c r="B1351" t="s">
        <v>18</v>
      </c>
      <c r="C1351">
        <v>1564000</v>
      </c>
      <c r="D1351">
        <v>1553000</v>
      </c>
      <c r="E1351" t="s">
        <v>7896</v>
      </c>
      <c r="F1351">
        <v>2.5</v>
      </c>
      <c r="G1351" s="12">
        <v>11000</v>
      </c>
      <c r="H1351">
        <v>625600</v>
      </c>
      <c r="I1351">
        <v>4400</v>
      </c>
    </row>
    <row r="1352" spans="1:9">
      <c r="A1352" t="s">
        <v>1646</v>
      </c>
      <c r="B1352" t="s">
        <v>18</v>
      </c>
      <c r="C1352">
        <v>7522000</v>
      </c>
      <c r="D1352">
        <v>6588000</v>
      </c>
      <c r="E1352" t="s">
        <v>7896</v>
      </c>
      <c r="F1352">
        <v>2.5</v>
      </c>
      <c r="G1352" s="12">
        <v>934000</v>
      </c>
      <c r="H1352">
        <v>3008800</v>
      </c>
      <c r="I1352">
        <v>373600</v>
      </c>
    </row>
    <row r="1353" spans="1:9">
      <c r="A1353" t="s">
        <v>1517</v>
      </c>
      <c r="B1353" t="s">
        <v>18</v>
      </c>
      <c r="C1353">
        <v>9121000</v>
      </c>
      <c r="D1353">
        <v>9121000</v>
      </c>
      <c r="E1353" t="s">
        <v>7896</v>
      </c>
      <c r="F1353">
        <v>2.5</v>
      </c>
      <c r="G1353" s="12">
        <v>0</v>
      </c>
      <c r="H1353">
        <v>3648400</v>
      </c>
      <c r="I1353">
        <v>0</v>
      </c>
    </row>
    <row r="1354" spans="1:9">
      <c r="A1354" t="s">
        <v>1527</v>
      </c>
      <c r="B1354" t="s">
        <v>18</v>
      </c>
      <c r="C1354">
        <v>2525000</v>
      </c>
      <c r="D1354">
        <v>2657000</v>
      </c>
      <c r="E1354" t="s">
        <v>7896</v>
      </c>
      <c r="F1354">
        <v>2.5</v>
      </c>
      <c r="G1354" s="12">
        <v>-132000</v>
      </c>
      <c r="H1354">
        <v>1010000</v>
      </c>
      <c r="I1354">
        <v>-52800</v>
      </c>
    </row>
    <row r="1355" spans="1:9">
      <c r="A1355" t="s">
        <v>1749</v>
      </c>
      <c r="B1355" t="s">
        <v>18</v>
      </c>
      <c r="C1355">
        <v>489000</v>
      </c>
      <c r="D1355">
        <v>535000</v>
      </c>
      <c r="E1355" t="s">
        <v>7896</v>
      </c>
      <c r="F1355">
        <v>2.5</v>
      </c>
      <c r="G1355" s="12">
        <v>-46000</v>
      </c>
      <c r="H1355">
        <v>195600</v>
      </c>
      <c r="I1355">
        <v>-18400</v>
      </c>
    </row>
    <row r="1356" spans="1:9">
      <c r="A1356" t="s">
        <v>1662</v>
      </c>
      <c r="B1356" t="s">
        <v>18</v>
      </c>
      <c r="C1356">
        <v>3453000</v>
      </c>
      <c r="D1356">
        <v>3119000</v>
      </c>
      <c r="E1356" t="s">
        <v>7896</v>
      </c>
      <c r="F1356">
        <v>2.5</v>
      </c>
      <c r="G1356" s="12">
        <v>334000</v>
      </c>
      <c r="H1356">
        <v>1381200</v>
      </c>
      <c r="I1356">
        <v>133600</v>
      </c>
    </row>
    <row r="1357" spans="1:9">
      <c r="A1357" t="s">
        <v>1520</v>
      </c>
      <c r="B1357" t="s">
        <v>18</v>
      </c>
      <c r="C1357">
        <v>2817000</v>
      </c>
      <c r="D1357">
        <v>3095000</v>
      </c>
      <c r="E1357" t="s">
        <v>7896</v>
      </c>
      <c r="F1357">
        <v>2.5</v>
      </c>
      <c r="G1357" s="12">
        <v>-278000</v>
      </c>
      <c r="H1357">
        <v>1126800</v>
      </c>
      <c r="I1357">
        <v>-111200</v>
      </c>
    </row>
    <row r="1358" spans="1:9">
      <c r="A1358" t="s">
        <v>1580</v>
      </c>
      <c r="B1358" t="s">
        <v>18</v>
      </c>
      <c r="C1358">
        <v>101586000</v>
      </c>
      <c r="D1358">
        <v>97996000</v>
      </c>
      <c r="E1358" t="s">
        <v>7896</v>
      </c>
      <c r="F1358">
        <v>2.5</v>
      </c>
      <c r="G1358" s="12">
        <v>3590000</v>
      </c>
      <c r="H1358">
        <v>40634400</v>
      </c>
      <c r="I1358">
        <v>1436000</v>
      </c>
    </row>
    <row r="1359" spans="1:9">
      <c r="A1359" t="s">
        <v>1583</v>
      </c>
      <c r="B1359" t="s">
        <v>18</v>
      </c>
      <c r="C1359">
        <v>388000</v>
      </c>
      <c r="D1359">
        <v>454000</v>
      </c>
      <c r="E1359" t="s">
        <v>7896</v>
      </c>
      <c r="F1359">
        <v>2.5</v>
      </c>
      <c r="G1359" s="12">
        <v>-66000</v>
      </c>
      <c r="H1359">
        <v>155200</v>
      </c>
      <c r="I1359">
        <v>-26400</v>
      </c>
    </row>
    <row r="1360" spans="1:9">
      <c r="A1360" t="s">
        <v>1526</v>
      </c>
      <c r="B1360" t="s">
        <v>22</v>
      </c>
      <c r="C1360">
        <v>17659000</v>
      </c>
      <c r="D1360">
        <v>16839000</v>
      </c>
      <c r="E1360" t="s">
        <v>7896</v>
      </c>
      <c r="F1360">
        <v>13</v>
      </c>
      <c r="G1360" s="12">
        <v>820000</v>
      </c>
      <c r="H1360">
        <v>1358384.6153846155</v>
      </c>
      <c r="I1360">
        <v>63076.923076923078</v>
      </c>
    </row>
    <row r="1361" spans="1:9">
      <c r="A1361" t="s">
        <v>1661</v>
      </c>
      <c r="B1361" t="s">
        <v>18</v>
      </c>
      <c r="C1361">
        <v>3148000</v>
      </c>
      <c r="D1361">
        <v>2915000</v>
      </c>
      <c r="E1361" t="s">
        <v>7896</v>
      </c>
      <c r="F1361">
        <v>2.5</v>
      </c>
      <c r="G1361" s="12">
        <v>233000</v>
      </c>
      <c r="H1361">
        <v>1259200</v>
      </c>
      <c r="I1361">
        <v>93200</v>
      </c>
    </row>
    <row r="1362" spans="1:9">
      <c r="A1362" t="s">
        <v>1559</v>
      </c>
      <c r="B1362" t="s">
        <v>18</v>
      </c>
      <c r="C1362">
        <v>455000</v>
      </c>
      <c r="D1362">
        <v>602000</v>
      </c>
      <c r="E1362" t="s">
        <v>7896</v>
      </c>
      <c r="F1362">
        <v>2.5</v>
      </c>
      <c r="G1362" s="12">
        <v>-147000</v>
      </c>
      <c r="H1362">
        <v>182000</v>
      </c>
      <c r="I1362">
        <v>-58800</v>
      </c>
    </row>
    <row r="1363" spans="1:9">
      <c r="A1363" t="s">
        <v>1737</v>
      </c>
      <c r="B1363" t="s">
        <v>18</v>
      </c>
      <c r="C1363">
        <v>850000</v>
      </c>
      <c r="D1363">
        <v>850000</v>
      </c>
      <c r="E1363" t="s">
        <v>7896</v>
      </c>
      <c r="F1363">
        <v>2.5</v>
      </c>
      <c r="G1363" s="12">
        <v>0</v>
      </c>
      <c r="H1363">
        <v>340000</v>
      </c>
      <c r="I1363">
        <v>0</v>
      </c>
    </row>
    <row r="1364" spans="1:9">
      <c r="A1364" t="s">
        <v>1517</v>
      </c>
      <c r="B1364" t="s">
        <v>18</v>
      </c>
      <c r="C1364">
        <v>264000</v>
      </c>
      <c r="D1364">
        <v>259000</v>
      </c>
      <c r="E1364" t="s">
        <v>7896</v>
      </c>
      <c r="F1364">
        <v>2.5</v>
      </c>
      <c r="G1364" s="12">
        <v>5000</v>
      </c>
      <c r="H1364">
        <v>105600</v>
      </c>
      <c r="I1364">
        <v>2000</v>
      </c>
    </row>
    <row r="1365" spans="1:9">
      <c r="A1365" t="s">
        <v>1509</v>
      </c>
      <c r="B1365" t="s">
        <v>18</v>
      </c>
      <c r="C1365">
        <v>4985000</v>
      </c>
      <c r="D1365">
        <v>4969000</v>
      </c>
      <c r="E1365" t="s">
        <v>7896</v>
      </c>
      <c r="F1365">
        <v>2.5</v>
      </c>
      <c r="G1365" s="12">
        <v>16000</v>
      </c>
      <c r="H1365">
        <v>1994000</v>
      </c>
      <c r="I1365">
        <v>6400</v>
      </c>
    </row>
    <row r="1366" spans="1:9">
      <c r="A1366" t="s">
        <v>1519</v>
      </c>
      <c r="B1366" t="s">
        <v>18</v>
      </c>
      <c r="C1366">
        <v>9959000</v>
      </c>
      <c r="D1366">
        <v>8422000</v>
      </c>
      <c r="E1366" t="s">
        <v>7896</v>
      </c>
      <c r="F1366">
        <v>2.5</v>
      </c>
      <c r="G1366" s="12">
        <v>1537000</v>
      </c>
      <c r="H1366">
        <v>3983600</v>
      </c>
      <c r="I1366">
        <v>614800</v>
      </c>
    </row>
    <row r="1367" spans="1:9">
      <c r="A1367" t="s">
        <v>1829</v>
      </c>
      <c r="B1367" t="s">
        <v>18</v>
      </c>
      <c r="C1367">
        <v>18041000</v>
      </c>
      <c r="D1367">
        <v>16722000</v>
      </c>
      <c r="E1367" t="s">
        <v>7896</v>
      </c>
      <c r="F1367">
        <v>2.5</v>
      </c>
      <c r="G1367" s="12">
        <v>1319000</v>
      </c>
      <c r="H1367">
        <v>7216400</v>
      </c>
      <c r="I1367">
        <v>527600</v>
      </c>
    </row>
    <row r="1368" spans="1:9">
      <c r="A1368" t="s">
        <v>1585</v>
      </c>
      <c r="B1368" t="s">
        <v>18</v>
      </c>
      <c r="C1368">
        <v>9634000</v>
      </c>
      <c r="D1368">
        <v>9133000</v>
      </c>
      <c r="E1368" t="s">
        <v>7896</v>
      </c>
      <c r="F1368">
        <v>2.5</v>
      </c>
      <c r="G1368" s="12">
        <v>501000</v>
      </c>
      <c r="H1368">
        <v>3853600</v>
      </c>
      <c r="I1368">
        <v>200400</v>
      </c>
    </row>
    <row r="1369" spans="1:9">
      <c r="A1369" t="s">
        <v>1520</v>
      </c>
      <c r="B1369" t="s">
        <v>18</v>
      </c>
      <c r="C1369">
        <v>1985000</v>
      </c>
      <c r="D1369">
        <v>1821000</v>
      </c>
      <c r="E1369" t="s">
        <v>7896</v>
      </c>
      <c r="F1369">
        <v>2.5</v>
      </c>
      <c r="G1369" s="12">
        <v>164000</v>
      </c>
      <c r="H1369">
        <v>794000</v>
      </c>
      <c r="I1369">
        <v>65600</v>
      </c>
    </row>
    <row r="1370" spans="1:9">
      <c r="A1370" t="s">
        <v>1642</v>
      </c>
      <c r="B1370" t="s">
        <v>18</v>
      </c>
      <c r="C1370">
        <v>10000</v>
      </c>
      <c r="D1370">
        <v>10000</v>
      </c>
      <c r="E1370" t="s">
        <v>7896</v>
      </c>
      <c r="F1370">
        <v>2.5</v>
      </c>
      <c r="G1370" s="12">
        <v>0</v>
      </c>
      <c r="H1370">
        <v>4000</v>
      </c>
      <c r="I1370">
        <v>0</v>
      </c>
    </row>
    <row r="1371" spans="1:9">
      <c r="A1371" t="s">
        <v>1520</v>
      </c>
      <c r="B1371" t="s">
        <v>18</v>
      </c>
      <c r="C1371">
        <v>532000</v>
      </c>
      <c r="D1371">
        <v>399000</v>
      </c>
      <c r="E1371" t="s">
        <v>7896</v>
      </c>
      <c r="F1371">
        <v>2.5</v>
      </c>
      <c r="G1371" s="12">
        <v>133000</v>
      </c>
      <c r="H1371">
        <v>212800</v>
      </c>
      <c r="I1371">
        <v>53200</v>
      </c>
    </row>
    <row r="1372" spans="1:9">
      <c r="A1372" t="s">
        <v>1658</v>
      </c>
      <c r="B1372" t="s">
        <v>18</v>
      </c>
      <c r="C1372">
        <v>44412000</v>
      </c>
      <c r="D1372">
        <v>42630000</v>
      </c>
      <c r="E1372" t="s">
        <v>7896</v>
      </c>
      <c r="F1372">
        <v>2.5</v>
      </c>
      <c r="G1372" s="12">
        <v>1782000</v>
      </c>
      <c r="H1372">
        <v>17764800</v>
      </c>
      <c r="I1372">
        <v>712800</v>
      </c>
    </row>
    <row r="1373" spans="1:9">
      <c r="A1373" t="s">
        <v>1642</v>
      </c>
      <c r="B1373" t="s">
        <v>18</v>
      </c>
      <c r="C1373">
        <v>227000</v>
      </c>
      <c r="D1373">
        <v>201000</v>
      </c>
      <c r="E1373" t="s">
        <v>7896</v>
      </c>
      <c r="F1373">
        <v>2.5</v>
      </c>
      <c r="G1373" s="12">
        <v>26000</v>
      </c>
      <c r="H1373">
        <v>90800</v>
      </c>
      <c r="I1373">
        <v>10400</v>
      </c>
    </row>
    <row r="1374" spans="1:9">
      <c r="A1374" t="s">
        <v>1526</v>
      </c>
      <c r="B1374" t="s">
        <v>18</v>
      </c>
      <c r="C1374">
        <v>1598000</v>
      </c>
      <c r="D1374">
        <v>1380000</v>
      </c>
      <c r="E1374" t="s">
        <v>7896</v>
      </c>
      <c r="F1374">
        <v>2.5</v>
      </c>
      <c r="G1374" s="12">
        <v>218000</v>
      </c>
      <c r="H1374">
        <v>639200</v>
      </c>
      <c r="I1374">
        <v>87200</v>
      </c>
    </row>
    <row r="1375" spans="1:9">
      <c r="A1375" t="s">
        <v>1781</v>
      </c>
      <c r="B1375" t="s">
        <v>18</v>
      </c>
      <c r="C1375">
        <v>1673000</v>
      </c>
      <c r="D1375">
        <v>1756000</v>
      </c>
      <c r="E1375" t="s">
        <v>7896</v>
      </c>
      <c r="F1375">
        <v>2.5</v>
      </c>
      <c r="G1375" s="12">
        <v>-83000</v>
      </c>
      <c r="H1375">
        <v>669200</v>
      </c>
      <c r="I1375">
        <v>-33200</v>
      </c>
    </row>
    <row r="1376" spans="1:9">
      <c r="A1376" t="s">
        <v>1658</v>
      </c>
      <c r="B1376" t="s">
        <v>18</v>
      </c>
      <c r="C1376">
        <v>380000</v>
      </c>
      <c r="D1376">
        <v>346000</v>
      </c>
      <c r="E1376" t="s">
        <v>7896</v>
      </c>
      <c r="F1376">
        <v>2.5</v>
      </c>
      <c r="G1376" s="12">
        <v>34000</v>
      </c>
      <c r="H1376">
        <v>152000</v>
      </c>
      <c r="I1376">
        <v>13600</v>
      </c>
    </row>
    <row r="1377" spans="1:9">
      <c r="A1377" t="s">
        <v>1737</v>
      </c>
      <c r="B1377" t="s">
        <v>18</v>
      </c>
      <c r="C1377">
        <v>894000</v>
      </c>
      <c r="D1377">
        <v>903000</v>
      </c>
      <c r="E1377" t="s">
        <v>7896</v>
      </c>
      <c r="F1377">
        <v>2.5</v>
      </c>
      <c r="G1377" s="12">
        <v>-9000</v>
      </c>
      <c r="H1377">
        <v>357600</v>
      </c>
      <c r="I1377">
        <v>-3600</v>
      </c>
    </row>
    <row r="1378" spans="1:9">
      <c r="A1378" t="s">
        <v>1801</v>
      </c>
      <c r="B1378" t="s">
        <v>18</v>
      </c>
      <c r="C1378">
        <v>312000</v>
      </c>
      <c r="D1378">
        <v>293000</v>
      </c>
      <c r="E1378" t="s">
        <v>7896</v>
      </c>
      <c r="F1378">
        <v>2.5</v>
      </c>
      <c r="G1378" s="12">
        <v>19000</v>
      </c>
      <c r="H1378">
        <v>124800</v>
      </c>
      <c r="I1378">
        <v>7600</v>
      </c>
    </row>
    <row r="1379" spans="1:9">
      <c r="A1379" t="s">
        <v>1749</v>
      </c>
      <c r="B1379" t="s">
        <v>18</v>
      </c>
      <c r="C1379">
        <v>1654000</v>
      </c>
      <c r="D1379">
        <v>1993000</v>
      </c>
      <c r="E1379" t="s">
        <v>7896</v>
      </c>
      <c r="F1379">
        <v>2.5</v>
      </c>
      <c r="G1379" s="12">
        <v>-339000</v>
      </c>
      <c r="H1379">
        <v>661600</v>
      </c>
      <c r="I1379">
        <v>-135600</v>
      </c>
    </row>
    <row r="1380" spans="1:9">
      <c r="A1380" t="s">
        <v>1620</v>
      </c>
      <c r="B1380" t="s">
        <v>18</v>
      </c>
      <c r="C1380">
        <v>90000</v>
      </c>
      <c r="D1380">
        <v>90000</v>
      </c>
      <c r="E1380" t="s">
        <v>7896</v>
      </c>
      <c r="F1380">
        <v>2.5</v>
      </c>
      <c r="G1380" s="12">
        <v>0</v>
      </c>
      <c r="H1380">
        <v>36000</v>
      </c>
      <c r="I1380">
        <v>0</v>
      </c>
    </row>
    <row r="1381" spans="1:9">
      <c r="A1381" t="s">
        <v>1520</v>
      </c>
      <c r="B1381" t="s">
        <v>18</v>
      </c>
      <c r="C1381">
        <v>652000</v>
      </c>
      <c r="D1381">
        <v>558000</v>
      </c>
      <c r="E1381" t="s">
        <v>7896</v>
      </c>
      <c r="F1381">
        <v>2.5</v>
      </c>
      <c r="G1381" s="12">
        <v>94000</v>
      </c>
      <c r="H1381">
        <v>260800</v>
      </c>
      <c r="I1381">
        <v>37600</v>
      </c>
    </row>
    <row r="1382" spans="1:9">
      <c r="A1382" t="s">
        <v>1504</v>
      </c>
      <c r="B1382" t="s">
        <v>18</v>
      </c>
      <c r="C1382">
        <v>6832000</v>
      </c>
      <c r="D1382">
        <v>6658000</v>
      </c>
      <c r="E1382" t="s">
        <v>7896</v>
      </c>
      <c r="F1382">
        <v>2.5</v>
      </c>
      <c r="G1382" s="12">
        <v>174000</v>
      </c>
      <c r="H1382">
        <v>2732800</v>
      </c>
      <c r="I1382">
        <v>69600</v>
      </c>
    </row>
    <row r="1383" spans="1:9">
      <c r="A1383" t="s">
        <v>1881</v>
      </c>
      <c r="B1383" t="s">
        <v>22</v>
      </c>
      <c r="C1383">
        <v>649800000</v>
      </c>
      <c r="D1383">
        <v>476535000</v>
      </c>
      <c r="E1383" t="s">
        <v>7896</v>
      </c>
      <c r="F1383">
        <v>13</v>
      </c>
      <c r="G1383" s="12">
        <v>173265000</v>
      </c>
      <c r="H1383">
        <v>49984615.384615384</v>
      </c>
      <c r="I1383">
        <v>13328076.923076924</v>
      </c>
    </row>
    <row r="1384" spans="1:9">
      <c r="A1384" t="s">
        <v>1604</v>
      </c>
      <c r="B1384" t="s">
        <v>18</v>
      </c>
      <c r="C1384">
        <v>342000</v>
      </c>
      <c r="D1384">
        <v>310000</v>
      </c>
      <c r="E1384" t="s">
        <v>7896</v>
      </c>
      <c r="F1384">
        <v>2.5</v>
      </c>
      <c r="G1384" s="12">
        <v>32000</v>
      </c>
      <c r="H1384">
        <v>136800</v>
      </c>
      <c r="I1384">
        <v>12800</v>
      </c>
    </row>
    <row r="1385" spans="1:9">
      <c r="A1385" t="s">
        <v>1517</v>
      </c>
      <c r="B1385" t="s">
        <v>18</v>
      </c>
      <c r="C1385">
        <v>7500000</v>
      </c>
      <c r="D1385">
        <v>8164000</v>
      </c>
      <c r="E1385" t="s">
        <v>7896</v>
      </c>
      <c r="F1385">
        <v>2.5</v>
      </c>
      <c r="G1385" s="12">
        <v>-664000</v>
      </c>
      <c r="H1385">
        <v>3000000</v>
      </c>
      <c r="I1385">
        <v>-265600</v>
      </c>
    </row>
    <row r="1386" spans="1:9">
      <c r="A1386" t="s">
        <v>1532</v>
      </c>
      <c r="B1386" t="s">
        <v>18</v>
      </c>
      <c r="C1386">
        <v>536000</v>
      </c>
      <c r="D1386">
        <v>696000</v>
      </c>
      <c r="E1386" t="s">
        <v>7896</v>
      </c>
      <c r="F1386">
        <v>2.5</v>
      </c>
      <c r="G1386" s="12">
        <v>-160000</v>
      </c>
      <c r="H1386">
        <v>214400</v>
      </c>
      <c r="I1386">
        <v>-64000</v>
      </c>
    </row>
    <row r="1387" spans="1:9">
      <c r="A1387" t="s">
        <v>1801</v>
      </c>
      <c r="B1387" t="s">
        <v>18</v>
      </c>
      <c r="C1387">
        <v>4816000</v>
      </c>
      <c r="D1387">
        <v>2631000</v>
      </c>
      <c r="E1387" t="s">
        <v>7896</v>
      </c>
      <c r="F1387">
        <v>2.5</v>
      </c>
      <c r="G1387" s="12">
        <v>2185000</v>
      </c>
      <c r="H1387">
        <v>1926400</v>
      </c>
      <c r="I1387">
        <v>874000</v>
      </c>
    </row>
    <row r="1388" spans="1:9">
      <c r="A1388" t="s">
        <v>1604</v>
      </c>
      <c r="B1388" t="s">
        <v>18</v>
      </c>
      <c r="C1388">
        <v>327000</v>
      </c>
      <c r="D1388">
        <v>378000</v>
      </c>
      <c r="E1388" t="s">
        <v>7896</v>
      </c>
      <c r="F1388">
        <v>2.5</v>
      </c>
      <c r="G1388" s="12">
        <v>-51000</v>
      </c>
      <c r="H1388">
        <v>130800</v>
      </c>
      <c r="I1388">
        <v>-20400</v>
      </c>
    </row>
    <row r="1389" spans="1:9">
      <c r="A1389" t="s">
        <v>1767</v>
      </c>
      <c r="B1389" t="s">
        <v>22</v>
      </c>
      <c r="C1389">
        <v>5774000</v>
      </c>
      <c r="D1389">
        <v>5737000</v>
      </c>
      <c r="E1389" t="s">
        <v>7896</v>
      </c>
      <c r="F1389">
        <v>13</v>
      </c>
      <c r="G1389" s="12">
        <v>37000</v>
      </c>
      <c r="H1389">
        <v>444153.84615384613</v>
      </c>
      <c r="I1389">
        <v>2846.1538461538462</v>
      </c>
    </row>
    <row r="1390" spans="1:9">
      <c r="A1390" t="s">
        <v>1524</v>
      </c>
      <c r="B1390" t="s">
        <v>18</v>
      </c>
      <c r="C1390">
        <v>2313000</v>
      </c>
      <c r="D1390">
        <v>2336000</v>
      </c>
      <c r="E1390" t="s">
        <v>7896</v>
      </c>
      <c r="F1390">
        <v>2.5</v>
      </c>
      <c r="G1390" s="12">
        <v>-23000</v>
      </c>
      <c r="H1390">
        <v>925200</v>
      </c>
      <c r="I1390">
        <v>-9200</v>
      </c>
    </row>
    <row r="1391" spans="1:9">
      <c r="A1391" t="s">
        <v>1504</v>
      </c>
      <c r="B1391" t="s">
        <v>18</v>
      </c>
      <c r="C1391">
        <v>779000</v>
      </c>
      <c r="D1391">
        <v>1018000</v>
      </c>
      <c r="E1391" t="s">
        <v>7896</v>
      </c>
      <c r="F1391">
        <v>2.5</v>
      </c>
      <c r="G1391" s="12">
        <v>-239000</v>
      </c>
      <c r="H1391">
        <v>311600</v>
      </c>
      <c r="I1391">
        <v>-95600</v>
      </c>
    </row>
    <row r="1392" spans="1:9">
      <c r="A1392" t="s">
        <v>1526</v>
      </c>
      <c r="B1392" t="s">
        <v>18</v>
      </c>
      <c r="C1392">
        <v>155000</v>
      </c>
      <c r="D1392">
        <v>164000</v>
      </c>
      <c r="E1392" t="s">
        <v>7896</v>
      </c>
      <c r="F1392">
        <v>2.5</v>
      </c>
      <c r="G1392" s="12">
        <v>-9000</v>
      </c>
      <c r="H1392">
        <v>62000</v>
      </c>
      <c r="I1392">
        <v>-3600</v>
      </c>
    </row>
    <row r="1393" spans="1:9">
      <c r="A1393" t="s">
        <v>1589</v>
      </c>
      <c r="B1393" t="s">
        <v>18</v>
      </c>
      <c r="C1393">
        <v>2266000</v>
      </c>
      <c r="D1393">
        <v>2219000</v>
      </c>
      <c r="E1393" t="s">
        <v>7896</v>
      </c>
      <c r="F1393">
        <v>2.5</v>
      </c>
      <c r="G1393" s="12">
        <v>47000</v>
      </c>
      <c r="H1393">
        <v>906400</v>
      </c>
      <c r="I1393">
        <v>18800</v>
      </c>
    </row>
    <row r="1394" spans="1:9">
      <c r="A1394" t="s">
        <v>1504</v>
      </c>
      <c r="B1394" t="s">
        <v>77</v>
      </c>
      <c r="C1394">
        <v>25023000</v>
      </c>
      <c r="D1394">
        <v>26654000</v>
      </c>
      <c r="E1394" t="s">
        <v>7896</v>
      </c>
      <c r="F1394">
        <v>8</v>
      </c>
      <c r="G1394" s="12">
        <v>-1631000</v>
      </c>
      <c r="H1394">
        <v>3127875</v>
      </c>
      <c r="I1394">
        <v>-203875</v>
      </c>
    </row>
    <row r="1395" spans="1:9">
      <c r="A1395" t="s">
        <v>1575</v>
      </c>
      <c r="B1395" t="s">
        <v>18</v>
      </c>
      <c r="C1395">
        <v>300000</v>
      </c>
      <c r="D1395">
        <v>298000</v>
      </c>
      <c r="E1395" t="s">
        <v>7896</v>
      </c>
      <c r="F1395">
        <v>2.5</v>
      </c>
      <c r="G1395" s="12">
        <v>2000</v>
      </c>
      <c r="H1395">
        <v>120000</v>
      </c>
      <c r="I1395">
        <v>800</v>
      </c>
    </row>
    <row r="1396" spans="1:9">
      <c r="A1396" t="s">
        <v>1532</v>
      </c>
      <c r="B1396" t="s">
        <v>18</v>
      </c>
      <c r="C1396">
        <v>309615000</v>
      </c>
      <c r="D1396">
        <v>9840000</v>
      </c>
      <c r="E1396" t="s">
        <v>7896</v>
      </c>
      <c r="F1396">
        <v>2.5</v>
      </c>
      <c r="G1396" s="12">
        <v>299775000</v>
      </c>
      <c r="H1396">
        <v>123846000</v>
      </c>
      <c r="I1396">
        <v>119910000</v>
      </c>
    </row>
    <row r="1397" spans="1:9">
      <c r="A1397" t="s">
        <v>1605</v>
      </c>
      <c r="B1397" t="s">
        <v>18</v>
      </c>
      <c r="C1397">
        <v>79256000</v>
      </c>
      <c r="D1397">
        <v>66543000</v>
      </c>
      <c r="E1397" t="s">
        <v>7896</v>
      </c>
      <c r="F1397">
        <v>2.5</v>
      </c>
      <c r="G1397" s="12">
        <v>12713000</v>
      </c>
      <c r="H1397">
        <v>31702400</v>
      </c>
      <c r="I1397">
        <v>5085200</v>
      </c>
    </row>
    <row r="1398" spans="1:9">
      <c r="A1398" t="s">
        <v>1533</v>
      </c>
      <c r="B1398" t="s">
        <v>18</v>
      </c>
      <c r="C1398">
        <v>536000</v>
      </c>
      <c r="D1398">
        <v>765000</v>
      </c>
      <c r="E1398" t="s">
        <v>7896</v>
      </c>
      <c r="F1398">
        <v>2.5</v>
      </c>
      <c r="G1398" s="12">
        <v>-229000</v>
      </c>
      <c r="H1398">
        <v>214400</v>
      </c>
      <c r="I1398">
        <v>-91600</v>
      </c>
    </row>
    <row r="1399" spans="1:9">
      <c r="A1399" t="s">
        <v>1737</v>
      </c>
      <c r="B1399" t="s">
        <v>18</v>
      </c>
      <c r="C1399">
        <v>1653000</v>
      </c>
      <c r="D1399">
        <v>476000</v>
      </c>
      <c r="E1399" t="s">
        <v>7896</v>
      </c>
      <c r="F1399">
        <v>2.5</v>
      </c>
      <c r="G1399" s="12">
        <v>1177000</v>
      </c>
      <c r="H1399">
        <v>661200</v>
      </c>
      <c r="I1399">
        <v>470800</v>
      </c>
    </row>
    <row r="1400" spans="1:9">
      <c r="A1400" t="s">
        <v>1532</v>
      </c>
      <c r="B1400" t="s">
        <v>18</v>
      </c>
      <c r="C1400">
        <v>640000</v>
      </c>
      <c r="D1400">
        <v>611000</v>
      </c>
      <c r="E1400" t="s">
        <v>7896</v>
      </c>
      <c r="F1400">
        <v>2.5</v>
      </c>
      <c r="G1400" s="12">
        <v>29000</v>
      </c>
      <c r="H1400">
        <v>256000</v>
      </c>
      <c r="I1400">
        <v>11600</v>
      </c>
    </row>
    <row r="1401" spans="1:9">
      <c r="A1401" t="s">
        <v>1588</v>
      </c>
      <c r="B1401" t="s">
        <v>18</v>
      </c>
      <c r="C1401">
        <v>3148000</v>
      </c>
      <c r="D1401">
        <v>2982000</v>
      </c>
      <c r="E1401" t="s">
        <v>7896</v>
      </c>
      <c r="F1401">
        <v>2.5</v>
      </c>
      <c r="G1401" s="12">
        <v>166000</v>
      </c>
      <c r="H1401">
        <v>1259200</v>
      </c>
      <c r="I1401">
        <v>66400</v>
      </c>
    </row>
    <row r="1402" spans="1:9">
      <c r="A1402" t="s">
        <v>1508</v>
      </c>
      <c r="B1402" t="s">
        <v>18</v>
      </c>
      <c r="C1402">
        <v>42742000</v>
      </c>
      <c r="D1402">
        <v>42742000</v>
      </c>
      <c r="E1402" t="s">
        <v>7896</v>
      </c>
      <c r="F1402">
        <v>2.5</v>
      </c>
      <c r="G1402" s="12">
        <v>0</v>
      </c>
      <c r="H1402">
        <v>17096800</v>
      </c>
      <c r="I1402">
        <v>0</v>
      </c>
    </row>
    <row r="1403" spans="1:9">
      <c r="A1403" t="s">
        <v>1508</v>
      </c>
      <c r="B1403" t="s">
        <v>18</v>
      </c>
      <c r="C1403">
        <v>52000</v>
      </c>
      <c r="D1403">
        <v>52000</v>
      </c>
      <c r="E1403" t="s">
        <v>7896</v>
      </c>
      <c r="F1403">
        <v>2.5</v>
      </c>
      <c r="G1403" s="12">
        <v>0</v>
      </c>
      <c r="H1403">
        <v>20800</v>
      </c>
      <c r="I1403">
        <v>0</v>
      </c>
    </row>
    <row r="1404" spans="1:9">
      <c r="A1404" t="s">
        <v>1521</v>
      </c>
      <c r="B1404" t="s">
        <v>18</v>
      </c>
      <c r="C1404">
        <v>15311000</v>
      </c>
      <c r="D1404">
        <v>15303000</v>
      </c>
      <c r="E1404" t="s">
        <v>7896</v>
      </c>
      <c r="F1404">
        <v>2.5</v>
      </c>
      <c r="G1404" s="12">
        <v>8000</v>
      </c>
      <c r="H1404">
        <v>6124400</v>
      </c>
      <c r="I1404">
        <v>3200</v>
      </c>
    </row>
    <row r="1405" spans="1:9">
      <c r="A1405" t="s">
        <v>1521</v>
      </c>
      <c r="B1405" t="s">
        <v>18</v>
      </c>
      <c r="C1405">
        <v>14011000</v>
      </c>
      <c r="D1405">
        <v>14322000</v>
      </c>
      <c r="E1405" t="s">
        <v>7896</v>
      </c>
      <c r="F1405">
        <v>2.5</v>
      </c>
      <c r="G1405" s="12">
        <v>-311000</v>
      </c>
      <c r="H1405">
        <v>5604400</v>
      </c>
      <c r="I1405">
        <v>-124400</v>
      </c>
    </row>
    <row r="1406" spans="1:9">
      <c r="A1406" t="s">
        <v>1533</v>
      </c>
      <c r="B1406" t="s">
        <v>23</v>
      </c>
      <c r="C1406">
        <v>9297000</v>
      </c>
      <c r="D1406">
        <v>7709000</v>
      </c>
      <c r="E1406" t="s">
        <v>7897</v>
      </c>
      <c r="F1406">
        <v>75.5</v>
      </c>
      <c r="G1406" s="12">
        <v>1588000</v>
      </c>
      <c r="H1406">
        <v>123139.07284768212</v>
      </c>
      <c r="I1406">
        <v>21033.112582781458</v>
      </c>
    </row>
    <row r="1407" spans="1:9">
      <c r="A1407" t="s">
        <v>1533</v>
      </c>
      <c r="B1407" t="s">
        <v>18</v>
      </c>
      <c r="C1407">
        <v>1142000</v>
      </c>
      <c r="D1407">
        <v>1065000</v>
      </c>
      <c r="E1407" t="s">
        <v>7896</v>
      </c>
      <c r="F1407">
        <v>2.5</v>
      </c>
      <c r="G1407" s="12">
        <v>77000</v>
      </c>
      <c r="H1407">
        <v>456800</v>
      </c>
      <c r="I1407">
        <v>30800</v>
      </c>
    </row>
    <row r="1408" spans="1:9">
      <c r="A1408" t="s">
        <v>1801</v>
      </c>
      <c r="B1408" t="s">
        <v>18</v>
      </c>
      <c r="C1408">
        <v>2000</v>
      </c>
      <c r="D1408">
        <v>2000</v>
      </c>
      <c r="E1408" t="s">
        <v>7896</v>
      </c>
      <c r="F1408">
        <v>2.5</v>
      </c>
      <c r="G1408" s="12">
        <v>0</v>
      </c>
      <c r="H1408">
        <v>800</v>
      </c>
      <c r="I1408">
        <v>0</v>
      </c>
    </row>
    <row r="1409" spans="1:9">
      <c r="A1409" t="s">
        <v>1592</v>
      </c>
      <c r="B1409" t="s">
        <v>22</v>
      </c>
      <c r="C1409">
        <v>3003000</v>
      </c>
      <c r="D1409">
        <v>2938000</v>
      </c>
      <c r="E1409" t="s">
        <v>7896</v>
      </c>
      <c r="F1409">
        <v>13</v>
      </c>
      <c r="G1409" s="12">
        <v>65000</v>
      </c>
      <c r="H1409">
        <v>231000</v>
      </c>
      <c r="I1409">
        <v>5000</v>
      </c>
    </row>
    <row r="1410" spans="1:9">
      <c r="A1410" t="s">
        <v>1588</v>
      </c>
      <c r="B1410" t="s">
        <v>18</v>
      </c>
      <c r="C1410">
        <v>54000</v>
      </c>
      <c r="D1410">
        <v>60000</v>
      </c>
      <c r="E1410" t="s">
        <v>7896</v>
      </c>
      <c r="F1410">
        <v>2.5</v>
      </c>
      <c r="G1410" s="12">
        <v>-6000</v>
      </c>
      <c r="H1410">
        <v>21600</v>
      </c>
      <c r="I1410">
        <v>-2400</v>
      </c>
    </row>
    <row r="1411" spans="1:9">
      <c r="A1411" t="s">
        <v>1625</v>
      </c>
      <c r="B1411" t="s">
        <v>18</v>
      </c>
      <c r="C1411">
        <v>598000</v>
      </c>
      <c r="D1411">
        <v>3578000</v>
      </c>
      <c r="E1411" t="s">
        <v>7896</v>
      </c>
      <c r="F1411">
        <v>2.5</v>
      </c>
      <c r="G1411" s="12">
        <v>-2980000</v>
      </c>
      <c r="H1411">
        <v>239200</v>
      </c>
      <c r="I1411">
        <v>-1192000</v>
      </c>
    </row>
    <row r="1412" spans="1:9">
      <c r="A1412" t="s">
        <v>1580</v>
      </c>
      <c r="B1412" t="s">
        <v>18</v>
      </c>
      <c r="C1412">
        <v>17166000</v>
      </c>
      <c r="D1412">
        <v>16894000</v>
      </c>
      <c r="E1412" t="s">
        <v>7896</v>
      </c>
      <c r="F1412">
        <v>2.5</v>
      </c>
      <c r="G1412" s="12">
        <v>272000</v>
      </c>
      <c r="H1412">
        <v>6866400</v>
      </c>
      <c r="I1412">
        <v>108800</v>
      </c>
    </row>
    <row r="1413" spans="1:9">
      <c r="A1413" t="s">
        <v>1508</v>
      </c>
      <c r="B1413" t="s">
        <v>18</v>
      </c>
      <c r="C1413">
        <v>166983000</v>
      </c>
      <c r="D1413">
        <v>165862000</v>
      </c>
      <c r="E1413" t="s">
        <v>7896</v>
      </c>
      <c r="F1413">
        <v>2.5</v>
      </c>
      <c r="G1413" s="12">
        <v>1121000</v>
      </c>
      <c r="H1413">
        <v>66793200</v>
      </c>
      <c r="I1413">
        <v>448400</v>
      </c>
    </row>
    <row r="1414" spans="1:9">
      <c r="A1414" t="s">
        <v>1509</v>
      </c>
      <c r="B1414" t="s">
        <v>18</v>
      </c>
      <c r="C1414">
        <v>651000</v>
      </c>
      <c r="D1414">
        <v>980000</v>
      </c>
      <c r="E1414" t="s">
        <v>7896</v>
      </c>
      <c r="F1414">
        <v>2.5</v>
      </c>
      <c r="G1414" s="12">
        <v>-329000</v>
      </c>
      <c r="H1414">
        <v>260400</v>
      </c>
      <c r="I1414">
        <v>-131600</v>
      </c>
    </row>
    <row r="1415" spans="1:9">
      <c r="A1415" t="s">
        <v>1532</v>
      </c>
      <c r="B1415" t="s">
        <v>18</v>
      </c>
      <c r="C1415">
        <v>92140000</v>
      </c>
      <c r="D1415">
        <v>51634000</v>
      </c>
      <c r="E1415" t="s">
        <v>7896</v>
      </c>
      <c r="F1415">
        <v>2.5</v>
      </c>
      <c r="G1415" s="12">
        <v>40506000</v>
      </c>
      <c r="H1415">
        <v>36856000</v>
      </c>
      <c r="I1415">
        <v>16202400</v>
      </c>
    </row>
    <row r="1416" spans="1:9">
      <c r="A1416" t="s">
        <v>1629</v>
      </c>
      <c r="B1416" t="s">
        <v>18</v>
      </c>
      <c r="C1416">
        <v>2117000</v>
      </c>
      <c r="D1416">
        <v>2109000</v>
      </c>
      <c r="E1416" t="s">
        <v>7896</v>
      </c>
      <c r="F1416">
        <v>2.5</v>
      </c>
      <c r="G1416" s="12">
        <v>8000</v>
      </c>
      <c r="H1416">
        <v>846800</v>
      </c>
      <c r="I1416">
        <v>3200</v>
      </c>
    </row>
    <row r="1417" spans="1:9">
      <c r="A1417" t="s">
        <v>1508</v>
      </c>
      <c r="B1417" t="s">
        <v>18</v>
      </c>
      <c r="C1417">
        <v>90000</v>
      </c>
      <c r="D1417">
        <v>90000</v>
      </c>
      <c r="E1417" t="s">
        <v>7896</v>
      </c>
      <c r="F1417">
        <v>2.5</v>
      </c>
      <c r="G1417" s="12">
        <v>0</v>
      </c>
      <c r="H1417">
        <v>36000</v>
      </c>
      <c r="I1417">
        <v>0</v>
      </c>
    </row>
    <row r="1418" spans="1:9">
      <c r="A1418" t="s">
        <v>1532</v>
      </c>
      <c r="B1418" t="s">
        <v>77</v>
      </c>
      <c r="C1418">
        <v>123626000</v>
      </c>
      <c r="D1418">
        <v>154644000</v>
      </c>
      <c r="E1418" t="s">
        <v>7896</v>
      </c>
      <c r="F1418">
        <v>8</v>
      </c>
      <c r="G1418" s="12">
        <v>-31018000</v>
      </c>
      <c r="H1418">
        <v>15453250</v>
      </c>
      <c r="I1418">
        <v>-3877250</v>
      </c>
    </row>
    <row r="1419" spans="1:9">
      <c r="A1419" t="s">
        <v>1508</v>
      </c>
      <c r="B1419" t="s">
        <v>18</v>
      </c>
      <c r="C1419">
        <v>574000</v>
      </c>
      <c r="D1419">
        <v>883000</v>
      </c>
      <c r="E1419" t="s">
        <v>7896</v>
      </c>
      <c r="F1419">
        <v>2.5</v>
      </c>
      <c r="G1419" s="12">
        <v>-309000</v>
      </c>
      <c r="H1419">
        <v>229600</v>
      </c>
      <c r="I1419">
        <v>-123600</v>
      </c>
    </row>
    <row r="1420" spans="1:9">
      <c r="A1420" t="s">
        <v>1737</v>
      </c>
      <c r="B1420" t="s">
        <v>18</v>
      </c>
      <c r="C1420">
        <v>1757000</v>
      </c>
      <c r="D1420">
        <v>1764000</v>
      </c>
      <c r="E1420" t="s">
        <v>7896</v>
      </c>
      <c r="F1420">
        <v>2.5</v>
      </c>
      <c r="G1420" s="12">
        <v>-7000</v>
      </c>
      <c r="H1420">
        <v>702800</v>
      </c>
      <c r="I1420">
        <v>-2800</v>
      </c>
    </row>
    <row r="1421" spans="1:9">
      <c r="A1421" t="s">
        <v>1558</v>
      </c>
      <c r="B1421" t="s">
        <v>18</v>
      </c>
      <c r="C1421">
        <v>43000</v>
      </c>
      <c r="D1421">
        <v>14000</v>
      </c>
      <c r="E1421" t="s">
        <v>7896</v>
      </c>
      <c r="F1421">
        <v>2.5</v>
      </c>
      <c r="G1421" s="12">
        <v>29000</v>
      </c>
      <c r="H1421">
        <v>17200</v>
      </c>
      <c r="I1421">
        <v>11600</v>
      </c>
    </row>
    <row r="1422" spans="1:9">
      <c r="A1422" t="s">
        <v>1795</v>
      </c>
      <c r="B1422" t="s">
        <v>18</v>
      </c>
      <c r="C1422">
        <v>2065000</v>
      </c>
      <c r="D1422">
        <v>1452000</v>
      </c>
      <c r="E1422" t="s">
        <v>7896</v>
      </c>
      <c r="F1422">
        <v>2.5</v>
      </c>
      <c r="G1422" s="12">
        <v>613000</v>
      </c>
      <c r="H1422">
        <v>826000</v>
      </c>
      <c r="I1422">
        <v>245200</v>
      </c>
    </row>
    <row r="1423" spans="1:9">
      <c r="A1423" t="s">
        <v>1580</v>
      </c>
      <c r="B1423" t="s">
        <v>18</v>
      </c>
      <c r="C1423">
        <v>9534000</v>
      </c>
      <c r="D1423">
        <v>9317000</v>
      </c>
      <c r="E1423" t="s">
        <v>7896</v>
      </c>
      <c r="F1423">
        <v>2.5</v>
      </c>
      <c r="G1423" s="12">
        <v>217000</v>
      </c>
      <c r="H1423">
        <v>3813600</v>
      </c>
      <c r="I1423">
        <v>86800</v>
      </c>
    </row>
    <row r="1424" spans="1:9">
      <c r="A1424" t="s">
        <v>1604</v>
      </c>
      <c r="B1424" t="s">
        <v>18</v>
      </c>
      <c r="C1424">
        <v>527000</v>
      </c>
      <c r="D1424">
        <v>590000</v>
      </c>
      <c r="E1424" t="s">
        <v>7896</v>
      </c>
      <c r="F1424">
        <v>2.5</v>
      </c>
      <c r="G1424" s="12">
        <v>-63000</v>
      </c>
      <c r="H1424">
        <v>210800</v>
      </c>
      <c r="I1424">
        <v>-25200</v>
      </c>
    </row>
    <row r="1425" spans="1:9">
      <c r="A1425" t="s">
        <v>1544</v>
      </c>
      <c r="B1425" t="s">
        <v>18</v>
      </c>
      <c r="C1425">
        <v>351000</v>
      </c>
      <c r="D1425">
        <v>192000</v>
      </c>
      <c r="E1425" t="s">
        <v>7896</v>
      </c>
      <c r="F1425">
        <v>2.5</v>
      </c>
      <c r="G1425" s="12">
        <v>159000</v>
      </c>
      <c r="H1425">
        <v>140400</v>
      </c>
      <c r="I1425">
        <v>63600</v>
      </c>
    </row>
    <row r="1426" spans="1:9">
      <c r="A1426" t="s">
        <v>1509</v>
      </c>
      <c r="B1426" t="s">
        <v>18</v>
      </c>
      <c r="C1426">
        <v>619000</v>
      </c>
      <c r="D1426">
        <v>652000</v>
      </c>
      <c r="E1426" t="s">
        <v>7896</v>
      </c>
      <c r="F1426">
        <v>2.5</v>
      </c>
      <c r="G1426" s="12">
        <v>-33000</v>
      </c>
      <c r="H1426">
        <v>247600</v>
      </c>
      <c r="I1426">
        <v>-13200</v>
      </c>
    </row>
    <row r="1427" spans="1:9">
      <c r="A1427" t="s">
        <v>1588</v>
      </c>
      <c r="B1427" t="s">
        <v>18</v>
      </c>
      <c r="C1427">
        <v>8000</v>
      </c>
      <c r="D1427">
        <v>9000</v>
      </c>
      <c r="E1427" t="s">
        <v>7896</v>
      </c>
      <c r="F1427">
        <v>2.5</v>
      </c>
      <c r="G1427" s="12">
        <v>-1000</v>
      </c>
      <c r="H1427">
        <v>3200</v>
      </c>
      <c r="I1427">
        <v>-400</v>
      </c>
    </row>
    <row r="1428" spans="1:9">
      <c r="A1428" t="s">
        <v>1504</v>
      </c>
      <c r="B1428" t="s">
        <v>18</v>
      </c>
      <c r="C1428">
        <v>19328000</v>
      </c>
      <c r="D1428">
        <v>19441000</v>
      </c>
      <c r="E1428" t="s">
        <v>7896</v>
      </c>
      <c r="F1428">
        <v>2.5</v>
      </c>
      <c r="G1428" s="12">
        <v>-113000</v>
      </c>
      <c r="H1428">
        <v>7731200</v>
      </c>
      <c r="I1428">
        <v>-45200</v>
      </c>
    </row>
    <row r="1429" spans="1:9">
      <c r="A1429" t="s">
        <v>1519</v>
      </c>
      <c r="B1429" t="s">
        <v>18</v>
      </c>
      <c r="C1429">
        <v>140000</v>
      </c>
      <c r="D1429">
        <v>128000</v>
      </c>
      <c r="E1429" t="s">
        <v>7896</v>
      </c>
      <c r="F1429">
        <v>2.5</v>
      </c>
      <c r="G1429" s="12">
        <v>12000</v>
      </c>
      <c r="H1429">
        <v>56000</v>
      </c>
      <c r="I1429">
        <v>4800</v>
      </c>
    </row>
    <row r="1430" spans="1:9">
      <c r="A1430" t="s">
        <v>1532</v>
      </c>
      <c r="B1430" t="s">
        <v>18</v>
      </c>
      <c r="C1430">
        <v>65000</v>
      </c>
      <c r="D1430">
        <v>65000</v>
      </c>
      <c r="E1430" t="s">
        <v>7896</v>
      </c>
      <c r="F1430">
        <v>2.5</v>
      </c>
      <c r="G1430" s="12">
        <v>0</v>
      </c>
      <c r="H1430">
        <v>26000</v>
      </c>
      <c r="I1430">
        <v>0</v>
      </c>
    </row>
    <row r="1431" spans="1:9">
      <c r="A1431" t="s">
        <v>1526</v>
      </c>
      <c r="B1431" t="s">
        <v>18</v>
      </c>
      <c r="C1431">
        <v>3781000</v>
      </c>
      <c r="D1431">
        <v>3819000</v>
      </c>
      <c r="E1431" t="s">
        <v>7896</v>
      </c>
      <c r="F1431">
        <v>2.5</v>
      </c>
      <c r="G1431" s="12">
        <v>-38000</v>
      </c>
      <c r="H1431">
        <v>1512400</v>
      </c>
      <c r="I1431">
        <v>-15200</v>
      </c>
    </row>
    <row r="1432" spans="1:9">
      <c r="A1432" t="s">
        <v>1504</v>
      </c>
      <c r="B1432" t="s">
        <v>18</v>
      </c>
      <c r="C1432">
        <v>1956000</v>
      </c>
      <c r="D1432">
        <v>1907000</v>
      </c>
      <c r="E1432" t="s">
        <v>7896</v>
      </c>
      <c r="F1432">
        <v>2.5</v>
      </c>
      <c r="G1432" s="12">
        <v>49000</v>
      </c>
      <c r="H1432">
        <v>782400</v>
      </c>
      <c r="I1432">
        <v>19600</v>
      </c>
    </row>
    <row r="1433" spans="1:9">
      <c r="A1433" t="s">
        <v>1649</v>
      </c>
      <c r="B1433" t="s">
        <v>18</v>
      </c>
      <c r="C1433">
        <v>55000</v>
      </c>
      <c r="D1433">
        <v>55000</v>
      </c>
      <c r="E1433" t="s">
        <v>7896</v>
      </c>
      <c r="F1433">
        <v>2.5</v>
      </c>
      <c r="G1433" s="12">
        <v>0</v>
      </c>
      <c r="H1433">
        <v>22000</v>
      </c>
      <c r="I1433">
        <v>0</v>
      </c>
    </row>
    <row r="1434" spans="1:9">
      <c r="A1434" t="s">
        <v>1504</v>
      </c>
      <c r="B1434" t="s">
        <v>18</v>
      </c>
      <c r="C1434">
        <v>703000</v>
      </c>
      <c r="D1434">
        <v>831000</v>
      </c>
      <c r="E1434" t="s">
        <v>7896</v>
      </c>
      <c r="F1434">
        <v>2.5</v>
      </c>
      <c r="G1434" s="12">
        <v>-128000</v>
      </c>
      <c r="H1434">
        <v>281200</v>
      </c>
      <c r="I1434">
        <v>-51200</v>
      </c>
    </row>
    <row r="1435" spans="1:9">
      <c r="A1435" t="s">
        <v>1512</v>
      </c>
      <c r="B1435" t="s">
        <v>18</v>
      </c>
      <c r="C1435">
        <v>71000</v>
      </c>
      <c r="D1435">
        <v>71000</v>
      </c>
      <c r="E1435" t="s">
        <v>7896</v>
      </c>
      <c r="F1435">
        <v>2.5</v>
      </c>
      <c r="G1435" s="12">
        <v>0</v>
      </c>
      <c r="H1435">
        <v>28400</v>
      </c>
      <c r="I1435">
        <v>0</v>
      </c>
    </row>
    <row r="1436" spans="1:9">
      <c r="A1436" t="s">
        <v>1517</v>
      </c>
      <c r="B1436" t="s">
        <v>302</v>
      </c>
      <c r="C1436">
        <v>67915000</v>
      </c>
      <c r="D1436">
        <v>67459000</v>
      </c>
      <c r="E1436" t="s">
        <v>7897</v>
      </c>
      <c r="F1436">
        <v>125.5</v>
      </c>
      <c r="G1436" s="12">
        <v>456000</v>
      </c>
      <c r="H1436">
        <v>541155.37848605576</v>
      </c>
      <c r="I1436">
        <v>3633.4661354581672</v>
      </c>
    </row>
    <row r="1437" spans="1:9">
      <c r="A1437" t="s">
        <v>1580</v>
      </c>
      <c r="B1437" t="s">
        <v>18</v>
      </c>
      <c r="C1437">
        <v>508000</v>
      </c>
      <c r="D1437">
        <v>88000</v>
      </c>
      <c r="E1437" t="s">
        <v>7896</v>
      </c>
      <c r="F1437">
        <v>2.5</v>
      </c>
      <c r="G1437" s="12">
        <v>420000</v>
      </c>
      <c r="H1437">
        <v>203200</v>
      </c>
      <c r="I1437">
        <v>168000</v>
      </c>
    </row>
    <row r="1438" spans="1:9">
      <c r="A1438" t="s">
        <v>1509</v>
      </c>
      <c r="B1438" t="s">
        <v>18</v>
      </c>
      <c r="C1438">
        <v>5000000</v>
      </c>
      <c r="D1438">
        <v>3601000</v>
      </c>
      <c r="E1438" t="s">
        <v>7896</v>
      </c>
      <c r="F1438">
        <v>2.5</v>
      </c>
      <c r="G1438" s="12">
        <v>1399000</v>
      </c>
      <c r="H1438">
        <v>2000000</v>
      </c>
      <c r="I1438">
        <v>559600</v>
      </c>
    </row>
    <row r="1439" spans="1:9">
      <c r="A1439" t="s">
        <v>1526</v>
      </c>
      <c r="B1439" t="s">
        <v>18</v>
      </c>
      <c r="C1439">
        <v>245000</v>
      </c>
      <c r="D1439">
        <v>264000</v>
      </c>
      <c r="E1439" t="s">
        <v>7896</v>
      </c>
      <c r="F1439">
        <v>2.5</v>
      </c>
      <c r="G1439" s="12">
        <v>-19000</v>
      </c>
      <c r="H1439">
        <v>98000</v>
      </c>
      <c r="I1439">
        <v>-7600</v>
      </c>
    </row>
    <row r="1440" spans="1:9">
      <c r="A1440" t="s">
        <v>1532</v>
      </c>
      <c r="B1440" t="s">
        <v>18</v>
      </c>
      <c r="C1440">
        <v>5000</v>
      </c>
      <c r="D1440">
        <v>4000</v>
      </c>
      <c r="E1440" t="s">
        <v>7896</v>
      </c>
      <c r="F1440">
        <v>2.5</v>
      </c>
      <c r="G1440" s="12">
        <v>1000</v>
      </c>
      <c r="H1440">
        <v>2000</v>
      </c>
      <c r="I1440">
        <v>400</v>
      </c>
    </row>
    <row r="1441" spans="1:9">
      <c r="A1441" t="s">
        <v>1519</v>
      </c>
      <c r="B1441" t="s">
        <v>18</v>
      </c>
      <c r="C1441">
        <v>808000</v>
      </c>
      <c r="D1441">
        <v>493000</v>
      </c>
      <c r="E1441" t="s">
        <v>7896</v>
      </c>
      <c r="F1441">
        <v>2.5</v>
      </c>
      <c r="G1441" s="12">
        <v>315000</v>
      </c>
      <c r="H1441">
        <v>323200</v>
      </c>
      <c r="I1441">
        <v>126000</v>
      </c>
    </row>
    <row r="1442" spans="1:9">
      <c r="A1442" t="s">
        <v>1510</v>
      </c>
      <c r="B1442" t="s">
        <v>18</v>
      </c>
      <c r="C1442">
        <v>17000</v>
      </c>
      <c r="D1442">
        <v>17000</v>
      </c>
      <c r="E1442" t="s">
        <v>7896</v>
      </c>
      <c r="F1442">
        <v>2.5</v>
      </c>
      <c r="G1442" s="12">
        <v>0</v>
      </c>
      <c r="H1442">
        <v>6800</v>
      </c>
      <c r="I1442">
        <v>0</v>
      </c>
    </row>
    <row r="1443" spans="1:9">
      <c r="A1443" t="s">
        <v>1532</v>
      </c>
      <c r="B1443" t="s">
        <v>18</v>
      </c>
      <c r="C1443">
        <v>191000</v>
      </c>
      <c r="D1443">
        <v>30000</v>
      </c>
      <c r="E1443" t="s">
        <v>7896</v>
      </c>
      <c r="F1443">
        <v>2.5</v>
      </c>
      <c r="G1443" s="12">
        <v>161000</v>
      </c>
      <c r="H1443">
        <v>76400</v>
      </c>
      <c r="I1443">
        <v>64400</v>
      </c>
    </row>
    <row r="1444" spans="1:9">
      <c r="A1444" t="s">
        <v>1558</v>
      </c>
      <c r="B1444" t="s">
        <v>18</v>
      </c>
      <c r="C1444">
        <v>2213000</v>
      </c>
      <c r="D1444">
        <v>827000</v>
      </c>
      <c r="E1444" t="s">
        <v>7896</v>
      </c>
      <c r="F1444">
        <v>2.5</v>
      </c>
      <c r="G1444" s="12">
        <v>1386000</v>
      </c>
      <c r="H1444">
        <v>885200</v>
      </c>
      <c r="I1444">
        <v>554400</v>
      </c>
    </row>
    <row r="1445" spans="1:9">
      <c r="A1445" t="s">
        <v>1580</v>
      </c>
      <c r="B1445" t="s">
        <v>18</v>
      </c>
      <c r="C1445">
        <v>19783000</v>
      </c>
      <c r="D1445">
        <v>19384000</v>
      </c>
      <c r="E1445" t="s">
        <v>7896</v>
      </c>
      <c r="F1445">
        <v>2.5</v>
      </c>
      <c r="G1445" s="12">
        <v>399000</v>
      </c>
      <c r="H1445">
        <v>7913200</v>
      </c>
      <c r="I1445">
        <v>159600</v>
      </c>
    </row>
    <row r="1446" spans="1:9">
      <c r="A1446" t="s">
        <v>1524</v>
      </c>
      <c r="B1446" t="s">
        <v>18</v>
      </c>
      <c r="C1446">
        <v>28613000</v>
      </c>
      <c r="D1446">
        <v>28635000</v>
      </c>
      <c r="E1446" t="s">
        <v>7896</v>
      </c>
      <c r="F1446">
        <v>2.5</v>
      </c>
      <c r="G1446" s="12">
        <v>-22000</v>
      </c>
      <c r="H1446">
        <v>11445200</v>
      </c>
      <c r="I1446">
        <v>-8800</v>
      </c>
    </row>
    <row r="1447" spans="1:9">
      <c r="A1447" t="s">
        <v>1820</v>
      </c>
      <c r="B1447" t="s">
        <v>22</v>
      </c>
      <c r="C1447">
        <v>7947000</v>
      </c>
      <c r="D1447">
        <v>9887000</v>
      </c>
      <c r="E1447" t="s">
        <v>7896</v>
      </c>
      <c r="F1447">
        <v>13</v>
      </c>
      <c r="G1447" s="12">
        <v>-1940000</v>
      </c>
      <c r="H1447">
        <v>611307.69230769225</v>
      </c>
      <c r="I1447">
        <v>-149230.76923076922</v>
      </c>
    </row>
    <row r="1448" spans="1:9">
      <c r="A1448" t="s">
        <v>1516</v>
      </c>
      <c r="B1448" t="s">
        <v>18</v>
      </c>
      <c r="C1448">
        <v>593000</v>
      </c>
      <c r="D1448">
        <v>578000</v>
      </c>
      <c r="E1448" t="s">
        <v>7896</v>
      </c>
      <c r="F1448">
        <v>2.5</v>
      </c>
      <c r="G1448" s="12">
        <v>15000</v>
      </c>
      <c r="H1448">
        <v>237200</v>
      </c>
      <c r="I1448">
        <v>6000</v>
      </c>
    </row>
    <row r="1449" spans="1:9">
      <c r="A1449" t="s">
        <v>1533</v>
      </c>
      <c r="B1449" t="s">
        <v>18</v>
      </c>
      <c r="C1449">
        <v>60000</v>
      </c>
      <c r="D1449">
        <v>4000</v>
      </c>
      <c r="E1449" t="s">
        <v>7896</v>
      </c>
      <c r="F1449">
        <v>2.5</v>
      </c>
      <c r="G1449" s="12">
        <v>56000</v>
      </c>
      <c r="H1449">
        <v>24000</v>
      </c>
      <c r="I1449">
        <v>22400</v>
      </c>
    </row>
    <row r="1450" spans="1:9">
      <c r="A1450" t="s">
        <v>1509</v>
      </c>
      <c r="B1450" t="s">
        <v>18</v>
      </c>
      <c r="C1450">
        <v>35294000</v>
      </c>
      <c r="D1450">
        <v>20817000</v>
      </c>
      <c r="E1450" t="s">
        <v>7896</v>
      </c>
      <c r="F1450">
        <v>2.5</v>
      </c>
      <c r="G1450" s="12">
        <v>14477000</v>
      </c>
      <c r="H1450">
        <v>14117600</v>
      </c>
      <c r="I1450">
        <v>5790800</v>
      </c>
    </row>
    <row r="1451" spans="1:9">
      <c r="A1451" t="s">
        <v>1525</v>
      </c>
      <c r="B1451" t="s">
        <v>18</v>
      </c>
      <c r="C1451">
        <v>2740400</v>
      </c>
      <c r="D1451">
        <v>3298191</v>
      </c>
      <c r="E1451" t="s">
        <v>7896</v>
      </c>
      <c r="F1451">
        <v>2.5</v>
      </c>
      <c r="G1451" s="12">
        <v>-557791</v>
      </c>
      <c r="H1451">
        <v>1096160</v>
      </c>
      <c r="I1451">
        <v>-223116.4</v>
      </c>
    </row>
    <row r="1452" spans="1:9">
      <c r="A1452" t="s">
        <v>1532</v>
      </c>
      <c r="B1452" t="s">
        <v>18</v>
      </c>
      <c r="C1452">
        <v>2674000</v>
      </c>
      <c r="D1452">
        <v>820000</v>
      </c>
      <c r="E1452" t="s">
        <v>7896</v>
      </c>
      <c r="F1452">
        <v>2.5</v>
      </c>
      <c r="G1452" s="12">
        <v>1854000</v>
      </c>
      <c r="H1452">
        <v>1069600</v>
      </c>
      <c r="I1452">
        <v>741600</v>
      </c>
    </row>
    <row r="1453" spans="1:9">
      <c r="A1453" t="s">
        <v>1801</v>
      </c>
      <c r="B1453" t="s">
        <v>18</v>
      </c>
      <c r="C1453">
        <v>3780000</v>
      </c>
      <c r="D1453">
        <v>7491000</v>
      </c>
      <c r="E1453" t="s">
        <v>7896</v>
      </c>
      <c r="F1453">
        <v>2.5</v>
      </c>
      <c r="G1453" s="12">
        <v>-3711000</v>
      </c>
      <c r="H1453">
        <v>1512000</v>
      </c>
      <c r="I1453">
        <v>-1484400</v>
      </c>
    </row>
    <row r="1454" spans="1:9">
      <c r="A1454" t="s">
        <v>1532</v>
      </c>
      <c r="B1454" t="s">
        <v>18</v>
      </c>
      <c r="C1454">
        <v>31156000</v>
      </c>
      <c r="D1454">
        <v>29506000</v>
      </c>
      <c r="E1454" t="s">
        <v>7896</v>
      </c>
      <c r="F1454">
        <v>2.5</v>
      </c>
      <c r="G1454" s="12">
        <v>1650000</v>
      </c>
      <c r="H1454">
        <v>12462400</v>
      </c>
      <c r="I1454">
        <v>660000</v>
      </c>
    </row>
    <row r="1455" spans="1:9">
      <c r="A1455" t="s">
        <v>1524</v>
      </c>
      <c r="B1455" t="s">
        <v>18</v>
      </c>
      <c r="C1455">
        <v>2767000</v>
      </c>
      <c r="D1455">
        <v>2711000</v>
      </c>
      <c r="E1455" t="s">
        <v>7896</v>
      </c>
      <c r="F1455">
        <v>2.5</v>
      </c>
      <c r="G1455" s="12">
        <v>56000</v>
      </c>
      <c r="H1455">
        <v>1106800</v>
      </c>
      <c r="I1455">
        <v>22400</v>
      </c>
    </row>
    <row r="1456" spans="1:9">
      <c r="A1456" t="s">
        <v>1526</v>
      </c>
      <c r="B1456" t="s">
        <v>18</v>
      </c>
      <c r="C1456">
        <v>80000</v>
      </c>
      <c r="D1456">
        <v>80000</v>
      </c>
      <c r="E1456" t="s">
        <v>7896</v>
      </c>
      <c r="F1456">
        <v>2.5</v>
      </c>
      <c r="G1456" s="12">
        <v>0</v>
      </c>
      <c r="H1456">
        <v>32000</v>
      </c>
      <c r="I1456">
        <v>0</v>
      </c>
    </row>
    <row r="1457" spans="1:9">
      <c r="A1457" t="s">
        <v>1524</v>
      </c>
      <c r="B1457" t="s">
        <v>18</v>
      </c>
      <c r="C1457">
        <v>235000</v>
      </c>
      <c r="D1457">
        <v>205000</v>
      </c>
      <c r="E1457" t="s">
        <v>7896</v>
      </c>
      <c r="F1457">
        <v>2.5</v>
      </c>
      <c r="G1457" s="12">
        <v>30000</v>
      </c>
      <c r="H1457">
        <v>94000</v>
      </c>
      <c r="I1457">
        <v>12000</v>
      </c>
    </row>
    <row r="1458" spans="1:9">
      <c r="A1458" t="s">
        <v>1524</v>
      </c>
      <c r="B1458" t="s">
        <v>18</v>
      </c>
      <c r="C1458">
        <v>836000</v>
      </c>
      <c r="D1458">
        <v>888000</v>
      </c>
      <c r="E1458" t="s">
        <v>7896</v>
      </c>
      <c r="F1458">
        <v>2.5</v>
      </c>
      <c r="G1458" s="12">
        <v>-52000</v>
      </c>
      <c r="H1458">
        <v>334400</v>
      </c>
      <c r="I1458">
        <v>-20800</v>
      </c>
    </row>
    <row r="1459" spans="1:9">
      <c r="A1459" t="s">
        <v>1524</v>
      </c>
      <c r="B1459" t="s">
        <v>18</v>
      </c>
      <c r="C1459">
        <v>208000</v>
      </c>
      <c r="D1459">
        <v>95000</v>
      </c>
      <c r="E1459" t="s">
        <v>7896</v>
      </c>
      <c r="F1459">
        <v>2.5</v>
      </c>
      <c r="G1459" s="12">
        <v>113000</v>
      </c>
      <c r="H1459">
        <v>83200</v>
      </c>
      <c r="I1459">
        <v>45200</v>
      </c>
    </row>
    <row r="1460" spans="1:9">
      <c r="A1460" t="s">
        <v>1532</v>
      </c>
      <c r="B1460" t="s">
        <v>18</v>
      </c>
      <c r="C1460">
        <v>2192000</v>
      </c>
      <c r="D1460">
        <v>1834000</v>
      </c>
      <c r="E1460" t="s">
        <v>7896</v>
      </c>
      <c r="F1460">
        <v>2.5</v>
      </c>
      <c r="G1460" s="12">
        <v>358000</v>
      </c>
      <c r="H1460">
        <v>876800</v>
      </c>
      <c r="I1460">
        <v>143200</v>
      </c>
    </row>
    <row r="1461" spans="1:9">
      <c r="A1461" t="s">
        <v>1532</v>
      </c>
      <c r="B1461" t="s">
        <v>18</v>
      </c>
      <c r="C1461">
        <v>62000</v>
      </c>
      <c r="D1461">
        <v>57000</v>
      </c>
      <c r="E1461" t="s">
        <v>7896</v>
      </c>
      <c r="F1461">
        <v>2.5</v>
      </c>
      <c r="G1461" s="12">
        <v>5000</v>
      </c>
      <c r="H1461">
        <v>24800</v>
      </c>
      <c r="I1461">
        <v>2000</v>
      </c>
    </row>
    <row r="1462" spans="1:9">
      <c r="A1462" t="s">
        <v>1516</v>
      </c>
      <c r="B1462" t="s">
        <v>18</v>
      </c>
      <c r="C1462">
        <v>5604000</v>
      </c>
      <c r="D1462">
        <v>17206000</v>
      </c>
      <c r="E1462" t="s">
        <v>7896</v>
      </c>
      <c r="F1462">
        <v>2.5</v>
      </c>
      <c r="G1462" s="12">
        <v>-11602000</v>
      </c>
      <c r="H1462">
        <v>2241600</v>
      </c>
      <c r="I1462">
        <v>-4640800</v>
      </c>
    </row>
    <row r="1463" spans="1:9">
      <c r="A1463" t="s">
        <v>1580</v>
      </c>
      <c r="B1463" t="s">
        <v>18</v>
      </c>
      <c r="C1463">
        <v>663000</v>
      </c>
      <c r="D1463">
        <v>663000</v>
      </c>
      <c r="E1463" t="s">
        <v>7896</v>
      </c>
      <c r="F1463">
        <v>2.5</v>
      </c>
      <c r="G1463" s="12">
        <v>0</v>
      </c>
      <c r="H1463">
        <v>265200</v>
      </c>
      <c r="I1463">
        <v>0</v>
      </c>
    </row>
    <row r="1464" spans="1:9">
      <c r="A1464" t="s">
        <v>1559</v>
      </c>
      <c r="B1464" t="s">
        <v>77</v>
      </c>
      <c r="C1464">
        <v>10753000</v>
      </c>
      <c r="D1464">
        <v>10174000</v>
      </c>
      <c r="E1464" t="s">
        <v>7896</v>
      </c>
      <c r="F1464">
        <v>8</v>
      </c>
      <c r="G1464" s="12">
        <v>579000</v>
      </c>
      <c r="H1464">
        <v>1344125</v>
      </c>
      <c r="I1464">
        <v>72375</v>
      </c>
    </row>
    <row r="1465" spans="1:9">
      <c r="A1465" t="s">
        <v>1524</v>
      </c>
      <c r="B1465" t="s">
        <v>18</v>
      </c>
      <c r="C1465">
        <v>260000</v>
      </c>
      <c r="D1465">
        <v>288000</v>
      </c>
      <c r="E1465" t="s">
        <v>7896</v>
      </c>
      <c r="F1465">
        <v>2.5</v>
      </c>
      <c r="G1465" s="12">
        <v>-28000</v>
      </c>
      <c r="H1465">
        <v>104000</v>
      </c>
      <c r="I1465">
        <v>-11200</v>
      </c>
    </row>
    <row r="1466" spans="1:9">
      <c r="A1466" t="s">
        <v>1512</v>
      </c>
      <c r="B1466" t="s">
        <v>22</v>
      </c>
      <c r="C1466">
        <v>1537000</v>
      </c>
      <c r="D1466">
        <v>1535000</v>
      </c>
      <c r="E1466" t="s">
        <v>7896</v>
      </c>
      <c r="F1466">
        <v>13</v>
      </c>
      <c r="G1466" s="12">
        <v>2000</v>
      </c>
      <c r="H1466">
        <v>118230.76923076923</v>
      </c>
      <c r="I1466">
        <v>153.84615384615384</v>
      </c>
    </row>
    <row r="1467" spans="1:9">
      <c r="A1467" t="s">
        <v>1619</v>
      </c>
      <c r="B1467" t="s">
        <v>18</v>
      </c>
      <c r="C1467">
        <v>2500000</v>
      </c>
      <c r="D1467">
        <v>2500000</v>
      </c>
      <c r="E1467" t="s">
        <v>7896</v>
      </c>
      <c r="F1467">
        <v>2.5</v>
      </c>
      <c r="G1467" s="12">
        <v>0</v>
      </c>
      <c r="H1467">
        <v>1000000</v>
      </c>
      <c r="I1467">
        <v>0</v>
      </c>
    </row>
    <row r="1468" spans="1:9">
      <c r="A1468" t="s">
        <v>1516</v>
      </c>
      <c r="B1468" t="s">
        <v>18</v>
      </c>
      <c r="C1468">
        <v>277000</v>
      </c>
      <c r="D1468">
        <v>21000</v>
      </c>
      <c r="E1468" t="s">
        <v>7896</v>
      </c>
      <c r="F1468">
        <v>2.5</v>
      </c>
      <c r="G1468" s="12">
        <v>256000</v>
      </c>
      <c r="H1468">
        <v>110800</v>
      </c>
      <c r="I1468">
        <v>102400</v>
      </c>
    </row>
    <row r="1469" spans="1:9">
      <c r="A1469" t="s">
        <v>1558</v>
      </c>
      <c r="B1469" t="s">
        <v>18</v>
      </c>
      <c r="C1469">
        <v>2299000</v>
      </c>
      <c r="D1469">
        <v>2297000</v>
      </c>
      <c r="E1469" t="s">
        <v>7896</v>
      </c>
      <c r="F1469">
        <v>2.5</v>
      </c>
      <c r="G1469" s="12">
        <v>2000</v>
      </c>
      <c r="H1469">
        <v>919600</v>
      </c>
      <c r="I1469">
        <v>800</v>
      </c>
    </row>
    <row r="1470" spans="1:9">
      <c r="A1470" t="s">
        <v>1820</v>
      </c>
      <c r="B1470" t="s">
        <v>18</v>
      </c>
      <c r="C1470">
        <v>6122000</v>
      </c>
      <c r="D1470">
        <v>5796000</v>
      </c>
      <c r="E1470" t="s">
        <v>7896</v>
      </c>
      <c r="F1470">
        <v>2.5</v>
      </c>
      <c r="G1470" s="12">
        <v>326000</v>
      </c>
      <c r="H1470">
        <v>2448800</v>
      </c>
      <c r="I1470">
        <v>130400</v>
      </c>
    </row>
    <row r="1471" spans="1:9">
      <c r="A1471" t="s">
        <v>1558</v>
      </c>
      <c r="B1471" t="s">
        <v>18</v>
      </c>
      <c r="C1471">
        <v>1234000</v>
      </c>
      <c r="D1471">
        <v>1360000</v>
      </c>
      <c r="E1471" t="s">
        <v>7896</v>
      </c>
      <c r="F1471">
        <v>2.5</v>
      </c>
      <c r="G1471" s="12">
        <v>-126000</v>
      </c>
      <c r="H1471">
        <v>493600</v>
      </c>
      <c r="I1471">
        <v>-50400</v>
      </c>
    </row>
    <row r="1472" spans="1:9">
      <c r="A1472" t="s">
        <v>1534</v>
      </c>
      <c r="B1472" t="s">
        <v>18</v>
      </c>
      <c r="C1472">
        <v>206445000</v>
      </c>
      <c r="D1472">
        <v>177683000</v>
      </c>
      <c r="E1472" t="s">
        <v>7896</v>
      </c>
      <c r="F1472">
        <v>2.5</v>
      </c>
      <c r="G1472" s="12">
        <v>28762000</v>
      </c>
      <c r="H1472">
        <v>82578000</v>
      </c>
      <c r="I1472">
        <v>11504800</v>
      </c>
    </row>
    <row r="1473" spans="1:9">
      <c r="A1473" t="s">
        <v>1532</v>
      </c>
      <c r="B1473" t="s">
        <v>18</v>
      </c>
      <c r="C1473">
        <v>800000</v>
      </c>
      <c r="D1473">
        <v>702000</v>
      </c>
      <c r="E1473" t="s">
        <v>7896</v>
      </c>
      <c r="F1473">
        <v>2.5</v>
      </c>
      <c r="G1473" s="12">
        <v>98000</v>
      </c>
      <c r="H1473">
        <v>320000</v>
      </c>
      <c r="I1473">
        <v>39200</v>
      </c>
    </row>
    <row r="1474" spans="1:9">
      <c r="A1474" t="s">
        <v>1558</v>
      </c>
      <c r="B1474" t="s">
        <v>18</v>
      </c>
      <c r="C1474">
        <v>1060000</v>
      </c>
      <c r="D1474">
        <v>1195000</v>
      </c>
      <c r="E1474" t="s">
        <v>7896</v>
      </c>
      <c r="F1474">
        <v>2.5</v>
      </c>
      <c r="G1474" s="12">
        <v>-135000</v>
      </c>
      <c r="H1474">
        <v>424000</v>
      </c>
      <c r="I1474">
        <v>-54000</v>
      </c>
    </row>
    <row r="1475" spans="1:9">
      <c r="A1475" t="s">
        <v>1558</v>
      </c>
      <c r="B1475" t="s">
        <v>18</v>
      </c>
      <c r="C1475">
        <v>1390000</v>
      </c>
      <c r="D1475">
        <v>1411000</v>
      </c>
      <c r="E1475" t="s">
        <v>7896</v>
      </c>
      <c r="F1475">
        <v>2.5</v>
      </c>
      <c r="G1475" s="12">
        <v>-21000</v>
      </c>
      <c r="H1475">
        <v>556000</v>
      </c>
      <c r="I1475">
        <v>-8400</v>
      </c>
    </row>
    <row r="1476" spans="1:9">
      <c r="A1476" t="s">
        <v>1504</v>
      </c>
      <c r="B1476" t="s">
        <v>18</v>
      </c>
      <c r="C1476">
        <v>3579000</v>
      </c>
      <c r="D1476">
        <v>3579000</v>
      </c>
      <c r="E1476" t="s">
        <v>7896</v>
      </c>
      <c r="F1476">
        <v>2.5</v>
      </c>
      <c r="G1476" s="12">
        <v>0</v>
      </c>
      <c r="H1476">
        <v>1431600</v>
      </c>
      <c r="I1476">
        <v>0</v>
      </c>
    </row>
    <row r="1477" spans="1:9">
      <c r="A1477" t="s">
        <v>1583</v>
      </c>
      <c r="B1477" t="s">
        <v>18</v>
      </c>
      <c r="C1477">
        <v>78000</v>
      </c>
      <c r="D1477">
        <v>104000</v>
      </c>
      <c r="E1477" t="s">
        <v>7896</v>
      </c>
      <c r="F1477">
        <v>2.5</v>
      </c>
      <c r="G1477" s="12">
        <v>-26000</v>
      </c>
      <c r="H1477">
        <v>31200</v>
      </c>
      <c r="I1477">
        <v>-10400</v>
      </c>
    </row>
    <row r="1478" spans="1:9">
      <c r="A1478" t="s">
        <v>1565</v>
      </c>
      <c r="B1478" t="s">
        <v>18</v>
      </c>
      <c r="C1478">
        <v>2037000</v>
      </c>
      <c r="D1478">
        <v>3738000</v>
      </c>
      <c r="E1478" t="s">
        <v>7896</v>
      </c>
      <c r="F1478">
        <v>2.5</v>
      </c>
      <c r="G1478" s="12">
        <v>-1701000</v>
      </c>
      <c r="H1478">
        <v>814800</v>
      </c>
      <c r="I1478">
        <v>-680400</v>
      </c>
    </row>
    <row r="1479" spans="1:9">
      <c r="A1479" t="s">
        <v>1662</v>
      </c>
      <c r="B1479" t="s">
        <v>18</v>
      </c>
      <c r="C1479">
        <v>20993000</v>
      </c>
      <c r="D1479">
        <v>20993000</v>
      </c>
      <c r="E1479" t="s">
        <v>7896</v>
      </c>
      <c r="F1479">
        <v>2.5</v>
      </c>
      <c r="G1479" s="12">
        <v>0</v>
      </c>
      <c r="H1479">
        <v>8397200</v>
      </c>
      <c r="I1479">
        <v>0</v>
      </c>
    </row>
    <row r="1480" spans="1:9">
      <c r="A1480" t="s">
        <v>1646</v>
      </c>
      <c r="B1480" t="s">
        <v>18</v>
      </c>
      <c r="C1480">
        <v>496000</v>
      </c>
      <c r="D1480">
        <v>803000</v>
      </c>
      <c r="E1480" t="s">
        <v>7896</v>
      </c>
      <c r="F1480">
        <v>2.5</v>
      </c>
      <c r="G1480" s="12">
        <v>-307000</v>
      </c>
      <c r="H1480">
        <v>198400</v>
      </c>
      <c r="I1480">
        <v>-122800</v>
      </c>
    </row>
    <row r="1481" spans="1:9">
      <c r="A1481" t="s">
        <v>1868</v>
      </c>
      <c r="B1481" t="s">
        <v>77</v>
      </c>
      <c r="C1481">
        <v>17897000</v>
      </c>
      <c r="D1481">
        <v>18335000</v>
      </c>
      <c r="E1481" t="s">
        <v>7896</v>
      </c>
      <c r="F1481">
        <v>8</v>
      </c>
      <c r="G1481" s="12">
        <v>-438000</v>
      </c>
      <c r="H1481">
        <v>2237125</v>
      </c>
      <c r="I1481">
        <v>-54750</v>
      </c>
    </row>
    <row r="1482" spans="1:9">
      <c r="A1482" t="s">
        <v>1754</v>
      </c>
      <c r="B1482" t="s">
        <v>18</v>
      </c>
      <c r="C1482">
        <v>5899000</v>
      </c>
      <c r="D1482">
        <v>4717000</v>
      </c>
      <c r="E1482" t="s">
        <v>7896</v>
      </c>
      <c r="F1482">
        <v>2.5</v>
      </c>
      <c r="G1482" s="12">
        <v>1182000</v>
      </c>
      <c r="H1482">
        <v>2359600</v>
      </c>
      <c r="I1482">
        <v>472800</v>
      </c>
    </row>
    <row r="1483" spans="1:9">
      <c r="A1483" t="s">
        <v>1667</v>
      </c>
      <c r="B1483" t="s">
        <v>18</v>
      </c>
      <c r="C1483">
        <v>60000</v>
      </c>
      <c r="D1483">
        <v>8000</v>
      </c>
      <c r="E1483" t="s">
        <v>7896</v>
      </c>
      <c r="F1483">
        <v>2.5</v>
      </c>
      <c r="G1483" s="12">
        <v>52000</v>
      </c>
      <c r="H1483">
        <v>24000</v>
      </c>
      <c r="I1483">
        <v>20800</v>
      </c>
    </row>
    <row r="1484" spans="1:9">
      <c r="A1484" t="s">
        <v>1532</v>
      </c>
      <c r="B1484" t="s">
        <v>18</v>
      </c>
      <c r="C1484">
        <v>19000</v>
      </c>
      <c r="D1484">
        <v>19000</v>
      </c>
      <c r="E1484" t="s">
        <v>7896</v>
      </c>
      <c r="F1484">
        <v>2.5</v>
      </c>
      <c r="G1484" s="12">
        <v>0</v>
      </c>
      <c r="H1484">
        <v>7600</v>
      </c>
      <c r="I1484">
        <v>0</v>
      </c>
    </row>
    <row r="1485" spans="1:9">
      <c r="A1485" t="s">
        <v>1533</v>
      </c>
      <c r="B1485" t="s">
        <v>18</v>
      </c>
      <c r="C1485">
        <v>256477000</v>
      </c>
      <c r="D1485">
        <v>297625000</v>
      </c>
      <c r="E1485" t="s">
        <v>7896</v>
      </c>
      <c r="F1485">
        <v>2.5</v>
      </c>
      <c r="G1485" s="12">
        <v>-41148000</v>
      </c>
      <c r="H1485">
        <v>102590800</v>
      </c>
      <c r="I1485">
        <v>-16459200</v>
      </c>
    </row>
    <row r="1486" spans="1:9">
      <c r="A1486" t="s">
        <v>1532</v>
      </c>
      <c r="B1486" t="s">
        <v>18</v>
      </c>
      <c r="C1486">
        <v>40033000</v>
      </c>
      <c r="D1486">
        <v>40380000</v>
      </c>
      <c r="E1486" t="s">
        <v>7896</v>
      </c>
      <c r="F1486">
        <v>2.5</v>
      </c>
      <c r="G1486" s="12">
        <v>-347000</v>
      </c>
      <c r="H1486">
        <v>16013200</v>
      </c>
      <c r="I1486">
        <v>-138800</v>
      </c>
    </row>
    <row r="1487" spans="1:9">
      <c r="A1487" t="s">
        <v>1629</v>
      </c>
      <c r="B1487" t="s">
        <v>18</v>
      </c>
      <c r="C1487">
        <v>1147209000</v>
      </c>
      <c r="D1487">
        <v>850870000</v>
      </c>
      <c r="E1487" t="s">
        <v>7896</v>
      </c>
      <c r="F1487">
        <v>2.5</v>
      </c>
      <c r="G1487" s="12">
        <v>296339000</v>
      </c>
      <c r="H1487">
        <v>458883600</v>
      </c>
      <c r="I1487">
        <v>118535600</v>
      </c>
    </row>
    <row r="1488" spans="1:9">
      <c r="A1488" t="s">
        <v>1517</v>
      </c>
      <c r="B1488" t="s">
        <v>18</v>
      </c>
      <c r="C1488">
        <v>985000</v>
      </c>
      <c r="D1488">
        <v>934000</v>
      </c>
      <c r="E1488" t="s">
        <v>7896</v>
      </c>
      <c r="F1488">
        <v>2.5</v>
      </c>
      <c r="G1488" s="12">
        <v>51000</v>
      </c>
      <c r="H1488">
        <v>394000</v>
      </c>
      <c r="I1488">
        <v>20400</v>
      </c>
    </row>
    <row r="1489" spans="1:9">
      <c r="A1489" t="s">
        <v>1565</v>
      </c>
      <c r="B1489" t="s">
        <v>18</v>
      </c>
      <c r="C1489">
        <v>7000000</v>
      </c>
      <c r="D1489">
        <v>7015000</v>
      </c>
      <c r="E1489" t="s">
        <v>7896</v>
      </c>
      <c r="F1489">
        <v>2.5</v>
      </c>
      <c r="G1489" s="12">
        <v>-15000</v>
      </c>
      <c r="H1489">
        <v>2800000</v>
      </c>
      <c r="I1489">
        <v>-6000</v>
      </c>
    </row>
    <row r="1490" spans="1:9">
      <c r="A1490" t="s">
        <v>1517</v>
      </c>
      <c r="B1490" t="s">
        <v>18</v>
      </c>
      <c r="C1490">
        <v>2182000</v>
      </c>
      <c r="D1490">
        <v>2354000</v>
      </c>
      <c r="E1490" t="s">
        <v>7896</v>
      </c>
      <c r="F1490">
        <v>2.5</v>
      </c>
      <c r="G1490" s="12">
        <v>-172000</v>
      </c>
      <c r="H1490">
        <v>872800</v>
      </c>
      <c r="I1490">
        <v>-68800</v>
      </c>
    </row>
    <row r="1491" spans="1:9">
      <c r="A1491" t="s">
        <v>1517</v>
      </c>
      <c r="B1491" t="s">
        <v>18</v>
      </c>
      <c r="C1491">
        <v>216592000</v>
      </c>
      <c r="D1491">
        <v>220023000</v>
      </c>
      <c r="E1491" t="s">
        <v>7896</v>
      </c>
      <c r="F1491">
        <v>2.5</v>
      </c>
      <c r="G1491" s="12">
        <v>-3431000</v>
      </c>
      <c r="H1491">
        <v>86636800</v>
      </c>
      <c r="I1491">
        <v>-1372400</v>
      </c>
    </row>
    <row r="1492" spans="1:9">
      <c r="A1492" t="s">
        <v>1649</v>
      </c>
      <c r="B1492" t="s">
        <v>18</v>
      </c>
      <c r="C1492">
        <v>1844000</v>
      </c>
      <c r="D1492">
        <v>1502000</v>
      </c>
      <c r="E1492" t="s">
        <v>7896</v>
      </c>
      <c r="F1492">
        <v>2.5</v>
      </c>
      <c r="G1492" s="12">
        <v>342000</v>
      </c>
      <c r="H1492">
        <v>737600</v>
      </c>
      <c r="I1492">
        <v>136800</v>
      </c>
    </row>
    <row r="1493" spans="1:9">
      <c r="A1493" t="s">
        <v>1524</v>
      </c>
      <c r="B1493" t="s">
        <v>18</v>
      </c>
      <c r="C1493">
        <v>4775000</v>
      </c>
      <c r="D1493">
        <v>4708000</v>
      </c>
      <c r="E1493" t="s">
        <v>7896</v>
      </c>
      <c r="F1493">
        <v>2.5</v>
      </c>
      <c r="G1493" s="12">
        <v>67000</v>
      </c>
      <c r="H1493">
        <v>1910000</v>
      </c>
      <c r="I1493">
        <v>26800</v>
      </c>
    </row>
    <row r="1494" spans="1:9">
      <c r="A1494" t="s">
        <v>1667</v>
      </c>
      <c r="B1494" t="s">
        <v>18</v>
      </c>
      <c r="C1494">
        <v>33000</v>
      </c>
      <c r="D1494">
        <v>47000</v>
      </c>
      <c r="E1494" t="s">
        <v>7896</v>
      </c>
      <c r="F1494">
        <v>2.5</v>
      </c>
      <c r="G1494" s="12">
        <v>-14000</v>
      </c>
      <c r="H1494">
        <v>13200</v>
      </c>
      <c r="I1494">
        <v>-5600</v>
      </c>
    </row>
    <row r="1495" spans="1:9">
      <c r="A1495" t="s">
        <v>1524</v>
      </c>
      <c r="B1495" t="s">
        <v>18</v>
      </c>
      <c r="C1495">
        <v>8773000</v>
      </c>
      <c r="D1495">
        <v>5991000</v>
      </c>
      <c r="E1495" t="s">
        <v>7896</v>
      </c>
      <c r="F1495">
        <v>2.5</v>
      </c>
      <c r="G1495" s="12">
        <v>2782000</v>
      </c>
      <c r="H1495">
        <v>3509200</v>
      </c>
      <c r="I1495">
        <v>1112800</v>
      </c>
    </row>
    <row r="1496" spans="1:9">
      <c r="A1496" t="s">
        <v>1589</v>
      </c>
      <c r="B1496" t="s">
        <v>18</v>
      </c>
      <c r="C1496">
        <v>805000</v>
      </c>
      <c r="D1496">
        <v>96000</v>
      </c>
      <c r="E1496" t="s">
        <v>7896</v>
      </c>
      <c r="F1496">
        <v>2.5</v>
      </c>
      <c r="G1496" s="12">
        <v>709000</v>
      </c>
      <c r="H1496">
        <v>322000</v>
      </c>
      <c r="I1496">
        <v>283600</v>
      </c>
    </row>
    <row r="1497" spans="1:9">
      <c r="A1497" t="s">
        <v>1558</v>
      </c>
      <c r="B1497" t="s">
        <v>18</v>
      </c>
      <c r="C1497">
        <v>420000</v>
      </c>
      <c r="D1497">
        <v>454000</v>
      </c>
      <c r="E1497" t="s">
        <v>7896</v>
      </c>
      <c r="F1497">
        <v>2.5</v>
      </c>
      <c r="G1497" s="12">
        <v>-34000</v>
      </c>
      <c r="H1497">
        <v>168000</v>
      </c>
      <c r="I1497">
        <v>-13600</v>
      </c>
    </row>
    <row r="1498" spans="1:9">
      <c r="A1498" t="s">
        <v>1504</v>
      </c>
      <c r="B1498" t="s">
        <v>18</v>
      </c>
      <c r="C1498">
        <v>1216000</v>
      </c>
      <c r="D1498">
        <v>1215000</v>
      </c>
      <c r="E1498" t="s">
        <v>7896</v>
      </c>
      <c r="F1498">
        <v>2.5</v>
      </c>
      <c r="G1498" s="12">
        <v>1000</v>
      </c>
      <c r="H1498">
        <v>486400</v>
      </c>
      <c r="I1498">
        <v>400</v>
      </c>
    </row>
    <row r="1499" spans="1:9">
      <c r="A1499" t="s">
        <v>1580</v>
      </c>
      <c r="B1499" t="s">
        <v>18</v>
      </c>
      <c r="C1499">
        <v>681000</v>
      </c>
      <c r="D1499">
        <v>833000</v>
      </c>
      <c r="E1499" t="s">
        <v>7896</v>
      </c>
      <c r="F1499">
        <v>2.5</v>
      </c>
      <c r="G1499" s="12">
        <v>-152000</v>
      </c>
      <c r="H1499">
        <v>272400</v>
      </c>
      <c r="I1499">
        <v>-60800</v>
      </c>
    </row>
    <row r="1500" spans="1:9">
      <c r="A1500" t="s">
        <v>1618</v>
      </c>
      <c r="B1500" t="s">
        <v>18</v>
      </c>
      <c r="C1500">
        <v>134860000</v>
      </c>
      <c r="D1500">
        <v>128879000</v>
      </c>
      <c r="E1500" t="s">
        <v>7896</v>
      </c>
      <c r="F1500">
        <v>2.5</v>
      </c>
      <c r="G1500" s="12">
        <v>5981000</v>
      </c>
      <c r="H1500">
        <v>53944000</v>
      </c>
      <c r="I1500">
        <v>2392400</v>
      </c>
    </row>
    <row r="1501" spans="1:9">
      <c r="A1501" t="s">
        <v>1509</v>
      </c>
      <c r="B1501" t="s">
        <v>18</v>
      </c>
      <c r="C1501">
        <v>2208000</v>
      </c>
      <c r="D1501">
        <v>2586000</v>
      </c>
      <c r="E1501" t="s">
        <v>7896</v>
      </c>
      <c r="F1501">
        <v>2.5</v>
      </c>
      <c r="G1501" s="12">
        <v>-378000</v>
      </c>
      <c r="H1501">
        <v>883200</v>
      </c>
      <c r="I1501">
        <v>-151200</v>
      </c>
    </row>
    <row r="1502" spans="1:9">
      <c r="A1502" t="s">
        <v>1504</v>
      </c>
      <c r="B1502" t="s">
        <v>18</v>
      </c>
      <c r="C1502">
        <v>387000</v>
      </c>
      <c r="D1502">
        <v>410000</v>
      </c>
      <c r="E1502" t="s">
        <v>7896</v>
      </c>
      <c r="F1502">
        <v>2.5</v>
      </c>
      <c r="G1502" s="12">
        <v>-23000</v>
      </c>
      <c r="H1502">
        <v>154800</v>
      </c>
      <c r="I1502">
        <v>-9200</v>
      </c>
    </row>
    <row r="1503" spans="1:9">
      <c r="A1503" t="s">
        <v>1526</v>
      </c>
      <c r="B1503" t="s">
        <v>18</v>
      </c>
      <c r="C1503">
        <v>74000</v>
      </c>
      <c r="D1503">
        <v>55000</v>
      </c>
      <c r="E1503" t="s">
        <v>7896</v>
      </c>
      <c r="F1503">
        <v>2.5</v>
      </c>
      <c r="G1503" s="12">
        <v>19000</v>
      </c>
      <c r="H1503">
        <v>29600</v>
      </c>
      <c r="I1503">
        <v>7600</v>
      </c>
    </row>
    <row r="1504" spans="1:9">
      <c r="A1504" t="s">
        <v>1524</v>
      </c>
      <c r="B1504" t="s">
        <v>23</v>
      </c>
      <c r="C1504">
        <v>64631000</v>
      </c>
      <c r="D1504">
        <v>55875000</v>
      </c>
      <c r="E1504" t="s">
        <v>7897</v>
      </c>
      <c r="F1504">
        <v>75.5</v>
      </c>
      <c r="G1504" s="12">
        <v>8756000</v>
      </c>
      <c r="H1504">
        <v>856039.73509933776</v>
      </c>
      <c r="I1504">
        <v>115973.50993377484</v>
      </c>
    </row>
    <row r="1505" spans="1:9">
      <c r="A1505" t="s">
        <v>1520</v>
      </c>
      <c r="B1505" t="s">
        <v>18</v>
      </c>
      <c r="C1505">
        <v>656000</v>
      </c>
      <c r="D1505">
        <v>676000</v>
      </c>
      <c r="E1505" t="s">
        <v>7896</v>
      </c>
      <c r="F1505">
        <v>2.5</v>
      </c>
      <c r="G1505" s="12">
        <v>-20000</v>
      </c>
      <c r="H1505">
        <v>262400</v>
      </c>
      <c r="I1505">
        <v>-8000</v>
      </c>
    </row>
    <row r="1506" spans="1:9">
      <c r="A1506" t="s">
        <v>1579</v>
      </c>
      <c r="B1506" t="s">
        <v>22</v>
      </c>
      <c r="C1506">
        <v>24601000</v>
      </c>
      <c r="D1506">
        <v>24558000</v>
      </c>
      <c r="E1506" t="s">
        <v>7896</v>
      </c>
      <c r="F1506">
        <v>13</v>
      </c>
      <c r="G1506" s="12">
        <v>43000</v>
      </c>
      <c r="H1506">
        <v>1892384.6153846155</v>
      </c>
      <c r="I1506">
        <v>3307.6923076923076</v>
      </c>
    </row>
    <row r="1507" spans="1:9">
      <c r="A1507" t="s">
        <v>1524</v>
      </c>
      <c r="B1507" t="s">
        <v>22</v>
      </c>
      <c r="C1507">
        <v>63245000</v>
      </c>
      <c r="D1507">
        <v>60782000</v>
      </c>
      <c r="E1507" t="s">
        <v>7896</v>
      </c>
      <c r="F1507">
        <v>13</v>
      </c>
      <c r="G1507" s="12">
        <v>2463000</v>
      </c>
      <c r="H1507">
        <v>4865000</v>
      </c>
      <c r="I1507">
        <v>189461.53846153847</v>
      </c>
    </row>
    <row r="1508" spans="1:9">
      <c r="A1508" t="s">
        <v>1532</v>
      </c>
      <c r="B1508" t="s">
        <v>18</v>
      </c>
      <c r="C1508">
        <v>7163000</v>
      </c>
      <c r="D1508">
        <v>9294000</v>
      </c>
      <c r="E1508" t="s">
        <v>7896</v>
      </c>
      <c r="F1508">
        <v>2.5</v>
      </c>
      <c r="G1508" s="12">
        <v>-2131000</v>
      </c>
      <c r="H1508">
        <v>2865200</v>
      </c>
      <c r="I1508">
        <v>-852400</v>
      </c>
    </row>
    <row r="1509" spans="1:9">
      <c r="A1509" t="s">
        <v>1516</v>
      </c>
      <c r="B1509" t="s">
        <v>18</v>
      </c>
      <c r="C1509">
        <v>909000</v>
      </c>
      <c r="D1509">
        <v>1467000</v>
      </c>
      <c r="E1509" t="s">
        <v>7896</v>
      </c>
      <c r="F1509">
        <v>2.5</v>
      </c>
      <c r="G1509" s="12">
        <v>-558000</v>
      </c>
      <c r="H1509">
        <v>363600</v>
      </c>
      <c r="I1509">
        <v>-223200</v>
      </c>
    </row>
    <row r="1510" spans="1:9">
      <c r="A1510" t="s">
        <v>1558</v>
      </c>
      <c r="B1510" t="s">
        <v>18</v>
      </c>
      <c r="C1510">
        <v>360000</v>
      </c>
      <c r="D1510">
        <v>352000</v>
      </c>
      <c r="E1510" t="s">
        <v>7896</v>
      </c>
      <c r="F1510">
        <v>2.5</v>
      </c>
      <c r="G1510" s="12">
        <v>8000</v>
      </c>
      <c r="H1510">
        <v>144000</v>
      </c>
      <c r="I1510">
        <v>3200</v>
      </c>
    </row>
    <row r="1511" spans="1:9">
      <c r="A1511" t="s">
        <v>1629</v>
      </c>
      <c r="B1511" t="s">
        <v>18</v>
      </c>
      <c r="C1511">
        <v>9194000</v>
      </c>
      <c r="D1511">
        <v>118023000</v>
      </c>
      <c r="E1511" t="s">
        <v>7896</v>
      </c>
      <c r="F1511">
        <v>2.5</v>
      </c>
      <c r="G1511" s="12">
        <v>-108829000</v>
      </c>
      <c r="H1511">
        <v>3677600</v>
      </c>
      <c r="I1511">
        <v>-43531600</v>
      </c>
    </row>
    <row r="1512" spans="1:9">
      <c r="A1512" t="s">
        <v>1754</v>
      </c>
      <c r="B1512" t="s">
        <v>18</v>
      </c>
      <c r="C1512">
        <v>15816000</v>
      </c>
      <c r="D1512">
        <v>13572000</v>
      </c>
      <c r="E1512" t="s">
        <v>7896</v>
      </c>
      <c r="F1512">
        <v>2.5</v>
      </c>
      <c r="G1512" s="12">
        <v>2244000</v>
      </c>
      <c r="H1512">
        <v>6326400</v>
      </c>
      <c r="I1512">
        <v>897600</v>
      </c>
    </row>
    <row r="1513" spans="1:9">
      <c r="A1513" t="s">
        <v>1642</v>
      </c>
      <c r="B1513" t="s">
        <v>18</v>
      </c>
      <c r="C1513">
        <v>2456000</v>
      </c>
      <c r="D1513">
        <v>2281000</v>
      </c>
      <c r="E1513" t="s">
        <v>7896</v>
      </c>
      <c r="F1513">
        <v>2.5</v>
      </c>
      <c r="G1513" s="12">
        <v>175000</v>
      </c>
      <c r="H1513">
        <v>982400</v>
      </c>
      <c r="I1513">
        <v>70000</v>
      </c>
    </row>
    <row r="1514" spans="1:9">
      <c r="A1514" t="s">
        <v>1533</v>
      </c>
      <c r="B1514" t="s">
        <v>18</v>
      </c>
      <c r="C1514">
        <v>2236000</v>
      </c>
      <c r="D1514">
        <v>2213000</v>
      </c>
      <c r="E1514" t="s">
        <v>7896</v>
      </c>
      <c r="F1514">
        <v>2.5</v>
      </c>
      <c r="G1514" s="12">
        <v>23000</v>
      </c>
      <c r="H1514">
        <v>894400</v>
      </c>
      <c r="I1514">
        <v>9200</v>
      </c>
    </row>
    <row r="1515" spans="1:9">
      <c r="A1515" t="s">
        <v>1533</v>
      </c>
      <c r="B1515" t="s">
        <v>18</v>
      </c>
      <c r="C1515">
        <v>868000</v>
      </c>
      <c r="D1515">
        <v>625000</v>
      </c>
      <c r="E1515" t="s">
        <v>7896</v>
      </c>
      <c r="F1515">
        <v>2.5</v>
      </c>
      <c r="G1515" s="12">
        <v>243000</v>
      </c>
      <c r="H1515">
        <v>347200</v>
      </c>
      <c r="I1515">
        <v>97200</v>
      </c>
    </row>
    <row r="1516" spans="1:9">
      <c r="A1516" t="s">
        <v>1628</v>
      </c>
      <c r="B1516" t="s">
        <v>18</v>
      </c>
      <c r="C1516">
        <v>3452000</v>
      </c>
      <c r="D1516">
        <v>3359000</v>
      </c>
      <c r="E1516" t="s">
        <v>7896</v>
      </c>
      <c r="F1516">
        <v>2.5</v>
      </c>
      <c r="G1516" s="12">
        <v>93000</v>
      </c>
      <c r="H1516">
        <v>1380800</v>
      </c>
      <c r="I1516">
        <v>37200</v>
      </c>
    </row>
    <row r="1517" spans="1:9">
      <c r="A1517" t="s">
        <v>1628</v>
      </c>
      <c r="B1517" t="s">
        <v>18</v>
      </c>
      <c r="C1517">
        <v>2517000</v>
      </c>
      <c r="D1517">
        <v>283000</v>
      </c>
      <c r="E1517" t="s">
        <v>7896</v>
      </c>
      <c r="F1517">
        <v>2.5</v>
      </c>
      <c r="G1517" s="12">
        <v>2234000</v>
      </c>
      <c r="H1517">
        <v>1006800</v>
      </c>
      <c r="I1517">
        <v>893600</v>
      </c>
    </row>
    <row r="1518" spans="1:9">
      <c r="A1518" t="s">
        <v>1534</v>
      </c>
      <c r="B1518" t="s">
        <v>18</v>
      </c>
      <c r="C1518">
        <v>3879000</v>
      </c>
      <c r="D1518">
        <v>2602000</v>
      </c>
      <c r="E1518" t="s">
        <v>7896</v>
      </c>
      <c r="F1518">
        <v>2.5</v>
      </c>
      <c r="G1518" s="12">
        <v>1277000</v>
      </c>
      <c r="H1518">
        <v>1551600</v>
      </c>
      <c r="I1518">
        <v>510800</v>
      </c>
    </row>
    <row r="1519" spans="1:9">
      <c r="A1519" t="s">
        <v>1580</v>
      </c>
      <c r="B1519" t="s">
        <v>18</v>
      </c>
      <c r="C1519">
        <v>8489000</v>
      </c>
      <c r="D1519">
        <v>7036000</v>
      </c>
      <c r="E1519" t="s">
        <v>7896</v>
      </c>
      <c r="F1519">
        <v>2.5</v>
      </c>
      <c r="G1519" s="12">
        <v>1453000</v>
      </c>
      <c r="H1519">
        <v>3395600</v>
      </c>
      <c r="I1519">
        <v>581200</v>
      </c>
    </row>
    <row r="1520" spans="1:9">
      <c r="A1520" t="s">
        <v>1576</v>
      </c>
      <c r="B1520" t="s">
        <v>18</v>
      </c>
      <c r="C1520">
        <v>1254000</v>
      </c>
      <c r="D1520">
        <v>1296000</v>
      </c>
      <c r="E1520" t="s">
        <v>7896</v>
      </c>
      <c r="F1520">
        <v>2.5</v>
      </c>
      <c r="G1520" s="12">
        <v>-42000</v>
      </c>
      <c r="H1520">
        <v>501600</v>
      </c>
      <c r="I1520">
        <v>-16800</v>
      </c>
    </row>
    <row r="1521" spans="1:9">
      <c r="A1521" t="s">
        <v>1620</v>
      </c>
      <c r="B1521" t="s">
        <v>18</v>
      </c>
      <c r="C1521">
        <v>174000</v>
      </c>
      <c r="D1521">
        <v>124000</v>
      </c>
      <c r="E1521" t="s">
        <v>7896</v>
      </c>
      <c r="F1521">
        <v>2.5</v>
      </c>
      <c r="G1521" s="12">
        <v>50000</v>
      </c>
      <c r="H1521">
        <v>69600</v>
      </c>
      <c r="I1521">
        <v>20000</v>
      </c>
    </row>
    <row r="1522" spans="1:9">
      <c r="A1522" t="s">
        <v>1820</v>
      </c>
      <c r="B1522" t="s">
        <v>18</v>
      </c>
      <c r="C1522">
        <v>28465000</v>
      </c>
      <c r="D1522">
        <v>19185000</v>
      </c>
      <c r="E1522" t="s">
        <v>7896</v>
      </c>
      <c r="F1522">
        <v>2.5</v>
      </c>
      <c r="G1522" s="12">
        <v>9280000</v>
      </c>
      <c r="H1522">
        <v>11386000</v>
      </c>
      <c r="I1522">
        <v>3712000</v>
      </c>
    </row>
    <row r="1523" spans="1:9">
      <c r="A1523" t="s">
        <v>1526</v>
      </c>
      <c r="B1523" t="s">
        <v>18</v>
      </c>
      <c r="C1523">
        <v>5253000</v>
      </c>
      <c r="D1523">
        <v>5234000</v>
      </c>
      <c r="E1523" t="s">
        <v>7896</v>
      </c>
      <c r="F1523">
        <v>2.5</v>
      </c>
      <c r="G1523" s="12">
        <v>19000</v>
      </c>
      <c r="H1523">
        <v>2101200</v>
      </c>
      <c r="I1523">
        <v>7600</v>
      </c>
    </row>
    <row r="1524" spans="1:9">
      <c r="A1524" t="s">
        <v>1619</v>
      </c>
      <c r="B1524" t="s">
        <v>18</v>
      </c>
      <c r="C1524">
        <v>2750000</v>
      </c>
      <c r="D1524">
        <v>2750000</v>
      </c>
      <c r="E1524" t="s">
        <v>7896</v>
      </c>
      <c r="F1524">
        <v>2.5</v>
      </c>
      <c r="G1524" s="12">
        <v>0</v>
      </c>
      <c r="H1524">
        <v>1100000</v>
      </c>
      <c r="I1524">
        <v>0</v>
      </c>
    </row>
    <row r="1525" spans="1:9">
      <c r="A1525" t="s">
        <v>1533</v>
      </c>
      <c r="B1525" t="s">
        <v>18</v>
      </c>
      <c r="C1525">
        <v>2178000</v>
      </c>
      <c r="D1525">
        <v>1692000</v>
      </c>
      <c r="E1525" t="s">
        <v>7896</v>
      </c>
      <c r="F1525">
        <v>2.5</v>
      </c>
      <c r="G1525" s="12">
        <v>486000</v>
      </c>
      <c r="H1525">
        <v>871200</v>
      </c>
      <c r="I1525">
        <v>194400</v>
      </c>
    </row>
    <row r="1526" spans="1:9">
      <c r="A1526" t="s">
        <v>1749</v>
      </c>
      <c r="B1526" t="s">
        <v>18</v>
      </c>
      <c r="C1526">
        <v>707000</v>
      </c>
      <c r="D1526">
        <v>118000</v>
      </c>
      <c r="E1526" t="s">
        <v>7896</v>
      </c>
      <c r="F1526">
        <v>2.5</v>
      </c>
      <c r="G1526" s="12">
        <v>589000</v>
      </c>
      <c r="H1526">
        <v>282800</v>
      </c>
      <c r="I1526">
        <v>235600</v>
      </c>
    </row>
    <row r="1527" spans="1:9">
      <c r="A1527" t="s">
        <v>1558</v>
      </c>
      <c r="B1527" t="s">
        <v>18</v>
      </c>
      <c r="C1527">
        <v>504000</v>
      </c>
      <c r="D1527">
        <v>464000</v>
      </c>
      <c r="E1527" t="s">
        <v>7896</v>
      </c>
      <c r="F1527">
        <v>2.5</v>
      </c>
      <c r="G1527" s="12">
        <v>40000</v>
      </c>
      <c r="H1527">
        <v>201600</v>
      </c>
      <c r="I1527">
        <v>16000</v>
      </c>
    </row>
    <row r="1528" spans="1:9">
      <c r="A1528" t="s">
        <v>1667</v>
      </c>
      <c r="B1528" t="s">
        <v>18</v>
      </c>
      <c r="C1528">
        <v>4990000</v>
      </c>
      <c r="D1528">
        <v>4980000</v>
      </c>
      <c r="E1528" t="s">
        <v>7896</v>
      </c>
      <c r="F1528">
        <v>2.5</v>
      </c>
      <c r="G1528" s="12">
        <v>10000</v>
      </c>
      <c r="H1528">
        <v>1996000</v>
      </c>
      <c r="I1528">
        <v>4000</v>
      </c>
    </row>
    <row r="1529" spans="1:9">
      <c r="A1529" t="s">
        <v>1588</v>
      </c>
      <c r="B1529" t="s">
        <v>18</v>
      </c>
      <c r="C1529">
        <v>829000</v>
      </c>
      <c r="D1529">
        <v>829000</v>
      </c>
      <c r="E1529" t="s">
        <v>7896</v>
      </c>
      <c r="F1529">
        <v>2.5</v>
      </c>
      <c r="G1529" s="12">
        <v>0</v>
      </c>
      <c r="H1529">
        <v>331600</v>
      </c>
      <c r="I1529">
        <v>0</v>
      </c>
    </row>
    <row r="1530" spans="1:9">
      <c r="A1530" t="s">
        <v>1512</v>
      </c>
      <c r="B1530" t="s">
        <v>18</v>
      </c>
      <c r="C1530">
        <v>465000</v>
      </c>
      <c r="D1530">
        <v>462000</v>
      </c>
      <c r="E1530" t="s">
        <v>7896</v>
      </c>
      <c r="F1530">
        <v>2.5</v>
      </c>
      <c r="G1530" s="12">
        <v>3000</v>
      </c>
      <c r="H1530">
        <v>186000</v>
      </c>
      <c r="I1530">
        <v>1200</v>
      </c>
    </row>
    <row r="1531" spans="1:9">
      <c r="A1531" t="s">
        <v>1588</v>
      </c>
      <c r="B1531" t="s">
        <v>18</v>
      </c>
      <c r="C1531">
        <v>508000</v>
      </c>
      <c r="D1531">
        <v>508000</v>
      </c>
      <c r="E1531" t="s">
        <v>7896</v>
      </c>
      <c r="F1531">
        <v>2.5</v>
      </c>
      <c r="G1531" s="12">
        <v>0</v>
      </c>
      <c r="H1531">
        <v>203200</v>
      </c>
      <c r="I1531">
        <v>0</v>
      </c>
    </row>
    <row r="1532" spans="1:9">
      <c r="A1532" t="s">
        <v>1558</v>
      </c>
      <c r="B1532" t="s">
        <v>18</v>
      </c>
      <c r="C1532">
        <v>550000</v>
      </c>
      <c r="D1532">
        <v>643000</v>
      </c>
      <c r="E1532" t="s">
        <v>7896</v>
      </c>
      <c r="F1532">
        <v>2.5</v>
      </c>
      <c r="G1532" s="12">
        <v>-93000</v>
      </c>
      <c r="H1532">
        <v>220000</v>
      </c>
      <c r="I1532">
        <v>-37200</v>
      </c>
    </row>
    <row r="1533" spans="1:9">
      <c r="A1533" t="s">
        <v>1588</v>
      </c>
      <c r="B1533" t="s">
        <v>18</v>
      </c>
      <c r="C1533">
        <v>1231000</v>
      </c>
      <c r="D1533">
        <v>1117000</v>
      </c>
      <c r="E1533" t="s">
        <v>7896</v>
      </c>
      <c r="F1533">
        <v>2.5</v>
      </c>
      <c r="G1533" s="12">
        <v>114000</v>
      </c>
      <c r="H1533">
        <v>492400</v>
      </c>
      <c r="I1533">
        <v>45600</v>
      </c>
    </row>
    <row r="1534" spans="1:9">
      <c r="A1534" t="s">
        <v>1517</v>
      </c>
      <c r="B1534" t="s">
        <v>18</v>
      </c>
      <c r="C1534">
        <v>821000</v>
      </c>
      <c r="D1534">
        <v>821000</v>
      </c>
      <c r="E1534" t="s">
        <v>7896</v>
      </c>
      <c r="F1534">
        <v>2.5</v>
      </c>
      <c r="G1534" s="12">
        <v>0</v>
      </c>
      <c r="H1534">
        <v>328400</v>
      </c>
      <c r="I1534">
        <v>0</v>
      </c>
    </row>
    <row r="1535" spans="1:9">
      <c r="A1535" t="s">
        <v>1532</v>
      </c>
      <c r="B1535" t="s">
        <v>18</v>
      </c>
      <c r="C1535">
        <v>1466000</v>
      </c>
      <c r="D1535">
        <v>1466000</v>
      </c>
      <c r="E1535" t="s">
        <v>7896</v>
      </c>
      <c r="F1535">
        <v>2.5</v>
      </c>
      <c r="G1535" s="12">
        <v>0</v>
      </c>
      <c r="H1535">
        <v>586400</v>
      </c>
      <c r="I1535">
        <v>0</v>
      </c>
    </row>
    <row r="1536" spans="1:9">
      <c r="A1536" t="s">
        <v>1532</v>
      </c>
      <c r="B1536" t="s">
        <v>18</v>
      </c>
      <c r="C1536">
        <v>130000</v>
      </c>
      <c r="D1536">
        <v>19000</v>
      </c>
      <c r="E1536" t="s">
        <v>7896</v>
      </c>
      <c r="F1536">
        <v>2.5</v>
      </c>
      <c r="G1536" s="12">
        <v>111000</v>
      </c>
      <c r="H1536">
        <v>52000</v>
      </c>
      <c r="I1536">
        <v>44400</v>
      </c>
    </row>
    <row r="1537" spans="1:9">
      <c r="A1537" t="s">
        <v>1504</v>
      </c>
      <c r="B1537" t="s">
        <v>18</v>
      </c>
      <c r="C1537">
        <v>464000</v>
      </c>
      <c r="D1537">
        <v>464000</v>
      </c>
      <c r="E1537" t="s">
        <v>7896</v>
      </c>
      <c r="F1537">
        <v>2.5</v>
      </c>
      <c r="G1537" s="12">
        <v>0</v>
      </c>
      <c r="H1537">
        <v>185600</v>
      </c>
      <c r="I1537">
        <v>0</v>
      </c>
    </row>
    <row r="1538" spans="1:9">
      <c r="A1538" t="s">
        <v>1532</v>
      </c>
      <c r="B1538" t="s">
        <v>18</v>
      </c>
      <c r="C1538">
        <v>38879000</v>
      </c>
      <c r="D1538">
        <v>38214000</v>
      </c>
      <c r="E1538" t="s">
        <v>7896</v>
      </c>
      <c r="F1538">
        <v>2.5</v>
      </c>
      <c r="G1538" s="12">
        <v>665000</v>
      </c>
      <c r="H1538">
        <v>15551600</v>
      </c>
      <c r="I1538">
        <v>266000</v>
      </c>
    </row>
    <row r="1539" spans="1:9">
      <c r="A1539" t="s">
        <v>1512</v>
      </c>
      <c r="B1539" t="s">
        <v>18</v>
      </c>
      <c r="C1539">
        <v>1660000</v>
      </c>
      <c r="D1539">
        <v>2196000</v>
      </c>
      <c r="E1539" t="s">
        <v>7896</v>
      </c>
      <c r="F1539">
        <v>2.5</v>
      </c>
      <c r="G1539" s="12">
        <v>-536000</v>
      </c>
      <c r="H1539">
        <v>664000</v>
      </c>
      <c r="I1539">
        <v>-214400</v>
      </c>
    </row>
    <row r="1540" spans="1:9">
      <c r="A1540" t="s">
        <v>1798</v>
      </c>
      <c r="B1540" t="s">
        <v>18</v>
      </c>
      <c r="C1540">
        <v>12556000</v>
      </c>
      <c r="D1540">
        <v>9213000</v>
      </c>
      <c r="E1540" t="s">
        <v>7896</v>
      </c>
      <c r="F1540">
        <v>2.5</v>
      </c>
      <c r="G1540" s="12">
        <v>3343000</v>
      </c>
      <c r="H1540">
        <v>5022400</v>
      </c>
      <c r="I1540">
        <v>1337200</v>
      </c>
    </row>
    <row r="1541" spans="1:9">
      <c r="A1541" t="s">
        <v>1524</v>
      </c>
      <c r="B1541" t="s">
        <v>77</v>
      </c>
      <c r="C1541">
        <v>3843000</v>
      </c>
      <c r="D1541">
        <v>3559000</v>
      </c>
      <c r="E1541" t="s">
        <v>7896</v>
      </c>
      <c r="F1541">
        <v>8</v>
      </c>
      <c r="G1541" s="12">
        <v>284000</v>
      </c>
      <c r="H1541">
        <v>480375</v>
      </c>
      <c r="I1541">
        <v>35500</v>
      </c>
    </row>
    <row r="1542" spans="1:9">
      <c r="A1542" t="s">
        <v>1532</v>
      </c>
      <c r="B1542" t="s">
        <v>18</v>
      </c>
      <c r="C1542">
        <v>2454000</v>
      </c>
      <c r="D1542">
        <v>2461000</v>
      </c>
      <c r="E1542" t="s">
        <v>7896</v>
      </c>
      <c r="F1542">
        <v>2.5</v>
      </c>
      <c r="G1542" s="12">
        <v>-7000</v>
      </c>
      <c r="H1542">
        <v>981600</v>
      </c>
      <c r="I1542">
        <v>-2800</v>
      </c>
    </row>
    <row r="1543" spans="1:9">
      <c r="A1543" t="s">
        <v>1667</v>
      </c>
      <c r="B1543" t="s">
        <v>18</v>
      </c>
      <c r="C1543">
        <v>16245000</v>
      </c>
      <c r="D1543">
        <v>1433000</v>
      </c>
      <c r="E1543" t="s">
        <v>7896</v>
      </c>
      <c r="F1543">
        <v>2.5</v>
      </c>
      <c r="G1543" s="12">
        <v>14812000</v>
      </c>
      <c r="H1543">
        <v>6498000</v>
      </c>
      <c r="I1543">
        <v>5924800</v>
      </c>
    </row>
    <row r="1544" spans="1:9">
      <c r="A1544" t="s">
        <v>1504</v>
      </c>
      <c r="B1544" t="s">
        <v>18</v>
      </c>
      <c r="C1544">
        <v>10183000</v>
      </c>
      <c r="D1544">
        <v>10233000</v>
      </c>
      <c r="E1544" t="s">
        <v>7896</v>
      </c>
      <c r="F1544">
        <v>2.5</v>
      </c>
      <c r="G1544" s="12">
        <v>-50000</v>
      </c>
      <c r="H1544">
        <v>4073200</v>
      </c>
      <c r="I1544">
        <v>-20000</v>
      </c>
    </row>
    <row r="1545" spans="1:9">
      <c r="A1545" t="s">
        <v>1524</v>
      </c>
      <c r="B1545" t="s">
        <v>18</v>
      </c>
      <c r="C1545">
        <v>50000</v>
      </c>
      <c r="D1545">
        <v>125000</v>
      </c>
      <c r="E1545" t="s">
        <v>7896</v>
      </c>
      <c r="F1545">
        <v>2.5</v>
      </c>
      <c r="G1545" s="12">
        <v>-75000</v>
      </c>
      <c r="H1545">
        <v>20000</v>
      </c>
      <c r="I1545">
        <v>-30000</v>
      </c>
    </row>
    <row r="1546" spans="1:9">
      <c r="A1546" t="s">
        <v>1532</v>
      </c>
      <c r="B1546" t="s">
        <v>18</v>
      </c>
      <c r="C1546">
        <v>5547000</v>
      </c>
      <c r="D1546">
        <v>5720000</v>
      </c>
      <c r="E1546" t="s">
        <v>7896</v>
      </c>
      <c r="F1546">
        <v>2.5</v>
      </c>
      <c r="G1546" s="12">
        <v>-173000</v>
      </c>
      <c r="H1546">
        <v>2218800</v>
      </c>
      <c r="I1546">
        <v>-69200</v>
      </c>
    </row>
    <row r="1547" spans="1:9">
      <c r="A1547" t="s">
        <v>1579</v>
      </c>
      <c r="B1547" t="s">
        <v>18</v>
      </c>
      <c r="C1547">
        <v>5527000</v>
      </c>
      <c r="D1547">
        <v>3073000</v>
      </c>
      <c r="E1547" t="s">
        <v>7896</v>
      </c>
      <c r="F1547">
        <v>2.5</v>
      </c>
      <c r="G1547" s="12">
        <v>2454000</v>
      </c>
      <c r="H1547">
        <v>2210800</v>
      </c>
      <c r="I1547">
        <v>981600</v>
      </c>
    </row>
    <row r="1548" spans="1:9">
      <c r="A1548" t="s">
        <v>1619</v>
      </c>
      <c r="B1548" t="s">
        <v>18</v>
      </c>
      <c r="C1548">
        <v>3290000</v>
      </c>
      <c r="D1548">
        <v>4337000</v>
      </c>
      <c r="E1548" t="s">
        <v>7896</v>
      </c>
      <c r="F1548">
        <v>2.5</v>
      </c>
      <c r="G1548" s="12">
        <v>-1047000</v>
      </c>
      <c r="H1548">
        <v>1316000</v>
      </c>
      <c r="I1548">
        <v>-418800</v>
      </c>
    </row>
    <row r="1549" spans="1:9">
      <c r="A1549" t="s">
        <v>1588</v>
      </c>
      <c r="B1549" t="s">
        <v>18</v>
      </c>
      <c r="C1549">
        <v>143000</v>
      </c>
      <c r="D1549">
        <v>146000</v>
      </c>
      <c r="E1549" t="s">
        <v>7896</v>
      </c>
      <c r="F1549">
        <v>2.5</v>
      </c>
      <c r="G1549" s="12">
        <v>-3000</v>
      </c>
      <c r="H1549">
        <v>57200</v>
      </c>
      <c r="I1549">
        <v>-1200</v>
      </c>
    </row>
    <row r="1550" spans="1:9">
      <c r="A1550" t="s">
        <v>1589</v>
      </c>
      <c r="B1550" t="s">
        <v>18</v>
      </c>
      <c r="C1550">
        <v>317000</v>
      </c>
      <c r="D1550">
        <v>291000</v>
      </c>
      <c r="E1550" t="s">
        <v>7896</v>
      </c>
      <c r="F1550">
        <v>2.5</v>
      </c>
      <c r="G1550" s="12">
        <v>26000</v>
      </c>
      <c r="H1550">
        <v>126800</v>
      </c>
      <c r="I1550">
        <v>10400</v>
      </c>
    </row>
    <row r="1551" spans="1:9">
      <c r="A1551" t="s">
        <v>1519</v>
      </c>
      <c r="B1551" t="s">
        <v>18</v>
      </c>
      <c r="C1551">
        <v>5131000</v>
      </c>
      <c r="D1551">
        <v>3391000</v>
      </c>
      <c r="E1551" t="s">
        <v>7896</v>
      </c>
      <c r="F1551">
        <v>2.5</v>
      </c>
      <c r="G1551" s="12">
        <v>1740000</v>
      </c>
      <c r="H1551">
        <v>2052400</v>
      </c>
      <c r="I1551">
        <v>696000</v>
      </c>
    </row>
    <row r="1552" spans="1:9">
      <c r="A1552" t="s">
        <v>1526</v>
      </c>
      <c r="B1552" t="s">
        <v>18</v>
      </c>
      <c r="C1552">
        <v>6659000</v>
      </c>
      <c r="D1552">
        <v>4187000</v>
      </c>
      <c r="E1552" t="s">
        <v>7896</v>
      </c>
      <c r="F1552">
        <v>2.5</v>
      </c>
      <c r="G1552" s="12">
        <v>2472000</v>
      </c>
      <c r="H1552">
        <v>2663600</v>
      </c>
      <c r="I1552">
        <v>988800</v>
      </c>
    </row>
    <row r="1553" spans="1:9">
      <c r="A1553" t="s">
        <v>1560</v>
      </c>
      <c r="B1553" t="s">
        <v>18</v>
      </c>
      <c r="C1553">
        <v>4331000</v>
      </c>
      <c r="D1553">
        <v>4050000</v>
      </c>
      <c r="E1553" t="s">
        <v>7896</v>
      </c>
      <c r="F1553">
        <v>2.5</v>
      </c>
      <c r="G1553" s="12">
        <v>281000</v>
      </c>
      <c r="H1553">
        <v>1732400</v>
      </c>
      <c r="I1553">
        <v>112400</v>
      </c>
    </row>
    <row r="1554" spans="1:9">
      <c r="A1554" t="s">
        <v>1535</v>
      </c>
      <c r="B1554" t="s">
        <v>18</v>
      </c>
      <c r="C1554">
        <v>5525000</v>
      </c>
      <c r="D1554">
        <v>5525000</v>
      </c>
      <c r="E1554" t="s">
        <v>7896</v>
      </c>
      <c r="F1554">
        <v>2.5</v>
      </c>
      <c r="G1554" s="12">
        <v>0</v>
      </c>
      <c r="H1554">
        <v>2210000</v>
      </c>
      <c r="I1554">
        <v>0</v>
      </c>
    </row>
    <row r="1555" spans="1:9">
      <c r="A1555" t="s">
        <v>1532</v>
      </c>
      <c r="B1555" t="s">
        <v>18</v>
      </c>
      <c r="C1555">
        <v>5800000</v>
      </c>
      <c r="D1555">
        <v>5958000</v>
      </c>
      <c r="E1555" t="s">
        <v>7896</v>
      </c>
      <c r="F1555">
        <v>2.5</v>
      </c>
      <c r="G1555" s="12">
        <v>-158000</v>
      </c>
      <c r="H1555">
        <v>2320000</v>
      </c>
      <c r="I1555">
        <v>-63200</v>
      </c>
    </row>
    <row r="1556" spans="1:9">
      <c r="A1556" t="s">
        <v>1532</v>
      </c>
      <c r="B1556" t="s">
        <v>18</v>
      </c>
      <c r="C1556">
        <v>28000</v>
      </c>
      <c r="D1556">
        <v>33000</v>
      </c>
      <c r="E1556" t="s">
        <v>7896</v>
      </c>
      <c r="F1556">
        <v>2.5</v>
      </c>
      <c r="G1556" s="12">
        <v>-5000</v>
      </c>
      <c r="H1556">
        <v>11200</v>
      </c>
      <c r="I1556">
        <v>-2000</v>
      </c>
    </row>
    <row r="1557" spans="1:9">
      <c r="A1557" t="s">
        <v>1524</v>
      </c>
      <c r="B1557" t="s">
        <v>18</v>
      </c>
      <c r="C1557">
        <v>29000</v>
      </c>
      <c r="D1557">
        <v>105000</v>
      </c>
      <c r="E1557" t="s">
        <v>7896</v>
      </c>
      <c r="F1557">
        <v>2.5</v>
      </c>
      <c r="G1557" s="12">
        <v>-76000</v>
      </c>
      <c r="H1557">
        <v>11600</v>
      </c>
      <c r="I1557">
        <v>-30400</v>
      </c>
    </row>
    <row r="1558" spans="1:9">
      <c r="A1558" t="s">
        <v>1533</v>
      </c>
      <c r="B1558" t="s">
        <v>18</v>
      </c>
      <c r="C1558">
        <v>26318000</v>
      </c>
      <c r="D1558">
        <v>20740000</v>
      </c>
      <c r="E1558" t="s">
        <v>7896</v>
      </c>
      <c r="F1558">
        <v>2.5</v>
      </c>
      <c r="G1558" s="12">
        <v>5578000</v>
      </c>
      <c r="H1558">
        <v>10527200</v>
      </c>
      <c r="I1558">
        <v>2231200</v>
      </c>
    </row>
    <row r="1559" spans="1:9">
      <c r="A1559" t="s">
        <v>1532</v>
      </c>
      <c r="B1559" t="s">
        <v>22</v>
      </c>
      <c r="C1559">
        <v>77573000</v>
      </c>
      <c r="D1559">
        <v>73408000</v>
      </c>
      <c r="E1559" t="s">
        <v>7896</v>
      </c>
      <c r="F1559">
        <v>13</v>
      </c>
      <c r="G1559" s="12">
        <v>4165000</v>
      </c>
      <c r="H1559">
        <v>5967153.846153846</v>
      </c>
      <c r="I1559">
        <v>320384.61538461538</v>
      </c>
    </row>
    <row r="1560" spans="1:9">
      <c r="A1560" t="s">
        <v>1504</v>
      </c>
      <c r="B1560" t="s">
        <v>18</v>
      </c>
      <c r="C1560">
        <v>1482000</v>
      </c>
      <c r="D1560">
        <v>1266000</v>
      </c>
      <c r="E1560" t="s">
        <v>7896</v>
      </c>
      <c r="F1560">
        <v>2.5</v>
      </c>
      <c r="G1560" s="12">
        <v>216000</v>
      </c>
      <c r="H1560">
        <v>592800</v>
      </c>
      <c r="I1560">
        <v>86400</v>
      </c>
    </row>
    <row r="1561" spans="1:9">
      <c r="A1561" t="s">
        <v>1533</v>
      </c>
      <c r="B1561" t="s">
        <v>18</v>
      </c>
      <c r="C1561">
        <v>245000</v>
      </c>
      <c r="D1561">
        <v>245000</v>
      </c>
      <c r="E1561" t="s">
        <v>7896</v>
      </c>
      <c r="F1561">
        <v>2.5</v>
      </c>
      <c r="G1561" s="12">
        <v>0</v>
      </c>
      <c r="H1561">
        <v>98000</v>
      </c>
      <c r="I1561">
        <v>0</v>
      </c>
    </row>
    <row r="1562" spans="1:9">
      <c r="A1562" t="s">
        <v>1516</v>
      </c>
      <c r="B1562" t="s">
        <v>18</v>
      </c>
      <c r="C1562">
        <v>9968000</v>
      </c>
      <c r="D1562">
        <v>9022000</v>
      </c>
      <c r="E1562" t="s">
        <v>7896</v>
      </c>
      <c r="F1562">
        <v>2.5</v>
      </c>
      <c r="G1562" s="12">
        <v>946000</v>
      </c>
      <c r="H1562">
        <v>3987200</v>
      </c>
      <c r="I1562">
        <v>378400</v>
      </c>
    </row>
    <row r="1563" spans="1:9">
      <c r="A1563" t="s">
        <v>1508</v>
      </c>
      <c r="B1563" t="s">
        <v>18</v>
      </c>
      <c r="C1563">
        <v>4401000</v>
      </c>
      <c r="D1563">
        <v>4526000</v>
      </c>
      <c r="E1563" t="s">
        <v>7896</v>
      </c>
      <c r="F1563">
        <v>2.5</v>
      </c>
      <c r="G1563" s="12">
        <v>-125000</v>
      </c>
      <c r="H1563">
        <v>1760400</v>
      </c>
      <c r="I1563">
        <v>-50000</v>
      </c>
    </row>
    <row r="1564" spans="1:9">
      <c r="A1564" t="s">
        <v>1508</v>
      </c>
      <c r="B1564" t="s">
        <v>18</v>
      </c>
      <c r="C1564">
        <v>4341000</v>
      </c>
      <c r="D1564">
        <v>4442000</v>
      </c>
      <c r="E1564" t="s">
        <v>7896</v>
      </c>
      <c r="F1564">
        <v>2.5</v>
      </c>
      <c r="G1564" s="12">
        <v>-101000</v>
      </c>
      <c r="H1564">
        <v>1736400</v>
      </c>
      <c r="I1564">
        <v>-40400</v>
      </c>
    </row>
    <row r="1565" spans="1:9">
      <c r="A1565" t="s">
        <v>1512</v>
      </c>
      <c r="B1565" t="s">
        <v>18</v>
      </c>
      <c r="C1565">
        <v>8919000</v>
      </c>
      <c r="D1565">
        <v>7765000</v>
      </c>
      <c r="E1565" t="s">
        <v>7896</v>
      </c>
      <c r="F1565">
        <v>2.5</v>
      </c>
      <c r="G1565" s="12">
        <v>1154000</v>
      </c>
      <c r="H1565">
        <v>3567600</v>
      </c>
      <c r="I1565">
        <v>461600</v>
      </c>
    </row>
    <row r="1566" spans="1:9">
      <c r="A1566" t="s">
        <v>1504</v>
      </c>
      <c r="B1566" t="s">
        <v>18</v>
      </c>
      <c r="C1566">
        <v>9060000</v>
      </c>
      <c r="D1566">
        <v>9245000</v>
      </c>
      <c r="E1566" t="s">
        <v>7896</v>
      </c>
      <c r="F1566">
        <v>2.5</v>
      </c>
      <c r="G1566" s="12">
        <v>-185000</v>
      </c>
      <c r="H1566">
        <v>3624000</v>
      </c>
      <c r="I1566">
        <v>-74000</v>
      </c>
    </row>
    <row r="1567" spans="1:9">
      <c r="A1567" t="s">
        <v>1524</v>
      </c>
      <c r="B1567" t="s">
        <v>18</v>
      </c>
      <c r="C1567">
        <v>1788000</v>
      </c>
      <c r="D1567">
        <v>1764000</v>
      </c>
      <c r="E1567" t="s">
        <v>7896</v>
      </c>
      <c r="F1567">
        <v>2.5</v>
      </c>
      <c r="G1567" s="12">
        <v>24000</v>
      </c>
      <c r="H1567">
        <v>715200</v>
      </c>
      <c r="I1567">
        <v>9600</v>
      </c>
    </row>
    <row r="1568" spans="1:9">
      <c r="A1568" t="s">
        <v>1508</v>
      </c>
      <c r="B1568" t="s">
        <v>23</v>
      </c>
      <c r="C1568">
        <v>81043000</v>
      </c>
      <c r="D1568">
        <v>80721000</v>
      </c>
      <c r="E1568" t="s">
        <v>7897</v>
      </c>
      <c r="F1568">
        <v>75.5</v>
      </c>
      <c r="G1568" s="12">
        <v>322000</v>
      </c>
      <c r="H1568">
        <v>1073417.2185430464</v>
      </c>
      <c r="I1568">
        <v>4264.9006622516554</v>
      </c>
    </row>
    <row r="1569" spans="1:9">
      <c r="A1569" t="s">
        <v>1524</v>
      </c>
      <c r="B1569" t="s">
        <v>18</v>
      </c>
      <c r="C1569">
        <v>803000</v>
      </c>
      <c r="D1569">
        <v>811000</v>
      </c>
      <c r="E1569" t="s">
        <v>7896</v>
      </c>
      <c r="F1569">
        <v>2.5</v>
      </c>
      <c r="G1569" s="12">
        <v>-8000</v>
      </c>
      <c r="H1569">
        <v>321200</v>
      </c>
      <c r="I1569">
        <v>-3200</v>
      </c>
    </row>
    <row r="1570" spans="1:9">
      <c r="A1570" t="s">
        <v>1532</v>
      </c>
      <c r="B1570" t="s">
        <v>18</v>
      </c>
      <c r="C1570">
        <v>22214000</v>
      </c>
      <c r="D1570">
        <v>14294000</v>
      </c>
      <c r="E1570" t="s">
        <v>7896</v>
      </c>
      <c r="F1570">
        <v>2.5</v>
      </c>
      <c r="G1570" s="12">
        <v>7920000</v>
      </c>
      <c r="H1570">
        <v>8885600</v>
      </c>
      <c r="I1570">
        <v>3168000</v>
      </c>
    </row>
    <row r="1571" spans="1:9">
      <c r="A1571" t="s">
        <v>1517</v>
      </c>
      <c r="B1571" t="s">
        <v>22</v>
      </c>
      <c r="C1571">
        <v>23646000</v>
      </c>
      <c r="D1571">
        <v>21890000</v>
      </c>
      <c r="E1571" t="s">
        <v>7896</v>
      </c>
      <c r="F1571">
        <v>13</v>
      </c>
      <c r="G1571" s="12">
        <v>1756000</v>
      </c>
      <c r="H1571">
        <v>1818923.076923077</v>
      </c>
      <c r="I1571">
        <v>135076.92307692306</v>
      </c>
    </row>
    <row r="1572" spans="1:9">
      <c r="A1572" t="s">
        <v>1509</v>
      </c>
      <c r="B1572" t="s">
        <v>18</v>
      </c>
      <c r="C1572">
        <v>14600000</v>
      </c>
      <c r="D1572">
        <v>14552000</v>
      </c>
      <c r="E1572" t="s">
        <v>7896</v>
      </c>
      <c r="F1572">
        <v>2.5</v>
      </c>
      <c r="G1572" s="12">
        <v>48000</v>
      </c>
      <c r="H1572">
        <v>5840000</v>
      </c>
      <c r="I1572">
        <v>19200</v>
      </c>
    </row>
    <row r="1573" spans="1:9">
      <c r="A1573" t="s">
        <v>1508</v>
      </c>
      <c r="B1573" t="s">
        <v>18</v>
      </c>
      <c r="C1573">
        <v>3316000</v>
      </c>
      <c r="D1573">
        <v>3318000</v>
      </c>
      <c r="E1573" t="s">
        <v>7896</v>
      </c>
      <c r="F1573">
        <v>2.5</v>
      </c>
      <c r="G1573" s="12">
        <v>-2000</v>
      </c>
      <c r="H1573">
        <v>1326400</v>
      </c>
      <c r="I1573">
        <v>-800</v>
      </c>
    </row>
    <row r="1574" spans="1:9">
      <c r="A1574" t="s">
        <v>1524</v>
      </c>
      <c r="B1574" t="s">
        <v>18</v>
      </c>
      <c r="C1574">
        <v>18000</v>
      </c>
      <c r="D1574">
        <v>9000</v>
      </c>
      <c r="E1574" t="s">
        <v>7896</v>
      </c>
      <c r="F1574">
        <v>2.5</v>
      </c>
      <c r="G1574" s="12">
        <v>9000</v>
      </c>
      <c r="H1574">
        <v>7200</v>
      </c>
      <c r="I1574">
        <v>3600</v>
      </c>
    </row>
    <row r="1575" spans="1:9">
      <c r="A1575" t="s">
        <v>1781</v>
      </c>
      <c r="B1575" t="s">
        <v>18</v>
      </c>
      <c r="C1575">
        <v>2606000</v>
      </c>
      <c r="D1575">
        <v>2382000</v>
      </c>
      <c r="E1575" t="s">
        <v>7896</v>
      </c>
      <c r="F1575">
        <v>2.5</v>
      </c>
      <c r="G1575" s="12">
        <v>224000</v>
      </c>
      <c r="H1575">
        <v>1042400</v>
      </c>
      <c r="I1575">
        <v>89600</v>
      </c>
    </row>
    <row r="1576" spans="1:9">
      <c r="A1576" t="s">
        <v>1517</v>
      </c>
      <c r="B1576" t="s">
        <v>18</v>
      </c>
      <c r="C1576">
        <v>1592000</v>
      </c>
      <c r="D1576">
        <v>2310000</v>
      </c>
      <c r="E1576" t="s">
        <v>7896</v>
      </c>
      <c r="F1576">
        <v>2.5</v>
      </c>
      <c r="G1576" s="12">
        <v>-718000</v>
      </c>
      <c r="H1576">
        <v>636800</v>
      </c>
      <c r="I1576">
        <v>-287200</v>
      </c>
    </row>
    <row r="1577" spans="1:9">
      <c r="A1577" t="s">
        <v>1508</v>
      </c>
      <c r="B1577" t="s">
        <v>77</v>
      </c>
      <c r="C1577">
        <v>415495000</v>
      </c>
      <c r="D1577">
        <v>427203000</v>
      </c>
      <c r="E1577" t="s">
        <v>7896</v>
      </c>
      <c r="F1577">
        <v>8</v>
      </c>
      <c r="G1577" s="12">
        <v>-11708000</v>
      </c>
      <c r="H1577">
        <v>51936875</v>
      </c>
      <c r="I1577">
        <v>-1463500</v>
      </c>
    </row>
    <row r="1578" spans="1:9">
      <c r="A1578" t="s">
        <v>1533</v>
      </c>
      <c r="B1578" t="s">
        <v>18</v>
      </c>
      <c r="C1578">
        <v>4175000</v>
      </c>
      <c r="D1578">
        <v>4168000</v>
      </c>
      <c r="E1578" t="s">
        <v>7896</v>
      </c>
      <c r="F1578">
        <v>2.5</v>
      </c>
      <c r="G1578" s="12">
        <v>7000</v>
      </c>
      <c r="H1578">
        <v>1670000</v>
      </c>
      <c r="I1578">
        <v>2800</v>
      </c>
    </row>
    <row r="1579" spans="1:9">
      <c r="A1579" t="s">
        <v>1505</v>
      </c>
      <c r="B1579" t="s">
        <v>18</v>
      </c>
      <c r="C1579">
        <v>1078000</v>
      </c>
      <c r="D1579">
        <v>1095000</v>
      </c>
      <c r="E1579" t="s">
        <v>7896</v>
      </c>
      <c r="F1579">
        <v>2.5</v>
      </c>
      <c r="G1579" s="12">
        <v>-17000</v>
      </c>
      <c r="H1579">
        <v>431200</v>
      </c>
      <c r="I1579">
        <v>-6800</v>
      </c>
    </row>
    <row r="1580" spans="1:9">
      <c r="A1580" t="s">
        <v>1532</v>
      </c>
      <c r="B1580" t="s">
        <v>22</v>
      </c>
      <c r="C1580">
        <v>2251000</v>
      </c>
      <c r="D1580">
        <v>2555000</v>
      </c>
      <c r="E1580" t="s">
        <v>7896</v>
      </c>
      <c r="F1580">
        <v>13</v>
      </c>
      <c r="G1580" s="12">
        <v>-304000</v>
      </c>
      <c r="H1580">
        <v>173153.84615384616</v>
      </c>
      <c r="I1580">
        <v>-23384.615384615383</v>
      </c>
    </row>
    <row r="1581" spans="1:9">
      <c r="A1581" t="s">
        <v>1532</v>
      </c>
      <c r="B1581" t="s">
        <v>18</v>
      </c>
      <c r="C1581">
        <v>7653000</v>
      </c>
      <c r="D1581">
        <v>8417000</v>
      </c>
      <c r="E1581" t="s">
        <v>7896</v>
      </c>
      <c r="F1581">
        <v>2.5</v>
      </c>
      <c r="G1581" s="12">
        <v>-764000</v>
      </c>
      <c r="H1581">
        <v>3061200</v>
      </c>
      <c r="I1581">
        <v>-305600</v>
      </c>
    </row>
    <row r="1582" spans="1:9">
      <c r="A1582" t="s">
        <v>1588</v>
      </c>
      <c r="B1582" t="s">
        <v>18</v>
      </c>
      <c r="C1582">
        <v>153000</v>
      </c>
      <c r="D1582">
        <v>155000</v>
      </c>
      <c r="E1582" t="s">
        <v>7896</v>
      </c>
      <c r="F1582">
        <v>2.5</v>
      </c>
      <c r="G1582" s="12">
        <v>-2000</v>
      </c>
      <c r="H1582">
        <v>61200</v>
      </c>
      <c r="I1582">
        <v>-800</v>
      </c>
    </row>
    <row r="1583" spans="1:9">
      <c r="A1583" t="s">
        <v>1512</v>
      </c>
      <c r="B1583" t="s">
        <v>18</v>
      </c>
      <c r="C1583">
        <v>527000</v>
      </c>
      <c r="D1583">
        <v>613000</v>
      </c>
      <c r="E1583" t="s">
        <v>7896</v>
      </c>
      <c r="F1583">
        <v>2.5</v>
      </c>
      <c r="G1583" s="12">
        <v>-86000</v>
      </c>
      <c r="H1583">
        <v>210800</v>
      </c>
      <c r="I1583">
        <v>-34400</v>
      </c>
    </row>
    <row r="1584" spans="1:9">
      <c r="A1584" t="s">
        <v>1575</v>
      </c>
      <c r="B1584" t="s">
        <v>18</v>
      </c>
      <c r="C1584">
        <v>890874</v>
      </c>
      <c r="D1584">
        <v>856414</v>
      </c>
      <c r="E1584" t="s">
        <v>7896</v>
      </c>
      <c r="F1584">
        <v>2.5</v>
      </c>
      <c r="G1584" s="12">
        <v>34460</v>
      </c>
      <c r="H1584">
        <v>356349.6</v>
      </c>
      <c r="I1584">
        <v>13784</v>
      </c>
    </row>
    <row r="1585" spans="1:9">
      <c r="A1585" t="s">
        <v>1579</v>
      </c>
      <c r="B1585" t="s">
        <v>77</v>
      </c>
      <c r="C1585">
        <v>2174000</v>
      </c>
      <c r="D1585">
        <v>2174000</v>
      </c>
      <c r="E1585" t="s">
        <v>7896</v>
      </c>
      <c r="F1585">
        <v>8</v>
      </c>
      <c r="G1585" s="12">
        <v>0</v>
      </c>
      <c r="H1585">
        <v>271750</v>
      </c>
      <c r="I1585">
        <v>0</v>
      </c>
    </row>
    <row r="1586" spans="1:9">
      <c r="A1586" t="s">
        <v>1525</v>
      </c>
      <c r="B1586" t="s">
        <v>18</v>
      </c>
      <c r="C1586">
        <v>5136000</v>
      </c>
      <c r="D1586">
        <v>33559000</v>
      </c>
      <c r="E1586" t="s">
        <v>7896</v>
      </c>
      <c r="F1586">
        <v>2.5</v>
      </c>
      <c r="G1586" s="12">
        <v>-28423000</v>
      </c>
      <c r="H1586">
        <v>2054400</v>
      </c>
      <c r="I1586">
        <v>-11369200</v>
      </c>
    </row>
    <row r="1587" spans="1:9">
      <c r="A1587" t="s">
        <v>1754</v>
      </c>
      <c r="B1587" t="s">
        <v>18</v>
      </c>
      <c r="C1587">
        <v>69835000</v>
      </c>
      <c r="D1587">
        <v>72426000</v>
      </c>
      <c r="E1587" t="s">
        <v>7896</v>
      </c>
      <c r="F1587">
        <v>2.5</v>
      </c>
      <c r="G1587" s="12">
        <v>-2591000</v>
      </c>
      <c r="H1587">
        <v>27934000</v>
      </c>
      <c r="I1587">
        <v>-1036400</v>
      </c>
    </row>
    <row r="1588" spans="1:9">
      <c r="A1588" t="s">
        <v>1547</v>
      </c>
      <c r="B1588" t="s">
        <v>18</v>
      </c>
      <c r="C1588">
        <v>18035000</v>
      </c>
      <c r="D1588">
        <v>17561000</v>
      </c>
      <c r="E1588" t="s">
        <v>7896</v>
      </c>
      <c r="F1588">
        <v>2.5</v>
      </c>
      <c r="G1588" s="12">
        <v>474000</v>
      </c>
      <c r="H1588">
        <v>7214000</v>
      </c>
      <c r="I1588">
        <v>189600</v>
      </c>
    </row>
    <row r="1589" spans="1:9">
      <c r="A1589" t="s">
        <v>1580</v>
      </c>
      <c r="B1589" t="s">
        <v>22</v>
      </c>
      <c r="C1589">
        <v>3710000</v>
      </c>
      <c r="D1589">
        <v>2233000</v>
      </c>
      <c r="E1589" t="s">
        <v>7896</v>
      </c>
      <c r="F1589">
        <v>13</v>
      </c>
      <c r="G1589" s="12">
        <v>1477000</v>
      </c>
      <c r="H1589">
        <v>285384.61538461538</v>
      </c>
      <c r="I1589">
        <v>113615.38461538461</v>
      </c>
    </row>
    <row r="1590" spans="1:9">
      <c r="A1590" t="s">
        <v>1604</v>
      </c>
      <c r="B1590" t="s">
        <v>18</v>
      </c>
      <c r="C1590">
        <v>1700000</v>
      </c>
      <c r="D1590">
        <v>1650000</v>
      </c>
      <c r="E1590" t="s">
        <v>7896</v>
      </c>
      <c r="F1590">
        <v>2.5</v>
      </c>
      <c r="G1590" s="12">
        <v>50000</v>
      </c>
      <c r="H1590">
        <v>680000</v>
      </c>
      <c r="I1590">
        <v>20000</v>
      </c>
    </row>
    <row r="1591" spans="1:9">
      <c r="A1591" t="s">
        <v>1518</v>
      </c>
      <c r="B1591" t="s">
        <v>18</v>
      </c>
      <c r="C1591">
        <v>8658000</v>
      </c>
      <c r="D1591">
        <v>7090000</v>
      </c>
      <c r="E1591" t="s">
        <v>7896</v>
      </c>
      <c r="F1591">
        <v>2.5</v>
      </c>
      <c r="G1591" s="12">
        <v>1568000</v>
      </c>
      <c r="H1591">
        <v>3463200</v>
      </c>
      <c r="I1591">
        <v>627200</v>
      </c>
    </row>
    <row r="1592" spans="1:9">
      <c r="A1592" t="s">
        <v>1535</v>
      </c>
      <c r="B1592" t="s">
        <v>18</v>
      </c>
      <c r="C1592">
        <v>1926000</v>
      </c>
      <c r="D1592">
        <v>2012000</v>
      </c>
      <c r="E1592" t="s">
        <v>7896</v>
      </c>
      <c r="F1592">
        <v>2.5</v>
      </c>
      <c r="G1592" s="12">
        <v>-86000</v>
      </c>
      <c r="H1592">
        <v>770400</v>
      </c>
      <c r="I1592">
        <v>-34400</v>
      </c>
    </row>
    <row r="1593" spans="1:9">
      <c r="A1593" t="s">
        <v>1524</v>
      </c>
      <c r="B1593" t="s">
        <v>18</v>
      </c>
      <c r="C1593">
        <v>11288000</v>
      </c>
      <c r="D1593">
        <v>11288000</v>
      </c>
      <c r="E1593" t="s">
        <v>7896</v>
      </c>
      <c r="F1593">
        <v>2.5</v>
      </c>
      <c r="G1593" s="12">
        <v>0</v>
      </c>
      <c r="H1593">
        <v>4515200</v>
      </c>
      <c r="I1593">
        <v>0</v>
      </c>
    </row>
    <row r="1594" spans="1:9">
      <c r="A1594" t="s">
        <v>2139</v>
      </c>
      <c r="B1594" t="s">
        <v>77</v>
      </c>
      <c r="C1594">
        <v>22122000</v>
      </c>
      <c r="D1594">
        <v>22904000</v>
      </c>
      <c r="E1594" t="s">
        <v>7896</v>
      </c>
      <c r="F1594">
        <v>8</v>
      </c>
      <c r="G1594" s="12">
        <v>-782000</v>
      </c>
      <c r="H1594">
        <v>2765250</v>
      </c>
      <c r="I1594">
        <v>-97750</v>
      </c>
    </row>
    <row r="1595" spans="1:9">
      <c r="A1595" t="s">
        <v>1509</v>
      </c>
      <c r="B1595" t="s">
        <v>18</v>
      </c>
      <c r="C1595">
        <v>118000</v>
      </c>
      <c r="D1595">
        <v>118000</v>
      </c>
      <c r="E1595" t="s">
        <v>7896</v>
      </c>
      <c r="F1595">
        <v>2.5</v>
      </c>
      <c r="G1595" s="12">
        <v>0</v>
      </c>
      <c r="H1595">
        <v>47200</v>
      </c>
      <c r="I1595">
        <v>0</v>
      </c>
    </row>
    <row r="1596" spans="1:9">
      <c r="A1596" t="s">
        <v>1565</v>
      </c>
      <c r="B1596" t="s">
        <v>18</v>
      </c>
      <c r="C1596">
        <v>217000</v>
      </c>
      <c r="D1596">
        <v>215000</v>
      </c>
      <c r="E1596" t="s">
        <v>7896</v>
      </c>
      <c r="F1596">
        <v>2.5</v>
      </c>
      <c r="G1596" s="12">
        <v>2000</v>
      </c>
      <c r="H1596">
        <v>86800</v>
      </c>
      <c r="I1596">
        <v>800</v>
      </c>
    </row>
    <row r="1597" spans="1:9">
      <c r="A1597" t="s">
        <v>1518</v>
      </c>
      <c r="B1597" t="s">
        <v>22</v>
      </c>
      <c r="C1597">
        <v>73700000</v>
      </c>
      <c r="D1597">
        <v>1193978000</v>
      </c>
      <c r="E1597" t="s">
        <v>7896</v>
      </c>
      <c r="F1597">
        <v>13</v>
      </c>
      <c r="G1597" s="12">
        <v>-1120278000</v>
      </c>
      <c r="H1597">
        <v>5669230.769230769</v>
      </c>
      <c r="I1597">
        <v>-86175230.769230768</v>
      </c>
    </row>
    <row r="1598" spans="1:9">
      <c r="A1598" t="s">
        <v>1579</v>
      </c>
      <c r="B1598" t="s">
        <v>18</v>
      </c>
      <c r="C1598">
        <v>32000</v>
      </c>
      <c r="D1598">
        <v>33000</v>
      </c>
      <c r="E1598" t="s">
        <v>7896</v>
      </c>
      <c r="F1598">
        <v>2.5</v>
      </c>
      <c r="G1598" s="12">
        <v>-1000</v>
      </c>
      <c r="H1598">
        <v>12800</v>
      </c>
      <c r="I1598">
        <v>-400</v>
      </c>
    </row>
    <row r="1599" spans="1:9">
      <c r="A1599" t="s">
        <v>1618</v>
      </c>
      <c r="B1599" t="s">
        <v>18</v>
      </c>
      <c r="C1599">
        <v>1243000</v>
      </c>
      <c r="D1599">
        <v>991000</v>
      </c>
      <c r="E1599" t="s">
        <v>7896</v>
      </c>
      <c r="F1599">
        <v>2.5</v>
      </c>
      <c r="G1599" s="12">
        <v>252000</v>
      </c>
      <c r="H1599">
        <v>497200</v>
      </c>
      <c r="I1599">
        <v>100800</v>
      </c>
    </row>
    <row r="1600" spans="1:9">
      <c r="A1600" t="s">
        <v>1524</v>
      </c>
      <c r="B1600" t="s">
        <v>18</v>
      </c>
      <c r="C1600">
        <v>95000</v>
      </c>
      <c r="D1600">
        <v>91000</v>
      </c>
      <c r="E1600" t="s">
        <v>7896</v>
      </c>
      <c r="F1600">
        <v>2.5</v>
      </c>
      <c r="G1600" s="12">
        <v>4000</v>
      </c>
      <c r="H1600">
        <v>38000</v>
      </c>
      <c r="I1600">
        <v>1600</v>
      </c>
    </row>
    <row r="1601" spans="1:9">
      <c r="A1601" t="s">
        <v>1604</v>
      </c>
      <c r="B1601" t="s">
        <v>18</v>
      </c>
      <c r="C1601">
        <v>769000</v>
      </c>
      <c r="D1601">
        <v>692000</v>
      </c>
      <c r="E1601" t="s">
        <v>7896</v>
      </c>
      <c r="F1601">
        <v>2.5</v>
      </c>
      <c r="G1601" s="12">
        <v>77000</v>
      </c>
      <c r="H1601">
        <v>307600</v>
      </c>
      <c r="I1601">
        <v>30800</v>
      </c>
    </row>
    <row r="1602" spans="1:9">
      <c r="A1602" t="s">
        <v>1662</v>
      </c>
      <c r="B1602" t="s">
        <v>18</v>
      </c>
      <c r="C1602">
        <v>460000</v>
      </c>
      <c r="D1602">
        <v>416000</v>
      </c>
      <c r="E1602" t="s">
        <v>7896</v>
      </c>
      <c r="F1602">
        <v>2.5</v>
      </c>
      <c r="G1602" s="12">
        <v>44000</v>
      </c>
      <c r="H1602">
        <v>184000</v>
      </c>
      <c r="I1602">
        <v>17600</v>
      </c>
    </row>
    <row r="1603" spans="1:9">
      <c r="A1603" t="s">
        <v>1620</v>
      </c>
      <c r="B1603" t="s">
        <v>18</v>
      </c>
      <c r="C1603">
        <v>2950000</v>
      </c>
      <c r="D1603">
        <v>5993000</v>
      </c>
      <c r="E1603" t="s">
        <v>7896</v>
      </c>
      <c r="F1603">
        <v>2.5</v>
      </c>
      <c r="G1603" s="12">
        <v>-3043000</v>
      </c>
      <c r="H1603">
        <v>1180000</v>
      </c>
      <c r="I1603">
        <v>-1217200</v>
      </c>
    </row>
    <row r="1604" spans="1:9">
      <c r="A1604" t="s">
        <v>1661</v>
      </c>
      <c r="B1604" t="s">
        <v>18</v>
      </c>
      <c r="C1604">
        <v>1205000</v>
      </c>
      <c r="D1604">
        <v>1267000</v>
      </c>
      <c r="E1604" t="s">
        <v>7896</v>
      </c>
      <c r="F1604">
        <v>2.5</v>
      </c>
      <c r="G1604" s="12">
        <v>-62000</v>
      </c>
      <c r="H1604">
        <v>482000</v>
      </c>
      <c r="I1604">
        <v>-24800</v>
      </c>
    </row>
    <row r="1605" spans="1:9">
      <c r="A1605" t="s">
        <v>1662</v>
      </c>
      <c r="B1605" t="s">
        <v>18</v>
      </c>
      <c r="C1605">
        <v>7336000</v>
      </c>
      <c r="D1605">
        <v>7040000</v>
      </c>
      <c r="E1605" t="s">
        <v>7896</v>
      </c>
      <c r="F1605">
        <v>2.5</v>
      </c>
      <c r="G1605" s="12">
        <v>296000</v>
      </c>
      <c r="H1605">
        <v>2934400</v>
      </c>
      <c r="I1605">
        <v>118400</v>
      </c>
    </row>
    <row r="1606" spans="1:9">
      <c r="A1606" t="s">
        <v>1532</v>
      </c>
      <c r="B1606" t="s">
        <v>18</v>
      </c>
      <c r="C1606">
        <v>629000</v>
      </c>
      <c r="D1606">
        <v>628000</v>
      </c>
      <c r="E1606" t="s">
        <v>7896</v>
      </c>
      <c r="F1606">
        <v>2.5</v>
      </c>
      <c r="G1606" s="12">
        <v>1000</v>
      </c>
      <c r="H1606">
        <v>251600</v>
      </c>
      <c r="I1606">
        <v>400</v>
      </c>
    </row>
    <row r="1607" spans="1:9">
      <c r="A1607" t="s">
        <v>1535</v>
      </c>
      <c r="B1607" t="s">
        <v>18</v>
      </c>
      <c r="C1607">
        <v>550000</v>
      </c>
      <c r="D1607">
        <v>790000</v>
      </c>
      <c r="E1607" t="s">
        <v>7896</v>
      </c>
      <c r="F1607">
        <v>2.5</v>
      </c>
      <c r="G1607" s="12">
        <v>-240000</v>
      </c>
      <c r="H1607">
        <v>220000</v>
      </c>
      <c r="I1607">
        <v>-96000</v>
      </c>
    </row>
    <row r="1608" spans="1:9">
      <c r="A1608" t="s">
        <v>1558</v>
      </c>
      <c r="B1608" t="s">
        <v>18</v>
      </c>
      <c r="C1608">
        <v>4000</v>
      </c>
      <c r="D1608">
        <v>8000</v>
      </c>
      <c r="E1608" t="s">
        <v>7896</v>
      </c>
      <c r="F1608">
        <v>2.5</v>
      </c>
      <c r="G1608" s="12">
        <v>-4000</v>
      </c>
      <c r="H1608">
        <v>1600</v>
      </c>
      <c r="I1608">
        <v>-1600</v>
      </c>
    </row>
    <row r="1609" spans="1:9">
      <c r="A1609" t="s">
        <v>1579</v>
      </c>
      <c r="B1609" t="s">
        <v>18</v>
      </c>
      <c r="C1609">
        <v>326000</v>
      </c>
      <c r="D1609">
        <v>377000</v>
      </c>
      <c r="E1609" t="s">
        <v>7896</v>
      </c>
      <c r="F1609">
        <v>2.5</v>
      </c>
      <c r="G1609" s="12">
        <v>-51000</v>
      </c>
      <c r="H1609">
        <v>130400</v>
      </c>
      <c r="I1609">
        <v>-20400</v>
      </c>
    </row>
    <row r="1610" spans="1:9">
      <c r="A1610" t="s">
        <v>1532</v>
      </c>
      <c r="B1610" t="s">
        <v>18</v>
      </c>
      <c r="C1610">
        <v>225000</v>
      </c>
      <c r="D1610">
        <v>225000</v>
      </c>
      <c r="E1610" t="s">
        <v>7896</v>
      </c>
      <c r="F1610">
        <v>2.5</v>
      </c>
      <c r="G1610" s="12">
        <v>0</v>
      </c>
      <c r="H1610">
        <v>90000</v>
      </c>
      <c r="I1610">
        <v>0</v>
      </c>
    </row>
    <row r="1611" spans="1:9">
      <c r="A1611" t="s">
        <v>1504</v>
      </c>
      <c r="B1611" t="s">
        <v>18</v>
      </c>
      <c r="C1611">
        <v>2305000</v>
      </c>
      <c r="D1611">
        <v>2305000</v>
      </c>
      <c r="E1611" t="s">
        <v>7896</v>
      </c>
      <c r="F1611">
        <v>2.5</v>
      </c>
      <c r="G1611" s="12">
        <v>0</v>
      </c>
      <c r="H1611">
        <v>922000</v>
      </c>
      <c r="I1611">
        <v>0</v>
      </c>
    </row>
    <row r="1612" spans="1:9">
      <c r="A1612" t="s">
        <v>1532</v>
      </c>
      <c r="B1612" t="s">
        <v>18</v>
      </c>
      <c r="C1612">
        <v>318000</v>
      </c>
      <c r="D1612">
        <v>338000</v>
      </c>
      <c r="E1612" t="s">
        <v>7896</v>
      </c>
      <c r="F1612">
        <v>2.5</v>
      </c>
      <c r="G1612" s="12">
        <v>-20000</v>
      </c>
      <c r="H1612">
        <v>127200</v>
      </c>
      <c r="I1612">
        <v>-8000</v>
      </c>
    </row>
    <row r="1613" spans="1:9">
      <c r="A1613" t="s">
        <v>1575</v>
      </c>
      <c r="B1613" t="s">
        <v>18</v>
      </c>
      <c r="C1613">
        <v>2579000</v>
      </c>
      <c r="D1613">
        <v>2038000</v>
      </c>
      <c r="E1613" t="s">
        <v>7896</v>
      </c>
      <c r="F1613">
        <v>2.5</v>
      </c>
      <c r="G1613" s="12">
        <v>541000</v>
      </c>
      <c r="H1613">
        <v>1031600</v>
      </c>
      <c r="I1613">
        <v>216400</v>
      </c>
    </row>
    <row r="1614" spans="1:9">
      <c r="A1614" t="s">
        <v>1512</v>
      </c>
      <c r="B1614" t="s">
        <v>18</v>
      </c>
      <c r="C1614">
        <v>1409000</v>
      </c>
      <c r="D1614">
        <v>1412000</v>
      </c>
      <c r="E1614" t="s">
        <v>7896</v>
      </c>
      <c r="F1614">
        <v>2.5</v>
      </c>
      <c r="G1614" s="12">
        <v>-3000</v>
      </c>
      <c r="H1614">
        <v>563600</v>
      </c>
      <c r="I1614">
        <v>-1200</v>
      </c>
    </row>
    <row r="1615" spans="1:9">
      <c r="A1615" t="s">
        <v>1532</v>
      </c>
      <c r="B1615" t="s">
        <v>18</v>
      </c>
      <c r="C1615">
        <v>17686000</v>
      </c>
      <c r="D1615">
        <v>17603000</v>
      </c>
      <c r="E1615" t="s">
        <v>7896</v>
      </c>
      <c r="F1615">
        <v>2.5</v>
      </c>
      <c r="G1615" s="12">
        <v>83000</v>
      </c>
      <c r="H1615">
        <v>7074400</v>
      </c>
      <c r="I1615">
        <v>33200</v>
      </c>
    </row>
    <row r="1616" spans="1:9">
      <c r="A1616" t="s">
        <v>1510</v>
      </c>
      <c r="B1616" t="s">
        <v>18</v>
      </c>
      <c r="C1616">
        <v>350000</v>
      </c>
      <c r="D1616">
        <v>357000</v>
      </c>
      <c r="E1616" t="s">
        <v>7896</v>
      </c>
      <c r="F1616">
        <v>2.5</v>
      </c>
      <c r="G1616" s="12">
        <v>-7000</v>
      </c>
      <c r="H1616">
        <v>140000</v>
      </c>
      <c r="I1616">
        <v>-2800</v>
      </c>
    </row>
    <row r="1617" spans="1:9">
      <c r="A1617" t="s">
        <v>1560</v>
      </c>
      <c r="B1617" t="s">
        <v>18</v>
      </c>
      <c r="C1617">
        <v>1809000</v>
      </c>
      <c r="D1617">
        <v>2071000</v>
      </c>
      <c r="E1617" t="s">
        <v>7896</v>
      </c>
      <c r="F1617">
        <v>2.5</v>
      </c>
      <c r="G1617" s="12">
        <v>-262000</v>
      </c>
      <c r="H1617">
        <v>723600</v>
      </c>
      <c r="I1617">
        <v>-104800</v>
      </c>
    </row>
    <row r="1618" spans="1:9">
      <c r="A1618" t="s">
        <v>1619</v>
      </c>
      <c r="B1618" t="s">
        <v>18</v>
      </c>
      <c r="C1618">
        <v>1312000</v>
      </c>
      <c r="D1618">
        <v>1320000</v>
      </c>
      <c r="E1618" t="s">
        <v>7896</v>
      </c>
      <c r="F1618">
        <v>2.5</v>
      </c>
      <c r="G1618" s="12">
        <v>-8000</v>
      </c>
      <c r="H1618">
        <v>524800</v>
      </c>
      <c r="I1618">
        <v>-3200</v>
      </c>
    </row>
    <row r="1619" spans="1:9">
      <c r="A1619" t="s">
        <v>1532</v>
      </c>
      <c r="B1619" t="s">
        <v>18</v>
      </c>
      <c r="C1619">
        <v>29903000</v>
      </c>
      <c r="D1619">
        <v>45300000</v>
      </c>
      <c r="E1619" t="s">
        <v>7896</v>
      </c>
      <c r="F1619">
        <v>2.5</v>
      </c>
      <c r="G1619" s="12">
        <v>-15397000</v>
      </c>
      <c r="H1619">
        <v>11961200</v>
      </c>
      <c r="I1619">
        <v>-6158800</v>
      </c>
    </row>
    <row r="1620" spans="1:9">
      <c r="A1620" t="s">
        <v>1560</v>
      </c>
      <c r="B1620" t="s">
        <v>77</v>
      </c>
      <c r="C1620">
        <v>159615000</v>
      </c>
      <c r="D1620">
        <v>82060000</v>
      </c>
      <c r="E1620" t="s">
        <v>7896</v>
      </c>
      <c r="F1620">
        <v>8</v>
      </c>
      <c r="G1620" s="12">
        <v>77555000</v>
      </c>
      <c r="H1620">
        <v>19951875</v>
      </c>
      <c r="I1620">
        <v>9694375</v>
      </c>
    </row>
    <row r="1621" spans="1:9">
      <c r="A1621" t="s">
        <v>1504</v>
      </c>
      <c r="B1621" t="s">
        <v>18</v>
      </c>
      <c r="C1621">
        <v>5522000</v>
      </c>
      <c r="D1621">
        <v>5441000</v>
      </c>
      <c r="E1621" t="s">
        <v>7896</v>
      </c>
      <c r="F1621">
        <v>2.5</v>
      </c>
      <c r="G1621" s="12">
        <v>81000</v>
      </c>
      <c r="H1621">
        <v>2208800</v>
      </c>
      <c r="I1621">
        <v>32400</v>
      </c>
    </row>
    <row r="1622" spans="1:9">
      <c r="A1622" t="s">
        <v>1560</v>
      </c>
      <c r="B1622" t="s">
        <v>18</v>
      </c>
      <c r="C1622">
        <v>538000</v>
      </c>
      <c r="D1622">
        <v>562000</v>
      </c>
      <c r="E1622" t="s">
        <v>7896</v>
      </c>
      <c r="F1622">
        <v>2.5</v>
      </c>
      <c r="G1622" s="12">
        <v>-24000</v>
      </c>
      <c r="H1622">
        <v>215200</v>
      </c>
      <c r="I1622">
        <v>-9600</v>
      </c>
    </row>
    <row r="1623" spans="1:9">
      <c r="A1623" t="s">
        <v>1524</v>
      </c>
      <c r="B1623" t="s">
        <v>22</v>
      </c>
      <c r="C1623">
        <v>160000</v>
      </c>
      <c r="D1623">
        <v>811000</v>
      </c>
      <c r="E1623" t="s">
        <v>7896</v>
      </c>
      <c r="F1623">
        <v>13</v>
      </c>
      <c r="G1623" s="12">
        <v>-651000</v>
      </c>
      <c r="H1623">
        <v>12307.692307692309</v>
      </c>
      <c r="I1623">
        <v>-50076.923076923078</v>
      </c>
    </row>
    <row r="1624" spans="1:9">
      <c r="A1624" t="s">
        <v>1580</v>
      </c>
      <c r="B1624" t="s">
        <v>18</v>
      </c>
      <c r="C1624">
        <v>21000</v>
      </c>
      <c r="D1624">
        <v>21000</v>
      </c>
      <c r="E1624" t="s">
        <v>7896</v>
      </c>
      <c r="F1624">
        <v>2.5</v>
      </c>
      <c r="G1624" s="12">
        <v>0</v>
      </c>
      <c r="H1624">
        <v>8400</v>
      </c>
      <c r="I1624">
        <v>0</v>
      </c>
    </row>
    <row r="1625" spans="1:9">
      <c r="A1625" t="s">
        <v>1560</v>
      </c>
      <c r="B1625" t="s">
        <v>18</v>
      </c>
      <c r="C1625">
        <v>23000000</v>
      </c>
      <c r="D1625">
        <v>31215000</v>
      </c>
      <c r="E1625" t="s">
        <v>7896</v>
      </c>
      <c r="F1625">
        <v>2.5</v>
      </c>
      <c r="G1625" s="12">
        <v>-8215000</v>
      </c>
      <c r="H1625">
        <v>9200000</v>
      </c>
      <c r="I1625">
        <v>-3286000</v>
      </c>
    </row>
    <row r="1626" spans="1:9">
      <c r="A1626" t="s">
        <v>1517</v>
      </c>
      <c r="B1626" t="s">
        <v>23</v>
      </c>
      <c r="C1626">
        <v>3226282000</v>
      </c>
      <c r="D1626">
        <v>3029121000</v>
      </c>
      <c r="E1626" t="s">
        <v>7897</v>
      </c>
      <c r="F1626">
        <v>75.5</v>
      </c>
      <c r="G1626" s="12">
        <v>197161000</v>
      </c>
      <c r="H1626">
        <v>42732211.920529798</v>
      </c>
      <c r="I1626">
        <v>2611403.9735099338</v>
      </c>
    </row>
    <row r="1627" spans="1:9">
      <c r="A1627" t="s">
        <v>1532</v>
      </c>
      <c r="B1627" t="s">
        <v>18</v>
      </c>
      <c r="C1627">
        <v>23807000</v>
      </c>
      <c r="D1627">
        <v>13420000</v>
      </c>
      <c r="E1627" t="s">
        <v>7896</v>
      </c>
      <c r="F1627">
        <v>2.5</v>
      </c>
      <c r="G1627" s="12">
        <v>10387000</v>
      </c>
      <c r="H1627">
        <v>9522800</v>
      </c>
      <c r="I1627">
        <v>4154800</v>
      </c>
    </row>
    <row r="1628" spans="1:9">
      <c r="A1628" t="s">
        <v>1504</v>
      </c>
      <c r="B1628" t="s">
        <v>18</v>
      </c>
      <c r="C1628">
        <v>1503000</v>
      </c>
      <c r="D1628">
        <v>1299000</v>
      </c>
      <c r="E1628" t="s">
        <v>7896</v>
      </c>
      <c r="F1628">
        <v>2.5</v>
      </c>
      <c r="G1628" s="12">
        <v>204000</v>
      </c>
      <c r="H1628">
        <v>601200</v>
      </c>
      <c r="I1628">
        <v>81600</v>
      </c>
    </row>
    <row r="1629" spans="1:9">
      <c r="A1629" t="s">
        <v>1509</v>
      </c>
      <c r="B1629" t="s">
        <v>18</v>
      </c>
      <c r="C1629">
        <v>2369000</v>
      </c>
      <c r="D1629">
        <v>2273000</v>
      </c>
      <c r="E1629" t="s">
        <v>7896</v>
      </c>
      <c r="F1629">
        <v>2.5</v>
      </c>
      <c r="G1629" s="12">
        <v>96000</v>
      </c>
      <c r="H1629">
        <v>947600</v>
      </c>
      <c r="I1629">
        <v>38400</v>
      </c>
    </row>
    <row r="1630" spans="1:9">
      <c r="A1630" t="s">
        <v>1509</v>
      </c>
      <c r="B1630" t="s">
        <v>23</v>
      </c>
      <c r="C1630">
        <v>8061000</v>
      </c>
      <c r="D1630">
        <v>7663000</v>
      </c>
      <c r="E1630" t="s">
        <v>7897</v>
      </c>
      <c r="F1630">
        <v>75.5</v>
      </c>
      <c r="G1630" s="12">
        <v>398000</v>
      </c>
      <c r="H1630">
        <v>106768.21192052981</v>
      </c>
      <c r="I1630">
        <v>5271.5231788079473</v>
      </c>
    </row>
    <row r="1631" spans="1:9">
      <c r="A1631" t="s">
        <v>1560</v>
      </c>
      <c r="B1631" t="s">
        <v>77</v>
      </c>
      <c r="C1631">
        <v>263699000</v>
      </c>
      <c r="D1631">
        <v>255008000</v>
      </c>
      <c r="E1631" t="s">
        <v>7896</v>
      </c>
      <c r="F1631">
        <v>8</v>
      </c>
      <c r="G1631" s="12">
        <v>8691000</v>
      </c>
      <c r="H1631">
        <v>32962375</v>
      </c>
      <c r="I1631">
        <v>1086375</v>
      </c>
    </row>
    <row r="1632" spans="1:9">
      <c r="A1632" t="s">
        <v>1605</v>
      </c>
      <c r="B1632" t="s">
        <v>18</v>
      </c>
      <c r="C1632">
        <v>226000</v>
      </c>
      <c r="D1632">
        <v>4000</v>
      </c>
      <c r="E1632" t="s">
        <v>7896</v>
      </c>
      <c r="F1632">
        <v>2.5</v>
      </c>
      <c r="G1632" s="12">
        <v>222000</v>
      </c>
      <c r="H1632">
        <v>90400</v>
      </c>
      <c r="I1632">
        <v>88800</v>
      </c>
    </row>
    <row r="1633" spans="1:9">
      <c r="A1633" t="s">
        <v>1512</v>
      </c>
      <c r="B1633" t="s">
        <v>18</v>
      </c>
      <c r="C1633">
        <v>365000</v>
      </c>
      <c r="D1633">
        <v>410000</v>
      </c>
      <c r="E1633" t="s">
        <v>7896</v>
      </c>
      <c r="F1633">
        <v>2.5</v>
      </c>
      <c r="G1633" s="12">
        <v>-45000</v>
      </c>
      <c r="H1633">
        <v>146000</v>
      </c>
      <c r="I1633">
        <v>-18000</v>
      </c>
    </row>
    <row r="1634" spans="1:9">
      <c r="A1634" t="s">
        <v>1558</v>
      </c>
      <c r="B1634" t="s">
        <v>18</v>
      </c>
      <c r="C1634">
        <v>1342000</v>
      </c>
      <c r="D1634">
        <v>1293000</v>
      </c>
      <c r="E1634" t="s">
        <v>7896</v>
      </c>
      <c r="F1634">
        <v>2.5</v>
      </c>
      <c r="G1634" s="12">
        <v>49000</v>
      </c>
      <c r="H1634">
        <v>536800</v>
      </c>
      <c r="I1634">
        <v>19600</v>
      </c>
    </row>
    <row r="1635" spans="1:9">
      <c r="A1635" t="s">
        <v>1579</v>
      </c>
      <c r="B1635" t="s">
        <v>18</v>
      </c>
      <c r="C1635">
        <v>370000</v>
      </c>
      <c r="D1635">
        <v>43000</v>
      </c>
      <c r="E1635" t="s">
        <v>7896</v>
      </c>
      <c r="F1635">
        <v>2.5</v>
      </c>
      <c r="G1635" s="12">
        <v>327000</v>
      </c>
      <c r="H1635">
        <v>148000</v>
      </c>
      <c r="I1635">
        <v>130800</v>
      </c>
    </row>
    <row r="1636" spans="1:9">
      <c r="A1636" t="s">
        <v>1588</v>
      </c>
      <c r="B1636" t="s">
        <v>18</v>
      </c>
      <c r="C1636">
        <v>3209000</v>
      </c>
      <c r="D1636">
        <v>2846000</v>
      </c>
      <c r="E1636" t="s">
        <v>7896</v>
      </c>
      <c r="F1636">
        <v>2.5</v>
      </c>
      <c r="G1636" s="12">
        <v>363000</v>
      </c>
      <c r="H1636">
        <v>1283600</v>
      </c>
      <c r="I1636">
        <v>145200</v>
      </c>
    </row>
    <row r="1637" spans="1:9">
      <c r="A1637" t="s">
        <v>1512</v>
      </c>
      <c r="B1637" t="s">
        <v>18</v>
      </c>
      <c r="C1637">
        <v>3668000</v>
      </c>
      <c r="D1637">
        <v>3757000</v>
      </c>
      <c r="E1637" t="s">
        <v>7896</v>
      </c>
      <c r="F1637">
        <v>2.5</v>
      </c>
      <c r="G1637" s="12">
        <v>-89000</v>
      </c>
      <c r="H1637">
        <v>1467200</v>
      </c>
      <c r="I1637">
        <v>-35600</v>
      </c>
    </row>
    <row r="1638" spans="1:9">
      <c r="A1638" t="s">
        <v>1558</v>
      </c>
      <c r="B1638" t="s">
        <v>18</v>
      </c>
      <c r="C1638">
        <v>1585000</v>
      </c>
      <c r="D1638">
        <v>1564000</v>
      </c>
      <c r="E1638" t="s">
        <v>7896</v>
      </c>
      <c r="F1638">
        <v>2.5</v>
      </c>
      <c r="G1638" s="12">
        <v>21000</v>
      </c>
      <c r="H1638">
        <v>634000</v>
      </c>
      <c r="I1638">
        <v>8400</v>
      </c>
    </row>
    <row r="1639" spans="1:9">
      <c r="A1639" t="s">
        <v>1512</v>
      </c>
      <c r="B1639" t="s">
        <v>18</v>
      </c>
      <c r="C1639">
        <v>1241000</v>
      </c>
      <c r="D1639">
        <v>1240000</v>
      </c>
      <c r="E1639" t="s">
        <v>7896</v>
      </c>
      <c r="F1639">
        <v>2.5</v>
      </c>
      <c r="G1639" s="12">
        <v>1000</v>
      </c>
      <c r="H1639">
        <v>496400</v>
      </c>
      <c r="I1639">
        <v>400</v>
      </c>
    </row>
    <row r="1640" spans="1:9">
      <c r="A1640" t="s">
        <v>1661</v>
      </c>
      <c r="B1640" t="s">
        <v>18</v>
      </c>
      <c r="C1640">
        <v>624000</v>
      </c>
      <c r="D1640">
        <v>789000</v>
      </c>
      <c r="E1640" t="s">
        <v>7896</v>
      </c>
      <c r="F1640">
        <v>2.5</v>
      </c>
      <c r="G1640" s="12">
        <v>-165000</v>
      </c>
      <c r="H1640">
        <v>249600</v>
      </c>
      <c r="I1640">
        <v>-66000</v>
      </c>
    </row>
    <row r="1641" spans="1:9">
      <c r="A1641" t="s">
        <v>1520</v>
      </c>
      <c r="B1641" t="s">
        <v>18</v>
      </c>
      <c r="C1641">
        <v>1144000</v>
      </c>
      <c r="D1641">
        <v>1133000</v>
      </c>
      <c r="E1641" t="s">
        <v>7896</v>
      </c>
      <c r="F1641">
        <v>2.5</v>
      </c>
      <c r="G1641" s="12">
        <v>11000</v>
      </c>
      <c r="H1641">
        <v>457600</v>
      </c>
      <c r="I1641">
        <v>4400</v>
      </c>
    </row>
    <row r="1642" spans="1:9">
      <c r="A1642" t="s">
        <v>1868</v>
      </c>
      <c r="B1642" t="s">
        <v>18</v>
      </c>
      <c r="C1642">
        <v>1250000</v>
      </c>
      <c r="D1642">
        <v>132000</v>
      </c>
      <c r="E1642" t="s">
        <v>7896</v>
      </c>
      <c r="F1642">
        <v>2.5</v>
      </c>
      <c r="G1642" s="12">
        <v>1118000</v>
      </c>
      <c r="H1642">
        <v>500000</v>
      </c>
      <c r="I1642">
        <v>447200</v>
      </c>
    </row>
    <row r="1643" spans="1:9">
      <c r="A1643" t="s">
        <v>1619</v>
      </c>
      <c r="B1643" t="s">
        <v>18</v>
      </c>
      <c r="C1643">
        <v>1221000</v>
      </c>
      <c r="D1643">
        <v>1131000</v>
      </c>
      <c r="E1643" t="s">
        <v>7896</v>
      </c>
      <c r="F1643">
        <v>2.5</v>
      </c>
      <c r="G1643" s="12">
        <v>90000</v>
      </c>
      <c r="H1643">
        <v>488400</v>
      </c>
      <c r="I1643">
        <v>36000</v>
      </c>
    </row>
    <row r="1644" spans="1:9">
      <c r="A1644" t="s">
        <v>1558</v>
      </c>
      <c r="B1644" t="s">
        <v>18</v>
      </c>
      <c r="C1644">
        <v>398000</v>
      </c>
      <c r="D1644">
        <v>451000</v>
      </c>
      <c r="E1644" t="s">
        <v>7896</v>
      </c>
      <c r="F1644">
        <v>2.5</v>
      </c>
      <c r="G1644" s="12">
        <v>-53000</v>
      </c>
      <c r="H1644">
        <v>159200</v>
      </c>
      <c r="I1644">
        <v>-21200</v>
      </c>
    </row>
    <row r="1645" spans="1:9">
      <c r="A1645" t="s">
        <v>1509</v>
      </c>
      <c r="B1645" t="s">
        <v>18</v>
      </c>
      <c r="C1645">
        <v>20407000</v>
      </c>
      <c r="D1645">
        <v>17939000</v>
      </c>
      <c r="E1645" t="s">
        <v>7896</v>
      </c>
      <c r="F1645">
        <v>2.5</v>
      </c>
      <c r="G1645" s="12">
        <v>2468000</v>
      </c>
      <c r="H1645">
        <v>8162800</v>
      </c>
      <c r="I1645">
        <v>987200</v>
      </c>
    </row>
    <row r="1646" spans="1:9">
      <c r="A1646" t="s">
        <v>1509</v>
      </c>
      <c r="B1646" t="s">
        <v>18</v>
      </c>
      <c r="C1646">
        <v>1424000</v>
      </c>
      <c r="D1646">
        <v>1420000</v>
      </c>
      <c r="E1646" t="s">
        <v>7896</v>
      </c>
      <c r="F1646">
        <v>2.5</v>
      </c>
      <c r="G1646" s="12">
        <v>4000</v>
      </c>
      <c r="H1646">
        <v>569600</v>
      </c>
      <c r="I1646">
        <v>1600</v>
      </c>
    </row>
    <row r="1647" spans="1:9">
      <c r="A1647" t="s">
        <v>1508</v>
      </c>
      <c r="B1647" t="s">
        <v>18</v>
      </c>
      <c r="C1647">
        <v>1745000</v>
      </c>
      <c r="D1647">
        <v>1746000</v>
      </c>
      <c r="E1647" t="s">
        <v>7896</v>
      </c>
      <c r="F1647">
        <v>2.5</v>
      </c>
      <c r="G1647" s="12">
        <v>-1000</v>
      </c>
      <c r="H1647">
        <v>698000</v>
      </c>
      <c r="I1647">
        <v>-400</v>
      </c>
    </row>
    <row r="1648" spans="1:9">
      <c r="A1648" t="s">
        <v>1619</v>
      </c>
      <c r="B1648" t="s">
        <v>18</v>
      </c>
      <c r="C1648">
        <v>23271000</v>
      </c>
      <c r="D1648">
        <v>12868000</v>
      </c>
      <c r="E1648" t="s">
        <v>7896</v>
      </c>
      <c r="F1648">
        <v>2.5</v>
      </c>
      <c r="G1648" s="12">
        <v>10403000</v>
      </c>
      <c r="H1648">
        <v>9308400</v>
      </c>
      <c r="I1648">
        <v>4161200</v>
      </c>
    </row>
    <row r="1649" spans="1:9">
      <c r="A1649" t="s">
        <v>1560</v>
      </c>
      <c r="B1649" t="s">
        <v>18</v>
      </c>
      <c r="C1649">
        <v>2593000</v>
      </c>
      <c r="D1649">
        <v>2278000</v>
      </c>
      <c r="E1649" t="s">
        <v>7896</v>
      </c>
      <c r="F1649">
        <v>2.5</v>
      </c>
      <c r="G1649" s="12">
        <v>315000</v>
      </c>
      <c r="H1649">
        <v>1037200</v>
      </c>
      <c r="I1649">
        <v>126000</v>
      </c>
    </row>
    <row r="1650" spans="1:9">
      <c r="A1650" t="s">
        <v>1533</v>
      </c>
      <c r="B1650" t="s">
        <v>77</v>
      </c>
      <c r="C1650">
        <v>29187000</v>
      </c>
      <c r="D1650">
        <v>23176000</v>
      </c>
      <c r="E1650" t="s">
        <v>7896</v>
      </c>
      <c r="F1650">
        <v>8</v>
      </c>
      <c r="G1650" s="12">
        <v>6011000</v>
      </c>
      <c r="H1650">
        <v>3648375</v>
      </c>
      <c r="I1650">
        <v>751375</v>
      </c>
    </row>
    <row r="1651" spans="1:9">
      <c r="A1651" t="s">
        <v>1508</v>
      </c>
      <c r="B1651" t="s">
        <v>18</v>
      </c>
      <c r="C1651">
        <v>2747000</v>
      </c>
      <c r="D1651">
        <v>2727000</v>
      </c>
      <c r="E1651" t="s">
        <v>7896</v>
      </c>
      <c r="F1651">
        <v>2.5</v>
      </c>
      <c r="G1651" s="12">
        <v>20000</v>
      </c>
      <c r="H1651">
        <v>1098800</v>
      </c>
      <c r="I1651">
        <v>8000</v>
      </c>
    </row>
    <row r="1652" spans="1:9">
      <c r="A1652" t="s">
        <v>1532</v>
      </c>
      <c r="B1652" t="s">
        <v>18</v>
      </c>
      <c r="C1652">
        <v>5775000</v>
      </c>
      <c r="D1652">
        <v>5598000</v>
      </c>
      <c r="E1652" t="s">
        <v>7896</v>
      </c>
      <c r="F1652">
        <v>2.5</v>
      </c>
      <c r="G1652" s="12">
        <v>177000</v>
      </c>
      <c r="H1652">
        <v>2310000</v>
      </c>
      <c r="I1652">
        <v>70800</v>
      </c>
    </row>
    <row r="1653" spans="1:9">
      <c r="A1653" t="s">
        <v>1524</v>
      </c>
      <c r="B1653" t="s">
        <v>18</v>
      </c>
      <c r="C1653">
        <v>9176000</v>
      </c>
      <c r="D1653">
        <v>12611000</v>
      </c>
      <c r="E1653" t="s">
        <v>7896</v>
      </c>
      <c r="F1653">
        <v>2.5</v>
      </c>
      <c r="G1653" s="12">
        <v>-3435000</v>
      </c>
      <c r="H1653">
        <v>3670400</v>
      </c>
      <c r="I1653">
        <v>-1374000</v>
      </c>
    </row>
    <row r="1654" spans="1:9">
      <c r="A1654" t="s">
        <v>1560</v>
      </c>
      <c r="B1654" t="s">
        <v>18</v>
      </c>
      <c r="C1654">
        <v>604000</v>
      </c>
      <c r="D1654">
        <v>987000</v>
      </c>
      <c r="E1654" t="s">
        <v>7896</v>
      </c>
      <c r="F1654">
        <v>2.5</v>
      </c>
      <c r="G1654" s="12">
        <v>-383000</v>
      </c>
      <c r="H1654">
        <v>241600</v>
      </c>
      <c r="I1654">
        <v>-153200</v>
      </c>
    </row>
    <row r="1655" spans="1:9">
      <c r="A1655" t="s">
        <v>1794</v>
      </c>
      <c r="B1655" t="s">
        <v>18</v>
      </c>
      <c r="C1655">
        <v>118984000</v>
      </c>
      <c r="D1655">
        <v>38623000</v>
      </c>
      <c r="E1655" t="s">
        <v>7896</v>
      </c>
      <c r="F1655">
        <v>2.5</v>
      </c>
      <c r="G1655" s="12">
        <v>80361000</v>
      </c>
      <c r="H1655">
        <v>47593600</v>
      </c>
      <c r="I1655">
        <v>32144400</v>
      </c>
    </row>
    <row r="1656" spans="1:9">
      <c r="A1656" t="s">
        <v>1533</v>
      </c>
      <c r="B1656" t="s">
        <v>18</v>
      </c>
      <c r="C1656">
        <v>1031000</v>
      </c>
      <c r="D1656">
        <v>934000</v>
      </c>
      <c r="E1656" t="s">
        <v>7896</v>
      </c>
      <c r="F1656">
        <v>2.5</v>
      </c>
      <c r="G1656" s="12">
        <v>97000</v>
      </c>
      <c r="H1656">
        <v>412400</v>
      </c>
      <c r="I1656">
        <v>38800</v>
      </c>
    </row>
    <row r="1657" spans="1:9">
      <c r="A1657" t="s">
        <v>1560</v>
      </c>
      <c r="B1657" t="s">
        <v>18</v>
      </c>
      <c r="C1657">
        <v>8887000</v>
      </c>
      <c r="D1657">
        <v>8971000</v>
      </c>
      <c r="E1657" t="s">
        <v>7896</v>
      </c>
      <c r="F1657">
        <v>2.5</v>
      </c>
      <c r="G1657" s="12">
        <v>-84000</v>
      </c>
      <c r="H1657">
        <v>3554800</v>
      </c>
      <c r="I1657">
        <v>-33600</v>
      </c>
    </row>
    <row r="1658" spans="1:9">
      <c r="A1658" t="s">
        <v>1560</v>
      </c>
      <c r="B1658" t="s">
        <v>18</v>
      </c>
      <c r="C1658">
        <v>50000</v>
      </c>
      <c r="D1658">
        <v>59000</v>
      </c>
      <c r="E1658" t="s">
        <v>7896</v>
      </c>
      <c r="F1658">
        <v>2.5</v>
      </c>
      <c r="G1658" s="12">
        <v>-9000</v>
      </c>
      <c r="H1658">
        <v>20000</v>
      </c>
      <c r="I1658">
        <v>-3600</v>
      </c>
    </row>
    <row r="1659" spans="1:9">
      <c r="A1659" t="s">
        <v>1820</v>
      </c>
      <c r="B1659" t="s">
        <v>77</v>
      </c>
      <c r="C1659">
        <v>31765000</v>
      </c>
      <c r="D1659">
        <v>34134000</v>
      </c>
      <c r="E1659" t="s">
        <v>7896</v>
      </c>
      <c r="F1659">
        <v>8</v>
      </c>
      <c r="G1659" s="12">
        <v>-2369000</v>
      </c>
      <c r="H1659">
        <v>3970625</v>
      </c>
      <c r="I1659">
        <v>-296125</v>
      </c>
    </row>
    <row r="1660" spans="1:9">
      <c r="A1660" t="s">
        <v>1509</v>
      </c>
      <c r="B1660" t="s">
        <v>18</v>
      </c>
      <c r="C1660">
        <v>561000</v>
      </c>
      <c r="D1660">
        <v>628000</v>
      </c>
      <c r="E1660" t="s">
        <v>7896</v>
      </c>
      <c r="F1660">
        <v>2.5</v>
      </c>
      <c r="G1660" s="12">
        <v>-67000</v>
      </c>
      <c r="H1660">
        <v>224400</v>
      </c>
      <c r="I1660">
        <v>-26800</v>
      </c>
    </row>
    <row r="1661" spans="1:9">
      <c r="A1661" t="s">
        <v>1509</v>
      </c>
      <c r="B1661" t="s">
        <v>18</v>
      </c>
      <c r="C1661">
        <v>764000</v>
      </c>
      <c r="D1661">
        <v>764000</v>
      </c>
      <c r="E1661" t="s">
        <v>7896</v>
      </c>
      <c r="F1661">
        <v>2.5</v>
      </c>
      <c r="G1661" s="12">
        <v>0</v>
      </c>
      <c r="H1661">
        <v>305600</v>
      </c>
      <c r="I1661">
        <v>0</v>
      </c>
    </row>
    <row r="1662" spans="1:9">
      <c r="A1662" t="s">
        <v>1776</v>
      </c>
      <c r="B1662" t="s">
        <v>18</v>
      </c>
      <c r="C1662">
        <v>5425000</v>
      </c>
      <c r="D1662">
        <v>5419000</v>
      </c>
      <c r="E1662" t="s">
        <v>7896</v>
      </c>
      <c r="F1662">
        <v>2.5</v>
      </c>
      <c r="G1662" s="12">
        <v>6000</v>
      </c>
      <c r="H1662">
        <v>2170000</v>
      </c>
      <c r="I1662">
        <v>2400</v>
      </c>
    </row>
    <row r="1663" spans="1:9">
      <c r="A1663" t="s">
        <v>1820</v>
      </c>
      <c r="B1663" t="s">
        <v>18</v>
      </c>
      <c r="C1663">
        <v>82308000</v>
      </c>
      <c r="D1663">
        <v>78395000</v>
      </c>
      <c r="E1663" t="s">
        <v>7896</v>
      </c>
      <c r="F1663">
        <v>2.5</v>
      </c>
      <c r="G1663" s="12">
        <v>3913000</v>
      </c>
      <c r="H1663">
        <v>32923200</v>
      </c>
      <c r="I1663">
        <v>1565200</v>
      </c>
    </row>
    <row r="1664" spans="1:9">
      <c r="A1664" t="s">
        <v>1560</v>
      </c>
      <c r="B1664" t="s">
        <v>18</v>
      </c>
      <c r="C1664">
        <v>12048000</v>
      </c>
      <c r="D1664">
        <v>12048000</v>
      </c>
      <c r="E1664" t="s">
        <v>7896</v>
      </c>
      <c r="F1664">
        <v>2.5</v>
      </c>
      <c r="G1664" s="12">
        <v>0</v>
      </c>
      <c r="H1664">
        <v>4819200</v>
      </c>
      <c r="I1664">
        <v>0</v>
      </c>
    </row>
    <row r="1665" spans="1:9">
      <c r="A1665" t="s">
        <v>1620</v>
      </c>
      <c r="B1665" t="s">
        <v>22</v>
      </c>
      <c r="C1665">
        <v>787000</v>
      </c>
      <c r="D1665">
        <v>2786000</v>
      </c>
      <c r="E1665" t="s">
        <v>7896</v>
      </c>
      <c r="F1665">
        <v>13</v>
      </c>
      <c r="G1665" s="12">
        <v>-1999000</v>
      </c>
      <c r="H1665">
        <v>60538.461538461539</v>
      </c>
      <c r="I1665">
        <v>-153769.23076923078</v>
      </c>
    </row>
    <row r="1666" spans="1:9">
      <c r="A1666" t="s">
        <v>1511</v>
      </c>
      <c r="B1666" t="s">
        <v>18</v>
      </c>
      <c r="C1666">
        <v>25905000</v>
      </c>
      <c r="D1666">
        <v>26371000</v>
      </c>
      <c r="E1666" t="s">
        <v>7896</v>
      </c>
      <c r="F1666">
        <v>2.5</v>
      </c>
      <c r="G1666" s="12">
        <v>-466000</v>
      </c>
      <c r="H1666">
        <v>10362000</v>
      </c>
      <c r="I1666">
        <v>-186400</v>
      </c>
    </row>
    <row r="1667" spans="1:9">
      <c r="A1667" t="s">
        <v>1526</v>
      </c>
      <c r="B1667" t="s">
        <v>22</v>
      </c>
      <c r="C1667">
        <v>5933000</v>
      </c>
      <c r="D1667">
        <v>6059000</v>
      </c>
      <c r="E1667" t="s">
        <v>7896</v>
      </c>
      <c r="F1667">
        <v>13</v>
      </c>
      <c r="G1667" s="12">
        <v>-126000</v>
      </c>
      <c r="H1667">
        <v>456384.61538461538</v>
      </c>
      <c r="I1667">
        <v>-9692.3076923076915</v>
      </c>
    </row>
    <row r="1668" spans="1:9">
      <c r="A1668" t="s">
        <v>1521</v>
      </c>
      <c r="B1668" t="s">
        <v>807</v>
      </c>
      <c r="C1668">
        <v>61367000</v>
      </c>
      <c r="D1668">
        <v>61661000</v>
      </c>
      <c r="E1668" t="s">
        <v>7897</v>
      </c>
      <c r="F1668">
        <v>175.5</v>
      </c>
      <c r="G1668" s="12">
        <v>-294000</v>
      </c>
      <c r="H1668">
        <v>349669.51566951565</v>
      </c>
      <c r="I1668">
        <v>-1675.2136752136753</v>
      </c>
    </row>
    <row r="1669" spans="1:9">
      <c r="A1669" t="s">
        <v>1517</v>
      </c>
      <c r="B1669" t="s">
        <v>18</v>
      </c>
      <c r="C1669">
        <v>1038000</v>
      </c>
      <c r="D1669">
        <v>1657000</v>
      </c>
      <c r="E1669" t="s">
        <v>7896</v>
      </c>
      <c r="F1669">
        <v>2.5</v>
      </c>
      <c r="G1669" s="12">
        <v>-619000</v>
      </c>
      <c r="H1669">
        <v>415200</v>
      </c>
      <c r="I1669">
        <v>-247600</v>
      </c>
    </row>
    <row r="1670" spans="1:9">
      <c r="A1670" t="s">
        <v>1510</v>
      </c>
      <c r="B1670" t="s">
        <v>23</v>
      </c>
      <c r="C1670">
        <v>25311000</v>
      </c>
      <c r="D1670">
        <v>25228000</v>
      </c>
      <c r="E1670" t="s">
        <v>7897</v>
      </c>
      <c r="F1670">
        <v>75.5</v>
      </c>
      <c r="G1670" s="12">
        <v>83000</v>
      </c>
      <c r="H1670">
        <v>335245.03311258281</v>
      </c>
      <c r="I1670">
        <v>1099.3377483443708</v>
      </c>
    </row>
    <row r="1671" spans="1:9">
      <c r="A1671" t="s">
        <v>1662</v>
      </c>
      <c r="B1671" t="s">
        <v>18</v>
      </c>
      <c r="C1671">
        <v>5070000</v>
      </c>
      <c r="D1671">
        <v>5510000</v>
      </c>
      <c r="E1671" t="s">
        <v>7896</v>
      </c>
      <c r="F1671">
        <v>2.5</v>
      </c>
      <c r="G1671" s="12">
        <v>-440000</v>
      </c>
      <c r="H1671">
        <v>2028000</v>
      </c>
      <c r="I1671">
        <v>-176000</v>
      </c>
    </row>
    <row r="1672" spans="1:9">
      <c r="A1672" t="s">
        <v>1620</v>
      </c>
      <c r="B1672" t="s">
        <v>18</v>
      </c>
      <c r="C1672">
        <v>3840000</v>
      </c>
      <c r="D1672">
        <v>3840000</v>
      </c>
      <c r="E1672" t="s">
        <v>7896</v>
      </c>
      <c r="F1672">
        <v>2.5</v>
      </c>
      <c r="G1672" s="12">
        <v>0</v>
      </c>
      <c r="H1672">
        <v>1536000</v>
      </c>
      <c r="I1672">
        <v>0</v>
      </c>
    </row>
    <row r="1673" spans="1:9">
      <c r="A1673" t="s">
        <v>1662</v>
      </c>
      <c r="B1673" t="s">
        <v>18</v>
      </c>
      <c r="C1673">
        <v>4185000</v>
      </c>
      <c r="D1673">
        <v>3606000</v>
      </c>
      <c r="E1673" t="s">
        <v>7896</v>
      </c>
      <c r="F1673">
        <v>2.5</v>
      </c>
      <c r="G1673" s="12">
        <v>579000</v>
      </c>
      <c r="H1673">
        <v>1674000</v>
      </c>
      <c r="I1673">
        <v>231600</v>
      </c>
    </row>
    <row r="1674" spans="1:9">
      <c r="A1674" t="s">
        <v>1661</v>
      </c>
      <c r="B1674" t="s">
        <v>22</v>
      </c>
      <c r="C1674">
        <v>1416000</v>
      </c>
      <c r="D1674">
        <v>1519000</v>
      </c>
      <c r="E1674" t="s">
        <v>7896</v>
      </c>
      <c r="F1674">
        <v>13</v>
      </c>
      <c r="G1674" s="12">
        <v>-103000</v>
      </c>
      <c r="H1674">
        <v>108923.07692307692</v>
      </c>
      <c r="I1674">
        <v>-7923.0769230769229</v>
      </c>
    </row>
    <row r="1675" spans="1:9">
      <c r="A1675" t="s">
        <v>1643</v>
      </c>
      <c r="B1675" t="s">
        <v>23</v>
      </c>
      <c r="C1675">
        <v>23834000</v>
      </c>
      <c r="D1675">
        <v>23717000</v>
      </c>
      <c r="E1675" t="s">
        <v>7897</v>
      </c>
      <c r="F1675">
        <v>75.5</v>
      </c>
      <c r="G1675" s="12">
        <v>117000</v>
      </c>
      <c r="H1675">
        <v>315682.11920529802</v>
      </c>
      <c r="I1675">
        <v>1549.6688741721855</v>
      </c>
    </row>
    <row r="1676" spans="1:9">
      <c r="A1676" t="s">
        <v>1508</v>
      </c>
      <c r="B1676" t="s">
        <v>23</v>
      </c>
      <c r="C1676">
        <v>29407000</v>
      </c>
      <c r="D1676">
        <v>28853000</v>
      </c>
      <c r="E1676" t="s">
        <v>7897</v>
      </c>
      <c r="F1676">
        <v>75.5</v>
      </c>
      <c r="G1676" s="12">
        <v>554000</v>
      </c>
      <c r="H1676">
        <v>389496.68874172185</v>
      </c>
      <c r="I1676">
        <v>7337.7483443708607</v>
      </c>
    </row>
    <row r="1677" spans="1:9">
      <c r="A1677" t="s">
        <v>1560</v>
      </c>
      <c r="B1677" t="s">
        <v>23</v>
      </c>
      <c r="C1677">
        <v>38447000</v>
      </c>
      <c r="D1677">
        <v>38389000</v>
      </c>
      <c r="E1677" t="s">
        <v>7897</v>
      </c>
      <c r="F1677">
        <v>75.5</v>
      </c>
      <c r="G1677" s="12">
        <v>58000</v>
      </c>
      <c r="H1677">
        <v>509231.78807947022</v>
      </c>
      <c r="I1677">
        <v>768.21192052980132</v>
      </c>
    </row>
    <row r="1678" spans="1:9">
      <c r="A1678" t="s">
        <v>1642</v>
      </c>
      <c r="B1678" t="s">
        <v>23</v>
      </c>
      <c r="C1678">
        <v>22798000</v>
      </c>
      <c r="D1678">
        <v>22374000</v>
      </c>
      <c r="E1678" t="s">
        <v>7897</v>
      </c>
      <c r="F1678">
        <v>75.5</v>
      </c>
      <c r="G1678" s="12">
        <v>424000</v>
      </c>
      <c r="H1678">
        <v>301960.26490066224</v>
      </c>
      <c r="I1678">
        <v>5615.8940397350989</v>
      </c>
    </row>
    <row r="1679" spans="1:9">
      <c r="A1679" t="s">
        <v>1535</v>
      </c>
      <c r="B1679" t="s">
        <v>23</v>
      </c>
      <c r="C1679">
        <v>19355000</v>
      </c>
      <c r="D1679">
        <v>17444000</v>
      </c>
      <c r="E1679" t="s">
        <v>7897</v>
      </c>
      <c r="F1679">
        <v>75.5</v>
      </c>
      <c r="G1679" s="12">
        <v>1911000</v>
      </c>
      <c r="H1679">
        <v>256357.61589403974</v>
      </c>
      <c r="I1679">
        <v>25311.258278145695</v>
      </c>
    </row>
    <row r="1680" spans="1:9">
      <c r="A1680" t="s">
        <v>1532</v>
      </c>
      <c r="B1680" t="s">
        <v>18</v>
      </c>
      <c r="C1680">
        <v>10400000</v>
      </c>
      <c r="D1680">
        <v>8102000</v>
      </c>
      <c r="E1680" t="s">
        <v>7896</v>
      </c>
      <c r="F1680">
        <v>2.5</v>
      </c>
      <c r="G1680" s="12">
        <v>2298000</v>
      </c>
      <c r="H1680">
        <v>4160000</v>
      </c>
      <c r="I1680">
        <v>919200</v>
      </c>
    </row>
    <row r="1681" spans="1:9">
      <c r="A1681" t="s">
        <v>1508</v>
      </c>
      <c r="B1681" t="s">
        <v>18</v>
      </c>
      <c r="C1681">
        <v>306000</v>
      </c>
      <c r="D1681">
        <v>92000</v>
      </c>
      <c r="E1681" t="s">
        <v>7896</v>
      </c>
      <c r="F1681">
        <v>2.5</v>
      </c>
      <c r="G1681" s="12">
        <v>214000</v>
      </c>
      <c r="H1681">
        <v>122400</v>
      </c>
      <c r="I1681">
        <v>85600</v>
      </c>
    </row>
    <row r="1682" spans="1:9">
      <c r="A1682" t="s">
        <v>1508</v>
      </c>
      <c r="B1682" t="s">
        <v>77</v>
      </c>
      <c r="C1682">
        <v>387000</v>
      </c>
      <c r="D1682">
        <v>543000</v>
      </c>
      <c r="E1682" t="s">
        <v>7896</v>
      </c>
      <c r="F1682">
        <v>8</v>
      </c>
      <c r="G1682" s="12">
        <v>-156000</v>
      </c>
      <c r="H1682">
        <v>48375</v>
      </c>
      <c r="I1682">
        <v>-19500</v>
      </c>
    </row>
    <row r="1683" spans="1:9">
      <c r="A1683" t="s">
        <v>1524</v>
      </c>
      <c r="B1683" t="s">
        <v>18</v>
      </c>
      <c r="C1683">
        <v>773000</v>
      </c>
      <c r="D1683">
        <v>779000</v>
      </c>
      <c r="E1683" t="s">
        <v>7896</v>
      </c>
      <c r="F1683">
        <v>2.5</v>
      </c>
      <c r="G1683" s="12">
        <v>-6000</v>
      </c>
      <c r="H1683">
        <v>309200</v>
      </c>
      <c r="I1683">
        <v>-2400</v>
      </c>
    </row>
    <row r="1684" spans="1:9">
      <c r="A1684" t="s">
        <v>1535</v>
      </c>
      <c r="B1684" t="s">
        <v>18</v>
      </c>
      <c r="C1684">
        <v>4131000</v>
      </c>
      <c r="D1684">
        <v>4118000</v>
      </c>
      <c r="E1684" t="s">
        <v>7896</v>
      </c>
      <c r="F1684">
        <v>2.5</v>
      </c>
      <c r="G1684" s="12">
        <v>13000</v>
      </c>
      <c r="H1684">
        <v>1652400</v>
      </c>
      <c r="I1684">
        <v>5200</v>
      </c>
    </row>
    <row r="1685" spans="1:9">
      <c r="A1685" t="s">
        <v>1516</v>
      </c>
      <c r="B1685" t="s">
        <v>18</v>
      </c>
      <c r="C1685">
        <v>595000</v>
      </c>
      <c r="D1685">
        <v>594000</v>
      </c>
      <c r="E1685" t="s">
        <v>7896</v>
      </c>
      <c r="F1685">
        <v>2.5</v>
      </c>
      <c r="G1685" s="12">
        <v>1000</v>
      </c>
      <c r="H1685">
        <v>238000</v>
      </c>
      <c r="I1685">
        <v>400</v>
      </c>
    </row>
    <row r="1686" spans="1:9">
      <c r="A1686" t="s">
        <v>1532</v>
      </c>
      <c r="B1686" t="s">
        <v>22</v>
      </c>
      <c r="C1686">
        <v>23321000</v>
      </c>
      <c r="D1686">
        <v>22731000</v>
      </c>
      <c r="E1686" t="s">
        <v>7896</v>
      </c>
      <c r="F1686">
        <v>13</v>
      </c>
      <c r="G1686" s="12">
        <v>590000</v>
      </c>
      <c r="H1686">
        <v>1793923.076923077</v>
      </c>
      <c r="I1686">
        <v>45384.615384615383</v>
      </c>
    </row>
    <row r="1687" spans="1:9">
      <c r="A1687" t="s">
        <v>1532</v>
      </c>
      <c r="B1687" t="s">
        <v>22</v>
      </c>
      <c r="C1687">
        <v>8030000</v>
      </c>
      <c r="D1687">
        <v>5350000</v>
      </c>
      <c r="E1687" t="s">
        <v>7896</v>
      </c>
      <c r="F1687">
        <v>13</v>
      </c>
      <c r="G1687" s="12">
        <v>2680000</v>
      </c>
      <c r="H1687">
        <v>617692.30769230775</v>
      </c>
      <c r="I1687">
        <v>206153.84615384616</v>
      </c>
    </row>
    <row r="1688" spans="1:9">
      <c r="A1688" t="s">
        <v>1520</v>
      </c>
      <c r="B1688" t="s">
        <v>18</v>
      </c>
      <c r="C1688">
        <v>1930000</v>
      </c>
      <c r="D1688">
        <v>1948000</v>
      </c>
      <c r="E1688" t="s">
        <v>7896</v>
      </c>
      <c r="F1688">
        <v>2.5</v>
      </c>
      <c r="G1688" s="12">
        <v>-18000</v>
      </c>
      <c r="H1688">
        <v>772000</v>
      </c>
      <c r="I1688">
        <v>-7200</v>
      </c>
    </row>
    <row r="1689" spans="1:9">
      <c r="A1689" t="s">
        <v>1532</v>
      </c>
      <c r="B1689" t="s">
        <v>18</v>
      </c>
      <c r="C1689">
        <v>48550000</v>
      </c>
      <c r="D1689">
        <v>50669000</v>
      </c>
      <c r="E1689" t="s">
        <v>7896</v>
      </c>
      <c r="F1689">
        <v>2.5</v>
      </c>
      <c r="G1689" s="12">
        <v>-2119000</v>
      </c>
      <c r="H1689">
        <v>19420000</v>
      </c>
      <c r="I1689">
        <v>-847600</v>
      </c>
    </row>
    <row r="1690" spans="1:9">
      <c r="A1690" t="s">
        <v>1767</v>
      </c>
      <c r="B1690" t="s">
        <v>18</v>
      </c>
      <c r="C1690">
        <v>925000</v>
      </c>
      <c r="D1690">
        <v>1035000</v>
      </c>
      <c r="E1690" t="s">
        <v>7896</v>
      </c>
      <c r="F1690">
        <v>2.5</v>
      </c>
      <c r="G1690" s="12">
        <v>-110000</v>
      </c>
      <c r="H1690">
        <v>370000</v>
      </c>
      <c r="I1690">
        <v>-44000</v>
      </c>
    </row>
    <row r="1691" spans="1:9">
      <c r="A1691" t="s">
        <v>1661</v>
      </c>
      <c r="B1691" t="s">
        <v>18</v>
      </c>
      <c r="C1691">
        <v>684000</v>
      </c>
      <c r="D1691">
        <v>775000</v>
      </c>
      <c r="E1691" t="s">
        <v>7896</v>
      </c>
      <c r="F1691">
        <v>2.5</v>
      </c>
      <c r="G1691" s="12">
        <v>-91000</v>
      </c>
      <c r="H1691">
        <v>273600</v>
      </c>
      <c r="I1691">
        <v>-36400</v>
      </c>
    </row>
    <row r="1692" spans="1:9">
      <c r="A1692" t="s">
        <v>1516</v>
      </c>
      <c r="B1692" t="s">
        <v>302</v>
      </c>
      <c r="C1692">
        <v>803889000</v>
      </c>
      <c r="D1692">
        <v>797290000</v>
      </c>
      <c r="E1692" t="s">
        <v>7897</v>
      </c>
      <c r="F1692">
        <v>125.5</v>
      </c>
      <c r="G1692" s="12">
        <v>6599000</v>
      </c>
      <c r="H1692">
        <v>6405490.0398406377</v>
      </c>
      <c r="I1692">
        <v>52581.673306772907</v>
      </c>
    </row>
    <row r="1693" spans="1:9">
      <c r="A1693" t="s">
        <v>1565</v>
      </c>
      <c r="B1693" t="s">
        <v>18</v>
      </c>
      <c r="C1693">
        <v>15604000</v>
      </c>
      <c r="D1693">
        <v>15641000</v>
      </c>
      <c r="E1693" t="s">
        <v>7896</v>
      </c>
      <c r="F1693">
        <v>2.5</v>
      </c>
      <c r="G1693" s="12">
        <v>-37000</v>
      </c>
      <c r="H1693">
        <v>6241600</v>
      </c>
      <c r="I1693">
        <v>-14800</v>
      </c>
    </row>
    <row r="1694" spans="1:9">
      <c r="A1694" t="s">
        <v>1520</v>
      </c>
      <c r="B1694" t="s">
        <v>18</v>
      </c>
      <c r="C1694">
        <v>9601000</v>
      </c>
      <c r="D1694">
        <v>8712000</v>
      </c>
      <c r="E1694" t="s">
        <v>7896</v>
      </c>
      <c r="F1694">
        <v>2.5</v>
      </c>
      <c r="G1694" s="12">
        <v>889000</v>
      </c>
      <c r="H1694">
        <v>3840400</v>
      </c>
      <c r="I1694">
        <v>355600</v>
      </c>
    </row>
    <row r="1695" spans="1:9">
      <c r="A1695" t="s">
        <v>1579</v>
      </c>
      <c r="B1695" t="s">
        <v>18</v>
      </c>
      <c r="C1695">
        <v>50000</v>
      </c>
      <c r="D1695">
        <v>50000</v>
      </c>
      <c r="E1695" t="s">
        <v>7896</v>
      </c>
      <c r="F1695">
        <v>2.5</v>
      </c>
      <c r="G1695" s="12">
        <v>0</v>
      </c>
      <c r="H1695">
        <v>20000</v>
      </c>
      <c r="I1695">
        <v>0</v>
      </c>
    </row>
    <row r="1696" spans="1:9">
      <c r="A1696" t="s">
        <v>1580</v>
      </c>
      <c r="B1696" t="s">
        <v>18</v>
      </c>
      <c r="C1696">
        <v>569000</v>
      </c>
      <c r="D1696">
        <v>809000</v>
      </c>
      <c r="E1696" t="s">
        <v>7896</v>
      </c>
      <c r="F1696">
        <v>2.5</v>
      </c>
      <c r="G1696" s="12">
        <v>-240000</v>
      </c>
      <c r="H1696">
        <v>227600</v>
      </c>
      <c r="I1696">
        <v>-96000</v>
      </c>
    </row>
    <row r="1697" spans="1:9">
      <c r="A1697" t="s">
        <v>1801</v>
      </c>
      <c r="B1697" t="s">
        <v>18</v>
      </c>
      <c r="C1697">
        <v>2816000</v>
      </c>
      <c r="D1697">
        <v>2593000</v>
      </c>
      <c r="E1697" t="s">
        <v>7896</v>
      </c>
      <c r="F1697">
        <v>2.5</v>
      </c>
      <c r="G1697" s="12">
        <v>223000</v>
      </c>
      <c r="H1697">
        <v>1126400</v>
      </c>
      <c r="I1697">
        <v>89200</v>
      </c>
    </row>
    <row r="1698" spans="1:9">
      <c r="A1698" t="s">
        <v>1898</v>
      </c>
      <c r="B1698" t="s">
        <v>18</v>
      </c>
      <c r="C1698">
        <v>3203000</v>
      </c>
      <c r="D1698">
        <v>2795000</v>
      </c>
      <c r="E1698" t="s">
        <v>7896</v>
      </c>
      <c r="F1698">
        <v>2.5</v>
      </c>
      <c r="G1698" s="12">
        <v>408000</v>
      </c>
      <c r="H1698">
        <v>1281200</v>
      </c>
      <c r="I1698">
        <v>163200</v>
      </c>
    </row>
    <row r="1699" spans="1:9">
      <c r="A1699" t="s">
        <v>1516</v>
      </c>
      <c r="B1699" t="s">
        <v>18</v>
      </c>
      <c r="C1699">
        <v>746000</v>
      </c>
      <c r="D1699">
        <v>712000</v>
      </c>
      <c r="E1699" t="s">
        <v>7896</v>
      </c>
      <c r="F1699">
        <v>2.5</v>
      </c>
      <c r="G1699" s="12">
        <v>34000</v>
      </c>
      <c r="H1699">
        <v>298400</v>
      </c>
      <c r="I1699">
        <v>13600</v>
      </c>
    </row>
    <row r="1700" spans="1:9">
      <c r="A1700" t="s">
        <v>1512</v>
      </c>
      <c r="B1700" t="s">
        <v>18</v>
      </c>
      <c r="C1700">
        <v>15687000</v>
      </c>
      <c r="D1700">
        <v>16605000</v>
      </c>
      <c r="E1700" t="s">
        <v>7896</v>
      </c>
      <c r="F1700">
        <v>2.5</v>
      </c>
      <c r="G1700" s="12">
        <v>-918000</v>
      </c>
      <c r="H1700">
        <v>6274800</v>
      </c>
      <c r="I1700">
        <v>-367200</v>
      </c>
    </row>
    <row r="1701" spans="1:9">
      <c r="A1701" t="s">
        <v>1512</v>
      </c>
      <c r="B1701" t="s">
        <v>18</v>
      </c>
      <c r="C1701">
        <v>5072000</v>
      </c>
      <c r="D1701">
        <v>5210000</v>
      </c>
      <c r="E1701" t="s">
        <v>7896</v>
      </c>
      <c r="F1701">
        <v>2.5</v>
      </c>
      <c r="G1701" s="12">
        <v>-138000</v>
      </c>
      <c r="H1701">
        <v>2028800</v>
      </c>
      <c r="I1701">
        <v>-55200</v>
      </c>
    </row>
    <row r="1702" spans="1:9">
      <c r="A1702" t="s">
        <v>1525</v>
      </c>
      <c r="B1702" t="s">
        <v>18</v>
      </c>
      <c r="C1702">
        <v>1222000</v>
      </c>
      <c r="D1702">
        <v>1222000</v>
      </c>
      <c r="E1702" t="s">
        <v>7896</v>
      </c>
      <c r="F1702">
        <v>2.5</v>
      </c>
      <c r="G1702" s="12">
        <v>0</v>
      </c>
      <c r="H1702">
        <v>488800</v>
      </c>
      <c r="I1702">
        <v>0</v>
      </c>
    </row>
    <row r="1703" spans="1:9">
      <c r="A1703" t="s">
        <v>1595</v>
      </c>
      <c r="B1703" t="s">
        <v>22</v>
      </c>
      <c r="C1703">
        <v>82176000</v>
      </c>
      <c r="D1703">
        <v>20911000</v>
      </c>
      <c r="E1703" t="s">
        <v>7896</v>
      </c>
      <c r="F1703">
        <v>13</v>
      </c>
      <c r="G1703" s="12">
        <v>61265000</v>
      </c>
      <c r="H1703">
        <v>6321230.769230769</v>
      </c>
      <c r="I1703">
        <v>4712692.307692308</v>
      </c>
    </row>
    <row r="1704" spans="1:9">
      <c r="A1704" t="s">
        <v>1508</v>
      </c>
      <c r="B1704" t="s">
        <v>18</v>
      </c>
      <c r="C1704">
        <v>1791000</v>
      </c>
      <c r="D1704">
        <v>1875000</v>
      </c>
      <c r="E1704" t="s">
        <v>7896</v>
      </c>
      <c r="F1704">
        <v>2.5</v>
      </c>
      <c r="G1704" s="12">
        <v>-84000</v>
      </c>
      <c r="H1704">
        <v>716400</v>
      </c>
      <c r="I1704">
        <v>-33600</v>
      </c>
    </row>
    <row r="1705" spans="1:9">
      <c r="A1705" t="s">
        <v>1579</v>
      </c>
      <c r="B1705" t="s">
        <v>18</v>
      </c>
      <c r="C1705">
        <v>64000</v>
      </c>
      <c r="D1705">
        <v>64000</v>
      </c>
      <c r="E1705" t="s">
        <v>7896</v>
      </c>
      <c r="F1705">
        <v>2.5</v>
      </c>
      <c r="G1705" s="12">
        <v>0</v>
      </c>
      <c r="H1705">
        <v>25600</v>
      </c>
      <c r="I1705">
        <v>0</v>
      </c>
    </row>
    <row r="1706" spans="1:9">
      <c r="A1706" t="s">
        <v>1509</v>
      </c>
      <c r="B1706" t="s">
        <v>18</v>
      </c>
      <c r="C1706">
        <v>49813000</v>
      </c>
      <c r="D1706">
        <v>46691000</v>
      </c>
      <c r="E1706" t="s">
        <v>7896</v>
      </c>
      <c r="F1706">
        <v>2.5</v>
      </c>
      <c r="G1706" s="12">
        <v>3122000</v>
      </c>
      <c r="H1706">
        <v>19925200</v>
      </c>
      <c r="I1706">
        <v>1248800</v>
      </c>
    </row>
    <row r="1707" spans="1:9">
      <c r="A1707" t="s">
        <v>1508</v>
      </c>
      <c r="B1707" t="s">
        <v>18</v>
      </c>
      <c r="C1707">
        <v>200000</v>
      </c>
      <c r="D1707">
        <v>272000</v>
      </c>
      <c r="E1707" t="s">
        <v>7896</v>
      </c>
      <c r="F1707">
        <v>2.5</v>
      </c>
      <c r="G1707" s="12">
        <v>-72000</v>
      </c>
      <c r="H1707">
        <v>80000</v>
      </c>
      <c r="I1707">
        <v>-28800</v>
      </c>
    </row>
    <row r="1708" spans="1:9">
      <c r="A1708" t="s">
        <v>1509</v>
      </c>
      <c r="B1708" t="s">
        <v>23</v>
      </c>
      <c r="C1708">
        <v>17537000</v>
      </c>
      <c r="D1708">
        <v>17366000</v>
      </c>
      <c r="E1708" t="s">
        <v>7897</v>
      </c>
      <c r="F1708">
        <v>75.5</v>
      </c>
      <c r="G1708" s="12">
        <v>171000</v>
      </c>
      <c r="H1708">
        <v>232278.14569536425</v>
      </c>
      <c r="I1708">
        <v>2264.9006622516558</v>
      </c>
    </row>
    <row r="1709" spans="1:9">
      <c r="A1709" t="s">
        <v>1535</v>
      </c>
      <c r="B1709" t="s">
        <v>18</v>
      </c>
      <c r="C1709">
        <v>7328000</v>
      </c>
      <c r="D1709">
        <v>6879000</v>
      </c>
      <c r="E1709" t="s">
        <v>7896</v>
      </c>
      <c r="F1709">
        <v>2.5</v>
      </c>
      <c r="G1709" s="12">
        <v>449000</v>
      </c>
      <c r="H1709">
        <v>2931200</v>
      </c>
      <c r="I1709">
        <v>179600</v>
      </c>
    </row>
    <row r="1710" spans="1:9">
      <c r="A1710" t="s">
        <v>1661</v>
      </c>
      <c r="B1710" t="s">
        <v>18</v>
      </c>
      <c r="C1710">
        <v>256000</v>
      </c>
      <c r="D1710">
        <v>243000</v>
      </c>
      <c r="E1710" t="s">
        <v>7896</v>
      </c>
      <c r="F1710">
        <v>2.5</v>
      </c>
      <c r="G1710" s="12">
        <v>13000</v>
      </c>
      <c r="H1710">
        <v>102400</v>
      </c>
      <c r="I1710">
        <v>5200</v>
      </c>
    </row>
    <row r="1711" spans="1:9">
      <c r="A1711" t="s">
        <v>1868</v>
      </c>
      <c r="B1711" t="s">
        <v>77</v>
      </c>
      <c r="C1711">
        <v>12726000</v>
      </c>
      <c r="D1711">
        <v>12263000</v>
      </c>
      <c r="E1711" t="s">
        <v>7896</v>
      </c>
      <c r="F1711">
        <v>8</v>
      </c>
      <c r="G1711" s="12">
        <v>463000</v>
      </c>
      <c r="H1711">
        <v>1590750</v>
      </c>
      <c r="I1711">
        <v>57875</v>
      </c>
    </row>
    <row r="1712" spans="1:9">
      <c r="A1712" t="s">
        <v>1532</v>
      </c>
      <c r="B1712" t="s">
        <v>18</v>
      </c>
      <c r="C1712">
        <v>4635000</v>
      </c>
      <c r="D1712">
        <v>4917000</v>
      </c>
      <c r="E1712" t="s">
        <v>7896</v>
      </c>
      <c r="F1712">
        <v>2.5</v>
      </c>
      <c r="G1712" s="12">
        <v>-282000</v>
      </c>
      <c r="H1712">
        <v>1854000</v>
      </c>
      <c r="I1712">
        <v>-112800</v>
      </c>
    </row>
    <row r="1713" spans="1:9">
      <c r="A1713" t="s">
        <v>1521</v>
      </c>
      <c r="B1713" t="s">
        <v>18</v>
      </c>
      <c r="C1713">
        <v>3141000</v>
      </c>
      <c r="D1713">
        <v>3090000</v>
      </c>
      <c r="E1713" t="s">
        <v>7896</v>
      </c>
      <c r="F1713">
        <v>2.5</v>
      </c>
      <c r="G1713" s="12">
        <v>51000</v>
      </c>
      <c r="H1713">
        <v>1256400</v>
      </c>
      <c r="I1713">
        <v>20400</v>
      </c>
    </row>
    <row r="1714" spans="1:9">
      <c r="A1714" t="s">
        <v>1512</v>
      </c>
      <c r="B1714" t="s">
        <v>18</v>
      </c>
      <c r="C1714">
        <v>2915000</v>
      </c>
      <c r="D1714">
        <v>2794000</v>
      </c>
      <c r="E1714" t="s">
        <v>7896</v>
      </c>
      <c r="F1714">
        <v>2.5</v>
      </c>
      <c r="G1714" s="12">
        <v>121000</v>
      </c>
      <c r="H1714">
        <v>1166000</v>
      </c>
      <c r="I1714">
        <v>48400</v>
      </c>
    </row>
    <row r="1715" spans="1:9">
      <c r="A1715" t="s">
        <v>1580</v>
      </c>
      <c r="B1715" t="s">
        <v>18</v>
      </c>
      <c r="C1715">
        <v>699000</v>
      </c>
      <c r="D1715">
        <v>706000</v>
      </c>
      <c r="E1715" t="s">
        <v>7896</v>
      </c>
      <c r="F1715">
        <v>2.5</v>
      </c>
      <c r="G1715" s="12">
        <v>-7000</v>
      </c>
      <c r="H1715">
        <v>279600</v>
      </c>
      <c r="I1715">
        <v>-2800</v>
      </c>
    </row>
    <row r="1716" spans="1:9">
      <c r="A1716" t="s">
        <v>1518</v>
      </c>
      <c r="B1716" t="s">
        <v>18</v>
      </c>
      <c r="C1716">
        <v>39931000</v>
      </c>
      <c r="D1716">
        <v>40087000</v>
      </c>
      <c r="E1716" t="s">
        <v>7896</v>
      </c>
      <c r="F1716">
        <v>2.5</v>
      </c>
      <c r="G1716" s="12">
        <v>-156000</v>
      </c>
      <c r="H1716">
        <v>15972400</v>
      </c>
      <c r="I1716">
        <v>-62400</v>
      </c>
    </row>
    <row r="1717" spans="1:9">
      <c r="A1717" t="s">
        <v>1532</v>
      </c>
      <c r="B1717" t="s">
        <v>18</v>
      </c>
      <c r="C1717">
        <v>295000</v>
      </c>
      <c r="D1717">
        <v>295000</v>
      </c>
      <c r="E1717" t="s">
        <v>7896</v>
      </c>
      <c r="F1717">
        <v>2.5</v>
      </c>
      <c r="G1717" s="12">
        <v>0</v>
      </c>
      <c r="H1717">
        <v>118000</v>
      </c>
      <c r="I1717">
        <v>0</v>
      </c>
    </row>
    <row r="1718" spans="1:9">
      <c r="A1718" t="s">
        <v>1508</v>
      </c>
      <c r="B1718" t="s">
        <v>77</v>
      </c>
      <c r="C1718">
        <v>21745000</v>
      </c>
      <c r="D1718">
        <v>22882000</v>
      </c>
      <c r="E1718" t="s">
        <v>7896</v>
      </c>
      <c r="F1718">
        <v>8</v>
      </c>
      <c r="G1718" s="12">
        <v>-1137000</v>
      </c>
      <c r="H1718">
        <v>2718125</v>
      </c>
      <c r="I1718">
        <v>-142125</v>
      </c>
    </row>
    <row r="1719" spans="1:9">
      <c r="A1719" t="s">
        <v>1532</v>
      </c>
      <c r="B1719" t="s">
        <v>18</v>
      </c>
      <c r="C1719">
        <v>15065000</v>
      </c>
      <c r="D1719">
        <v>14492000</v>
      </c>
      <c r="E1719" t="s">
        <v>7896</v>
      </c>
      <c r="F1719">
        <v>2.5</v>
      </c>
      <c r="G1719" s="12">
        <v>573000</v>
      </c>
      <c r="H1719">
        <v>6026000</v>
      </c>
      <c r="I1719">
        <v>229200</v>
      </c>
    </row>
    <row r="1720" spans="1:9">
      <c r="A1720" t="s">
        <v>1646</v>
      </c>
      <c r="B1720" t="s">
        <v>18</v>
      </c>
      <c r="C1720">
        <v>10000</v>
      </c>
      <c r="D1720">
        <v>10000</v>
      </c>
      <c r="E1720" t="s">
        <v>7896</v>
      </c>
      <c r="F1720">
        <v>2.5</v>
      </c>
      <c r="G1720" s="12">
        <v>0</v>
      </c>
      <c r="H1720">
        <v>4000</v>
      </c>
      <c r="I1720">
        <v>0</v>
      </c>
    </row>
    <row r="1721" spans="1:9">
      <c r="A1721" t="s">
        <v>13</v>
      </c>
      <c r="B1721" t="s">
        <v>23</v>
      </c>
      <c r="C1721">
        <v>248596000</v>
      </c>
      <c r="D1721">
        <v>408668000</v>
      </c>
      <c r="E1721" t="s">
        <v>7897</v>
      </c>
      <c r="F1721">
        <v>75.5</v>
      </c>
      <c r="G1721" s="12">
        <v>-160072000</v>
      </c>
      <c r="H1721">
        <v>3292662.2516556294</v>
      </c>
      <c r="I1721">
        <v>-2120158.940397351</v>
      </c>
    </row>
    <row r="1722" spans="1:9">
      <c r="A1722" t="s">
        <v>13</v>
      </c>
      <c r="B1722" t="s">
        <v>23</v>
      </c>
      <c r="C1722">
        <v>25410000</v>
      </c>
      <c r="D1722">
        <v>24228000</v>
      </c>
      <c r="E1722" t="s">
        <v>7897</v>
      </c>
      <c r="F1722">
        <v>75.5</v>
      </c>
      <c r="G1722" s="12">
        <v>1182000</v>
      </c>
      <c r="H1722">
        <v>336556.2913907285</v>
      </c>
      <c r="I1722">
        <v>15655.629139072847</v>
      </c>
    </row>
    <row r="1723" spans="1:9">
      <c r="A1723" t="s">
        <v>13</v>
      </c>
      <c r="B1723" t="s">
        <v>23</v>
      </c>
      <c r="C1723">
        <v>105573000</v>
      </c>
      <c r="D1723">
        <v>107906000</v>
      </c>
      <c r="E1723" t="s">
        <v>7897</v>
      </c>
      <c r="F1723">
        <v>75.5</v>
      </c>
      <c r="G1723" s="12">
        <v>-2333000</v>
      </c>
      <c r="H1723">
        <v>1398317.8807947021</v>
      </c>
      <c r="I1723">
        <v>-30900.662251655631</v>
      </c>
    </row>
    <row r="1724" spans="1:9">
      <c r="A1724" t="s">
        <v>13</v>
      </c>
      <c r="B1724" t="s">
        <v>23</v>
      </c>
      <c r="C1724">
        <v>192711000</v>
      </c>
      <c r="D1724">
        <v>181373000</v>
      </c>
      <c r="E1724" t="s">
        <v>7897</v>
      </c>
      <c r="F1724">
        <v>75.5</v>
      </c>
      <c r="G1724" s="12">
        <v>11338000</v>
      </c>
      <c r="H1724">
        <v>2552463.5761589403</v>
      </c>
      <c r="I1724">
        <v>150172.18543046358</v>
      </c>
    </row>
    <row r="1725" spans="1:9">
      <c r="A1725" t="s">
        <v>13</v>
      </c>
      <c r="B1725" t="s">
        <v>23</v>
      </c>
      <c r="C1725">
        <v>392217000</v>
      </c>
      <c r="D1725">
        <v>391510000</v>
      </c>
      <c r="E1725" t="s">
        <v>7897</v>
      </c>
      <c r="F1725">
        <v>75.5</v>
      </c>
      <c r="G1725" s="12">
        <v>707000</v>
      </c>
      <c r="H1725">
        <v>5194927.1523178807</v>
      </c>
      <c r="I1725">
        <v>9364.2384105960264</v>
      </c>
    </row>
    <row r="1726" spans="1:9">
      <c r="A1726" t="s">
        <v>13</v>
      </c>
      <c r="B1726" t="s">
        <v>23</v>
      </c>
      <c r="C1726">
        <v>81438000</v>
      </c>
      <c r="D1726">
        <v>80312000</v>
      </c>
      <c r="E1726" t="s">
        <v>7897</v>
      </c>
      <c r="F1726">
        <v>75.5</v>
      </c>
      <c r="G1726" s="12">
        <v>1126000</v>
      </c>
      <c r="H1726">
        <v>1078649.0066225166</v>
      </c>
      <c r="I1726">
        <v>14913.907284768213</v>
      </c>
    </row>
    <row r="1727" spans="1:9">
      <c r="A1727" t="s">
        <v>13</v>
      </c>
      <c r="B1727" t="s">
        <v>23</v>
      </c>
      <c r="C1727">
        <v>77820000</v>
      </c>
      <c r="D1727">
        <v>80423000</v>
      </c>
      <c r="E1727" t="s">
        <v>7897</v>
      </c>
      <c r="F1727">
        <v>75.5</v>
      </c>
      <c r="G1727" s="12">
        <v>-2603000</v>
      </c>
      <c r="H1727">
        <v>1030728.4768211921</v>
      </c>
      <c r="I1727">
        <v>-34476.821192052979</v>
      </c>
    </row>
    <row r="1728" spans="1:9">
      <c r="A1728" t="s">
        <v>13</v>
      </c>
      <c r="B1728" t="s">
        <v>23</v>
      </c>
      <c r="C1728">
        <v>34662000</v>
      </c>
      <c r="D1728">
        <v>36655000</v>
      </c>
      <c r="E1728" t="s">
        <v>7897</v>
      </c>
      <c r="F1728">
        <v>75.5</v>
      </c>
      <c r="G1728" s="12">
        <v>-1993000</v>
      </c>
      <c r="H1728">
        <v>459099.33774834435</v>
      </c>
      <c r="I1728">
        <v>-26397.350993377484</v>
      </c>
    </row>
    <row r="1729" spans="1:9">
      <c r="A1729" t="s">
        <v>13</v>
      </c>
      <c r="B1729" t="s">
        <v>302</v>
      </c>
      <c r="C1729">
        <v>91183000</v>
      </c>
      <c r="D1729">
        <v>91135000</v>
      </c>
      <c r="E1729" t="s">
        <v>7897</v>
      </c>
      <c r="F1729">
        <v>125.5</v>
      </c>
      <c r="G1729" s="12">
        <v>48000</v>
      </c>
      <c r="H1729">
        <v>726557.76892430277</v>
      </c>
      <c r="I1729">
        <v>382.47011952191235</v>
      </c>
    </row>
    <row r="1730" spans="1:9">
      <c r="A1730" t="s">
        <v>13</v>
      </c>
      <c r="B1730" t="s">
        <v>807</v>
      </c>
      <c r="C1730">
        <v>19983000</v>
      </c>
      <c r="D1730">
        <v>17902000</v>
      </c>
      <c r="E1730" t="s">
        <v>7897</v>
      </c>
      <c r="F1730">
        <v>175.5</v>
      </c>
      <c r="G1730" s="12">
        <v>2081000</v>
      </c>
      <c r="H1730">
        <v>113863.24786324786</v>
      </c>
      <c r="I1730">
        <v>11857.549857549857</v>
      </c>
    </row>
    <row r="1731" spans="1:9">
      <c r="A1731" t="s">
        <v>13</v>
      </c>
      <c r="B1731" t="s">
        <v>23</v>
      </c>
      <c r="C1731">
        <v>4525000</v>
      </c>
      <c r="D1731">
        <v>4514000</v>
      </c>
      <c r="E1731" t="s">
        <v>7897</v>
      </c>
      <c r="F1731">
        <v>75.5</v>
      </c>
      <c r="G1731" s="12">
        <v>11000</v>
      </c>
      <c r="H1731">
        <v>59933.774834437085</v>
      </c>
      <c r="I1731">
        <v>145.6953642384106</v>
      </c>
    </row>
    <row r="1732" spans="1:9">
      <c r="A1732" t="s">
        <v>13</v>
      </c>
      <c r="B1732" t="s">
        <v>23</v>
      </c>
      <c r="C1732">
        <v>159153000</v>
      </c>
      <c r="D1732">
        <v>153781000</v>
      </c>
      <c r="E1732" t="s">
        <v>7897</v>
      </c>
      <c r="F1732">
        <v>75.5</v>
      </c>
      <c r="G1732" s="12">
        <v>5372000</v>
      </c>
      <c r="H1732">
        <v>2107986.7549668876</v>
      </c>
      <c r="I1732">
        <v>71152.317880794697</v>
      </c>
    </row>
    <row r="1733" spans="1:9">
      <c r="A1733" t="s">
        <v>13</v>
      </c>
      <c r="B1733" t="s">
        <v>23</v>
      </c>
      <c r="C1733">
        <v>203789000</v>
      </c>
      <c r="D1733">
        <v>204316000</v>
      </c>
      <c r="E1733" t="s">
        <v>7897</v>
      </c>
      <c r="F1733">
        <v>75.5</v>
      </c>
      <c r="G1733" s="12">
        <v>-527000</v>
      </c>
      <c r="H1733">
        <v>2699192.0529801324</v>
      </c>
      <c r="I1733">
        <v>-6980.1324503311262</v>
      </c>
    </row>
    <row r="1734" spans="1:9">
      <c r="A1734" t="s">
        <v>13</v>
      </c>
      <c r="B1734" t="s">
        <v>23</v>
      </c>
      <c r="C1734">
        <v>90314000</v>
      </c>
      <c r="D1734">
        <v>87220000</v>
      </c>
      <c r="E1734" t="s">
        <v>7897</v>
      </c>
      <c r="F1734">
        <v>75.5</v>
      </c>
      <c r="G1734" s="12">
        <v>3094000</v>
      </c>
      <c r="H1734">
        <v>1196211.9205298014</v>
      </c>
      <c r="I1734">
        <v>40980.132450331126</v>
      </c>
    </row>
    <row r="1735" spans="1:9">
      <c r="A1735" t="s">
        <v>13</v>
      </c>
      <c r="B1735" t="s">
        <v>23</v>
      </c>
      <c r="C1735">
        <v>2076845000</v>
      </c>
      <c r="D1735">
        <v>2023573000</v>
      </c>
      <c r="E1735" t="s">
        <v>7897</v>
      </c>
      <c r="F1735">
        <v>75.5</v>
      </c>
      <c r="G1735" s="12">
        <v>53272000</v>
      </c>
      <c r="H1735">
        <v>27507880.794701986</v>
      </c>
      <c r="I1735">
        <v>705589.40397350991</v>
      </c>
    </row>
    <row r="1736" spans="1:9">
      <c r="A1736" t="s">
        <v>13</v>
      </c>
      <c r="B1736" t="s">
        <v>23</v>
      </c>
      <c r="C1736">
        <v>439278000</v>
      </c>
      <c r="D1736">
        <v>475360000</v>
      </c>
      <c r="E1736" t="s">
        <v>7897</v>
      </c>
      <c r="F1736">
        <v>75.5</v>
      </c>
      <c r="G1736" s="12">
        <v>-36082000</v>
      </c>
      <c r="H1736">
        <v>5818251.6556291394</v>
      </c>
      <c r="I1736">
        <v>-477907.28476821195</v>
      </c>
    </row>
    <row r="1737" spans="1:9">
      <c r="A1737" t="s">
        <v>13</v>
      </c>
      <c r="B1737" t="s">
        <v>23</v>
      </c>
      <c r="C1737">
        <v>1459022000</v>
      </c>
      <c r="D1737">
        <v>724737000</v>
      </c>
      <c r="E1737" t="s">
        <v>7897</v>
      </c>
      <c r="F1737">
        <v>75.5</v>
      </c>
      <c r="G1737" s="12">
        <v>734285000</v>
      </c>
      <c r="H1737">
        <v>19324794.701986756</v>
      </c>
      <c r="I1737">
        <v>9725629.1390728485</v>
      </c>
    </row>
    <row r="1738" spans="1:9">
      <c r="A1738" t="s">
        <v>13</v>
      </c>
      <c r="B1738" t="s">
        <v>23</v>
      </c>
      <c r="C1738">
        <v>4187359000</v>
      </c>
      <c r="D1738">
        <v>4161157000</v>
      </c>
      <c r="E1738" t="s">
        <v>7897</v>
      </c>
      <c r="F1738">
        <v>75.5</v>
      </c>
      <c r="G1738" s="12">
        <v>26202000</v>
      </c>
      <c r="H1738">
        <v>55461708.609271526</v>
      </c>
      <c r="I1738">
        <v>347046.35761589406</v>
      </c>
    </row>
    <row r="1739" spans="1:9">
      <c r="A1739" t="s">
        <v>13</v>
      </c>
      <c r="B1739" t="s">
        <v>1136</v>
      </c>
      <c r="C1739">
        <v>326065000</v>
      </c>
      <c r="D1739">
        <v>325313000</v>
      </c>
      <c r="E1739" t="s">
        <v>7898</v>
      </c>
      <c r="F1739">
        <v>750.5</v>
      </c>
      <c r="G1739" s="12">
        <v>752000</v>
      </c>
      <c r="H1739">
        <v>434463.69087275153</v>
      </c>
      <c r="I1739">
        <v>1001.9986675549634</v>
      </c>
    </row>
    <row r="1740" spans="1:9">
      <c r="A1740" t="s">
        <v>13</v>
      </c>
      <c r="B1740" t="s">
        <v>23</v>
      </c>
      <c r="C1740">
        <v>1581036000</v>
      </c>
      <c r="D1740">
        <v>1451184000</v>
      </c>
      <c r="E1740" t="s">
        <v>7897</v>
      </c>
      <c r="F1740">
        <v>75.5</v>
      </c>
      <c r="G1740" s="12">
        <v>129852000</v>
      </c>
      <c r="H1740">
        <v>20940874.172185432</v>
      </c>
      <c r="I1740">
        <v>1719894.0397350993</v>
      </c>
    </row>
    <row r="1741" spans="1:9">
      <c r="A1741" t="s">
        <v>13</v>
      </c>
      <c r="B1741" t="s">
        <v>23</v>
      </c>
      <c r="C1741">
        <v>272017000</v>
      </c>
      <c r="D1741">
        <v>181180000</v>
      </c>
      <c r="E1741" t="s">
        <v>7897</v>
      </c>
      <c r="F1741">
        <v>75.5</v>
      </c>
      <c r="G1741" s="12">
        <v>90837000</v>
      </c>
      <c r="H1741">
        <v>3602874.1721854303</v>
      </c>
      <c r="I1741">
        <v>1203139.0728476821</v>
      </c>
    </row>
    <row r="1742" spans="1:9">
      <c r="A1742" t="s">
        <v>13</v>
      </c>
      <c r="B1742" t="s">
        <v>302</v>
      </c>
      <c r="C1742">
        <v>57364000</v>
      </c>
      <c r="D1742">
        <v>57481000</v>
      </c>
      <c r="E1742" t="s">
        <v>7897</v>
      </c>
      <c r="F1742">
        <v>125.5</v>
      </c>
      <c r="G1742" s="12">
        <v>-117000</v>
      </c>
      <c r="H1742">
        <v>457083.6653386454</v>
      </c>
      <c r="I1742">
        <v>-932.27091633466136</v>
      </c>
    </row>
    <row r="1743" spans="1:9">
      <c r="A1743" t="s">
        <v>13</v>
      </c>
      <c r="B1743" t="s">
        <v>23</v>
      </c>
      <c r="C1743">
        <v>9496000</v>
      </c>
      <c r="D1743">
        <v>9201000</v>
      </c>
      <c r="E1743" t="s">
        <v>7897</v>
      </c>
      <c r="F1743">
        <v>75.5</v>
      </c>
      <c r="G1743" s="12">
        <v>295000</v>
      </c>
      <c r="H1743">
        <v>125774.83443708609</v>
      </c>
      <c r="I1743">
        <v>3907.2847682119204</v>
      </c>
    </row>
    <row r="1744" spans="1:9">
      <c r="A1744" t="s">
        <v>13</v>
      </c>
      <c r="B1744" t="s">
        <v>1135</v>
      </c>
      <c r="C1744">
        <v>335990000</v>
      </c>
      <c r="D1744">
        <v>329313000</v>
      </c>
      <c r="E1744" t="s">
        <v>7898</v>
      </c>
      <c r="F1744">
        <v>375.5</v>
      </c>
      <c r="G1744" s="12">
        <v>6677000</v>
      </c>
      <c r="H1744">
        <v>894780.29294274305</v>
      </c>
      <c r="I1744">
        <v>17781.624500665777</v>
      </c>
    </row>
    <row r="1745" spans="1:9">
      <c r="A1745" t="s">
        <v>1526</v>
      </c>
      <c r="B1745" t="s">
        <v>23</v>
      </c>
      <c r="C1745">
        <v>11517000</v>
      </c>
      <c r="D1745">
        <v>13188000</v>
      </c>
      <c r="E1745" t="s">
        <v>7897</v>
      </c>
      <c r="F1745">
        <v>75.5</v>
      </c>
      <c r="G1745" s="12">
        <v>-1671000</v>
      </c>
      <c r="H1745">
        <v>152543.04635761588</v>
      </c>
      <c r="I1745">
        <v>-22132.450331125827</v>
      </c>
    </row>
    <row r="1746" spans="1:9">
      <c r="A1746" t="s">
        <v>1532</v>
      </c>
      <c r="B1746" t="s">
        <v>23</v>
      </c>
      <c r="C1746">
        <v>5550000</v>
      </c>
      <c r="D1746">
        <v>7175000</v>
      </c>
      <c r="E1746" t="s">
        <v>7897</v>
      </c>
      <c r="F1746">
        <v>75.5</v>
      </c>
      <c r="G1746" s="12">
        <v>-1625000</v>
      </c>
      <c r="H1746">
        <v>73509.933774834441</v>
      </c>
      <c r="I1746">
        <v>-21523.178807947021</v>
      </c>
    </row>
    <row r="1747" spans="1:9">
      <c r="A1747" t="s">
        <v>1532</v>
      </c>
      <c r="B1747" t="s">
        <v>23</v>
      </c>
      <c r="C1747">
        <v>61154000</v>
      </c>
      <c r="D1747">
        <v>45500000</v>
      </c>
      <c r="E1747" t="s">
        <v>7897</v>
      </c>
      <c r="F1747">
        <v>75.5</v>
      </c>
      <c r="G1747" s="12">
        <v>15654000</v>
      </c>
      <c r="H1747">
        <v>809986.75496688741</v>
      </c>
      <c r="I1747">
        <v>207337.74834437086</v>
      </c>
    </row>
    <row r="1748" spans="1:9">
      <c r="A1748" t="s">
        <v>1642</v>
      </c>
      <c r="B1748" t="s">
        <v>23</v>
      </c>
      <c r="C1748">
        <v>15897000</v>
      </c>
      <c r="D1748">
        <v>17196000</v>
      </c>
      <c r="E1748" t="s">
        <v>7897</v>
      </c>
      <c r="F1748">
        <v>75.5</v>
      </c>
      <c r="G1748" s="12">
        <v>-1299000</v>
      </c>
      <c r="H1748">
        <v>210556.29139072847</v>
      </c>
      <c r="I1748">
        <v>-17205.298013245032</v>
      </c>
    </row>
    <row r="1749" spans="1:9">
      <c r="A1749" t="s">
        <v>1508</v>
      </c>
      <c r="B1749" t="s">
        <v>23</v>
      </c>
      <c r="C1749">
        <v>266777000</v>
      </c>
      <c r="D1749">
        <v>172925000</v>
      </c>
      <c r="E1749" t="s">
        <v>7897</v>
      </c>
      <c r="F1749">
        <v>75.5</v>
      </c>
      <c r="G1749" s="12">
        <v>93852000</v>
      </c>
      <c r="H1749">
        <v>3533470.1986754965</v>
      </c>
      <c r="I1749">
        <v>1243072.8476821191</v>
      </c>
    </row>
    <row r="1750" spans="1:9">
      <c r="A1750" t="s">
        <v>1532</v>
      </c>
      <c r="B1750" t="s">
        <v>23</v>
      </c>
      <c r="C1750">
        <v>37497000</v>
      </c>
      <c r="D1750">
        <v>34710000</v>
      </c>
      <c r="E1750" t="s">
        <v>7897</v>
      </c>
      <c r="F1750">
        <v>75.5</v>
      </c>
      <c r="G1750" s="12">
        <v>2787000</v>
      </c>
      <c r="H1750">
        <v>496649.00662251655</v>
      </c>
      <c r="I1750">
        <v>36913.907284768211</v>
      </c>
    </row>
    <row r="1751" spans="1:9">
      <c r="A1751" t="s">
        <v>1662</v>
      </c>
      <c r="B1751" t="s">
        <v>807</v>
      </c>
      <c r="C1751">
        <v>84435000</v>
      </c>
      <c r="D1751">
        <v>80654000</v>
      </c>
      <c r="E1751" t="s">
        <v>7897</v>
      </c>
      <c r="F1751">
        <v>175.5</v>
      </c>
      <c r="G1751" s="12">
        <v>3781000</v>
      </c>
      <c r="H1751">
        <v>481111.11111111112</v>
      </c>
      <c r="I1751">
        <v>21544.159544159545</v>
      </c>
    </row>
    <row r="1752" spans="1:9">
      <c r="A1752" t="s">
        <v>1532</v>
      </c>
      <c r="B1752" t="s">
        <v>302</v>
      </c>
      <c r="C1752">
        <v>26908000</v>
      </c>
      <c r="D1752">
        <v>26315000</v>
      </c>
      <c r="E1752" t="s">
        <v>7897</v>
      </c>
      <c r="F1752">
        <v>125.5</v>
      </c>
      <c r="G1752" s="12">
        <v>593000</v>
      </c>
      <c r="H1752">
        <v>214406.37450199205</v>
      </c>
      <c r="I1752">
        <v>4725.0996015936253</v>
      </c>
    </row>
    <row r="1753" spans="1:9">
      <c r="A1753" t="s">
        <v>1517</v>
      </c>
      <c r="B1753" t="s">
        <v>302</v>
      </c>
      <c r="C1753">
        <v>409184000</v>
      </c>
      <c r="D1753">
        <v>381551000</v>
      </c>
      <c r="E1753" t="s">
        <v>7897</v>
      </c>
      <c r="F1753">
        <v>125.5</v>
      </c>
      <c r="G1753" s="12">
        <v>27633000</v>
      </c>
      <c r="H1753">
        <v>3260430.2788844621</v>
      </c>
      <c r="I1753">
        <v>220183.26693227093</v>
      </c>
    </row>
    <row r="1754" spans="1:9">
      <c r="A1754" t="s">
        <v>1781</v>
      </c>
      <c r="B1754" t="s">
        <v>23</v>
      </c>
      <c r="C1754">
        <v>20904000</v>
      </c>
      <c r="D1754">
        <v>40169000</v>
      </c>
      <c r="E1754" t="s">
        <v>7897</v>
      </c>
      <c r="F1754">
        <v>75.5</v>
      </c>
      <c r="G1754" s="12">
        <v>-19265000</v>
      </c>
      <c r="H1754">
        <v>276874.17218543048</v>
      </c>
      <c r="I1754">
        <v>-255165.56291390728</v>
      </c>
    </row>
    <row r="1755" spans="1:9">
      <c r="A1755" t="s">
        <v>1579</v>
      </c>
      <c r="B1755" t="s">
        <v>23</v>
      </c>
      <c r="C1755">
        <v>699844000</v>
      </c>
      <c r="D1755">
        <v>700977000</v>
      </c>
      <c r="E1755" t="s">
        <v>7897</v>
      </c>
      <c r="F1755">
        <v>75.5</v>
      </c>
      <c r="G1755" s="12">
        <v>-1133000</v>
      </c>
      <c r="H1755">
        <v>9269456.9536423832</v>
      </c>
      <c r="I1755">
        <v>-15006.622516556292</v>
      </c>
    </row>
    <row r="1756" spans="1:9">
      <c r="A1756" t="s">
        <v>1509</v>
      </c>
      <c r="B1756" t="s">
        <v>23</v>
      </c>
      <c r="C1756">
        <v>103150000</v>
      </c>
      <c r="D1756">
        <v>107313000</v>
      </c>
      <c r="E1756" t="s">
        <v>7897</v>
      </c>
      <c r="F1756">
        <v>75.5</v>
      </c>
      <c r="G1756" s="12">
        <v>-4163000</v>
      </c>
      <c r="H1756">
        <v>1366225.165562914</v>
      </c>
      <c r="I1756">
        <v>-55139.072847682117</v>
      </c>
    </row>
    <row r="1757" spans="1:9">
      <c r="A1757" t="s">
        <v>1508</v>
      </c>
      <c r="B1757" t="s">
        <v>23</v>
      </c>
      <c r="C1757">
        <v>18164000</v>
      </c>
      <c r="D1757">
        <v>42059000</v>
      </c>
      <c r="E1757" t="s">
        <v>7897</v>
      </c>
      <c r="F1757">
        <v>75.5</v>
      </c>
      <c r="G1757" s="12">
        <v>-23895000</v>
      </c>
      <c r="H1757">
        <v>240582.78145695364</v>
      </c>
      <c r="I1757">
        <v>-316490.06622516556</v>
      </c>
    </row>
    <row r="1758" spans="1:9">
      <c r="A1758" t="s">
        <v>1532</v>
      </c>
      <c r="B1758" t="s">
        <v>23</v>
      </c>
      <c r="C1758">
        <v>18591000</v>
      </c>
      <c r="D1758">
        <v>20115000</v>
      </c>
      <c r="E1758" t="s">
        <v>7897</v>
      </c>
      <c r="F1758">
        <v>75.5</v>
      </c>
      <c r="G1758" s="12">
        <v>-1524000</v>
      </c>
      <c r="H1758">
        <v>246238.41059602649</v>
      </c>
      <c r="I1758">
        <v>-20185.430463576158</v>
      </c>
    </row>
    <row r="1759" spans="1:9">
      <c r="A1759" t="s">
        <v>1517</v>
      </c>
      <c r="B1759" t="s">
        <v>302</v>
      </c>
      <c r="C1759">
        <v>73755000</v>
      </c>
      <c r="D1759">
        <v>74899000</v>
      </c>
      <c r="E1759" t="s">
        <v>7897</v>
      </c>
      <c r="F1759">
        <v>125.5</v>
      </c>
      <c r="G1759" s="12">
        <v>-1144000</v>
      </c>
      <c r="H1759">
        <v>587689.24302788847</v>
      </c>
      <c r="I1759">
        <v>-9115.5378486055779</v>
      </c>
    </row>
    <row r="1760" spans="1:9">
      <c r="A1760" t="s">
        <v>1524</v>
      </c>
      <c r="B1760" t="s">
        <v>23</v>
      </c>
      <c r="C1760">
        <v>71152000</v>
      </c>
      <c r="D1760">
        <v>64023000</v>
      </c>
      <c r="E1760" t="s">
        <v>7897</v>
      </c>
      <c r="F1760">
        <v>75.5</v>
      </c>
      <c r="G1760" s="12">
        <v>7129000</v>
      </c>
      <c r="H1760">
        <v>942410.59602649009</v>
      </c>
      <c r="I1760">
        <v>94423.841059602652</v>
      </c>
    </row>
    <row r="1761" spans="1:9">
      <c r="A1761" t="s">
        <v>1508</v>
      </c>
      <c r="B1761" t="s">
        <v>23</v>
      </c>
      <c r="C1761">
        <v>10913000</v>
      </c>
      <c r="D1761">
        <v>18192000</v>
      </c>
      <c r="E1761" t="s">
        <v>7897</v>
      </c>
      <c r="F1761">
        <v>75.5</v>
      </c>
      <c r="G1761" s="12">
        <v>-7279000</v>
      </c>
      <c r="H1761">
        <v>144543.04635761588</v>
      </c>
      <c r="I1761">
        <v>-96410.596026490064</v>
      </c>
    </row>
    <row r="1762" spans="1:9">
      <c r="A1762" t="s">
        <v>1508</v>
      </c>
      <c r="B1762" t="s">
        <v>23</v>
      </c>
      <c r="C1762">
        <v>141272000</v>
      </c>
      <c r="D1762">
        <v>134790000</v>
      </c>
      <c r="E1762" t="s">
        <v>7897</v>
      </c>
      <c r="F1762">
        <v>75.5</v>
      </c>
      <c r="G1762" s="12">
        <v>6482000</v>
      </c>
      <c r="H1762">
        <v>1871152.3178807946</v>
      </c>
      <c r="I1762">
        <v>85854.304635761582</v>
      </c>
    </row>
    <row r="1763" spans="1:9">
      <c r="A1763" t="s">
        <v>1517</v>
      </c>
      <c r="B1763" t="s">
        <v>23</v>
      </c>
      <c r="C1763">
        <v>3482906000</v>
      </c>
      <c r="D1763">
        <v>3578104000</v>
      </c>
      <c r="E1763" t="s">
        <v>7897</v>
      </c>
      <c r="F1763">
        <v>75.5</v>
      </c>
      <c r="G1763" s="12">
        <v>-95198000</v>
      </c>
      <c r="H1763">
        <v>46131205.298013248</v>
      </c>
      <c r="I1763">
        <v>-1260900.6622516557</v>
      </c>
    </row>
    <row r="1764" spans="1:9">
      <c r="A1764" t="s">
        <v>1521</v>
      </c>
      <c r="B1764" t="s">
        <v>280</v>
      </c>
      <c r="C1764">
        <v>70891000</v>
      </c>
      <c r="D1764">
        <v>70487000</v>
      </c>
      <c r="E1764" t="s">
        <v>7898</v>
      </c>
      <c r="F1764">
        <v>225.5</v>
      </c>
      <c r="G1764" s="12">
        <v>404000</v>
      </c>
      <c r="H1764">
        <v>314372.50554323726</v>
      </c>
      <c r="I1764">
        <v>1791.5742793791574</v>
      </c>
    </row>
    <row r="1765" spans="1:9">
      <c r="A1765" t="s">
        <v>1510</v>
      </c>
      <c r="B1765" t="s">
        <v>23</v>
      </c>
      <c r="C1765">
        <v>34964000</v>
      </c>
      <c r="D1765">
        <v>34972000</v>
      </c>
      <c r="E1765" t="s">
        <v>7897</v>
      </c>
      <c r="F1765">
        <v>75.5</v>
      </c>
      <c r="G1765" s="12">
        <v>-8000</v>
      </c>
      <c r="H1765">
        <v>463099.33774834435</v>
      </c>
      <c r="I1765">
        <v>-105.96026490066225</v>
      </c>
    </row>
    <row r="1766" spans="1:9">
      <c r="A1766" t="s">
        <v>1643</v>
      </c>
      <c r="B1766" t="s">
        <v>23</v>
      </c>
      <c r="C1766">
        <v>27352000</v>
      </c>
      <c r="D1766">
        <v>27122000</v>
      </c>
      <c r="E1766" t="s">
        <v>7897</v>
      </c>
      <c r="F1766">
        <v>75.5</v>
      </c>
      <c r="G1766" s="12">
        <v>230000</v>
      </c>
      <c r="H1766">
        <v>362278.14569536422</v>
      </c>
      <c r="I1766">
        <v>3046.3576158940396</v>
      </c>
    </row>
    <row r="1767" spans="1:9">
      <c r="A1767" t="s">
        <v>1508</v>
      </c>
      <c r="B1767" t="s">
        <v>302</v>
      </c>
      <c r="C1767">
        <v>39799000</v>
      </c>
      <c r="D1767">
        <v>40614000</v>
      </c>
      <c r="E1767" t="s">
        <v>7897</v>
      </c>
      <c r="F1767">
        <v>125.5</v>
      </c>
      <c r="G1767" s="12">
        <v>-815000</v>
      </c>
      <c r="H1767">
        <v>317123.50597609562</v>
      </c>
      <c r="I1767">
        <v>-6494.0239043824704</v>
      </c>
    </row>
    <row r="1768" spans="1:9">
      <c r="A1768" t="s">
        <v>1560</v>
      </c>
      <c r="B1768" t="s">
        <v>23</v>
      </c>
      <c r="C1768">
        <v>46365000</v>
      </c>
      <c r="D1768">
        <v>45726000</v>
      </c>
      <c r="E1768" t="s">
        <v>7897</v>
      </c>
      <c r="F1768">
        <v>75.5</v>
      </c>
      <c r="G1768" s="12">
        <v>639000</v>
      </c>
      <c r="H1768">
        <v>614105.9602649007</v>
      </c>
      <c r="I1768">
        <v>8463.5761589403974</v>
      </c>
    </row>
    <row r="1769" spans="1:9">
      <c r="A1769" t="s">
        <v>1642</v>
      </c>
      <c r="B1769" t="s">
        <v>23</v>
      </c>
      <c r="C1769">
        <v>37020000</v>
      </c>
      <c r="D1769">
        <v>36940000</v>
      </c>
      <c r="E1769" t="s">
        <v>7897</v>
      </c>
      <c r="F1769">
        <v>75.5</v>
      </c>
      <c r="G1769" s="12">
        <v>80000</v>
      </c>
      <c r="H1769">
        <v>490331.12582781457</v>
      </c>
      <c r="I1769">
        <v>1059.6026490066224</v>
      </c>
    </row>
    <row r="1770" spans="1:9">
      <c r="A1770" t="s">
        <v>1535</v>
      </c>
      <c r="B1770" t="s">
        <v>23</v>
      </c>
      <c r="C1770">
        <v>21694000</v>
      </c>
      <c r="D1770">
        <v>22363000</v>
      </c>
      <c r="E1770" t="s">
        <v>7897</v>
      </c>
      <c r="F1770">
        <v>75.5</v>
      </c>
      <c r="G1770" s="12">
        <v>-669000</v>
      </c>
      <c r="H1770">
        <v>287337.74834437086</v>
      </c>
      <c r="I1770">
        <v>-8860.9271523178813</v>
      </c>
    </row>
    <row r="1771" spans="1:9">
      <c r="A1771" t="s">
        <v>1516</v>
      </c>
      <c r="B1771" t="s">
        <v>280</v>
      </c>
      <c r="C1771">
        <v>995636000</v>
      </c>
      <c r="D1771">
        <v>985164000</v>
      </c>
      <c r="E1771" t="s">
        <v>7898</v>
      </c>
      <c r="F1771">
        <v>225.5</v>
      </c>
      <c r="G1771" s="12">
        <v>10472000</v>
      </c>
      <c r="H1771">
        <v>4415237.2505543241</v>
      </c>
      <c r="I1771">
        <v>46439.024390243903</v>
      </c>
    </row>
  </sheetData>
  <autoFilter ref="A1:I1771" xr:uid="{79CB79BE-3FFF-4D6A-A982-95752AD1984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1C62-1CF6-49CA-9099-656B05EC369A}">
  <dimension ref="A1:I1771"/>
  <sheetViews>
    <sheetView tabSelected="1" workbookViewId="0">
      <selection activeCell="D31" sqref="D31"/>
    </sheetView>
  </sheetViews>
  <sheetFormatPr defaultRowHeight="15"/>
  <cols>
    <col min="1" max="1" width="34.85546875" bestFit="1" customWidth="1"/>
    <col min="2" max="2" width="48.7109375" bestFit="1" customWidth="1"/>
    <col min="3" max="3" width="36.140625" bestFit="1" customWidth="1"/>
    <col min="4" max="4" width="39.28515625" bestFit="1" customWidth="1"/>
    <col min="5" max="5" width="10" bestFit="1" customWidth="1"/>
    <col min="6" max="6" width="17.140625" bestFit="1" customWidth="1"/>
    <col min="7" max="7" width="24.42578125" bestFit="1" customWidth="1"/>
    <col min="8" max="8" width="22.5703125" bestFit="1" customWidth="1"/>
    <col min="9" max="9" width="25.28515625" bestFit="1" customWidth="1"/>
  </cols>
  <sheetData>
    <row r="1" spans="1:9">
      <c r="A1" t="s">
        <v>5</v>
      </c>
      <c r="B1" t="s">
        <v>6</v>
      </c>
      <c r="C1" t="s">
        <v>8</v>
      </c>
      <c r="D1" t="s">
        <v>10</v>
      </c>
      <c r="E1" t="s">
        <v>7899</v>
      </c>
      <c r="F1" t="s">
        <v>7902</v>
      </c>
      <c r="G1" t="s">
        <v>7893</v>
      </c>
      <c r="H1" t="s">
        <v>7894</v>
      </c>
      <c r="I1" t="s">
        <v>7895</v>
      </c>
    </row>
    <row r="2" spans="1:9">
      <c r="A2" t="s">
        <v>14</v>
      </c>
      <c r="B2" t="s">
        <v>18</v>
      </c>
      <c r="C2">
        <v>1533000</v>
      </c>
      <c r="D2">
        <v>1458000</v>
      </c>
      <c r="E2" t="str">
        <f>VLOOKUP(B2,Лист2!A:E,5,0)</f>
        <v>малые</v>
      </c>
      <c r="F2">
        <f>VLOOKUP(B2,Лист2!A:E,4,0)</f>
        <v>2.5</v>
      </c>
      <c r="G2">
        <f>C2-D2</f>
        <v>75000</v>
      </c>
      <c r="H2">
        <f>C2/F2</f>
        <v>613200</v>
      </c>
      <c r="I2">
        <f>G2/F2</f>
        <v>30000</v>
      </c>
    </row>
    <row r="3" spans="1:9">
      <c r="A3" t="s">
        <v>14</v>
      </c>
      <c r="B3" t="s">
        <v>22</v>
      </c>
      <c r="C3">
        <v>754602000</v>
      </c>
      <c r="D3">
        <v>641697000</v>
      </c>
      <c r="E3" t="str">
        <f>VLOOKUP(B3,Лист2!A:E,5,0)</f>
        <v>малые</v>
      </c>
      <c r="F3">
        <f>VLOOKUP(B3,Лист2!A:E,4,0)</f>
        <v>13</v>
      </c>
      <c r="G3">
        <f t="shared" ref="G3:G54" si="0">C3-D3</f>
        <v>112905000</v>
      </c>
      <c r="H3">
        <f t="shared" ref="H3:H54" si="1">C3/F3</f>
        <v>58046307.692307696</v>
      </c>
      <c r="I3">
        <f t="shared" ref="I3:I54" si="2">G3/F3</f>
        <v>8685000</v>
      </c>
    </row>
    <row r="4" spans="1:9">
      <c r="A4" t="s">
        <v>14</v>
      </c>
      <c r="B4" t="s">
        <v>18</v>
      </c>
      <c r="C4">
        <v>5000000</v>
      </c>
      <c r="D4">
        <v>4516000</v>
      </c>
      <c r="E4" t="str">
        <f>VLOOKUP(B4,Лист2!A:E,5,0)</f>
        <v>малые</v>
      </c>
      <c r="F4">
        <f>VLOOKUP(B4,Лист2!A:E,4,0)</f>
        <v>2.5</v>
      </c>
      <c r="G4">
        <f t="shared" si="0"/>
        <v>484000</v>
      </c>
      <c r="H4">
        <f t="shared" si="1"/>
        <v>2000000</v>
      </c>
      <c r="I4">
        <f t="shared" si="2"/>
        <v>193600</v>
      </c>
    </row>
    <row r="5" spans="1:9">
      <c r="A5" t="s">
        <v>25</v>
      </c>
      <c r="B5" t="s">
        <v>22</v>
      </c>
      <c r="C5">
        <v>27002000</v>
      </c>
      <c r="D5">
        <v>29355000</v>
      </c>
      <c r="E5" t="str">
        <f>VLOOKUP(B5,Лист2!A:E,5,0)</f>
        <v>малые</v>
      </c>
      <c r="F5">
        <f>VLOOKUP(B5,Лист2!A:E,4,0)</f>
        <v>13</v>
      </c>
      <c r="G5">
        <f t="shared" si="0"/>
        <v>-2353000</v>
      </c>
      <c r="H5">
        <f t="shared" si="1"/>
        <v>2077076.923076923</v>
      </c>
      <c r="I5">
        <f t="shared" si="2"/>
        <v>-181000</v>
      </c>
    </row>
    <row r="6" spans="1:9">
      <c r="A6" t="s">
        <v>24</v>
      </c>
      <c r="B6" t="s">
        <v>18</v>
      </c>
      <c r="C6">
        <v>4280000</v>
      </c>
      <c r="D6">
        <v>4122000</v>
      </c>
      <c r="E6" t="str">
        <f>VLOOKUP(B6,Лист2!A:E,5,0)</f>
        <v>малые</v>
      </c>
      <c r="F6">
        <f>VLOOKUP(B6,Лист2!A:E,4,0)</f>
        <v>2.5</v>
      </c>
      <c r="G6">
        <f t="shared" si="0"/>
        <v>158000</v>
      </c>
      <c r="H6">
        <f t="shared" si="1"/>
        <v>1712000</v>
      </c>
      <c r="I6">
        <f t="shared" si="2"/>
        <v>63200</v>
      </c>
    </row>
    <row r="7" spans="1:9">
      <c r="A7" t="s">
        <v>14</v>
      </c>
      <c r="B7" t="s">
        <v>18</v>
      </c>
      <c r="C7">
        <v>1661000</v>
      </c>
      <c r="D7">
        <v>1674000</v>
      </c>
      <c r="E7" t="str">
        <f>VLOOKUP(B7,Лист2!A:E,5,0)</f>
        <v>малые</v>
      </c>
      <c r="F7">
        <f>VLOOKUP(B7,Лист2!A:E,4,0)</f>
        <v>2.5</v>
      </c>
      <c r="G7">
        <f t="shared" si="0"/>
        <v>-13000</v>
      </c>
      <c r="H7">
        <f t="shared" si="1"/>
        <v>664400</v>
      </c>
      <c r="I7">
        <f t="shared" si="2"/>
        <v>-5200</v>
      </c>
    </row>
    <row r="8" spans="1:9">
      <c r="A8" t="s">
        <v>14</v>
      </c>
      <c r="B8" t="s">
        <v>18</v>
      </c>
      <c r="C8">
        <v>67000000</v>
      </c>
      <c r="D8">
        <v>74958000</v>
      </c>
      <c r="E8" t="str">
        <f>VLOOKUP(B8,Лист2!A:E,5,0)</f>
        <v>малые</v>
      </c>
      <c r="F8">
        <f>VLOOKUP(B8,Лист2!A:E,4,0)</f>
        <v>2.5</v>
      </c>
      <c r="G8">
        <f t="shared" si="0"/>
        <v>-7958000</v>
      </c>
      <c r="H8">
        <f t="shared" si="1"/>
        <v>26800000</v>
      </c>
      <c r="I8">
        <f t="shared" si="2"/>
        <v>-3183200</v>
      </c>
    </row>
    <row r="9" spans="1:9">
      <c r="A9" t="s">
        <v>14</v>
      </c>
      <c r="B9" t="s">
        <v>18</v>
      </c>
      <c r="C9">
        <v>366217000</v>
      </c>
      <c r="D9">
        <v>363962000</v>
      </c>
      <c r="E9" t="str">
        <f>VLOOKUP(B9,Лист2!A:E,5,0)</f>
        <v>малые</v>
      </c>
      <c r="F9">
        <f>VLOOKUP(B9,Лист2!A:E,4,0)</f>
        <v>2.5</v>
      </c>
      <c r="G9">
        <f t="shared" si="0"/>
        <v>2255000</v>
      </c>
      <c r="H9">
        <f t="shared" si="1"/>
        <v>146486800</v>
      </c>
      <c r="I9">
        <f t="shared" si="2"/>
        <v>902000</v>
      </c>
    </row>
    <row r="10" spans="1:9">
      <c r="A10" t="s">
        <v>25</v>
      </c>
      <c r="B10" t="s">
        <v>23</v>
      </c>
      <c r="C10">
        <v>253031000</v>
      </c>
      <c r="D10">
        <v>256576000</v>
      </c>
      <c r="E10" t="str">
        <f>VLOOKUP(B10,Лист2!A:E,5,0)</f>
        <v>средние</v>
      </c>
      <c r="F10">
        <f>VLOOKUP(B10,Лист2!A:E,4,0)</f>
        <v>75.5</v>
      </c>
      <c r="G10">
        <f t="shared" si="0"/>
        <v>-3545000</v>
      </c>
      <c r="H10">
        <f t="shared" si="1"/>
        <v>3351403.9735099338</v>
      </c>
      <c r="I10">
        <f t="shared" si="2"/>
        <v>-46953.642384105959</v>
      </c>
    </row>
    <row r="11" spans="1:9">
      <c r="A11" t="s">
        <v>14</v>
      </c>
      <c r="B11" t="s">
        <v>18</v>
      </c>
      <c r="C11">
        <v>18169000</v>
      </c>
      <c r="D11">
        <v>15809000</v>
      </c>
      <c r="E11" t="str">
        <f>VLOOKUP(B11,Лист2!A:E,5,0)</f>
        <v>малые</v>
      </c>
      <c r="F11">
        <f>VLOOKUP(B11,Лист2!A:E,4,0)</f>
        <v>2.5</v>
      </c>
      <c r="G11">
        <f t="shared" si="0"/>
        <v>2360000</v>
      </c>
      <c r="H11">
        <f t="shared" si="1"/>
        <v>7267600</v>
      </c>
      <c r="I11">
        <f t="shared" si="2"/>
        <v>944000</v>
      </c>
    </row>
    <row r="12" spans="1:9">
      <c r="A12" t="s">
        <v>25</v>
      </c>
      <c r="B12" t="s">
        <v>22</v>
      </c>
      <c r="C12">
        <v>191006000</v>
      </c>
      <c r="D12">
        <v>207475000</v>
      </c>
      <c r="E12" t="str">
        <f>VLOOKUP(B12,Лист2!A:E,5,0)</f>
        <v>малые</v>
      </c>
      <c r="F12">
        <f>VLOOKUP(B12,Лист2!A:E,4,0)</f>
        <v>13</v>
      </c>
      <c r="G12">
        <f t="shared" si="0"/>
        <v>-16469000</v>
      </c>
      <c r="H12">
        <f t="shared" si="1"/>
        <v>14692769.23076923</v>
      </c>
      <c r="I12">
        <f t="shared" si="2"/>
        <v>-1266846.1538461538</v>
      </c>
    </row>
    <row r="13" spans="1:9">
      <c r="A13" t="s">
        <v>14</v>
      </c>
      <c r="B13" t="s">
        <v>23</v>
      </c>
      <c r="C13">
        <v>128983000</v>
      </c>
      <c r="D13">
        <v>95513000</v>
      </c>
      <c r="E13" t="str">
        <f>VLOOKUP(B13,Лист2!A:E,5,0)</f>
        <v>средние</v>
      </c>
      <c r="F13">
        <f>VLOOKUP(B13,Лист2!A:E,4,0)</f>
        <v>75.5</v>
      </c>
      <c r="G13">
        <f t="shared" si="0"/>
        <v>33470000</v>
      </c>
      <c r="H13">
        <f t="shared" si="1"/>
        <v>1708384.1059602648</v>
      </c>
      <c r="I13">
        <f t="shared" si="2"/>
        <v>443311.25827814569</v>
      </c>
    </row>
    <row r="14" spans="1:9">
      <c r="A14" t="s">
        <v>14</v>
      </c>
      <c r="B14" t="s">
        <v>18</v>
      </c>
      <c r="C14">
        <v>16977000</v>
      </c>
      <c r="D14">
        <v>20640000</v>
      </c>
      <c r="E14" t="str">
        <f>VLOOKUP(B14,Лист2!A:E,5,0)</f>
        <v>малые</v>
      </c>
      <c r="F14">
        <f>VLOOKUP(B14,Лист2!A:E,4,0)</f>
        <v>2.5</v>
      </c>
      <c r="G14">
        <f t="shared" si="0"/>
        <v>-3663000</v>
      </c>
      <c r="H14">
        <f t="shared" si="1"/>
        <v>6790800</v>
      </c>
      <c r="I14">
        <f t="shared" si="2"/>
        <v>-1465200</v>
      </c>
    </row>
    <row r="15" spans="1:9">
      <c r="A15" t="s">
        <v>14</v>
      </c>
      <c r="B15" t="s">
        <v>18</v>
      </c>
      <c r="C15">
        <v>78588000</v>
      </c>
      <c r="D15">
        <v>76572000</v>
      </c>
      <c r="E15" t="str">
        <f>VLOOKUP(B15,Лист2!A:E,5,0)</f>
        <v>малые</v>
      </c>
      <c r="F15">
        <f>VLOOKUP(B15,Лист2!A:E,4,0)</f>
        <v>2.5</v>
      </c>
      <c r="G15">
        <f t="shared" si="0"/>
        <v>2016000</v>
      </c>
      <c r="H15">
        <f t="shared" si="1"/>
        <v>31435200</v>
      </c>
      <c r="I15">
        <f t="shared" si="2"/>
        <v>806400</v>
      </c>
    </row>
    <row r="16" spans="1:9">
      <c r="A16" t="s">
        <v>14</v>
      </c>
      <c r="B16" t="s">
        <v>77</v>
      </c>
      <c r="C16">
        <v>381000</v>
      </c>
      <c r="D16">
        <v>3501000</v>
      </c>
      <c r="E16" t="str">
        <f>VLOOKUP(B16,Лист2!A:E,5,0)</f>
        <v>малые</v>
      </c>
      <c r="F16">
        <f>VLOOKUP(B16,Лист2!A:E,4,0)</f>
        <v>8</v>
      </c>
      <c r="G16">
        <f t="shared" si="0"/>
        <v>-3120000</v>
      </c>
      <c r="H16">
        <f t="shared" si="1"/>
        <v>47625</v>
      </c>
      <c r="I16">
        <f t="shared" si="2"/>
        <v>-390000</v>
      </c>
    </row>
    <row r="17" spans="1:9">
      <c r="A17" t="s">
        <v>14</v>
      </c>
      <c r="B17" t="s">
        <v>18</v>
      </c>
      <c r="C17">
        <v>1684000</v>
      </c>
      <c r="D17">
        <v>81000</v>
      </c>
      <c r="E17" t="str">
        <f>VLOOKUP(B17,Лист2!A:E,5,0)</f>
        <v>малые</v>
      </c>
      <c r="F17">
        <f>VLOOKUP(B17,Лист2!A:E,4,0)</f>
        <v>2.5</v>
      </c>
      <c r="G17">
        <f t="shared" si="0"/>
        <v>1603000</v>
      </c>
      <c r="H17">
        <f t="shared" si="1"/>
        <v>673600</v>
      </c>
      <c r="I17">
        <f t="shared" si="2"/>
        <v>641200</v>
      </c>
    </row>
    <row r="18" spans="1:9">
      <c r="A18" t="s">
        <v>14</v>
      </c>
      <c r="B18" t="s">
        <v>77</v>
      </c>
      <c r="C18">
        <v>9631000</v>
      </c>
      <c r="D18">
        <v>24596000</v>
      </c>
      <c r="E18" t="str">
        <f>VLOOKUP(B18,Лист2!A:E,5,0)</f>
        <v>малые</v>
      </c>
      <c r="F18">
        <f>VLOOKUP(B18,Лист2!A:E,4,0)</f>
        <v>8</v>
      </c>
      <c r="G18">
        <f t="shared" si="0"/>
        <v>-14965000</v>
      </c>
      <c r="H18">
        <f t="shared" si="1"/>
        <v>1203875</v>
      </c>
      <c r="I18">
        <f t="shared" si="2"/>
        <v>-1870625</v>
      </c>
    </row>
    <row r="19" spans="1:9">
      <c r="A19" t="s">
        <v>14</v>
      </c>
      <c r="B19" t="s">
        <v>18</v>
      </c>
      <c r="C19">
        <v>153000</v>
      </c>
      <c r="D19">
        <v>123000</v>
      </c>
      <c r="E19" t="str">
        <f>VLOOKUP(B19,Лист2!A:E,5,0)</f>
        <v>малые</v>
      </c>
      <c r="F19">
        <f>VLOOKUP(B19,Лист2!A:E,4,0)</f>
        <v>2.5</v>
      </c>
      <c r="G19">
        <f t="shared" si="0"/>
        <v>30000</v>
      </c>
      <c r="H19">
        <f t="shared" si="1"/>
        <v>61200</v>
      </c>
      <c r="I19">
        <f t="shared" si="2"/>
        <v>12000</v>
      </c>
    </row>
    <row r="20" spans="1:9">
      <c r="A20" t="s">
        <v>14</v>
      </c>
      <c r="B20" t="s">
        <v>18</v>
      </c>
      <c r="C20">
        <v>12211000</v>
      </c>
      <c r="D20">
        <v>12285000</v>
      </c>
      <c r="E20" t="str">
        <f>VLOOKUP(B20,Лист2!A:E,5,0)</f>
        <v>малые</v>
      </c>
      <c r="F20">
        <f>VLOOKUP(B20,Лист2!A:E,4,0)</f>
        <v>2.5</v>
      </c>
      <c r="G20">
        <f t="shared" si="0"/>
        <v>-74000</v>
      </c>
      <c r="H20">
        <f t="shared" si="1"/>
        <v>4884400</v>
      </c>
      <c r="I20">
        <f t="shared" si="2"/>
        <v>-29600</v>
      </c>
    </row>
    <row r="21" spans="1:9">
      <c r="A21" t="s">
        <v>14</v>
      </c>
      <c r="B21" t="s">
        <v>18</v>
      </c>
      <c r="C21">
        <v>220873000</v>
      </c>
      <c r="D21">
        <v>218348000</v>
      </c>
      <c r="E21" t="str">
        <f>VLOOKUP(B21,Лист2!A:E,5,0)</f>
        <v>малые</v>
      </c>
      <c r="F21">
        <f>VLOOKUP(B21,Лист2!A:E,4,0)</f>
        <v>2.5</v>
      </c>
      <c r="G21">
        <f t="shared" si="0"/>
        <v>2525000</v>
      </c>
      <c r="H21">
        <f t="shared" si="1"/>
        <v>88349200</v>
      </c>
      <c r="I21">
        <f t="shared" si="2"/>
        <v>1010000</v>
      </c>
    </row>
    <row r="22" spans="1:9">
      <c r="A22" t="s">
        <v>25</v>
      </c>
      <c r="B22" t="s">
        <v>18</v>
      </c>
      <c r="C22">
        <v>397000</v>
      </c>
      <c r="D22">
        <v>397000</v>
      </c>
      <c r="E22" t="str">
        <f>VLOOKUP(B22,Лист2!A:E,5,0)</f>
        <v>малые</v>
      </c>
      <c r="F22">
        <f>VLOOKUP(B22,Лист2!A:E,4,0)</f>
        <v>2.5</v>
      </c>
      <c r="G22">
        <f t="shared" si="0"/>
        <v>0</v>
      </c>
      <c r="H22">
        <f t="shared" si="1"/>
        <v>158800</v>
      </c>
      <c r="I22">
        <f t="shared" si="2"/>
        <v>0</v>
      </c>
    </row>
    <row r="23" spans="1:9">
      <c r="A23" t="s">
        <v>14</v>
      </c>
      <c r="B23" t="s">
        <v>18</v>
      </c>
      <c r="C23">
        <v>560000</v>
      </c>
      <c r="D23">
        <v>522000</v>
      </c>
      <c r="E23" t="str">
        <f>VLOOKUP(B23,Лист2!A:E,5,0)</f>
        <v>малые</v>
      </c>
      <c r="F23">
        <f>VLOOKUP(B23,Лист2!A:E,4,0)</f>
        <v>2.5</v>
      </c>
      <c r="G23">
        <f t="shared" si="0"/>
        <v>38000</v>
      </c>
      <c r="H23">
        <f t="shared" si="1"/>
        <v>224000</v>
      </c>
      <c r="I23">
        <f t="shared" si="2"/>
        <v>15200</v>
      </c>
    </row>
    <row r="24" spans="1:9">
      <c r="A24" t="s">
        <v>14</v>
      </c>
      <c r="B24" t="s">
        <v>18</v>
      </c>
      <c r="C24">
        <v>3700000</v>
      </c>
      <c r="D24">
        <v>3400000</v>
      </c>
      <c r="E24" t="str">
        <f>VLOOKUP(B24,Лист2!A:E,5,0)</f>
        <v>малые</v>
      </c>
      <c r="F24">
        <f>VLOOKUP(B24,Лист2!A:E,4,0)</f>
        <v>2.5</v>
      </c>
      <c r="G24">
        <f t="shared" si="0"/>
        <v>300000</v>
      </c>
      <c r="H24">
        <f t="shared" si="1"/>
        <v>1480000</v>
      </c>
      <c r="I24">
        <f t="shared" si="2"/>
        <v>120000</v>
      </c>
    </row>
    <row r="25" spans="1:9">
      <c r="A25" t="s">
        <v>14</v>
      </c>
      <c r="B25" t="s">
        <v>18</v>
      </c>
      <c r="C25">
        <v>3226000</v>
      </c>
      <c r="D25">
        <v>3248000</v>
      </c>
      <c r="E25" t="str">
        <f>VLOOKUP(B25,Лист2!A:E,5,0)</f>
        <v>малые</v>
      </c>
      <c r="F25">
        <f>VLOOKUP(B25,Лист2!A:E,4,0)</f>
        <v>2.5</v>
      </c>
      <c r="G25">
        <f t="shared" si="0"/>
        <v>-22000</v>
      </c>
      <c r="H25">
        <f t="shared" si="1"/>
        <v>1290400</v>
      </c>
      <c r="I25">
        <f t="shared" si="2"/>
        <v>-8800</v>
      </c>
    </row>
    <row r="26" spans="1:9">
      <c r="A26" t="s">
        <v>14</v>
      </c>
      <c r="B26" t="s">
        <v>18</v>
      </c>
      <c r="C26">
        <v>4154000</v>
      </c>
      <c r="D26">
        <v>4154000</v>
      </c>
      <c r="E26" t="str">
        <f>VLOOKUP(B26,Лист2!A:E,5,0)</f>
        <v>малые</v>
      </c>
      <c r="F26">
        <f>VLOOKUP(B26,Лист2!A:E,4,0)</f>
        <v>2.5</v>
      </c>
      <c r="G26">
        <f t="shared" si="0"/>
        <v>0</v>
      </c>
      <c r="H26">
        <f t="shared" si="1"/>
        <v>1661600</v>
      </c>
      <c r="I26">
        <f t="shared" si="2"/>
        <v>0</v>
      </c>
    </row>
    <row r="27" spans="1:9">
      <c r="A27" t="s">
        <v>14</v>
      </c>
      <c r="B27" t="s">
        <v>18</v>
      </c>
      <c r="C27">
        <v>4290000</v>
      </c>
      <c r="D27">
        <v>2999000</v>
      </c>
      <c r="E27" t="str">
        <f>VLOOKUP(B27,Лист2!A:E,5,0)</f>
        <v>малые</v>
      </c>
      <c r="F27">
        <f>VLOOKUP(B27,Лист2!A:E,4,0)</f>
        <v>2.5</v>
      </c>
      <c r="G27">
        <f t="shared" si="0"/>
        <v>1291000</v>
      </c>
      <c r="H27">
        <f t="shared" si="1"/>
        <v>1716000</v>
      </c>
      <c r="I27">
        <f t="shared" si="2"/>
        <v>516400</v>
      </c>
    </row>
    <row r="28" spans="1:9">
      <c r="A28" t="s">
        <v>14</v>
      </c>
      <c r="B28" t="s">
        <v>18</v>
      </c>
      <c r="C28">
        <v>275000</v>
      </c>
      <c r="D28">
        <v>111000</v>
      </c>
      <c r="E28" t="str">
        <f>VLOOKUP(B28,Лист2!A:E,5,0)</f>
        <v>малые</v>
      </c>
      <c r="F28">
        <f>VLOOKUP(B28,Лист2!A:E,4,0)</f>
        <v>2.5</v>
      </c>
      <c r="G28">
        <f t="shared" si="0"/>
        <v>164000</v>
      </c>
      <c r="H28">
        <f t="shared" si="1"/>
        <v>110000</v>
      </c>
      <c r="I28">
        <f t="shared" si="2"/>
        <v>65600</v>
      </c>
    </row>
    <row r="29" spans="1:9">
      <c r="A29" t="s">
        <v>14</v>
      </c>
      <c r="B29" t="s">
        <v>22</v>
      </c>
      <c r="C29">
        <v>13640000</v>
      </c>
      <c r="D29">
        <v>2813000</v>
      </c>
      <c r="E29" t="str">
        <f>VLOOKUP(B29,Лист2!A:E,5,0)</f>
        <v>малые</v>
      </c>
      <c r="F29">
        <f>VLOOKUP(B29,Лист2!A:E,4,0)</f>
        <v>13</v>
      </c>
      <c r="G29">
        <f t="shared" si="0"/>
        <v>10827000</v>
      </c>
      <c r="H29">
        <f t="shared" si="1"/>
        <v>1049230.7692307692</v>
      </c>
      <c r="I29">
        <f t="shared" si="2"/>
        <v>832846.15384615387</v>
      </c>
    </row>
    <row r="30" spans="1:9">
      <c r="A30" t="s">
        <v>14</v>
      </c>
      <c r="B30" t="s">
        <v>18</v>
      </c>
      <c r="C30">
        <v>13220000</v>
      </c>
      <c r="D30">
        <v>12976000</v>
      </c>
      <c r="E30" t="str">
        <f>VLOOKUP(B30,Лист2!A:E,5,0)</f>
        <v>малые</v>
      </c>
      <c r="F30">
        <f>VLOOKUP(B30,Лист2!A:E,4,0)</f>
        <v>2.5</v>
      </c>
      <c r="G30">
        <f t="shared" si="0"/>
        <v>244000</v>
      </c>
      <c r="H30">
        <f t="shared" si="1"/>
        <v>5288000</v>
      </c>
      <c r="I30">
        <f t="shared" si="2"/>
        <v>97600</v>
      </c>
    </row>
    <row r="31" spans="1:9">
      <c r="A31" t="s">
        <v>14</v>
      </c>
      <c r="B31" t="s">
        <v>18</v>
      </c>
      <c r="C31">
        <v>1782000</v>
      </c>
      <c r="D31">
        <v>1655000</v>
      </c>
      <c r="E31" t="str">
        <f>VLOOKUP(B31,Лист2!A:E,5,0)</f>
        <v>малые</v>
      </c>
      <c r="F31">
        <f>VLOOKUP(B31,Лист2!A:E,4,0)</f>
        <v>2.5</v>
      </c>
      <c r="G31">
        <f t="shared" si="0"/>
        <v>127000</v>
      </c>
      <c r="H31">
        <f t="shared" si="1"/>
        <v>712800</v>
      </c>
      <c r="I31">
        <f t="shared" si="2"/>
        <v>50800</v>
      </c>
    </row>
    <row r="32" spans="1:9">
      <c r="A32" t="s">
        <v>14</v>
      </c>
      <c r="B32" t="s">
        <v>18</v>
      </c>
      <c r="C32">
        <v>144895000</v>
      </c>
      <c r="D32">
        <v>178280000</v>
      </c>
      <c r="E32" t="str">
        <f>VLOOKUP(B32,Лист2!A:E,5,0)</f>
        <v>малые</v>
      </c>
      <c r="F32">
        <f>VLOOKUP(B32,Лист2!A:E,4,0)</f>
        <v>2.5</v>
      </c>
      <c r="G32">
        <f t="shared" si="0"/>
        <v>-33385000</v>
      </c>
      <c r="H32">
        <f t="shared" si="1"/>
        <v>57958000</v>
      </c>
      <c r="I32">
        <f t="shared" si="2"/>
        <v>-13354000</v>
      </c>
    </row>
    <row r="33" spans="1:9">
      <c r="A33" t="s">
        <v>14</v>
      </c>
      <c r="B33" t="s">
        <v>18</v>
      </c>
      <c r="C33">
        <v>45304000</v>
      </c>
      <c r="D33">
        <v>46293000</v>
      </c>
      <c r="E33" t="str">
        <f>VLOOKUP(B33,Лист2!A:E,5,0)</f>
        <v>малые</v>
      </c>
      <c r="F33">
        <f>VLOOKUP(B33,Лист2!A:E,4,0)</f>
        <v>2.5</v>
      </c>
      <c r="G33">
        <f t="shared" si="0"/>
        <v>-989000</v>
      </c>
      <c r="H33">
        <f t="shared" si="1"/>
        <v>18121600</v>
      </c>
      <c r="I33">
        <f t="shared" si="2"/>
        <v>-395600</v>
      </c>
    </row>
    <row r="34" spans="1:9">
      <c r="A34" t="s">
        <v>14</v>
      </c>
      <c r="B34" t="s">
        <v>77</v>
      </c>
      <c r="C34">
        <v>9916000</v>
      </c>
      <c r="D34">
        <v>14554000</v>
      </c>
      <c r="E34" t="str">
        <f>VLOOKUP(B34,Лист2!A:E,5,0)</f>
        <v>малые</v>
      </c>
      <c r="F34">
        <f>VLOOKUP(B34,Лист2!A:E,4,0)</f>
        <v>8</v>
      </c>
      <c r="G34">
        <f t="shared" si="0"/>
        <v>-4638000</v>
      </c>
      <c r="H34">
        <f t="shared" si="1"/>
        <v>1239500</v>
      </c>
      <c r="I34">
        <f t="shared" si="2"/>
        <v>-579750</v>
      </c>
    </row>
    <row r="35" spans="1:9">
      <c r="A35" t="s">
        <v>14</v>
      </c>
      <c r="B35" t="s">
        <v>18</v>
      </c>
      <c r="C35">
        <v>30155000</v>
      </c>
      <c r="D35">
        <v>35079000</v>
      </c>
      <c r="E35" t="str">
        <f>VLOOKUP(B35,Лист2!A:E,5,0)</f>
        <v>малые</v>
      </c>
      <c r="F35">
        <f>VLOOKUP(B35,Лист2!A:E,4,0)</f>
        <v>2.5</v>
      </c>
      <c r="G35">
        <f t="shared" si="0"/>
        <v>-4924000</v>
      </c>
      <c r="H35">
        <f t="shared" si="1"/>
        <v>12062000</v>
      </c>
      <c r="I35">
        <f t="shared" si="2"/>
        <v>-1969600</v>
      </c>
    </row>
    <row r="36" spans="1:9">
      <c r="A36" t="s">
        <v>14</v>
      </c>
      <c r="B36" t="s">
        <v>18</v>
      </c>
      <c r="C36">
        <v>3091000</v>
      </c>
      <c r="D36">
        <v>5694000</v>
      </c>
      <c r="E36" t="str">
        <f>VLOOKUP(B36,Лист2!A:E,5,0)</f>
        <v>малые</v>
      </c>
      <c r="F36">
        <f>VLOOKUP(B36,Лист2!A:E,4,0)</f>
        <v>2.5</v>
      </c>
      <c r="G36">
        <f t="shared" si="0"/>
        <v>-2603000</v>
      </c>
      <c r="H36">
        <f t="shared" si="1"/>
        <v>1236400</v>
      </c>
      <c r="I36">
        <f t="shared" si="2"/>
        <v>-1041200</v>
      </c>
    </row>
    <row r="37" spans="1:9">
      <c r="A37" t="s">
        <v>14</v>
      </c>
      <c r="B37" t="s">
        <v>18</v>
      </c>
      <c r="C37">
        <v>4737000</v>
      </c>
      <c r="D37">
        <v>4219000</v>
      </c>
      <c r="E37" t="str">
        <f>VLOOKUP(B37,Лист2!A:E,5,0)</f>
        <v>малые</v>
      </c>
      <c r="F37">
        <f>VLOOKUP(B37,Лист2!A:E,4,0)</f>
        <v>2.5</v>
      </c>
      <c r="G37">
        <f t="shared" si="0"/>
        <v>518000</v>
      </c>
      <c r="H37">
        <f t="shared" si="1"/>
        <v>1894800</v>
      </c>
      <c r="I37">
        <f t="shared" si="2"/>
        <v>207200</v>
      </c>
    </row>
    <row r="38" spans="1:9">
      <c r="A38" t="s">
        <v>14</v>
      </c>
      <c r="B38" t="s">
        <v>18</v>
      </c>
      <c r="C38">
        <v>2577000</v>
      </c>
      <c r="D38">
        <v>548000</v>
      </c>
      <c r="E38" t="str">
        <f>VLOOKUP(B38,Лист2!A:E,5,0)</f>
        <v>малые</v>
      </c>
      <c r="F38">
        <f>VLOOKUP(B38,Лист2!A:E,4,0)</f>
        <v>2.5</v>
      </c>
      <c r="G38">
        <f t="shared" si="0"/>
        <v>2029000</v>
      </c>
      <c r="H38">
        <f t="shared" si="1"/>
        <v>1030800</v>
      </c>
      <c r="I38">
        <f t="shared" si="2"/>
        <v>811600</v>
      </c>
    </row>
    <row r="39" spans="1:9">
      <c r="A39" t="s">
        <v>14</v>
      </c>
      <c r="B39" t="s">
        <v>18</v>
      </c>
      <c r="C39">
        <v>28095000</v>
      </c>
      <c r="D39">
        <v>29532000</v>
      </c>
      <c r="E39" t="str">
        <f>VLOOKUP(B39,Лист2!A:E,5,0)</f>
        <v>малые</v>
      </c>
      <c r="F39">
        <f>VLOOKUP(B39,Лист2!A:E,4,0)</f>
        <v>2.5</v>
      </c>
      <c r="G39">
        <f t="shared" si="0"/>
        <v>-1437000</v>
      </c>
      <c r="H39">
        <f t="shared" si="1"/>
        <v>11238000</v>
      </c>
      <c r="I39">
        <f t="shared" si="2"/>
        <v>-574800</v>
      </c>
    </row>
    <row r="40" spans="1:9">
      <c r="A40" t="s">
        <v>14</v>
      </c>
      <c r="B40" t="s">
        <v>18</v>
      </c>
      <c r="C40">
        <v>3316000</v>
      </c>
      <c r="D40">
        <v>12956000</v>
      </c>
      <c r="E40" t="str">
        <f>VLOOKUP(B40,Лист2!A:E,5,0)</f>
        <v>малые</v>
      </c>
      <c r="F40">
        <f>VLOOKUP(B40,Лист2!A:E,4,0)</f>
        <v>2.5</v>
      </c>
      <c r="G40">
        <f t="shared" si="0"/>
        <v>-9640000</v>
      </c>
      <c r="H40">
        <f t="shared" si="1"/>
        <v>1326400</v>
      </c>
      <c r="I40">
        <f t="shared" si="2"/>
        <v>-3856000</v>
      </c>
    </row>
    <row r="41" spans="1:9">
      <c r="A41" t="s">
        <v>14</v>
      </c>
      <c r="B41" t="s">
        <v>18</v>
      </c>
      <c r="C41">
        <v>150000</v>
      </c>
      <c r="D41">
        <v>120000</v>
      </c>
      <c r="E41" t="str">
        <f>VLOOKUP(B41,Лист2!A:E,5,0)</f>
        <v>малые</v>
      </c>
      <c r="F41">
        <f>VLOOKUP(B41,Лист2!A:E,4,0)</f>
        <v>2.5</v>
      </c>
      <c r="G41">
        <f t="shared" si="0"/>
        <v>30000</v>
      </c>
      <c r="H41">
        <f t="shared" si="1"/>
        <v>60000</v>
      </c>
      <c r="I41">
        <f t="shared" si="2"/>
        <v>12000</v>
      </c>
    </row>
    <row r="42" spans="1:9">
      <c r="A42" t="s">
        <v>14</v>
      </c>
      <c r="B42" t="s">
        <v>18</v>
      </c>
      <c r="C42">
        <v>10334000</v>
      </c>
      <c r="D42">
        <v>12605000</v>
      </c>
      <c r="E42" t="str">
        <f>VLOOKUP(B42,Лист2!A:E,5,0)</f>
        <v>малые</v>
      </c>
      <c r="F42">
        <f>VLOOKUP(B42,Лист2!A:E,4,0)</f>
        <v>2.5</v>
      </c>
      <c r="G42">
        <f t="shared" si="0"/>
        <v>-2271000</v>
      </c>
      <c r="H42">
        <f t="shared" si="1"/>
        <v>4133600</v>
      </c>
      <c r="I42">
        <f t="shared" si="2"/>
        <v>-908400</v>
      </c>
    </row>
    <row r="43" spans="1:9">
      <c r="A43" t="s">
        <v>14</v>
      </c>
      <c r="B43" t="s">
        <v>18</v>
      </c>
      <c r="C43">
        <v>2185000</v>
      </c>
      <c r="D43">
        <v>3304000</v>
      </c>
      <c r="E43" t="str">
        <f>VLOOKUP(B43,Лист2!A:E,5,0)</f>
        <v>малые</v>
      </c>
      <c r="F43">
        <f>VLOOKUP(B43,Лист2!A:E,4,0)</f>
        <v>2.5</v>
      </c>
      <c r="G43">
        <f t="shared" si="0"/>
        <v>-1119000</v>
      </c>
      <c r="H43">
        <f t="shared" si="1"/>
        <v>874000</v>
      </c>
      <c r="I43">
        <f t="shared" si="2"/>
        <v>-447600</v>
      </c>
    </row>
    <row r="44" spans="1:9">
      <c r="A44" t="s">
        <v>14</v>
      </c>
      <c r="B44" t="s">
        <v>22</v>
      </c>
      <c r="C44">
        <v>192489000</v>
      </c>
      <c r="D44">
        <v>226637000</v>
      </c>
      <c r="E44" t="str">
        <f>VLOOKUP(B44,Лист2!A:E,5,0)</f>
        <v>малые</v>
      </c>
      <c r="F44">
        <f>VLOOKUP(B44,Лист2!A:E,4,0)</f>
        <v>13</v>
      </c>
      <c r="G44">
        <f t="shared" si="0"/>
        <v>-34148000</v>
      </c>
      <c r="H44">
        <f t="shared" si="1"/>
        <v>14806846.153846154</v>
      </c>
      <c r="I44">
        <f t="shared" si="2"/>
        <v>-2626769.230769231</v>
      </c>
    </row>
    <row r="45" spans="1:9">
      <c r="A45" t="s">
        <v>14</v>
      </c>
      <c r="B45" t="s">
        <v>18</v>
      </c>
      <c r="C45">
        <v>1532000</v>
      </c>
      <c r="D45">
        <v>5507000</v>
      </c>
      <c r="E45" t="str">
        <f>VLOOKUP(B45,Лист2!A:E,5,0)</f>
        <v>малые</v>
      </c>
      <c r="F45">
        <f>VLOOKUP(B45,Лист2!A:E,4,0)</f>
        <v>2.5</v>
      </c>
      <c r="G45">
        <f t="shared" si="0"/>
        <v>-3975000</v>
      </c>
      <c r="H45">
        <f t="shared" si="1"/>
        <v>612800</v>
      </c>
      <c r="I45">
        <f t="shared" si="2"/>
        <v>-1590000</v>
      </c>
    </row>
    <row r="46" spans="1:9">
      <c r="A46" t="s">
        <v>14</v>
      </c>
      <c r="B46" t="s">
        <v>18</v>
      </c>
      <c r="C46">
        <v>2640000</v>
      </c>
      <c r="D46">
        <v>2646000</v>
      </c>
      <c r="E46" t="str">
        <f>VLOOKUP(B46,Лист2!A:E,5,0)</f>
        <v>малые</v>
      </c>
      <c r="F46">
        <f>VLOOKUP(B46,Лист2!A:E,4,0)</f>
        <v>2.5</v>
      </c>
      <c r="G46">
        <f t="shared" si="0"/>
        <v>-6000</v>
      </c>
      <c r="H46">
        <f t="shared" si="1"/>
        <v>1056000</v>
      </c>
      <c r="I46">
        <f t="shared" si="2"/>
        <v>-2400</v>
      </c>
    </row>
    <row r="47" spans="1:9">
      <c r="A47" t="s">
        <v>14</v>
      </c>
      <c r="B47" t="s">
        <v>18</v>
      </c>
      <c r="C47">
        <v>4184000</v>
      </c>
      <c r="D47">
        <v>14307000</v>
      </c>
      <c r="E47" t="str">
        <f>VLOOKUP(B47,Лист2!A:E,5,0)</f>
        <v>малые</v>
      </c>
      <c r="F47">
        <f>VLOOKUP(B47,Лист2!A:E,4,0)</f>
        <v>2.5</v>
      </c>
      <c r="G47">
        <f t="shared" si="0"/>
        <v>-10123000</v>
      </c>
      <c r="H47">
        <f t="shared" si="1"/>
        <v>1673600</v>
      </c>
      <c r="I47">
        <f t="shared" si="2"/>
        <v>-4049200</v>
      </c>
    </row>
    <row r="48" spans="1:9">
      <c r="A48" t="s">
        <v>14</v>
      </c>
      <c r="B48" t="s">
        <v>18</v>
      </c>
      <c r="C48">
        <v>10000</v>
      </c>
      <c r="D48">
        <v>19000</v>
      </c>
      <c r="E48" t="str">
        <f>VLOOKUP(B48,Лист2!A:E,5,0)</f>
        <v>малые</v>
      </c>
      <c r="F48">
        <f>VLOOKUP(B48,Лист2!A:E,4,0)</f>
        <v>2.5</v>
      </c>
      <c r="G48">
        <f t="shared" si="0"/>
        <v>-9000</v>
      </c>
      <c r="H48">
        <f t="shared" si="1"/>
        <v>4000</v>
      </c>
      <c r="I48">
        <f t="shared" si="2"/>
        <v>-3600</v>
      </c>
    </row>
    <row r="49" spans="1:9">
      <c r="A49" t="s">
        <v>14</v>
      </c>
      <c r="B49" t="s">
        <v>18</v>
      </c>
      <c r="C49">
        <v>778000</v>
      </c>
      <c r="D49">
        <v>1170000</v>
      </c>
      <c r="E49" t="str">
        <f>VLOOKUP(B49,Лист2!A:E,5,0)</f>
        <v>малые</v>
      </c>
      <c r="F49">
        <f>VLOOKUP(B49,Лист2!A:E,4,0)</f>
        <v>2.5</v>
      </c>
      <c r="G49">
        <f t="shared" si="0"/>
        <v>-392000</v>
      </c>
      <c r="H49">
        <f t="shared" si="1"/>
        <v>311200</v>
      </c>
      <c r="I49">
        <f t="shared" si="2"/>
        <v>-156800</v>
      </c>
    </row>
    <row r="50" spans="1:9">
      <c r="A50" t="s">
        <v>14</v>
      </c>
      <c r="B50" t="s">
        <v>18</v>
      </c>
      <c r="C50">
        <v>15000</v>
      </c>
      <c r="D50">
        <v>11000</v>
      </c>
      <c r="E50" t="str">
        <f>VLOOKUP(B50,Лист2!A:E,5,0)</f>
        <v>малые</v>
      </c>
      <c r="F50">
        <f>VLOOKUP(B50,Лист2!A:E,4,0)</f>
        <v>2.5</v>
      </c>
      <c r="G50">
        <f t="shared" si="0"/>
        <v>4000</v>
      </c>
      <c r="H50">
        <f t="shared" si="1"/>
        <v>6000</v>
      </c>
      <c r="I50">
        <f t="shared" si="2"/>
        <v>1600</v>
      </c>
    </row>
    <row r="51" spans="1:9">
      <c r="A51" t="s">
        <v>14</v>
      </c>
      <c r="B51" t="s">
        <v>18</v>
      </c>
      <c r="C51">
        <v>664000</v>
      </c>
      <c r="D51">
        <v>629000</v>
      </c>
      <c r="E51" t="str">
        <f>VLOOKUP(B51,Лист2!A:E,5,0)</f>
        <v>малые</v>
      </c>
      <c r="F51">
        <f>VLOOKUP(B51,Лист2!A:E,4,0)</f>
        <v>2.5</v>
      </c>
      <c r="G51">
        <f t="shared" si="0"/>
        <v>35000</v>
      </c>
      <c r="H51">
        <f t="shared" si="1"/>
        <v>265600</v>
      </c>
      <c r="I51">
        <f t="shared" si="2"/>
        <v>14000</v>
      </c>
    </row>
    <row r="52" spans="1:9">
      <c r="A52" t="s">
        <v>14</v>
      </c>
      <c r="B52" t="s">
        <v>18</v>
      </c>
      <c r="C52">
        <v>23151000</v>
      </c>
      <c r="D52">
        <v>99038000</v>
      </c>
      <c r="E52" t="str">
        <f>VLOOKUP(B52,Лист2!A:E,5,0)</f>
        <v>малые</v>
      </c>
      <c r="F52">
        <f>VLOOKUP(B52,Лист2!A:E,4,0)</f>
        <v>2.5</v>
      </c>
      <c r="G52">
        <f t="shared" si="0"/>
        <v>-75887000</v>
      </c>
      <c r="H52">
        <f t="shared" si="1"/>
        <v>9260400</v>
      </c>
      <c r="I52">
        <f t="shared" si="2"/>
        <v>-30354800</v>
      </c>
    </row>
    <row r="53" spans="1:9">
      <c r="A53" t="s">
        <v>14</v>
      </c>
      <c r="B53" t="s">
        <v>18</v>
      </c>
      <c r="C53">
        <v>2781000</v>
      </c>
      <c r="D53">
        <v>1269000</v>
      </c>
      <c r="E53" t="str">
        <f>VLOOKUP(B53,Лист2!A:E,5,0)</f>
        <v>малые</v>
      </c>
      <c r="F53">
        <f>VLOOKUP(B53,Лист2!A:E,4,0)</f>
        <v>2.5</v>
      </c>
      <c r="G53">
        <f t="shared" si="0"/>
        <v>1512000</v>
      </c>
      <c r="H53">
        <f t="shared" si="1"/>
        <v>1112400</v>
      </c>
      <c r="I53">
        <f t="shared" si="2"/>
        <v>604800</v>
      </c>
    </row>
    <row r="54" spans="1:9">
      <c r="A54" t="s">
        <v>14</v>
      </c>
      <c r="B54" t="s">
        <v>18</v>
      </c>
      <c r="C54">
        <v>709000</v>
      </c>
      <c r="D54">
        <v>851000</v>
      </c>
      <c r="E54" t="str">
        <f>VLOOKUP(B54,Лист2!A:E,5,0)</f>
        <v>малые</v>
      </c>
      <c r="F54">
        <f>VLOOKUP(B54,Лист2!A:E,4,0)</f>
        <v>2.5</v>
      </c>
      <c r="G54">
        <f t="shared" si="0"/>
        <v>-142000</v>
      </c>
      <c r="H54">
        <f t="shared" si="1"/>
        <v>283600</v>
      </c>
      <c r="I54">
        <f t="shared" si="2"/>
        <v>-56800</v>
      </c>
    </row>
    <row r="55" spans="1:9">
      <c r="A55" t="s">
        <v>14</v>
      </c>
      <c r="B55" t="s">
        <v>18</v>
      </c>
      <c r="C55">
        <v>6450000</v>
      </c>
      <c r="D55">
        <v>6312000</v>
      </c>
      <c r="E55" t="str">
        <f>VLOOKUP(B55,Лист2!A:E,5,0)</f>
        <v>малые</v>
      </c>
      <c r="F55">
        <f>VLOOKUP(B55,Лист2!A:E,4,0)</f>
        <v>2.5</v>
      </c>
      <c r="G55">
        <f t="shared" ref="G55:G106" si="3">C55-D55</f>
        <v>138000</v>
      </c>
      <c r="H55">
        <f t="shared" ref="H55:H106" si="4">C55/F55</f>
        <v>2580000</v>
      </c>
      <c r="I55">
        <f t="shared" ref="I55:I106" si="5">G55/F55</f>
        <v>55200</v>
      </c>
    </row>
    <row r="56" spans="1:9">
      <c r="A56" t="s">
        <v>14</v>
      </c>
      <c r="B56" t="s">
        <v>77</v>
      </c>
      <c r="C56">
        <v>7612000</v>
      </c>
      <c r="D56">
        <v>7401000</v>
      </c>
      <c r="E56" t="str">
        <f>VLOOKUP(B56,Лист2!A:E,5,0)</f>
        <v>малые</v>
      </c>
      <c r="F56">
        <f>VLOOKUP(B56,Лист2!A:E,4,0)</f>
        <v>8</v>
      </c>
      <c r="G56">
        <f t="shared" si="3"/>
        <v>211000</v>
      </c>
      <c r="H56">
        <f t="shared" si="4"/>
        <v>951500</v>
      </c>
      <c r="I56">
        <f t="shared" si="5"/>
        <v>26375</v>
      </c>
    </row>
    <row r="57" spans="1:9">
      <c r="A57" t="s">
        <v>14</v>
      </c>
      <c r="B57" t="s">
        <v>18</v>
      </c>
      <c r="C57">
        <v>172000</v>
      </c>
      <c r="D57">
        <v>245000</v>
      </c>
      <c r="E57" t="str">
        <f>VLOOKUP(B57,Лист2!A:E,5,0)</f>
        <v>малые</v>
      </c>
      <c r="F57">
        <f>VLOOKUP(B57,Лист2!A:E,4,0)</f>
        <v>2.5</v>
      </c>
      <c r="G57">
        <f t="shared" si="3"/>
        <v>-73000</v>
      </c>
      <c r="H57">
        <f t="shared" si="4"/>
        <v>68800</v>
      </c>
      <c r="I57">
        <f t="shared" si="5"/>
        <v>-29200</v>
      </c>
    </row>
    <row r="58" spans="1:9">
      <c r="A58" t="s">
        <v>14</v>
      </c>
      <c r="B58" t="s">
        <v>18</v>
      </c>
      <c r="C58">
        <v>110000</v>
      </c>
      <c r="D58">
        <v>115000</v>
      </c>
      <c r="E58" t="str">
        <f>VLOOKUP(B58,Лист2!A:E,5,0)</f>
        <v>малые</v>
      </c>
      <c r="F58">
        <f>VLOOKUP(B58,Лист2!A:E,4,0)</f>
        <v>2.5</v>
      </c>
      <c r="G58">
        <f t="shared" si="3"/>
        <v>-5000</v>
      </c>
      <c r="H58">
        <f t="shared" si="4"/>
        <v>44000</v>
      </c>
      <c r="I58">
        <f t="shared" si="5"/>
        <v>-2000</v>
      </c>
    </row>
    <row r="59" spans="1:9">
      <c r="A59" t="s">
        <v>14</v>
      </c>
      <c r="B59" t="s">
        <v>18</v>
      </c>
      <c r="C59">
        <v>1650000</v>
      </c>
      <c r="D59">
        <v>2197000</v>
      </c>
      <c r="E59" t="str">
        <f>VLOOKUP(B59,Лист2!A:E,5,0)</f>
        <v>малые</v>
      </c>
      <c r="F59">
        <f>VLOOKUP(B59,Лист2!A:E,4,0)</f>
        <v>2.5</v>
      </c>
      <c r="G59">
        <f t="shared" si="3"/>
        <v>-547000</v>
      </c>
      <c r="H59">
        <f t="shared" si="4"/>
        <v>660000</v>
      </c>
      <c r="I59">
        <f t="shared" si="5"/>
        <v>-218800</v>
      </c>
    </row>
    <row r="60" spans="1:9">
      <c r="A60" t="s">
        <v>14</v>
      </c>
      <c r="B60" t="s">
        <v>22</v>
      </c>
      <c r="C60">
        <v>97403000</v>
      </c>
      <c r="D60">
        <v>62297000</v>
      </c>
      <c r="E60" t="str">
        <f>VLOOKUP(B60,Лист2!A:E,5,0)</f>
        <v>малые</v>
      </c>
      <c r="F60">
        <f>VLOOKUP(B60,Лист2!A:E,4,0)</f>
        <v>13</v>
      </c>
      <c r="G60">
        <f t="shared" si="3"/>
        <v>35106000</v>
      </c>
      <c r="H60">
        <f t="shared" si="4"/>
        <v>7492538.461538462</v>
      </c>
      <c r="I60">
        <f t="shared" si="5"/>
        <v>2700461.5384615385</v>
      </c>
    </row>
    <row r="61" spans="1:9">
      <c r="A61" t="s">
        <v>14</v>
      </c>
      <c r="B61" t="s">
        <v>18</v>
      </c>
      <c r="C61">
        <v>18068000</v>
      </c>
      <c r="D61">
        <v>17711000</v>
      </c>
      <c r="E61" t="str">
        <f>VLOOKUP(B61,Лист2!A:E,5,0)</f>
        <v>малые</v>
      </c>
      <c r="F61">
        <f>VLOOKUP(B61,Лист2!A:E,4,0)</f>
        <v>2.5</v>
      </c>
      <c r="G61">
        <f t="shared" si="3"/>
        <v>357000</v>
      </c>
      <c r="H61">
        <f t="shared" si="4"/>
        <v>7227200</v>
      </c>
      <c r="I61">
        <f t="shared" si="5"/>
        <v>142800</v>
      </c>
    </row>
    <row r="62" spans="1:9">
      <c r="A62" t="s">
        <v>14</v>
      </c>
      <c r="B62" t="s">
        <v>18</v>
      </c>
      <c r="C62">
        <v>19792000</v>
      </c>
      <c r="D62">
        <v>30402000</v>
      </c>
      <c r="E62" t="str">
        <f>VLOOKUP(B62,Лист2!A:E,5,0)</f>
        <v>малые</v>
      </c>
      <c r="F62">
        <f>VLOOKUP(B62,Лист2!A:E,4,0)</f>
        <v>2.5</v>
      </c>
      <c r="G62">
        <f t="shared" si="3"/>
        <v>-10610000</v>
      </c>
      <c r="H62">
        <f t="shared" si="4"/>
        <v>7916800</v>
      </c>
      <c r="I62">
        <f t="shared" si="5"/>
        <v>-4244000</v>
      </c>
    </row>
    <row r="63" spans="1:9">
      <c r="A63" t="s">
        <v>14</v>
      </c>
      <c r="B63" t="s">
        <v>18</v>
      </c>
      <c r="C63">
        <v>3514000</v>
      </c>
      <c r="D63">
        <v>3452000</v>
      </c>
      <c r="E63" t="str">
        <f>VLOOKUP(B63,Лист2!A:E,5,0)</f>
        <v>малые</v>
      </c>
      <c r="F63">
        <f>VLOOKUP(B63,Лист2!A:E,4,0)</f>
        <v>2.5</v>
      </c>
      <c r="G63">
        <f t="shared" si="3"/>
        <v>62000</v>
      </c>
      <c r="H63">
        <f t="shared" si="4"/>
        <v>1405600</v>
      </c>
      <c r="I63">
        <f t="shared" si="5"/>
        <v>24800</v>
      </c>
    </row>
    <row r="64" spans="1:9">
      <c r="A64" t="s">
        <v>14</v>
      </c>
      <c r="B64" t="s">
        <v>18</v>
      </c>
      <c r="C64">
        <v>6800000</v>
      </c>
      <c r="D64">
        <v>5647000</v>
      </c>
      <c r="E64" t="str">
        <f>VLOOKUP(B64,Лист2!A:E,5,0)</f>
        <v>малые</v>
      </c>
      <c r="F64">
        <f>VLOOKUP(B64,Лист2!A:E,4,0)</f>
        <v>2.5</v>
      </c>
      <c r="G64">
        <f t="shared" si="3"/>
        <v>1153000</v>
      </c>
      <c r="H64">
        <f t="shared" si="4"/>
        <v>2720000</v>
      </c>
      <c r="I64">
        <f t="shared" si="5"/>
        <v>461200</v>
      </c>
    </row>
    <row r="65" spans="1:9">
      <c r="A65" t="s">
        <v>14</v>
      </c>
      <c r="B65" t="s">
        <v>23</v>
      </c>
      <c r="C65">
        <v>514068000</v>
      </c>
      <c r="D65">
        <v>442917000</v>
      </c>
      <c r="E65" t="str">
        <f>VLOOKUP(B65,Лист2!A:E,5,0)</f>
        <v>средние</v>
      </c>
      <c r="F65">
        <f>VLOOKUP(B65,Лист2!A:E,4,0)</f>
        <v>75.5</v>
      </c>
      <c r="G65">
        <f t="shared" si="3"/>
        <v>71151000</v>
      </c>
      <c r="H65">
        <f t="shared" si="4"/>
        <v>6808847.6821192056</v>
      </c>
      <c r="I65">
        <f t="shared" si="5"/>
        <v>942397.35099337751</v>
      </c>
    </row>
    <row r="66" spans="1:9">
      <c r="A66" t="s">
        <v>14</v>
      </c>
      <c r="B66" t="s">
        <v>18</v>
      </c>
      <c r="C66">
        <v>13390000</v>
      </c>
      <c r="D66">
        <v>13674000</v>
      </c>
      <c r="E66" t="str">
        <f>VLOOKUP(B66,Лист2!A:E,5,0)</f>
        <v>малые</v>
      </c>
      <c r="F66">
        <f>VLOOKUP(B66,Лист2!A:E,4,0)</f>
        <v>2.5</v>
      </c>
      <c r="G66">
        <f t="shared" si="3"/>
        <v>-284000</v>
      </c>
      <c r="H66">
        <f t="shared" si="4"/>
        <v>5356000</v>
      </c>
      <c r="I66">
        <f t="shared" si="5"/>
        <v>-113600</v>
      </c>
    </row>
    <row r="67" spans="1:9">
      <c r="A67" t="s">
        <v>14</v>
      </c>
      <c r="B67" t="s">
        <v>18</v>
      </c>
      <c r="C67">
        <v>12594000</v>
      </c>
      <c r="D67">
        <v>10451000</v>
      </c>
      <c r="E67" t="str">
        <f>VLOOKUP(B67,Лист2!A:E,5,0)</f>
        <v>малые</v>
      </c>
      <c r="F67">
        <f>VLOOKUP(B67,Лист2!A:E,4,0)</f>
        <v>2.5</v>
      </c>
      <c r="G67">
        <f t="shared" si="3"/>
        <v>2143000</v>
      </c>
      <c r="H67">
        <f t="shared" si="4"/>
        <v>5037600</v>
      </c>
      <c r="I67">
        <f t="shared" si="5"/>
        <v>857200</v>
      </c>
    </row>
    <row r="68" spans="1:9">
      <c r="A68" t="s">
        <v>25</v>
      </c>
      <c r="B68" t="s">
        <v>18</v>
      </c>
      <c r="C68">
        <v>12980000</v>
      </c>
      <c r="D68">
        <v>9158000</v>
      </c>
      <c r="E68" t="str">
        <f>VLOOKUP(B68,Лист2!A:E,5,0)</f>
        <v>малые</v>
      </c>
      <c r="F68">
        <f>VLOOKUP(B68,Лист2!A:E,4,0)</f>
        <v>2.5</v>
      </c>
      <c r="G68">
        <f t="shared" si="3"/>
        <v>3822000</v>
      </c>
      <c r="H68">
        <f t="shared" si="4"/>
        <v>5192000</v>
      </c>
      <c r="I68">
        <f t="shared" si="5"/>
        <v>1528800</v>
      </c>
    </row>
    <row r="69" spans="1:9">
      <c r="A69" t="s">
        <v>25</v>
      </c>
      <c r="B69" t="s">
        <v>22</v>
      </c>
      <c r="C69">
        <v>3425000</v>
      </c>
      <c r="D69">
        <v>3667000</v>
      </c>
      <c r="E69" t="str">
        <f>VLOOKUP(B69,Лист2!A:E,5,0)</f>
        <v>малые</v>
      </c>
      <c r="F69">
        <f>VLOOKUP(B69,Лист2!A:E,4,0)</f>
        <v>13</v>
      </c>
      <c r="G69">
        <f t="shared" si="3"/>
        <v>-242000</v>
      </c>
      <c r="H69">
        <f t="shared" si="4"/>
        <v>263461.53846153844</v>
      </c>
      <c r="I69">
        <f t="shared" si="5"/>
        <v>-18615.384615384617</v>
      </c>
    </row>
    <row r="70" spans="1:9">
      <c r="A70" t="s">
        <v>14</v>
      </c>
      <c r="B70" t="s">
        <v>22</v>
      </c>
      <c r="C70">
        <v>66620000</v>
      </c>
      <c r="D70">
        <v>66674000</v>
      </c>
      <c r="E70" t="str">
        <f>VLOOKUP(B70,Лист2!A:E,5,0)</f>
        <v>малые</v>
      </c>
      <c r="F70">
        <f>VLOOKUP(B70,Лист2!A:E,4,0)</f>
        <v>13</v>
      </c>
      <c r="G70">
        <f t="shared" si="3"/>
        <v>-54000</v>
      </c>
      <c r="H70">
        <f t="shared" si="4"/>
        <v>5124615.384615385</v>
      </c>
      <c r="I70">
        <f t="shared" si="5"/>
        <v>-4153.8461538461543</v>
      </c>
    </row>
    <row r="71" spans="1:9">
      <c r="A71" t="s">
        <v>14</v>
      </c>
      <c r="B71" t="s">
        <v>280</v>
      </c>
      <c r="C71">
        <v>77367000</v>
      </c>
      <c r="D71">
        <v>67628000</v>
      </c>
      <c r="E71" t="str">
        <f>VLOOKUP(B71,Лист2!A:E,5,0)</f>
        <v>крупные</v>
      </c>
      <c r="F71">
        <f>VLOOKUP(B71,Лист2!A:E,4,0)</f>
        <v>225.5</v>
      </c>
      <c r="G71">
        <f t="shared" si="3"/>
        <v>9739000</v>
      </c>
      <c r="H71">
        <f t="shared" si="4"/>
        <v>343090.90909090912</v>
      </c>
      <c r="I71">
        <f t="shared" si="5"/>
        <v>43188.47006651885</v>
      </c>
    </row>
    <row r="72" spans="1:9">
      <c r="A72" t="s">
        <v>14</v>
      </c>
      <c r="B72" t="s">
        <v>18</v>
      </c>
      <c r="C72">
        <v>269412000</v>
      </c>
      <c r="D72">
        <v>251203000</v>
      </c>
      <c r="E72" t="str">
        <f>VLOOKUP(B72,Лист2!A:E,5,0)</f>
        <v>малые</v>
      </c>
      <c r="F72">
        <f>VLOOKUP(B72,Лист2!A:E,4,0)</f>
        <v>2.5</v>
      </c>
      <c r="G72">
        <f t="shared" si="3"/>
        <v>18209000</v>
      </c>
      <c r="H72">
        <f t="shared" si="4"/>
        <v>107764800</v>
      </c>
      <c r="I72">
        <f t="shared" si="5"/>
        <v>7283600</v>
      </c>
    </row>
    <row r="73" spans="1:9">
      <c r="A73" t="s">
        <v>14</v>
      </c>
      <c r="B73" t="s">
        <v>18</v>
      </c>
      <c r="C73">
        <v>69000</v>
      </c>
      <c r="D73">
        <v>150000</v>
      </c>
      <c r="E73" t="str">
        <f>VLOOKUP(B73,Лист2!A:E,5,0)</f>
        <v>малые</v>
      </c>
      <c r="F73">
        <f>VLOOKUP(B73,Лист2!A:E,4,0)</f>
        <v>2.5</v>
      </c>
      <c r="G73">
        <f t="shared" si="3"/>
        <v>-81000</v>
      </c>
      <c r="H73">
        <f t="shared" si="4"/>
        <v>27600</v>
      </c>
      <c r="I73">
        <f t="shared" si="5"/>
        <v>-32400</v>
      </c>
    </row>
    <row r="74" spans="1:9">
      <c r="A74" t="s">
        <v>25</v>
      </c>
      <c r="B74" t="s">
        <v>23</v>
      </c>
      <c r="C74">
        <v>50019000</v>
      </c>
      <c r="D74">
        <v>41433000</v>
      </c>
      <c r="E74" t="str">
        <f>VLOOKUP(B74,Лист2!A:E,5,0)</f>
        <v>средние</v>
      </c>
      <c r="F74">
        <f>VLOOKUP(B74,Лист2!A:E,4,0)</f>
        <v>75.5</v>
      </c>
      <c r="G74">
        <f t="shared" si="3"/>
        <v>8586000</v>
      </c>
      <c r="H74">
        <f t="shared" si="4"/>
        <v>662503.31125827809</v>
      </c>
      <c r="I74">
        <f t="shared" si="5"/>
        <v>113721.85430463577</v>
      </c>
    </row>
    <row r="75" spans="1:9">
      <c r="A75" t="s">
        <v>14</v>
      </c>
      <c r="B75" t="s">
        <v>18</v>
      </c>
      <c r="C75">
        <v>7416000</v>
      </c>
      <c r="D75">
        <v>7176000</v>
      </c>
      <c r="E75" t="str">
        <f>VLOOKUP(B75,Лист2!A:E,5,0)</f>
        <v>малые</v>
      </c>
      <c r="F75">
        <f>VLOOKUP(B75,Лист2!A:E,4,0)</f>
        <v>2.5</v>
      </c>
      <c r="G75">
        <f t="shared" si="3"/>
        <v>240000</v>
      </c>
      <c r="H75">
        <f t="shared" si="4"/>
        <v>2966400</v>
      </c>
      <c r="I75">
        <f t="shared" si="5"/>
        <v>96000</v>
      </c>
    </row>
    <row r="76" spans="1:9">
      <c r="A76" t="s">
        <v>14</v>
      </c>
      <c r="B76" t="s">
        <v>18</v>
      </c>
      <c r="C76">
        <v>3539000</v>
      </c>
      <c r="D76">
        <v>6026000</v>
      </c>
      <c r="E76" t="str">
        <f>VLOOKUP(B76,Лист2!A:E,5,0)</f>
        <v>малые</v>
      </c>
      <c r="F76">
        <f>VLOOKUP(B76,Лист2!A:E,4,0)</f>
        <v>2.5</v>
      </c>
      <c r="G76">
        <f t="shared" si="3"/>
        <v>-2487000</v>
      </c>
      <c r="H76">
        <f t="shared" si="4"/>
        <v>1415600</v>
      </c>
      <c r="I76">
        <f t="shared" si="5"/>
        <v>-994800</v>
      </c>
    </row>
    <row r="77" spans="1:9">
      <c r="A77" t="s">
        <v>14</v>
      </c>
      <c r="B77" t="s">
        <v>18</v>
      </c>
      <c r="C77">
        <v>1231000</v>
      </c>
      <c r="D77">
        <v>1229000</v>
      </c>
      <c r="E77" t="str">
        <f>VLOOKUP(B77,Лист2!A:E,5,0)</f>
        <v>малые</v>
      </c>
      <c r="F77">
        <f>VLOOKUP(B77,Лист2!A:E,4,0)</f>
        <v>2.5</v>
      </c>
      <c r="G77">
        <f t="shared" si="3"/>
        <v>2000</v>
      </c>
      <c r="H77">
        <f t="shared" si="4"/>
        <v>492400</v>
      </c>
      <c r="I77">
        <f t="shared" si="5"/>
        <v>800</v>
      </c>
    </row>
    <row r="78" spans="1:9">
      <c r="A78" t="s">
        <v>14</v>
      </c>
      <c r="B78" t="s">
        <v>302</v>
      </c>
      <c r="C78">
        <v>82558000</v>
      </c>
      <c r="D78">
        <v>71662000</v>
      </c>
      <c r="E78" t="str">
        <f>VLOOKUP(B78,Лист2!A:E,5,0)</f>
        <v>средние</v>
      </c>
      <c r="F78">
        <f>VLOOKUP(B78,Лист2!A:E,4,0)</f>
        <v>125.5</v>
      </c>
      <c r="G78">
        <f t="shared" si="3"/>
        <v>10896000</v>
      </c>
      <c r="H78">
        <f t="shared" si="4"/>
        <v>657832.6693227092</v>
      </c>
      <c r="I78">
        <f t="shared" si="5"/>
        <v>86820.717131474099</v>
      </c>
    </row>
    <row r="79" spans="1:9">
      <c r="A79" t="s">
        <v>24</v>
      </c>
      <c r="B79" t="s">
        <v>18</v>
      </c>
      <c r="C79">
        <v>9431000</v>
      </c>
      <c r="D79">
        <v>33219000</v>
      </c>
      <c r="E79" t="str">
        <f>VLOOKUP(B79,Лист2!A:E,5,0)</f>
        <v>малые</v>
      </c>
      <c r="F79">
        <f>VLOOKUP(B79,Лист2!A:E,4,0)</f>
        <v>2.5</v>
      </c>
      <c r="G79">
        <f t="shared" si="3"/>
        <v>-23788000</v>
      </c>
      <c r="H79">
        <f t="shared" si="4"/>
        <v>3772400</v>
      </c>
      <c r="I79">
        <f t="shared" si="5"/>
        <v>-9515200</v>
      </c>
    </row>
    <row r="80" spans="1:9">
      <c r="A80" t="s">
        <v>14</v>
      </c>
      <c r="B80" t="s">
        <v>18</v>
      </c>
      <c r="C80">
        <v>1728000</v>
      </c>
      <c r="D80">
        <v>1197000</v>
      </c>
      <c r="E80" t="str">
        <f>VLOOKUP(B80,Лист2!A:E,5,0)</f>
        <v>малые</v>
      </c>
      <c r="F80">
        <f>VLOOKUP(B80,Лист2!A:E,4,0)</f>
        <v>2.5</v>
      </c>
      <c r="G80">
        <f t="shared" si="3"/>
        <v>531000</v>
      </c>
      <c r="H80">
        <f t="shared" si="4"/>
        <v>691200</v>
      </c>
      <c r="I80">
        <f t="shared" si="5"/>
        <v>212400</v>
      </c>
    </row>
    <row r="81" spans="1:9">
      <c r="A81" t="s">
        <v>25</v>
      </c>
      <c r="B81" t="s">
        <v>18</v>
      </c>
      <c r="C81">
        <v>1428000</v>
      </c>
      <c r="D81">
        <v>1425000</v>
      </c>
      <c r="E81" t="str">
        <f>VLOOKUP(B81,Лист2!A:E,5,0)</f>
        <v>малые</v>
      </c>
      <c r="F81">
        <f>VLOOKUP(B81,Лист2!A:E,4,0)</f>
        <v>2.5</v>
      </c>
      <c r="G81">
        <f t="shared" si="3"/>
        <v>3000</v>
      </c>
      <c r="H81">
        <f t="shared" si="4"/>
        <v>571200</v>
      </c>
      <c r="I81">
        <f t="shared" si="5"/>
        <v>1200</v>
      </c>
    </row>
    <row r="82" spans="1:9">
      <c r="A82" t="s">
        <v>14</v>
      </c>
      <c r="B82" t="s">
        <v>18</v>
      </c>
      <c r="C82">
        <v>7719000</v>
      </c>
      <c r="D82">
        <v>7142000</v>
      </c>
      <c r="E82" t="str">
        <f>VLOOKUP(B82,Лист2!A:E,5,0)</f>
        <v>малые</v>
      </c>
      <c r="F82">
        <f>VLOOKUP(B82,Лист2!A:E,4,0)</f>
        <v>2.5</v>
      </c>
      <c r="G82">
        <f t="shared" si="3"/>
        <v>577000</v>
      </c>
      <c r="H82">
        <f t="shared" si="4"/>
        <v>3087600</v>
      </c>
      <c r="I82">
        <f t="shared" si="5"/>
        <v>230800</v>
      </c>
    </row>
    <row r="83" spans="1:9">
      <c r="A83" t="s">
        <v>14</v>
      </c>
      <c r="B83" t="s">
        <v>18</v>
      </c>
      <c r="C83">
        <v>13961000</v>
      </c>
      <c r="D83">
        <v>6713000</v>
      </c>
      <c r="E83" t="str">
        <f>VLOOKUP(B83,Лист2!A:E,5,0)</f>
        <v>малые</v>
      </c>
      <c r="F83">
        <f>VLOOKUP(B83,Лист2!A:E,4,0)</f>
        <v>2.5</v>
      </c>
      <c r="G83">
        <f t="shared" si="3"/>
        <v>7248000</v>
      </c>
      <c r="H83">
        <f t="shared" si="4"/>
        <v>5584400</v>
      </c>
      <c r="I83">
        <f t="shared" si="5"/>
        <v>2899200</v>
      </c>
    </row>
    <row r="84" spans="1:9">
      <c r="A84" t="s">
        <v>14</v>
      </c>
      <c r="B84" t="s">
        <v>18</v>
      </c>
      <c r="C84">
        <v>118183000</v>
      </c>
      <c r="D84">
        <v>96446000</v>
      </c>
      <c r="E84" t="str">
        <f>VLOOKUP(B84,Лист2!A:E,5,0)</f>
        <v>малые</v>
      </c>
      <c r="F84">
        <f>VLOOKUP(B84,Лист2!A:E,4,0)</f>
        <v>2.5</v>
      </c>
      <c r="G84">
        <f t="shared" si="3"/>
        <v>21737000</v>
      </c>
      <c r="H84">
        <f t="shared" si="4"/>
        <v>47273200</v>
      </c>
      <c r="I84">
        <f t="shared" si="5"/>
        <v>8694800</v>
      </c>
    </row>
    <row r="85" spans="1:9">
      <c r="A85" t="s">
        <v>14</v>
      </c>
      <c r="B85" t="s">
        <v>77</v>
      </c>
      <c r="C85">
        <v>74828000</v>
      </c>
      <c r="D85">
        <v>67885000</v>
      </c>
      <c r="E85" t="str">
        <f>VLOOKUP(B85,Лист2!A:E,5,0)</f>
        <v>малые</v>
      </c>
      <c r="F85">
        <f>VLOOKUP(B85,Лист2!A:E,4,0)</f>
        <v>8</v>
      </c>
      <c r="G85">
        <f t="shared" si="3"/>
        <v>6943000</v>
      </c>
      <c r="H85">
        <f t="shared" si="4"/>
        <v>9353500</v>
      </c>
      <c r="I85">
        <f t="shared" si="5"/>
        <v>867875</v>
      </c>
    </row>
    <row r="86" spans="1:9">
      <c r="A86" t="s">
        <v>25</v>
      </c>
      <c r="B86" t="s">
        <v>18</v>
      </c>
      <c r="C86">
        <v>2558000</v>
      </c>
      <c r="D86">
        <v>1855000</v>
      </c>
      <c r="E86" t="str">
        <f>VLOOKUP(B86,Лист2!A:E,5,0)</f>
        <v>малые</v>
      </c>
      <c r="F86">
        <f>VLOOKUP(B86,Лист2!A:E,4,0)</f>
        <v>2.5</v>
      </c>
      <c r="G86">
        <f t="shared" si="3"/>
        <v>703000</v>
      </c>
      <c r="H86">
        <f t="shared" si="4"/>
        <v>1023200</v>
      </c>
      <c r="I86">
        <f t="shared" si="5"/>
        <v>281200</v>
      </c>
    </row>
    <row r="87" spans="1:9">
      <c r="A87" t="s">
        <v>14</v>
      </c>
      <c r="B87" t="s">
        <v>18</v>
      </c>
      <c r="C87">
        <v>85019000</v>
      </c>
      <c r="D87">
        <v>53611000</v>
      </c>
      <c r="E87" t="str">
        <f>VLOOKUP(B87,Лист2!A:E,5,0)</f>
        <v>малые</v>
      </c>
      <c r="F87">
        <f>VLOOKUP(B87,Лист2!A:E,4,0)</f>
        <v>2.5</v>
      </c>
      <c r="G87">
        <f t="shared" si="3"/>
        <v>31408000</v>
      </c>
      <c r="H87">
        <f t="shared" si="4"/>
        <v>34007600</v>
      </c>
      <c r="I87">
        <f t="shared" si="5"/>
        <v>12563200</v>
      </c>
    </row>
    <row r="88" spans="1:9">
      <c r="A88" t="s">
        <v>14</v>
      </c>
      <c r="B88" t="s">
        <v>18</v>
      </c>
      <c r="C88">
        <v>4537000</v>
      </c>
      <c r="D88">
        <v>4519000</v>
      </c>
      <c r="E88" t="str">
        <f>VLOOKUP(B88,Лист2!A:E,5,0)</f>
        <v>малые</v>
      </c>
      <c r="F88">
        <f>VLOOKUP(B88,Лист2!A:E,4,0)</f>
        <v>2.5</v>
      </c>
      <c r="G88">
        <f t="shared" si="3"/>
        <v>18000</v>
      </c>
      <c r="H88">
        <f t="shared" si="4"/>
        <v>1814800</v>
      </c>
      <c r="I88">
        <f t="shared" si="5"/>
        <v>7200</v>
      </c>
    </row>
    <row r="89" spans="1:9">
      <c r="A89" t="s">
        <v>14</v>
      </c>
      <c r="B89" t="s">
        <v>23</v>
      </c>
      <c r="C89">
        <v>41859000</v>
      </c>
      <c r="D89">
        <v>36172000</v>
      </c>
      <c r="E89" t="str">
        <f>VLOOKUP(B89,Лист2!A:E,5,0)</f>
        <v>средние</v>
      </c>
      <c r="F89">
        <f>VLOOKUP(B89,Лист2!A:E,4,0)</f>
        <v>75.5</v>
      </c>
      <c r="G89">
        <f t="shared" si="3"/>
        <v>5687000</v>
      </c>
      <c r="H89">
        <f t="shared" si="4"/>
        <v>554423.84105960268</v>
      </c>
      <c r="I89">
        <f t="shared" si="5"/>
        <v>75324.503311258275</v>
      </c>
    </row>
    <row r="90" spans="1:9">
      <c r="A90" t="s">
        <v>14</v>
      </c>
      <c r="B90" t="s">
        <v>18</v>
      </c>
      <c r="C90">
        <v>17000</v>
      </c>
      <c r="D90">
        <v>17000</v>
      </c>
      <c r="E90" t="str">
        <f>VLOOKUP(B90,Лист2!A:E,5,0)</f>
        <v>малые</v>
      </c>
      <c r="F90">
        <f>VLOOKUP(B90,Лист2!A:E,4,0)</f>
        <v>2.5</v>
      </c>
      <c r="G90">
        <f t="shared" si="3"/>
        <v>0</v>
      </c>
      <c r="H90">
        <f t="shared" si="4"/>
        <v>6800</v>
      </c>
      <c r="I90">
        <f t="shared" si="5"/>
        <v>0</v>
      </c>
    </row>
    <row r="91" spans="1:9">
      <c r="A91" t="s">
        <v>14</v>
      </c>
      <c r="B91" t="s">
        <v>18</v>
      </c>
      <c r="C91">
        <v>16619000</v>
      </c>
      <c r="D91">
        <v>17244000</v>
      </c>
      <c r="E91" t="str">
        <f>VLOOKUP(B91,Лист2!A:E,5,0)</f>
        <v>малые</v>
      </c>
      <c r="F91">
        <f>VLOOKUP(B91,Лист2!A:E,4,0)</f>
        <v>2.5</v>
      </c>
      <c r="G91">
        <f t="shared" si="3"/>
        <v>-625000</v>
      </c>
      <c r="H91">
        <f t="shared" si="4"/>
        <v>6647600</v>
      </c>
      <c r="I91">
        <f t="shared" si="5"/>
        <v>-250000</v>
      </c>
    </row>
    <row r="92" spans="1:9">
      <c r="A92" t="s">
        <v>14</v>
      </c>
      <c r="B92" t="s">
        <v>77</v>
      </c>
      <c r="C92">
        <v>6258000</v>
      </c>
      <c r="D92">
        <v>8466000</v>
      </c>
      <c r="E92" t="str">
        <f>VLOOKUP(B92,Лист2!A:E,5,0)</f>
        <v>малые</v>
      </c>
      <c r="F92">
        <f>VLOOKUP(B92,Лист2!A:E,4,0)</f>
        <v>8</v>
      </c>
      <c r="G92">
        <f t="shared" si="3"/>
        <v>-2208000</v>
      </c>
      <c r="H92">
        <f t="shared" si="4"/>
        <v>782250</v>
      </c>
      <c r="I92">
        <f t="shared" si="5"/>
        <v>-276000</v>
      </c>
    </row>
    <row r="93" spans="1:9">
      <c r="A93" t="s">
        <v>14</v>
      </c>
      <c r="B93" t="s">
        <v>18</v>
      </c>
      <c r="C93">
        <v>143794000</v>
      </c>
      <c r="D93">
        <v>265249000</v>
      </c>
      <c r="E93" t="str">
        <f>VLOOKUP(B93,Лист2!A:E,5,0)</f>
        <v>малые</v>
      </c>
      <c r="F93">
        <f>VLOOKUP(B93,Лист2!A:E,4,0)</f>
        <v>2.5</v>
      </c>
      <c r="G93">
        <f t="shared" si="3"/>
        <v>-121455000</v>
      </c>
      <c r="H93">
        <f t="shared" si="4"/>
        <v>57517600</v>
      </c>
      <c r="I93">
        <f t="shared" si="5"/>
        <v>-48582000</v>
      </c>
    </row>
    <row r="94" spans="1:9">
      <c r="A94" t="s">
        <v>14</v>
      </c>
      <c r="B94" t="s">
        <v>18</v>
      </c>
      <c r="C94">
        <v>14400000</v>
      </c>
      <c r="D94">
        <v>14841000</v>
      </c>
      <c r="E94" t="str">
        <f>VLOOKUP(B94,Лист2!A:E,5,0)</f>
        <v>малые</v>
      </c>
      <c r="F94">
        <f>VLOOKUP(B94,Лист2!A:E,4,0)</f>
        <v>2.5</v>
      </c>
      <c r="G94">
        <f t="shared" si="3"/>
        <v>-441000</v>
      </c>
      <c r="H94">
        <f t="shared" si="4"/>
        <v>5760000</v>
      </c>
      <c r="I94">
        <f t="shared" si="5"/>
        <v>-176400</v>
      </c>
    </row>
    <row r="95" spans="1:9">
      <c r="A95" t="s">
        <v>14</v>
      </c>
      <c r="B95" t="s">
        <v>18</v>
      </c>
      <c r="C95">
        <v>25973000</v>
      </c>
      <c r="D95">
        <v>12812000</v>
      </c>
      <c r="E95" t="str">
        <f>VLOOKUP(B95,Лист2!A:E,5,0)</f>
        <v>малые</v>
      </c>
      <c r="F95">
        <f>VLOOKUP(B95,Лист2!A:E,4,0)</f>
        <v>2.5</v>
      </c>
      <c r="G95">
        <f t="shared" si="3"/>
        <v>13161000</v>
      </c>
      <c r="H95">
        <f t="shared" si="4"/>
        <v>10389200</v>
      </c>
      <c r="I95">
        <f t="shared" si="5"/>
        <v>5264400</v>
      </c>
    </row>
    <row r="96" spans="1:9">
      <c r="A96" t="s">
        <v>14</v>
      </c>
      <c r="B96" t="s">
        <v>18</v>
      </c>
      <c r="C96">
        <v>6946000</v>
      </c>
      <c r="D96">
        <v>6541000</v>
      </c>
      <c r="E96" t="str">
        <f>VLOOKUP(B96,Лист2!A:E,5,0)</f>
        <v>малые</v>
      </c>
      <c r="F96">
        <f>VLOOKUP(B96,Лист2!A:E,4,0)</f>
        <v>2.5</v>
      </c>
      <c r="G96">
        <f t="shared" si="3"/>
        <v>405000</v>
      </c>
      <c r="H96">
        <f t="shared" si="4"/>
        <v>2778400</v>
      </c>
      <c r="I96">
        <f t="shared" si="5"/>
        <v>162000</v>
      </c>
    </row>
    <row r="97" spans="1:9">
      <c r="A97" t="s">
        <v>14</v>
      </c>
      <c r="B97" t="s">
        <v>23</v>
      </c>
      <c r="C97">
        <v>155467000</v>
      </c>
      <c r="D97">
        <v>69241000</v>
      </c>
      <c r="E97" t="str">
        <f>VLOOKUP(B97,Лист2!A:E,5,0)</f>
        <v>средние</v>
      </c>
      <c r="F97">
        <f>VLOOKUP(B97,Лист2!A:E,4,0)</f>
        <v>75.5</v>
      </c>
      <c r="G97">
        <f t="shared" si="3"/>
        <v>86226000</v>
      </c>
      <c r="H97">
        <f t="shared" si="4"/>
        <v>2059165.5629139072</v>
      </c>
      <c r="I97">
        <f t="shared" si="5"/>
        <v>1142066.2251655629</v>
      </c>
    </row>
    <row r="98" spans="1:9">
      <c r="A98" t="s">
        <v>14</v>
      </c>
      <c r="B98" t="s">
        <v>18</v>
      </c>
      <c r="C98">
        <v>2505000</v>
      </c>
      <c r="D98">
        <v>2445000</v>
      </c>
      <c r="E98" t="str">
        <f>VLOOKUP(B98,Лист2!A:E,5,0)</f>
        <v>малые</v>
      </c>
      <c r="F98">
        <f>VLOOKUP(B98,Лист2!A:E,4,0)</f>
        <v>2.5</v>
      </c>
      <c r="G98">
        <f t="shared" si="3"/>
        <v>60000</v>
      </c>
      <c r="H98">
        <f t="shared" si="4"/>
        <v>1002000</v>
      </c>
      <c r="I98">
        <f t="shared" si="5"/>
        <v>24000</v>
      </c>
    </row>
    <row r="99" spans="1:9">
      <c r="A99" t="s">
        <v>14</v>
      </c>
      <c r="B99" t="s">
        <v>18</v>
      </c>
      <c r="C99">
        <v>201000</v>
      </c>
      <c r="D99">
        <v>207000</v>
      </c>
      <c r="E99" t="str">
        <f>VLOOKUP(B99,Лист2!A:E,5,0)</f>
        <v>малые</v>
      </c>
      <c r="F99">
        <f>VLOOKUP(B99,Лист2!A:E,4,0)</f>
        <v>2.5</v>
      </c>
      <c r="G99">
        <f t="shared" si="3"/>
        <v>-6000</v>
      </c>
      <c r="H99">
        <f t="shared" si="4"/>
        <v>80400</v>
      </c>
      <c r="I99">
        <f t="shared" si="5"/>
        <v>-2400</v>
      </c>
    </row>
    <row r="100" spans="1:9">
      <c r="A100" t="s">
        <v>14</v>
      </c>
      <c r="B100" t="s">
        <v>18</v>
      </c>
      <c r="C100">
        <v>50000</v>
      </c>
      <c r="D100">
        <v>47000</v>
      </c>
      <c r="E100" t="str">
        <f>VLOOKUP(B100,Лист2!A:E,5,0)</f>
        <v>малые</v>
      </c>
      <c r="F100">
        <f>VLOOKUP(B100,Лист2!A:E,4,0)</f>
        <v>2.5</v>
      </c>
      <c r="G100">
        <f t="shared" si="3"/>
        <v>3000</v>
      </c>
      <c r="H100">
        <f t="shared" si="4"/>
        <v>20000</v>
      </c>
      <c r="I100">
        <f t="shared" si="5"/>
        <v>1200</v>
      </c>
    </row>
    <row r="101" spans="1:9">
      <c r="A101" t="s">
        <v>14</v>
      </c>
      <c r="B101" t="s">
        <v>18</v>
      </c>
      <c r="C101">
        <v>3209000</v>
      </c>
      <c r="D101">
        <v>2670000</v>
      </c>
      <c r="E101" t="str">
        <f>VLOOKUP(B101,Лист2!A:E,5,0)</f>
        <v>малые</v>
      </c>
      <c r="F101">
        <f>VLOOKUP(B101,Лист2!A:E,4,0)</f>
        <v>2.5</v>
      </c>
      <c r="G101">
        <f t="shared" si="3"/>
        <v>539000</v>
      </c>
      <c r="H101">
        <f t="shared" si="4"/>
        <v>1283600</v>
      </c>
      <c r="I101">
        <f t="shared" si="5"/>
        <v>215600</v>
      </c>
    </row>
    <row r="102" spans="1:9">
      <c r="A102" t="s">
        <v>14</v>
      </c>
      <c r="B102" t="s">
        <v>18</v>
      </c>
      <c r="C102">
        <v>3799000</v>
      </c>
      <c r="D102">
        <v>3653000</v>
      </c>
      <c r="E102" t="str">
        <f>VLOOKUP(B102,Лист2!A:E,5,0)</f>
        <v>малые</v>
      </c>
      <c r="F102">
        <f>VLOOKUP(B102,Лист2!A:E,4,0)</f>
        <v>2.5</v>
      </c>
      <c r="G102">
        <f t="shared" si="3"/>
        <v>146000</v>
      </c>
      <c r="H102">
        <f t="shared" si="4"/>
        <v>1519600</v>
      </c>
      <c r="I102">
        <f t="shared" si="5"/>
        <v>58400</v>
      </c>
    </row>
    <row r="103" spans="1:9">
      <c r="A103" t="s">
        <v>25</v>
      </c>
      <c r="B103" t="s">
        <v>18</v>
      </c>
      <c r="C103">
        <v>1576000</v>
      </c>
      <c r="D103">
        <v>3872000</v>
      </c>
      <c r="E103" t="str">
        <f>VLOOKUP(B103,Лист2!A:E,5,0)</f>
        <v>малые</v>
      </c>
      <c r="F103">
        <f>VLOOKUP(B103,Лист2!A:E,4,0)</f>
        <v>2.5</v>
      </c>
      <c r="G103">
        <f t="shared" si="3"/>
        <v>-2296000</v>
      </c>
      <c r="H103">
        <f t="shared" si="4"/>
        <v>630400</v>
      </c>
      <c r="I103">
        <f t="shared" si="5"/>
        <v>-918400</v>
      </c>
    </row>
    <row r="104" spans="1:9">
      <c r="A104" t="s">
        <v>14</v>
      </c>
      <c r="B104" t="s">
        <v>18</v>
      </c>
      <c r="C104">
        <v>3060000</v>
      </c>
      <c r="D104">
        <v>3468000</v>
      </c>
      <c r="E104" t="str">
        <f>VLOOKUP(B104,Лист2!A:E,5,0)</f>
        <v>малые</v>
      </c>
      <c r="F104">
        <f>VLOOKUP(B104,Лист2!A:E,4,0)</f>
        <v>2.5</v>
      </c>
      <c r="G104">
        <f t="shared" si="3"/>
        <v>-408000</v>
      </c>
      <c r="H104">
        <f t="shared" si="4"/>
        <v>1224000</v>
      </c>
      <c r="I104">
        <f t="shared" si="5"/>
        <v>-163200</v>
      </c>
    </row>
    <row r="105" spans="1:9">
      <c r="A105" t="s">
        <v>14</v>
      </c>
      <c r="B105" t="s">
        <v>22</v>
      </c>
      <c r="C105">
        <v>11031000</v>
      </c>
      <c r="D105">
        <v>18407000</v>
      </c>
      <c r="E105" t="str">
        <f>VLOOKUP(B105,Лист2!A:E,5,0)</f>
        <v>малые</v>
      </c>
      <c r="F105">
        <f>VLOOKUP(B105,Лист2!A:E,4,0)</f>
        <v>13</v>
      </c>
      <c r="G105">
        <f t="shared" si="3"/>
        <v>-7376000</v>
      </c>
      <c r="H105">
        <f t="shared" si="4"/>
        <v>848538.4615384615</v>
      </c>
      <c r="I105">
        <f t="shared" si="5"/>
        <v>-567384.61538461538</v>
      </c>
    </row>
    <row r="106" spans="1:9">
      <c r="A106" t="s">
        <v>14</v>
      </c>
      <c r="B106" t="s">
        <v>23</v>
      </c>
      <c r="C106">
        <v>41475000</v>
      </c>
      <c r="D106">
        <v>40195000</v>
      </c>
      <c r="E106" t="str">
        <f>VLOOKUP(B106,Лист2!A:E,5,0)</f>
        <v>средние</v>
      </c>
      <c r="F106">
        <f>VLOOKUP(B106,Лист2!A:E,4,0)</f>
        <v>75.5</v>
      </c>
      <c r="G106">
        <f t="shared" si="3"/>
        <v>1280000</v>
      </c>
      <c r="H106">
        <f t="shared" si="4"/>
        <v>549337.74834437086</v>
      </c>
      <c r="I106">
        <f t="shared" si="5"/>
        <v>16953.642384105959</v>
      </c>
    </row>
    <row r="107" spans="1:9">
      <c r="A107" t="s">
        <v>14</v>
      </c>
      <c r="B107" t="s">
        <v>18</v>
      </c>
      <c r="C107">
        <v>24710000</v>
      </c>
      <c r="D107">
        <v>21286000</v>
      </c>
      <c r="E107" t="str">
        <f>VLOOKUP(B107,Лист2!A:E,5,0)</f>
        <v>малые</v>
      </c>
      <c r="F107">
        <f>VLOOKUP(B107,Лист2!A:E,4,0)</f>
        <v>2.5</v>
      </c>
      <c r="G107">
        <f t="shared" ref="G107:G153" si="6">C107-D107</f>
        <v>3424000</v>
      </c>
      <c r="H107">
        <f t="shared" ref="H107:H153" si="7">C107/F107</f>
        <v>9884000</v>
      </c>
      <c r="I107">
        <f t="shared" ref="I107:I153" si="8">G107/F107</f>
        <v>1369600</v>
      </c>
    </row>
    <row r="108" spans="1:9">
      <c r="A108" t="s">
        <v>14</v>
      </c>
      <c r="B108" t="s">
        <v>18</v>
      </c>
      <c r="C108">
        <v>15715000</v>
      </c>
      <c r="D108">
        <v>12215000</v>
      </c>
      <c r="E108" t="str">
        <f>VLOOKUP(B108,Лист2!A:E,5,0)</f>
        <v>малые</v>
      </c>
      <c r="F108">
        <f>VLOOKUP(B108,Лист2!A:E,4,0)</f>
        <v>2.5</v>
      </c>
      <c r="G108">
        <f t="shared" si="6"/>
        <v>3500000</v>
      </c>
      <c r="H108">
        <f t="shared" si="7"/>
        <v>6286000</v>
      </c>
      <c r="I108">
        <f t="shared" si="8"/>
        <v>1400000</v>
      </c>
    </row>
    <row r="109" spans="1:9">
      <c r="A109" t="s">
        <v>14</v>
      </c>
      <c r="B109" t="s">
        <v>18</v>
      </c>
      <c r="C109">
        <v>8550000</v>
      </c>
      <c r="D109">
        <v>8076000</v>
      </c>
      <c r="E109" t="str">
        <f>VLOOKUP(B109,Лист2!A:E,5,0)</f>
        <v>малые</v>
      </c>
      <c r="F109">
        <f>VLOOKUP(B109,Лист2!A:E,4,0)</f>
        <v>2.5</v>
      </c>
      <c r="G109">
        <f t="shared" si="6"/>
        <v>474000</v>
      </c>
      <c r="H109">
        <f t="shared" si="7"/>
        <v>3420000</v>
      </c>
      <c r="I109">
        <f t="shared" si="8"/>
        <v>189600</v>
      </c>
    </row>
    <row r="110" spans="1:9">
      <c r="A110" t="s">
        <v>14</v>
      </c>
      <c r="B110" t="s">
        <v>22</v>
      </c>
      <c r="C110">
        <v>2682331000</v>
      </c>
      <c r="D110">
        <v>2664750000</v>
      </c>
      <c r="E110" t="str">
        <f>VLOOKUP(B110,Лист2!A:E,5,0)</f>
        <v>малые</v>
      </c>
      <c r="F110">
        <f>VLOOKUP(B110,Лист2!A:E,4,0)</f>
        <v>13</v>
      </c>
      <c r="G110">
        <f t="shared" si="6"/>
        <v>17581000</v>
      </c>
      <c r="H110">
        <f t="shared" si="7"/>
        <v>206333153.84615386</v>
      </c>
      <c r="I110">
        <f t="shared" si="8"/>
        <v>1352384.6153846155</v>
      </c>
    </row>
    <row r="111" spans="1:9">
      <c r="A111" t="s">
        <v>25</v>
      </c>
      <c r="B111" t="s">
        <v>18</v>
      </c>
      <c r="C111">
        <v>9565000</v>
      </c>
      <c r="D111">
        <v>7416000</v>
      </c>
      <c r="E111" t="str">
        <f>VLOOKUP(B111,Лист2!A:E,5,0)</f>
        <v>малые</v>
      </c>
      <c r="F111">
        <f>VLOOKUP(B111,Лист2!A:E,4,0)</f>
        <v>2.5</v>
      </c>
      <c r="G111">
        <f t="shared" si="6"/>
        <v>2149000</v>
      </c>
      <c r="H111">
        <f t="shared" si="7"/>
        <v>3826000</v>
      </c>
      <c r="I111">
        <f t="shared" si="8"/>
        <v>859600</v>
      </c>
    </row>
    <row r="112" spans="1:9">
      <c r="A112" t="s">
        <v>14</v>
      </c>
      <c r="B112" t="s">
        <v>22</v>
      </c>
      <c r="C112">
        <v>19026000</v>
      </c>
      <c r="D112">
        <v>18736000</v>
      </c>
      <c r="E112" t="str">
        <f>VLOOKUP(B112,Лист2!A:E,5,0)</f>
        <v>малые</v>
      </c>
      <c r="F112">
        <f>VLOOKUP(B112,Лист2!A:E,4,0)</f>
        <v>13</v>
      </c>
      <c r="G112">
        <f t="shared" si="6"/>
        <v>290000</v>
      </c>
      <c r="H112">
        <f t="shared" si="7"/>
        <v>1463538.4615384615</v>
      </c>
      <c r="I112">
        <f t="shared" si="8"/>
        <v>22307.692307692309</v>
      </c>
    </row>
    <row r="113" spans="1:9">
      <c r="A113" t="s">
        <v>14</v>
      </c>
      <c r="B113" t="s">
        <v>18</v>
      </c>
      <c r="C113">
        <v>14000000</v>
      </c>
      <c r="D113">
        <v>13500000</v>
      </c>
      <c r="E113" t="str">
        <f>VLOOKUP(B113,Лист2!A:E,5,0)</f>
        <v>малые</v>
      </c>
      <c r="F113">
        <f>VLOOKUP(B113,Лист2!A:E,4,0)</f>
        <v>2.5</v>
      </c>
      <c r="G113">
        <f t="shared" si="6"/>
        <v>500000</v>
      </c>
      <c r="H113">
        <f t="shared" si="7"/>
        <v>5600000</v>
      </c>
      <c r="I113">
        <f t="shared" si="8"/>
        <v>200000</v>
      </c>
    </row>
    <row r="114" spans="1:9">
      <c r="A114" t="s">
        <v>14</v>
      </c>
      <c r="B114" t="s">
        <v>18</v>
      </c>
      <c r="C114">
        <v>1539000</v>
      </c>
      <c r="D114">
        <v>1573000</v>
      </c>
      <c r="E114" t="str">
        <f>VLOOKUP(B114,Лист2!A:E,5,0)</f>
        <v>малые</v>
      </c>
      <c r="F114">
        <f>VLOOKUP(B114,Лист2!A:E,4,0)</f>
        <v>2.5</v>
      </c>
      <c r="G114">
        <f t="shared" si="6"/>
        <v>-34000</v>
      </c>
      <c r="H114">
        <f t="shared" si="7"/>
        <v>615600</v>
      </c>
      <c r="I114">
        <f t="shared" si="8"/>
        <v>-13600</v>
      </c>
    </row>
    <row r="115" spans="1:9">
      <c r="A115" t="s">
        <v>14</v>
      </c>
      <c r="B115" t="s">
        <v>18</v>
      </c>
      <c r="C115">
        <v>2050000</v>
      </c>
      <c r="D115">
        <v>2078000</v>
      </c>
      <c r="E115" t="str">
        <f>VLOOKUP(B115,Лист2!A:E,5,0)</f>
        <v>малые</v>
      </c>
      <c r="F115">
        <f>VLOOKUP(B115,Лист2!A:E,4,0)</f>
        <v>2.5</v>
      </c>
      <c r="G115">
        <f t="shared" si="6"/>
        <v>-28000</v>
      </c>
      <c r="H115">
        <f t="shared" si="7"/>
        <v>820000</v>
      </c>
      <c r="I115">
        <f t="shared" si="8"/>
        <v>-11200</v>
      </c>
    </row>
    <row r="116" spans="1:9">
      <c r="A116" t="s">
        <v>14</v>
      </c>
      <c r="B116" t="s">
        <v>18</v>
      </c>
      <c r="C116">
        <v>11287000</v>
      </c>
      <c r="D116">
        <v>10698000</v>
      </c>
      <c r="E116" t="str">
        <f>VLOOKUP(B116,Лист2!A:E,5,0)</f>
        <v>малые</v>
      </c>
      <c r="F116">
        <f>VLOOKUP(B116,Лист2!A:E,4,0)</f>
        <v>2.5</v>
      </c>
      <c r="G116">
        <f t="shared" si="6"/>
        <v>589000</v>
      </c>
      <c r="H116">
        <f t="shared" si="7"/>
        <v>4514800</v>
      </c>
      <c r="I116">
        <f t="shared" si="8"/>
        <v>235600</v>
      </c>
    </row>
    <row r="117" spans="1:9">
      <c r="A117" t="s">
        <v>24</v>
      </c>
      <c r="B117" t="s">
        <v>18</v>
      </c>
      <c r="C117">
        <v>795000</v>
      </c>
      <c r="D117">
        <v>712000</v>
      </c>
      <c r="E117" t="str">
        <f>VLOOKUP(B117,Лист2!A:E,5,0)</f>
        <v>малые</v>
      </c>
      <c r="F117">
        <f>VLOOKUP(B117,Лист2!A:E,4,0)</f>
        <v>2.5</v>
      </c>
      <c r="G117">
        <f t="shared" si="6"/>
        <v>83000</v>
      </c>
      <c r="H117">
        <f t="shared" si="7"/>
        <v>318000</v>
      </c>
      <c r="I117">
        <f t="shared" si="8"/>
        <v>33200</v>
      </c>
    </row>
    <row r="118" spans="1:9">
      <c r="A118" t="s">
        <v>14</v>
      </c>
      <c r="B118" t="s">
        <v>22</v>
      </c>
      <c r="C118">
        <v>1799000</v>
      </c>
      <c r="D118">
        <v>3777000</v>
      </c>
      <c r="E118" t="str">
        <f>VLOOKUP(B118,Лист2!A:E,5,0)</f>
        <v>малые</v>
      </c>
      <c r="F118">
        <f>VLOOKUP(B118,Лист2!A:E,4,0)</f>
        <v>13</v>
      </c>
      <c r="G118">
        <f t="shared" si="6"/>
        <v>-1978000</v>
      </c>
      <c r="H118">
        <f t="shared" si="7"/>
        <v>138384.61538461538</v>
      </c>
      <c r="I118">
        <f t="shared" si="8"/>
        <v>-152153.84615384616</v>
      </c>
    </row>
    <row r="119" spans="1:9">
      <c r="A119" t="s">
        <v>14</v>
      </c>
      <c r="B119" t="s">
        <v>18</v>
      </c>
      <c r="C119">
        <v>3992000</v>
      </c>
      <c r="D119">
        <v>4723000</v>
      </c>
      <c r="E119" t="str">
        <f>VLOOKUP(B119,Лист2!A:E,5,0)</f>
        <v>малые</v>
      </c>
      <c r="F119">
        <f>VLOOKUP(B119,Лист2!A:E,4,0)</f>
        <v>2.5</v>
      </c>
      <c r="G119">
        <f t="shared" si="6"/>
        <v>-731000</v>
      </c>
      <c r="H119">
        <f t="shared" si="7"/>
        <v>1596800</v>
      </c>
      <c r="I119">
        <f t="shared" si="8"/>
        <v>-292400</v>
      </c>
    </row>
    <row r="120" spans="1:9">
      <c r="A120" t="s">
        <v>14</v>
      </c>
      <c r="B120" t="s">
        <v>22</v>
      </c>
      <c r="C120">
        <v>79973000</v>
      </c>
      <c r="D120">
        <v>53135000</v>
      </c>
      <c r="E120" t="str">
        <f>VLOOKUP(B120,Лист2!A:E,5,0)</f>
        <v>малые</v>
      </c>
      <c r="F120">
        <f>VLOOKUP(B120,Лист2!A:E,4,0)</f>
        <v>13</v>
      </c>
      <c r="G120">
        <f t="shared" si="6"/>
        <v>26838000</v>
      </c>
      <c r="H120">
        <f t="shared" si="7"/>
        <v>6151769.230769231</v>
      </c>
      <c r="I120">
        <f t="shared" si="8"/>
        <v>2064461.5384615385</v>
      </c>
    </row>
    <row r="121" spans="1:9">
      <c r="A121" t="s">
        <v>14</v>
      </c>
      <c r="B121" t="s">
        <v>18</v>
      </c>
      <c r="C121">
        <v>1251000</v>
      </c>
      <c r="D121">
        <v>1269000</v>
      </c>
      <c r="E121" t="str">
        <f>VLOOKUP(B121,Лист2!A:E,5,0)</f>
        <v>малые</v>
      </c>
      <c r="F121">
        <f>VLOOKUP(B121,Лист2!A:E,4,0)</f>
        <v>2.5</v>
      </c>
      <c r="G121">
        <f t="shared" si="6"/>
        <v>-18000</v>
      </c>
      <c r="H121">
        <f t="shared" si="7"/>
        <v>500400</v>
      </c>
      <c r="I121">
        <f t="shared" si="8"/>
        <v>-7200</v>
      </c>
    </row>
    <row r="122" spans="1:9">
      <c r="A122" t="s">
        <v>14</v>
      </c>
      <c r="B122" t="s">
        <v>22</v>
      </c>
      <c r="C122">
        <v>1843000</v>
      </c>
      <c r="D122">
        <v>1843000</v>
      </c>
      <c r="E122" t="str">
        <f>VLOOKUP(B122,Лист2!A:E,5,0)</f>
        <v>малые</v>
      </c>
      <c r="F122">
        <f>VLOOKUP(B122,Лист2!A:E,4,0)</f>
        <v>13</v>
      </c>
      <c r="G122">
        <f t="shared" si="6"/>
        <v>0</v>
      </c>
      <c r="H122">
        <f t="shared" si="7"/>
        <v>141769.23076923078</v>
      </c>
      <c r="I122">
        <f t="shared" si="8"/>
        <v>0</v>
      </c>
    </row>
    <row r="123" spans="1:9">
      <c r="A123" t="s">
        <v>25</v>
      </c>
      <c r="B123" t="s">
        <v>77</v>
      </c>
      <c r="C123">
        <v>3528000</v>
      </c>
      <c r="D123">
        <v>4310000</v>
      </c>
      <c r="E123" t="str">
        <f>VLOOKUP(B123,Лист2!A:E,5,0)</f>
        <v>малые</v>
      </c>
      <c r="F123">
        <f>VLOOKUP(B123,Лист2!A:E,4,0)</f>
        <v>8</v>
      </c>
      <c r="G123">
        <f t="shared" si="6"/>
        <v>-782000</v>
      </c>
      <c r="H123">
        <f t="shared" si="7"/>
        <v>441000</v>
      </c>
      <c r="I123">
        <f t="shared" si="8"/>
        <v>-97750</v>
      </c>
    </row>
    <row r="124" spans="1:9">
      <c r="A124" t="s">
        <v>14</v>
      </c>
      <c r="B124" t="s">
        <v>18</v>
      </c>
      <c r="C124">
        <v>49142000</v>
      </c>
      <c r="D124">
        <v>64195000</v>
      </c>
      <c r="E124" t="str">
        <f>VLOOKUP(B124,Лист2!A:E,5,0)</f>
        <v>малые</v>
      </c>
      <c r="F124">
        <f>VLOOKUP(B124,Лист2!A:E,4,0)</f>
        <v>2.5</v>
      </c>
      <c r="G124">
        <f t="shared" si="6"/>
        <v>-15053000</v>
      </c>
      <c r="H124">
        <f t="shared" si="7"/>
        <v>19656800</v>
      </c>
      <c r="I124">
        <f t="shared" si="8"/>
        <v>-6021200</v>
      </c>
    </row>
    <row r="125" spans="1:9">
      <c r="A125" t="s">
        <v>14</v>
      </c>
      <c r="B125" t="s">
        <v>18</v>
      </c>
      <c r="C125">
        <v>645000</v>
      </c>
      <c r="D125">
        <v>5612000</v>
      </c>
      <c r="E125" t="str">
        <f>VLOOKUP(B125,Лист2!A:E,5,0)</f>
        <v>малые</v>
      </c>
      <c r="F125">
        <f>VLOOKUP(B125,Лист2!A:E,4,0)</f>
        <v>2.5</v>
      </c>
      <c r="G125">
        <f t="shared" si="6"/>
        <v>-4967000</v>
      </c>
      <c r="H125">
        <f t="shared" si="7"/>
        <v>258000</v>
      </c>
      <c r="I125">
        <f t="shared" si="8"/>
        <v>-1986800</v>
      </c>
    </row>
    <row r="126" spans="1:9">
      <c r="A126" t="s">
        <v>14</v>
      </c>
      <c r="B126" t="s">
        <v>18</v>
      </c>
      <c r="C126">
        <v>47030000</v>
      </c>
      <c r="D126">
        <v>32841000</v>
      </c>
      <c r="E126" t="str">
        <f>VLOOKUP(B126,Лист2!A:E,5,0)</f>
        <v>малые</v>
      </c>
      <c r="F126">
        <f>VLOOKUP(B126,Лист2!A:E,4,0)</f>
        <v>2.5</v>
      </c>
      <c r="G126">
        <f t="shared" si="6"/>
        <v>14189000</v>
      </c>
      <c r="H126">
        <f t="shared" si="7"/>
        <v>18812000</v>
      </c>
      <c r="I126">
        <f t="shared" si="8"/>
        <v>5675600</v>
      </c>
    </row>
    <row r="127" spans="1:9">
      <c r="A127" t="s">
        <v>14</v>
      </c>
      <c r="B127" t="s">
        <v>18</v>
      </c>
      <c r="C127">
        <v>112000</v>
      </c>
      <c r="D127">
        <v>213000</v>
      </c>
      <c r="E127" t="str">
        <f>VLOOKUP(B127,Лист2!A:E,5,0)</f>
        <v>малые</v>
      </c>
      <c r="F127">
        <f>VLOOKUP(B127,Лист2!A:E,4,0)</f>
        <v>2.5</v>
      </c>
      <c r="G127">
        <f t="shared" si="6"/>
        <v>-101000</v>
      </c>
      <c r="H127">
        <f t="shared" si="7"/>
        <v>44800</v>
      </c>
      <c r="I127">
        <f t="shared" si="8"/>
        <v>-40400</v>
      </c>
    </row>
    <row r="128" spans="1:9">
      <c r="A128" t="s">
        <v>14</v>
      </c>
      <c r="B128" t="s">
        <v>18</v>
      </c>
      <c r="C128">
        <v>51420000</v>
      </c>
      <c r="D128">
        <v>51550000</v>
      </c>
      <c r="E128" t="str">
        <f>VLOOKUP(B128,Лист2!A:E,5,0)</f>
        <v>малые</v>
      </c>
      <c r="F128">
        <f>VLOOKUP(B128,Лист2!A:E,4,0)</f>
        <v>2.5</v>
      </c>
      <c r="G128">
        <f t="shared" si="6"/>
        <v>-130000</v>
      </c>
      <c r="H128">
        <f t="shared" si="7"/>
        <v>20568000</v>
      </c>
      <c r="I128">
        <f t="shared" si="8"/>
        <v>-52000</v>
      </c>
    </row>
    <row r="129" spans="1:9">
      <c r="A129" t="s">
        <v>14</v>
      </c>
      <c r="B129" t="s">
        <v>18</v>
      </c>
      <c r="C129">
        <v>4512000</v>
      </c>
      <c r="D129">
        <v>6516000</v>
      </c>
      <c r="E129" t="str">
        <f>VLOOKUP(B129,Лист2!A:E,5,0)</f>
        <v>малые</v>
      </c>
      <c r="F129">
        <f>VLOOKUP(B129,Лист2!A:E,4,0)</f>
        <v>2.5</v>
      </c>
      <c r="G129">
        <f t="shared" si="6"/>
        <v>-2004000</v>
      </c>
      <c r="H129">
        <f t="shared" si="7"/>
        <v>1804800</v>
      </c>
      <c r="I129">
        <f t="shared" si="8"/>
        <v>-801600</v>
      </c>
    </row>
    <row r="130" spans="1:9">
      <c r="A130" t="s">
        <v>14</v>
      </c>
      <c r="B130" t="s">
        <v>18</v>
      </c>
      <c r="C130">
        <v>29048000</v>
      </c>
      <c r="D130">
        <v>30087000</v>
      </c>
      <c r="E130" t="str">
        <f>VLOOKUP(B130,Лист2!A:E,5,0)</f>
        <v>малые</v>
      </c>
      <c r="F130">
        <f>VLOOKUP(B130,Лист2!A:E,4,0)</f>
        <v>2.5</v>
      </c>
      <c r="G130">
        <f t="shared" si="6"/>
        <v>-1039000</v>
      </c>
      <c r="H130">
        <f t="shared" si="7"/>
        <v>11619200</v>
      </c>
      <c r="I130">
        <f t="shared" si="8"/>
        <v>-415600</v>
      </c>
    </row>
    <row r="131" spans="1:9">
      <c r="A131" t="s">
        <v>14</v>
      </c>
      <c r="B131" t="s">
        <v>22</v>
      </c>
      <c r="C131">
        <v>12586000</v>
      </c>
      <c r="D131">
        <v>13386000</v>
      </c>
      <c r="E131" t="str">
        <f>VLOOKUP(B131,Лист2!A:E,5,0)</f>
        <v>малые</v>
      </c>
      <c r="F131">
        <f>VLOOKUP(B131,Лист2!A:E,4,0)</f>
        <v>13</v>
      </c>
      <c r="G131">
        <f t="shared" si="6"/>
        <v>-800000</v>
      </c>
      <c r="H131">
        <f t="shared" si="7"/>
        <v>968153.84615384613</v>
      </c>
      <c r="I131">
        <f t="shared" si="8"/>
        <v>-61538.461538461539</v>
      </c>
    </row>
    <row r="132" spans="1:9">
      <c r="A132" t="s">
        <v>14</v>
      </c>
      <c r="B132" t="s">
        <v>18</v>
      </c>
      <c r="C132">
        <v>82449000</v>
      </c>
      <c r="D132">
        <v>77478000</v>
      </c>
      <c r="E132" t="str">
        <f>VLOOKUP(B132,Лист2!A:E,5,0)</f>
        <v>малые</v>
      </c>
      <c r="F132">
        <f>VLOOKUP(B132,Лист2!A:E,4,0)</f>
        <v>2.5</v>
      </c>
      <c r="G132">
        <f t="shared" si="6"/>
        <v>4971000</v>
      </c>
      <c r="H132">
        <f t="shared" si="7"/>
        <v>32979600</v>
      </c>
      <c r="I132">
        <f t="shared" si="8"/>
        <v>1988400</v>
      </c>
    </row>
    <row r="133" spans="1:9">
      <c r="A133" t="s">
        <v>14</v>
      </c>
      <c r="B133" t="s">
        <v>18</v>
      </c>
      <c r="C133">
        <v>43840000</v>
      </c>
      <c r="D133">
        <v>38079000</v>
      </c>
      <c r="E133" t="str">
        <f>VLOOKUP(B133,Лист2!A:E,5,0)</f>
        <v>малые</v>
      </c>
      <c r="F133">
        <f>VLOOKUP(B133,Лист2!A:E,4,0)</f>
        <v>2.5</v>
      </c>
      <c r="G133">
        <f t="shared" si="6"/>
        <v>5761000</v>
      </c>
      <c r="H133">
        <f t="shared" si="7"/>
        <v>17536000</v>
      </c>
      <c r="I133">
        <f t="shared" si="8"/>
        <v>2304400</v>
      </c>
    </row>
    <row r="134" spans="1:9">
      <c r="A134" t="s">
        <v>14</v>
      </c>
      <c r="B134" t="s">
        <v>18</v>
      </c>
      <c r="C134">
        <v>6398000</v>
      </c>
      <c r="D134">
        <v>6410000</v>
      </c>
      <c r="E134" t="str">
        <f>VLOOKUP(B134,Лист2!A:E,5,0)</f>
        <v>малые</v>
      </c>
      <c r="F134">
        <f>VLOOKUP(B134,Лист2!A:E,4,0)</f>
        <v>2.5</v>
      </c>
      <c r="G134">
        <f t="shared" si="6"/>
        <v>-12000</v>
      </c>
      <c r="H134">
        <f t="shared" si="7"/>
        <v>2559200</v>
      </c>
      <c r="I134">
        <f t="shared" si="8"/>
        <v>-4800</v>
      </c>
    </row>
    <row r="135" spans="1:9">
      <c r="A135" t="s">
        <v>14</v>
      </c>
      <c r="B135" t="s">
        <v>18</v>
      </c>
      <c r="C135">
        <v>64105000</v>
      </c>
      <c r="D135">
        <v>48265000</v>
      </c>
      <c r="E135" t="str">
        <f>VLOOKUP(B135,Лист2!A:E,5,0)</f>
        <v>малые</v>
      </c>
      <c r="F135">
        <f>VLOOKUP(B135,Лист2!A:E,4,0)</f>
        <v>2.5</v>
      </c>
      <c r="G135">
        <f t="shared" si="6"/>
        <v>15840000</v>
      </c>
      <c r="H135">
        <f t="shared" si="7"/>
        <v>25642000</v>
      </c>
      <c r="I135">
        <f t="shared" si="8"/>
        <v>6336000</v>
      </c>
    </row>
    <row r="136" spans="1:9">
      <c r="A136" t="s">
        <v>14</v>
      </c>
      <c r="B136" t="s">
        <v>18</v>
      </c>
      <c r="C136">
        <v>346000</v>
      </c>
      <c r="D136">
        <v>346000</v>
      </c>
      <c r="E136" t="str">
        <f>VLOOKUP(B136,Лист2!A:E,5,0)</f>
        <v>малые</v>
      </c>
      <c r="F136">
        <f>VLOOKUP(B136,Лист2!A:E,4,0)</f>
        <v>2.5</v>
      </c>
      <c r="G136">
        <f t="shared" si="6"/>
        <v>0</v>
      </c>
      <c r="H136">
        <f t="shared" si="7"/>
        <v>138400</v>
      </c>
      <c r="I136">
        <f t="shared" si="8"/>
        <v>0</v>
      </c>
    </row>
    <row r="137" spans="1:9">
      <c r="A137" t="s">
        <v>14</v>
      </c>
      <c r="B137" t="s">
        <v>18</v>
      </c>
      <c r="C137">
        <v>1781000</v>
      </c>
      <c r="D137">
        <v>1780000</v>
      </c>
      <c r="E137" t="str">
        <f>VLOOKUP(B137,Лист2!A:E,5,0)</f>
        <v>малые</v>
      </c>
      <c r="F137">
        <f>VLOOKUP(B137,Лист2!A:E,4,0)</f>
        <v>2.5</v>
      </c>
      <c r="G137">
        <f t="shared" si="6"/>
        <v>1000</v>
      </c>
      <c r="H137">
        <f t="shared" si="7"/>
        <v>712400</v>
      </c>
      <c r="I137">
        <f t="shared" si="8"/>
        <v>400</v>
      </c>
    </row>
    <row r="138" spans="1:9">
      <c r="A138" t="s">
        <v>14</v>
      </c>
      <c r="B138" t="s">
        <v>77</v>
      </c>
      <c r="C138">
        <v>4813000</v>
      </c>
      <c r="D138">
        <v>5132000</v>
      </c>
      <c r="E138" t="str">
        <f>VLOOKUP(B138,Лист2!A:E,5,0)</f>
        <v>малые</v>
      </c>
      <c r="F138">
        <f>VLOOKUP(B138,Лист2!A:E,4,0)</f>
        <v>8</v>
      </c>
      <c r="G138">
        <f t="shared" si="6"/>
        <v>-319000</v>
      </c>
      <c r="H138">
        <f t="shared" si="7"/>
        <v>601625</v>
      </c>
      <c r="I138">
        <f t="shared" si="8"/>
        <v>-39875</v>
      </c>
    </row>
    <row r="139" spans="1:9">
      <c r="A139" t="s">
        <v>14</v>
      </c>
      <c r="B139" t="s">
        <v>18</v>
      </c>
      <c r="C139">
        <v>15842000</v>
      </c>
      <c r="D139">
        <v>12483000</v>
      </c>
      <c r="E139" t="str">
        <f>VLOOKUP(B139,Лист2!A:E,5,0)</f>
        <v>малые</v>
      </c>
      <c r="F139">
        <f>VLOOKUP(B139,Лист2!A:E,4,0)</f>
        <v>2.5</v>
      </c>
      <c r="G139">
        <f t="shared" si="6"/>
        <v>3359000</v>
      </c>
      <c r="H139">
        <f t="shared" si="7"/>
        <v>6336800</v>
      </c>
      <c r="I139">
        <f t="shared" si="8"/>
        <v>1343600</v>
      </c>
    </row>
    <row r="140" spans="1:9">
      <c r="A140" t="s">
        <v>14</v>
      </c>
      <c r="B140" t="s">
        <v>18</v>
      </c>
      <c r="C140">
        <v>6339000</v>
      </c>
      <c r="D140">
        <v>2590000</v>
      </c>
      <c r="E140" t="str">
        <f>VLOOKUP(B140,Лист2!A:E,5,0)</f>
        <v>малые</v>
      </c>
      <c r="F140">
        <f>VLOOKUP(B140,Лист2!A:E,4,0)</f>
        <v>2.5</v>
      </c>
      <c r="G140">
        <f t="shared" si="6"/>
        <v>3749000</v>
      </c>
      <c r="H140">
        <f t="shared" si="7"/>
        <v>2535600</v>
      </c>
      <c r="I140">
        <f t="shared" si="8"/>
        <v>1499600</v>
      </c>
    </row>
    <row r="141" spans="1:9">
      <c r="A141" t="s">
        <v>14</v>
      </c>
      <c r="B141" t="s">
        <v>77</v>
      </c>
      <c r="C141">
        <v>786000</v>
      </c>
      <c r="D141">
        <v>2387000</v>
      </c>
      <c r="E141" t="str">
        <f>VLOOKUP(B141,Лист2!A:E,5,0)</f>
        <v>малые</v>
      </c>
      <c r="F141">
        <f>VLOOKUP(B141,Лист2!A:E,4,0)</f>
        <v>8</v>
      </c>
      <c r="G141">
        <f t="shared" si="6"/>
        <v>-1601000</v>
      </c>
      <c r="H141">
        <f t="shared" si="7"/>
        <v>98250</v>
      </c>
      <c r="I141">
        <f t="shared" si="8"/>
        <v>-200125</v>
      </c>
    </row>
    <row r="142" spans="1:9">
      <c r="A142" t="s">
        <v>14</v>
      </c>
      <c r="B142" t="s">
        <v>18</v>
      </c>
      <c r="C142">
        <v>10942000</v>
      </c>
      <c r="D142">
        <v>505862000</v>
      </c>
      <c r="E142" t="str">
        <f>VLOOKUP(B142,Лист2!A:E,5,0)</f>
        <v>малые</v>
      </c>
      <c r="F142">
        <f>VLOOKUP(B142,Лист2!A:E,4,0)</f>
        <v>2.5</v>
      </c>
      <c r="G142">
        <f t="shared" si="6"/>
        <v>-494920000</v>
      </c>
      <c r="H142">
        <f t="shared" si="7"/>
        <v>4376800</v>
      </c>
      <c r="I142">
        <f t="shared" si="8"/>
        <v>-197968000</v>
      </c>
    </row>
    <row r="143" spans="1:9">
      <c r="A143" t="s">
        <v>14</v>
      </c>
      <c r="B143" t="s">
        <v>18</v>
      </c>
      <c r="C143">
        <v>14297000</v>
      </c>
      <c r="D143">
        <v>12168000</v>
      </c>
      <c r="E143" t="str">
        <f>VLOOKUP(B143,Лист2!A:E,5,0)</f>
        <v>малые</v>
      </c>
      <c r="F143">
        <f>VLOOKUP(B143,Лист2!A:E,4,0)</f>
        <v>2.5</v>
      </c>
      <c r="G143">
        <f t="shared" si="6"/>
        <v>2129000</v>
      </c>
      <c r="H143">
        <f t="shared" si="7"/>
        <v>5718800</v>
      </c>
      <c r="I143">
        <f t="shared" si="8"/>
        <v>851600</v>
      </c>
    </row>
    <row r="144" spans="1:9">
      <c r="A144" t="s">
        <v>14</v>
      </c>
      <c r="B144" t="s">
        <v>18</v>
      </c>
      <c r="C144">
        <v>1003000</v>
      </c>
      <c r="D144">
        <v>4000</v>
      </c>
      <c r="E144" t="str">
        <f>VLOOKUP(B144,Лист2!A:E,5,0)</f>
        <v>малые</v>
      </c>
      <c r="F144">
        <f>VLOOKUP(B144,Лист2!A:E,4,0)</f>
        <v>2.5</v>
      </c>
      <c r="G144">
        <f t="shared" si="6"/>
        <v>999000</v>
      </c>
      <c r="H144">
        <f t="shared" si="7"/>
        <v>401200</v>
      </c>
      <c r="I144">
        <f t="shared" si="8"/>
        <v>399600</v>
      </c>
    </row>
    <row r="145" spans="1:9">
      <c r="A145" t="s">
        <v>25</v>
      </c>
      <c r="B145" t="s">
        <v>18</v>
      </c>
      <c r="C145">
        <v>223000</v>
      </c>
      <c r="D145">
        <v>77000</v>
      </c>
      <c r="E145" t="str">
        <f>VLOOKUP(B145,Лист2!A:E,5,0)</f>
        <v>малые</v>
      </c>
      <c r="F145">
        <f>VLOOKUP(B145,Лист2!A:E,4,0)</f>
        <v>2.5</v>
      </c>
      <c r="G145">
        <f t="shared" si="6"/>
        <v>146000</v>
      </c>
      <c r="H145">
        <f t="shared" si="7"/>
        <v>89200</v>
      </c>
      <c r="I145">
        <f t="shared" si="8"/>
        <v>58400</v>
      </c>
    </row>
    <row r="146" spans="1:9">
      <c r="A146" t="s">
        <v>14</v>
      </c>
      <c r="B146" t="s">
        <v>22</v>
      </c>
      <c r="C146">
        <v>69847000</v>
      </c>
      <c r="D146">
        <v>66508000</v>
      </c>
      <c r="E146" t="str">
        <f>VLOOKUP(B146,Лист2!A:E,5,0)</f>
        <v>малые</v>
      </c>
      <c r="F146">
        <f>VLOOKUP(B146,Лист2!A:E,4,0)</f>
        <v>13</v>
      </c>
      <c r="G146">
        <f t="shared" si="6"/>
        <v>3339000</v>
      </c>
      <c r="H146">
        <f t="shared" si="7"/>
        <v>5372846.153846154</v>
      </c>
      <c r="I146">
        <f t="shared" si="8"/>
        <v>256846.15384615384</v>
      </c>
    </row>
    <row r="147" spans="1:9">
      <c r="A147" t="s">
        <v>14</v>
      </c>
      <c r="B147" t="s">
        <v>18</v>
      </c>
      <c r="C147">
        <v>56260000</v>
      </c>
      <c r="D147">
        <v>56796000</v>
      </c>
      <c r="E147" t="str">
        <f>VLOOKUP(B147,Лист2!A:E,5,0)</f>
        <v>малые</v>
      </c>
      <c r="F147">
        <f>VLOOKUP(B147,Лист2!A:E,4,0)</f>
        <v>2.5</v>
      </c>
      <c r="G147">
        <f t="shared" si="6"/>
        <v>-536000</v>
      </c>
      <c r="H147">
        <f t="shared" si="7"/>
        <v>22504000</v>
      </c>
      <c r="I147">
        <f t="shared" si="8"/>
        <v>-214400</v>
      </c>
    </row>
    <row r="148" spans="1:9">
      <c r="A148" t="s">
        <v>25</v>
      </c>
      <c r="B148" t="s">
        <v>18</v>
      </c>
      <c r="C148">
        <v>399000</v>
      </c>
      <c r="D148">
        <v>399000</v>
      </c>
      <c r="E148" t="str">
        <f>VLOOKUP(B148,Лист2!A:E,5,0)</f>
        <v>малые</v>
      </c>
      <c r="F148">
        <f>VLOOKUP(B148,Лист2!A:E,4,0)</f>
        <v>2.5</v>
      </c>
      <c r="G148">
        <f t="shared" si="6"/>
        <v>0</v>
      </c>
      <c r="H148">
        <f t="shared" si="7"/>
        <v>159600</v>
      </c>
      <c r="I148">
        <f t="shared" si="8"/>
        <v>0</v>
      </c>
    </row>
    <row r="149" spans="1:9">
      <c r="A149" t="s">
        <v>25</v>
      </c>
      <c r="B149" t="s">
        <v>22</v>
      </c>
      <c r="C149">
        <v>57703000</v>
      </c>
      <c r="D149">
        <v>45859000</v>
      </c>
      <c r="E149" t="str">
        <f>VLOOKUP(B149,Лист2!A:E,5,0)</f>
        <v>малые</v>
      </c>
      <c r="F149">
        <f>VLOOKUP(B149,Лист2!A:E,4,0)</f>
        <v>13</v>
      </c>
      <c r="G149">
        <f t="shared" si="6"/>
        <v>11844000</v>
      </c>
      <c r="H149">
        <f t="shared" si="7"/>
        <v>4438692.307692308</v>
      </c>
      <c r="I149">
        <f t="shared" si="8"/>
        <v>911076.92307692312</v>
      </c>
    </row>
    <row r="150" spans="1:9">
      <c r="A150" t="s">
        <v>25</v>
      </c>
      <c r="B150" t="s">
        <v>18</v>
      </c>
      <c r="C150">
        <v>17590000</v>
      </c>
      <c r="D150">
        <v>17335000</v>
      </c>
      <c r="E150" t="str">
        <f>VLOOKUP(B150,Лист2!A:E,5,0)</f>
        <v>малые</v>
      </c>
      <c r="F150">
        <f>VLOOKUP(B150,Лист2!A:E,4,0)</f>
        <v>2.5</v>
      </c>
      <c r="G150">
        <f t="shared" si="6"/>
        <v>255000</v>
      </c>
      <c r="H150">
        <f t="shared" si="7"/>
        <v>7036000</v>
      </c>
      <c r="I150">
        <f t="shared" si="8"/>
        <v>102000</v>
      </c>
    </row>
    <row r="151" spans="1:9">
      <c r="A151" t="s">
        <v>14</v>
      </c>
      <c r="B151" t="s">
        <v>18</v>
      </c>
      <c r="C151">
        <v>270000</v>
      </c>
      <c r="D151">
        <v>369000</v>
      </c>
      <c r="E151" t="str">
        <f>VLOOKUP(B151,Лист2!A:E,5,0)</f>
        <v>малые</v>
      </c>
      <c r="F151">
        <f>VLOOKUP(B151,Лист2!A:E,4,0)</f>
        <v>2.5</v>
      </c>
      <c r="G151">
        <f t="shared" si="6"/>
        <v>-99000</v>
      </c>
      <c r="H151">
        <f t="shared" si="7"/>
        <v>108000</v>
      </c>
      <c r="I151">
        <f t="shared" si="8"/>
        <v>-39600</v>
      </c>
    </row>
    <row r="152" spans="1:9">
      <c r="A152" t="s">
        <v>14</v>
      </c>
      <c r="B152" t="s">
        <v>22</v>
      </c>
      <c r="C152">
        <v>26329000</v>
      </c>
      <c r="D152">
        <v>27613000</v>
      </c>
      <c r="E152" t="str">
        <f>VLOOKUP(B152,Лист2!A:E,5,0)</f>
        <v>малые</v>
      </c>
      <c r="F152">
        <f>VLOOKUP(B152,Лист2!A:E,4,0)</f>
        <v>13</v>
      </c>
      <c r="G152">
        <f t="shared" si="6"/>
        <v>-1284000</v>
      </c>
      <c r="H152">
        <f t="shared" si="7"/>
        <v>2025307.6923076923</v>
      </c>
      <c r="I152">
        <f t="shared" si="8"/>
        <v>-98769.230769230766</v>
      </c>
    </row>
    <row r="153" spans="1:9">
      <c r="A153" t="s">
        <v>14</v>
      </c>
      <c r="B153" t="s">
        <v>22</v>
      </c>
      <c r="C153">
        <v>1715385000</v>
      </c>
      <c r="D153">
        <v>1575287000</v>
      </c>
      <c r="E153" t="str">
        <f>VLOOKUP(B153,Лист2!A:E,5,0)</f>
        <v>малые</v>
      </c>
      <c r="F153">
        <f>VLOOKUP(B153,Лист2!A:E,4,0)</f>
        <v>13</v>
      </c>
      <c r="G153">
        <f t="shared" si="6"/>
        <v>140098000</v>
      </c>
      <c r="H153">
        <f t="shared" si="7"/>
        <v>131952692.3076923</v>
      </c>
      <c r="I153">
        <f t="shared" si="8"/>
        <v>10776769.23076923</v>
      </c>
    </row>
    <row r="154" spans="1:9">
      <c r="A154" t="s">
        <v>14</v>
      </c>
      <c r="B154" t="s">
        <v>18</v>
      </c>
      <c r="C154">
        <v>10684000</v>
      </c>
      <c r="D154">
        <v>6249000</v>
      </c>
      <c r="E154" t="str">
        <f>VLOOKUP(B154,Лист2!A:E,5,0)</f>
        <v>малые</v>
      </c>
      <c r="F154">
        <f>VLOOKUP(B154,Лист2!A:E,4,0)</f>
        <v>2.5</v>
      </c>
      <c r="G154">
        <f t="shared" ref="G154:G197" si="9">C154-D154</f>
        <v>4435000</v>
      </c>
      <c r="H154">
        <f t="shared" ref="H154:H197" si="10">C154/F154</f>
        <v>4273600</v>
      </c>
      <c r="I154">
        <f t="shared" ref="I154:I197" si="11">G154/F154</f>
        <v>1774000</v>
      </c>
    </row>
    <row r="155" spans="1:9">
      <c r="A155" t="s">
        <v>14</v>
      </c>
      <c r="B155" t="s">
        <v>77</v>
      </c>
      <c r="C155">
        <v>58018000</v>
      </c>
      <c r="D155">
        <v>66715000</v>
      </c>
      <c r="E155" t="str">
        <f>VLOOKUP(B155,Лист2!A:E,5,0)</f>
        <v>малые</v>
      </c>
      <c r="F155">
        <f>VLOOKUP(B155,Лист2!A:E,4,0)</f>
        <v>8</v>
      </c>
      <c r="G155">
        <f t="shared" si="9"/>
        <v>-8697000</v>
      </c>
      <c r="H155">
        <f t="shared" si="10"/>
        <v>7252250</v>
      </c>
      <c r="I155">
        <f t="shared" si="11"/>
        <v>-1087125</v>
      </c>
    </row>
    <row r="156" spans="1:9">
      <c r="A156" t="s">
        <v>14</v>
      </c>
      <c r="B156" t="s">
        <v>22</v>
      </c>
      <c r="C156">
        <v>9423000</v>
      </c>
      <c r="D156">
        <v>24519000</v>
      </c>
      <c r="E156" t="str">
        <f>VLOOKUP(B156,Лист2!A:E,5,0)</f>
        <v>малые</v>
      </c>
      <c r="F156">
        <f>VLOOKUP(B156,Лист2!A:E,4,0)</f>
        <v>13</v>
      </c>
      <c r="G156">
        <f t="shared" si="9"/>
        <v>-15096000</v>
      </c>
      <c r="H156">
        <f t="shared" si="10"/>
        <v>724846.15384615387</v>
      </c>
      <c r="I156">
        <f t="shared" si="11"/>
        <v>-1161230.7692307692</v>
      </c>
    </row>
    <row r="157" spans="1:9">
      <c r="A157" t="s">
        <v>14</v>
      </c>
      <c r="B157" t="s">
        <v>23</v>
      </c>
      <c r="C157">
        <v>276376000</v>
      </c>
      <c r="D157">
        <v>206676000</v>
      </c>
      <c r="E157" t="str">
        <f>VLOOKUP(B157,Лист2!A:E,5,0)</f>
        <v>средние</v>
      </c>
      <c r="F157">
        <f>VLOOKUP(B157,Лист2!A:E,4,0)</f>
        <v>75.5</v>
      </c>
      <c r="G157">
        <f t="shared" si="9"/>
        <v>69700000</v>
      </c>
      <c r="H157">
        <f t="shared" si="10"/>
        <v>3660609.271523179</v>
      </c>
      <c r="I157">
        <f t="shared" si="11"/>
        <v>923178.80794701981</v>
      </c>
    </row>
    <row r="158" spans="1:9">
      <c r="A158" t="s">
        <v>14</v>
      </c>
      <c r="B158" t="s">
        <v>18</v>
      </c>
      <c r="C158">
        <v>14725000</v>
      </c>
      <c r="D158">
        <v>15975000</v>
      </c>
      <c r="E158" t="str">
        <f>VLOOKUP(B158,Лист2!A:E,5,0)</f>
        <v>малые</v>
      </c>
      <c r="F158">
        <f>VLOOKUP(B158,Лист2!A:E,4,0)</f>
        <v>2.5</v>
      </c>
      <c r="G158">
        <f t="shared" si="9"/>
        <v>-1250000</v>
      </c>
      <c r="H158">
        <f t="shared" si="10"/>
        <v>5890000</v>
      </c>
      <c r="I158">
        <f t="shared" si="11"/>
        <v>-500000</v>
      </c>
    </row>
    <row r="159" spans="1:9">
      <c r="A159" t="s">
        <v>14</v>
      </c>
      <c r="B159" t="s">
        <v>18</v>
      </c>
      <c r="C159">
        <v>34057000</v>
      </c>
      <c r="D159">
        <v>35935000</v>
      </c>
      <c r="E159" t="str">
        <f>VLOOKUP(B159,Лист2!A:E,5,0)</f>
        <v>малые</v>
      </c>
      <c r="F159">
        <f>VLOOKUP(B159,Лист2!A:E,4,0)</f>
        <v>2.5</v>
      </c>
      <c r="G159">
        <f t="shared" si="9"/>
        <v>-1878000</v>
      </c>
      <c r="H159">
        <f t="shared" si="10"/>
        <v>13622800</v>
      </c>
      <c r="I159">
        <f t="shared" si="11"/>
        <v>-751200</v>
      </c>
    </row>
    <row r="160" spans="1:9">
      <c r="A160" t="s">
        <v>14</v>
      </c>
      <c r="B160" t="s">
        <v>18</v>
      </c>
      <c r="C160">
        <v>47830000</v>
      </c>
      <c r="D160">
        <v>47613000</v>
      </c>
      <c r="E160" t="str">
        <f>VLOOKUP(B160,Лист2!A:E,5,0)</f>
        <v>малые</v>
      </c>
      <c r="F160">
        <f>VLOOKUP(B160,Лист2!A:E,4,0)</f>
        <v>2.5</v>
      </c>
      <c r="G160">
        <f t="shared" si="9"/>
        <v>217000</v>
      </c>
      <c r="H160">
        <f t="shared" si="10"/>
        <v>19132000</v>
      </c>
      <c r="I160">
        <f t="shared" si="11"/>
        <v>86800</v>
      </c>
    </row>
    <row r="161" spans="1:9">
      <c r="A161" t="s">
        <v>14</v>
      </c>
      <c r="B161" t="s">
        <v>18</v>
      </c>
      <c r="C161">
        <v>8811000</v>
      </c>
      <c r="D161">
        <v>8811000</v>
      </c>
      <c r="E161" t="str">
        <f>VLOOKUP(B161,Лист2!A:E,5,0)</f>
        <v>малые</v>
      </c>
      <c r="F161">
        <f>VLOOKUP(B161,Лист2!A:E,4,0)</f>
        <v>2.5</v>
      </c>
      <c r="G161">
        <f t="shared" si="9"/>
        <v>0</v>
      </c>
      <c r="H161">
        <f t="shared" si="10"/>
        <v>3524400</v>
      </c>
      <c r="I161">
        <f t="shared" si="11"/>
        <v>0</v>
      </c>
    </row>
    <row r="162" spans="1:9">
      <c r="A162" t="s">
        <v>25</v>
      </c>
      <c r="B162" t="s">
        <v>77</v>
      </c>
      <c r="C162">
        <v>8000000</v>
      </c>
      <c r="D162">
        <v>9086000</v>
      </c>
      <c r="E162" t="str">
        <f>VLOOKUP(B162,Лист2!A:E,5,0)</f>
        <v>малые</v>
      </c>
      <c r="F162">
        <f>VLOOKUP(B162,Лист2!A:E,4,0)</f>
        <v>8</v>
      </c>
      <c r="G162">
        <f t="shared" si="9"/>
        <v>-1086000</v>
      </c>
      <c r="H162">
        <f t="shared" si="10"/>
        <v>1000000</v>
      </c>
      <c r="I162">
        <f t="shared" si="11"/>
        <v>-135750</v>
      </c>
    </row>
    <row r="163" spans="1:9">
      <c r="A163" t="s">
        <v>14</v>
      </c>
      <c r="B163" t="s">
        <v>18</v>
      </c>
      <c r="C163">
        <v>1789000</v>
      </c>
      <c r="D163">
        <v>1830000</v>
      </c>
      <c r="E163" t="str">
        <f>VLOOKUP(B163,Лист2!A:E,5,0)</f>
        <v>малые</v>
      </c>
      <c r="F163">
        <f>VLOOKUP(B163,Лист2!A:E,4,0)</f>
        <v>2.5</v>
      </c>
      <c r="G163">
        <f t="shared" si="9"/>
        <v>-41000</v>
      </c>
      <c r="H163">
        <f t="shared" si="10"/>
        <v>715600</v>
      </c>
      <c r="I163">
        <f t="shared" si="11"/>
        <v>-16400</v>
      </c>
    </row>
    <row r="164" spans="1:9">
      <c r="A164" t="s">
        <v>14</v>
      </c>
      <c r="B164" t="s">
        <v>18</v>
      </c>
      <c r="C164">
        <v>6213000</v>
      </c>
      <c r="D164">
        <v>6401000</v>
      </c>
      <c r="E164" t="str">
        <f>VLOOKUP(B164,Лист2!A:E,5,0)</f>
        <v>малые</v>
      </c>
      <c r="F164">
        <f>VLOOKUP(B164,Лист2!A:E,4,0)</f>
        <v>2.5</v>
      </c>
      <c r="G164">
        <f t="shared" si="9"/>
        <v>-188000</v>
      </c>
      <c r="H164">
        <f t="shared" si="10"/>
        <v>2485200</v>
      </c>
      <c r="I164">
        <f t="shared" si="11"/>
        <v>-75200</v>
      </c>
    </row>
    <row r="165" spans="1:9">
      <c r="A165" t="s">
        <v>14</v>
      </c>
      <c r="B165" t="s">
        <v>22</v>
      </c>
      <c r="C165">
        <v>22011000</v>
      </c>
      <c r="D165">
        <v>24603000</v>
      </c>
      <c r="E165" t="str">
        <f>VLOOKUP(B165,Лист2!A:E,5,0)</f>
        <v>малые</v>
      </c>
      <c r="F165">
        <f>VLOOKUP(B165,Лист2!A:E,4,0)</f>
        <v>13</v>
      </c>
      <c r="G165">
        <f t="shared" si="9"/>
        <v>-2592000</v>
      </c>
      <c r="H165">
        <f t="shared" si="10"/>
        <v>1693153.8461538462</v>
      </c>
      <c r="I165">
        <f t="shared" si="11"/>
        <v>-199384.61538461538</v>
      </c>
    </row>
    <row r="166" spans="1:9">
      <c r="A166" t="s">
        <v>14</v>
      </c>
      <c r="B166" t="s">
        <v>77</v>
      </c>
      <c r="C166">
        <v>472532000</v>
      </c>
      <c r="D166">
        <v>327707000</v>
      </c>
      <c r="E166" t="str">
        <f>VLOOKUP(B166,Лист2!A:E,5,0)</f>
        <v>малые</v>
      </c>
      <c r="F166">
        <f>VLOOKUP(B166,Лист2!A:E,4,0)</f>
        <v>8</v>
      </c>
      <c r="G166">
        <f t="shared" si="9"/>
        <v>144825000</v>
      </c>
      <c r="H166">
        <f t="shared" si="10"/>
        <v>59066500</v>
      </c>
      <c r="I166">
        <f t="shared" si="11"/>
        <v>18103125</v>
      </c>
    </row>
    <row r="167" spans="1:9">
      <c r="A167" t="s">
        <v>14</v>
      </c>
      <c r="B167" t="s">
        <v>18</v>
      </c>
      <c r="C167">
        <v>943731000</v>
      </c>
      <c r="D167">
        <v>1321992000</v>
      </c>
      <c r="E167" t="str">
        <f>VLOOKUP(B167,Лист2!A:E,5,0)</f>
        <v>малые</v>
      </c>
      <c r="F167">
        <f>VLOOKUP(B167,Лист2!A:E,4,0)</f>
        <v>2.5</v>
      </c>
      <c r="G167">
        <f t="shared" si="9"/>
        <v>-378261000</v>
      </c>
      <c r="H167">
        <f t="shared" si="10"/>
        <v>377492400</v>
      </c>
      <c r="I167">
        <f t="shared" si="11"/>
        <v>-151304400</v>
      </c>
    </row>
    <row r="168" spans="1:9">
      <c r="A168" t="s">
        <v>14</v>
      </c>
      <c r="B168" t="s">
        <v>18</v>
      </c>
      <c r="C168">
        <v>2994000</v>
      </c>
      <c r="D168">
        <v>3055000</v>
      </c>
      <c r="E168" t="str">
        <f>VLOOKUP(B168,Лист2!A:E,5,0)</f>
        <v>малые</v>
      </c>
      <c r="F168">
        <f>VLOOKUP(B168,Лист2!A:E,4,0)</f>
        <v>2.5</v>
      </c>
      <c r="G168">
        <f t="shared" si="9"/>
        <v>-61000</v>
      </c>
      <c r="H168">
        <f t="shared" si="10"/>
        <v>1197600</v>
      </c>
      <c r="I168">
        <f t="shared" si="11"/>
        <v>-24400</v>
      </c>
    </row>
    <row r="169" spans="1:9">
      <c r="A169" t="s">
        <v>14</v>
      </c>
      <c r="B169" t="s">
        <v>22</v>
      </c>
      <c r="C169">
        <v>5941000</v>
      </c>
      <c r="D169">
        <v>7125000</v>
      </c>
      <c r="E169" t="str">
        <f>VLOOKUP(B169,Лист2!A:E,5,0)</f>
        <v>малые</v>
      </c>
      <c r="F169">
        <f>VLOOKUP(B169,Лист2!A:E,4,0)</f>
        <v>13</v>
      </c>
      <c r="G169">
        <f t="shared" si="9"/>
        <v>-1184000</v>
      </c>
      <c r="H169">
        <f t="shared" si="10"/>
        <v>457000</v>
      </c>
      <c r="I169">
        <f t="shared" si="11"/>
        <v>-91076.923076923078</v>
      </c>
    </row>
    <row r="170" spans="1:9">
      <c r="A170" t="s">
        <v>14</v>
      </c>
      <c r="B170" t="s">
        <v>18</v>
      </c>
      <c r="C170">
        <v>66296000</v>
      </c>
      <c r="D170">
        <v>66411000</v>
      </c>
      <c r="E170" t="str">
        <f>VLOOKUP(B170,Лист2!A:E,5,0)</f>
        <v>малые</v>
      </c>
      <c r="F170">
        <f>VLOOKUP(B170,Лист2!A:E,4,0)</f>
        <v>2.5</v>
      </c>
      <c r="G170">
        <f t="shared" si="9"/>
        <v>-115000</v>
      </c>
      <c r="H170">
        <f t="shared" si="10"/>
        <v>26518400</v>
      </c>
      <c r="I170">
        <f t="shared" si="11"/>
        <v>-46000</v>
      </c>
    </row>
    <row r="171" spans="1:9">
      <c r="A171" t="s">
        <v>14</v>
      </c>
      <c r="B171" t="s">
        <v>18</v>
      </c>
      <c r="C171">
        <v>200000</v>
      </c>
      <c r="D171">
        <v>102000</v>
      </c>
      <c r="E171" t="str">
        <f>VLOOKUP(B171,Лист2!A:E,5,0)</f>
        <v>малые</v>
      </c>
      <c r="F171">
        <f>VLOOKUP(B171,Лист2!A:E,4,0)</f>
        <v>2.5</v>
      </c>
      <c r="G171">
        <f t="shared" si="9"/>
        <v>98000</v>
      </c>
      <c r="H171">
        <f t="shared" si="10"/>
        <v>80000</v>
      </c>
      <c r="I171">
        <f t="shared" si="11"/>
        <v>39200</v>
      </c>
    </row>
    <row r="172" spans="1:9">
      <c r="A172" t="s">
        <v>25</v>
      </c>
      <c r="B172" t="s">
        <v>77</v>
      </c>
      <c r="C172">
        <v>31137000</v>
      </c>
      <c r="D172">
        <v>34392000</v>
      </c>
      <c r="E172" t="str">
        <f>VLOOKUP(B172,Лист2!A:E,5,0)</f>
        <v>малые</v>
      </c>
      <c r="F172">
        <f>VLOOKUP(B172,Лист2!A:E,4,0)</f>
        <v>8</v>
      </c>
      <c r="G172">
        <f t="shared" si="9"/>
        <v>-3255000</v>
      </c>
      <c r="H172">
        <f t="shared" si="10"/>
        <v>3892125</v>
      </c>
      <c r="I172">
        <f t="shared" si="11"/>
        <v>-406875</v>
      </c>
    </row>
    <row r="173" spans="1:9">
      <c r="A173" t="s">
        <v>14</v>
      </c>
      <c r="B173" t="s">
        <v>18</v>
      </c>
      <c r="C173">
        <v>11411000</v>
      </c>
      <c r="D173">
        <v>52668000</v>
      </c>
      <c r="E173" t="str">
        <f>VLOOKUP(B173,Лист2!A:E,5,0)</f>
        <v>малые</v>
      </c>
      <c r="F173">
        <f>VLOOKUP(B173,Лист2!A:E,4,0)</f>
        <v>2.5</v>
      </c>
      <c r="G173">
        <f t="shared" si="9"/>
        <v>-41257000</v>
      </c>
      <c r="H173">
        <f t="shared" si="10"/>
        <v>4564400</v>
      </c>
      <c r="I173">
        <f t="shared" si="11"/>
        <v>-16502800</v>
      </c>
    </row>
    <row r="174" spans="1:9">
      <c r="A174" t="s">
        <v>14</v>
      </c>
      <c r="B174" t="s">
        <v>18</v>
      </c>
      <c r="C174">
        <v>15843000</v>
      </c>
      <c r="D174">
        <v>15441000</v>
      </c>
      <c r="E174" t="str">
        <f>VLOOKUP(B174,Лист2!A:E,5,0)</f>
        <v>малые</v>
      </c>
      <c r="F174">
        <f>VLOOKUP(B174,Лист2!A:E,4,0)</f>
        <v>2.5</v>
      </c>
      <c r="G174">
        <f t="shared" si="9"/>
        <v>402000</v>
      </c>
      <c r="H174">
        <f t="shared" si="10"/>
        <v>6337200</v>
      </c>
      <c r="I174">
        <f t="shared" si="11"/>
        <v>160800</v>
      </c>
    </row>
    <row r="175" spans="1:9">
      <c r="A175" t="s">
        <v>14</v>
      </c>
      <c r="B175" t="s">
        <v>18</v>
      </c>
      <c r="C175">
        <v>724000</v>
      </c>
      <c r="D175">
        <v>446000</v>
      </c>
      <c r="E175" t="str">
        <f>VLOOKUP(B175,Лист2!A:E,5,0)</f>
        <v>малые</v>
      </c>
      <c r="F175">
        <f>VLOOKUP(B175,Лист2!A:E,4,0)</f>
        <v>2.5</v>
      </c>
      <c r="G175">
        <f t="shared" si="9"/>
        <v>278000</v>
      </c>
      <c r="H175">
        <f t="shared" si="10"/>
        <v>289600</v>
      </c>
      <c r="I175">
        <f t="shared" si="11"/>
        <v>111200</v>
      </c>
    </row>
    <row r="176" spans="1:9">
      <c r="A176" t="s">
        <v>14</v>
      </c>
      <c r="B176" t="s">
        <v>18</v>
      </c>
      <c r="C176">
        <v>2414000</v>
      </c>
      <c r="D176">
        <v>2215000</v>
      </c>
      <c r="E176" t="str">
        <f>VLOOKUP(B176,Лист2!A:E,5,0)</f>
        <v>малые</v>
      </c>
      <c r="F176">
        <f>VLOOKUP(B176,Лист2!A:E,4,0)</f>
        <v>2.5</v>
      </c>
      <c r="G176">
        <f t="shared" si="9"/>
        <v>199000</v>
      </c>
      <c r="H176">
        <f t="shared" si="10"/>
        <v>965600</v>
      </c>
      <c r="I176">
        <f t="shared" si="11"/>
        <v>79600</v>
      </c>
    </row>
    <row r="177" spans="1:9">
      <c r="A177" t="s">
        <v>14</v>
      </c>
      <c r="B177" t="s">
        <v>18</v>
      </c>
      <c r="C177">
        <v>41000</v>
      </c>
      <c r="D177">
        <v>243691000</v>
      </c>
      <c r="E177" t="str">
        <f>VLOOKUP(B177,Лист2!A:E,5,0)</f>
        <v>малые</v>
      </c>
      <c r="F177">
        <f>VLOOKUP(B177,Лист2!A:E,4,0)</f>
        <v>2.5</v>
      </c>
      <c r="G177">
        <f t="shared" si="9"/>
        <v>-243650000</v>
      </c>
      <c r="H177">
        <f t="shared" si="10"/>
        <v>16400</v>
      </c>
      <c r="I177">
        <f t="shared" si="11"/>
        <v>-97460000</v>
      </c>
    </row>
    <row r="178" spans="1:9">
      <c r="A178" t="s">
        <v>14</v>
      </c>
      <c r="B178" t="s">
        <v>18</v>
      </c>
      <c r="C178">
        <v>18928000</v>
      </c>
      <c r="D178">
        <v>6537000</v>
      </c>
      <c r="E178" t="str">
        <f>VLOOKUP(B178,Лист2!A:E,5,0)</f>
        <v>малые</v>
      </c>
      <c r="F178">
        <f>VLOOKUP(B178,Лист2!A:E,4,0)</f>
        <v>2.5</v>
      </c>
      <c r="G178">
        <f t="shared" si="9"/>
        <v>12391000</v>
      </c>
      <c r="H178">
        <f t="shared" si="10"/>
        <v>7571200</v>
      </c>
      <c r="I178">
        <f t="shared" si="11"/>
        <v>4956400</v>
      </c>
    </row>
    <row r="179" spans="1:9">
      <c r="A179" t="s">
        <v>14</v>
      </c>
      <c r="B179" t="s">
        <v>18</v>
      </c>
      <c r="C179">
        <v>10266000</v>
      </c>
      <c r="D179">
        <v>10331000</v>
      </c>
      <c r="E179" t="str">
        <f>VLOOKUP(B179,Лист2!A:E,5,0)</f>
        <v>малые</v>
      </c>
      <c r="F179">
        <f>VLOOKUP(B179,Лист2!A:E,4,0)</f>
        <v>2.5</v>
      </c>
      <c r="G179">
        <f t="shared" si="9"/>
        <v>-65000</v>
      </c>
      <c r="H179">
        <f t="shared" si="10"/>
        <v>4106400</v>
      </c>
      <c r="I179">
        <f t="shared" si="11"/>
        <v>-26000</v>
      </c>
    </row>
    <row r="180" spans="1:9">
      <c r="A180" t="s">
        <v>14</v>
      </c>
      <c r="B180" t="s">
        <v>18</v>
      </c>
      <c r="C180">
        <v>7260000</v>
      </c>
      <c r="D180">
        <v>7079000</v>
      </c>
      <c r="E180" t="str">
        <f>VLOOKUP(B180,Лист2!A:E,5,0)</f>
        <v>малые</v>
      </c>
      <c r="F180">
        <f>VLOOKUP(B180,Лист2!A:E,4,0)</f>
        <v>2.5</v>
      </c>
      <c r="G180">
        <f t="shared" si="9"/>
        <v>181000</v>
      </c>
      <c r="H180">
        <f t="shared" si="10"/>
        <v>2904000</v>
      </c>
      <c r="I180">
        <f t="shared" si="11"/>
        <v>72400</v>
      </c>
    </row>
    <row r="181" spans="1:9">
      <c r="A181" t="s">
        <v>14</v>
      </c>
      <c r="B181" t="s">
        <v>18</v>
      </c>
      <c r="C181">
        <v>41760000</v>
      </c>
      <c r="D181">
        <v>41373000</v>
      </c>
      <c r="E181" t="str">
        <f>VLOOKUP(B181,Лист2!A:E,5,0)</f>
        <v>малые</v>
      </c>
      <c r="F181">
        <f>VLOOKUP(B181,Лист2!A:E,4,0)</f>
        <v>2.5</v>
      </c>
      <c r="G181">
        <f t="shared" si="9"/>
        <v>387000</v>
      </c>
      <c r="H181">
        <f t="shared" si="10"/>
        <v>16704000</v>
      </c>
      <c r="I181">
        <f t="shared" si="11"/>
        <v>154800</v>
      </c>
    </row>
    <row r="182" spans="1:9">
      <c r="A182" t="s">
        <v>14</v>
      </c>
      <c r="B182" t="s">
        <v>18</v>
      </c>
      <c r="C182">
        <v>2416000</v>
      </c>
      <c r="D182">
        <v>2804000</v>
      </c>
      <c r="E182" t="str">
        <f>VLOOKUP(B182,Лист2!A:E,5,0)</f>
        <v>малые</v>
      </c>
      <c r="F182">
        <f>VLOOKUP(B182,Лист2!A:E,4,0)</f>
        <v>2.5</v>
      </c>
      <c r="G182">
        <f t="shared" si="9"/>
        <v>-388000</v>
      </c>
      <c r="H182">
        <f t="shared" si="10"/>
        <v>966400</v>
      </c>
      <c r="I182">
        <f t="shared" si="11"/>
        <v>-155200</v>
      </c>
    </row>
    <row r="183" spans="1:9">
      <c r="A183" t="s">
        <v>14</v>
      </c>
      <c r="B183" t="s">
        <v>18</v>
      </c>
      <c r="C183">
        <v>1931000</v>
      </c>
      <c r="D183">
        <v>1231000</v>
      </c>
      <c r="E183" t="str">
        <f>VLOOKUP(B183,Лист2!A:E,5,0)</f>
        <v>малые</v>
      </c>
      <c r="F183">
        <f>VLOOKUP(B183,Лист2!A:E,4,0)</f>
        <v>2.5</v>
      </c>
      <c r="G183">
        <f t="shared" si="9"/>
        <v>700000</v>
      </c>
      <c r="H183">
        <f t="shared" si="10"/>
        <v>772400</v>
      </c>
      <c r="I183">
        <f t="shared" si="11"/>
        <v>280000</v>
      </c>
    </row>
    <row r="184" spans="1:9">
      <c r="A184" t="s">
        <v>14</v>
      </c>
      <c r="B184" t="s">
        <v>18</v>
      </c>
      <c r="C184">
        <v>3120000</v>
      </c>
      <c r="D184">
        <v>2236000</v>
      </c>
      <c r="E184" t="str">
        <f>VLOOKUP(B184,Лист2!A:E,5,0)</f>
        <v>малые</v>
      </c>
      <c r="F184">
        <f>VLOOKUP(B184,Лист2!A:E,4,0)</f>
        <v>2.5</v>
      </c>
      <c r="G184">
        <f t="shared" si="9"/>
        <v>884000</v>
      </c>
      <c r="H184">
        <f t="shared" si="10"/>
        <v>1248000</v>
      </c>
      <c r="I184">
        <f t="shared" si="11"/>
        <v>353600</v>
      </c>
    </row>
    <row r="185" spans="1:9">
      <c r="A185" t="s">
        <v>14</v>
      </c>
      <c r="B185" t="s">
        <v>18</v>
      </c>
      <c r="C185">
        <v>15173000</v>
      </c>
      <c r="D185">
        <v>13469000</v>
      </c>
      <c r="E185" t="str">
        <f>VLOOKUP(B185,Лист2!A:E,5,0)</f>
        <v>малые</v>
      </c>
      <c r="F185">
        <f>VLOOKUP(B185,Лист2!A:E,4,0)</f>
        <v>2.5</v>
      </c>
      <c r="G185">
        <f t="shared" si="9"/>
        <v>1704000</v>
      </c>
      <c r="H185">
        <f t="shared" si="10"/>
        <v>6069200</v>
      </c>
      <c r="I185">
        <f t="shared" si="11"/>
        <v>681600</v>
      </c>
    </row>
    <row r="186" spans="1:9">
      <c r="A186" t="s">
        <v>25</v>
      </c>
      <c r="B186" t="s">
        <v>18</v>
      </c>
      <c r="C186">
        <v>2234000</v>
      </c>
      <c r="D186">
        <v>2240000</v>
      </c>
      <c r="E186" t="str">
        <f>VLOOKUP(B186,Лист2!A:E,5,0)</f>
        <v>малые</v>
      </c>
      <c r="F186">
        <f>VLOOKUP(B186,Лист2!A:E,4,0)</f>
        <v>2.5</v>
      </c>
      <c r="G186">
        <f t="shared" si="9"/>
        <v>-6000</v>
      </c>
      <c r="H186">
        <f t="shared" si="10"/>
        <v>893600</v>
      </c>
      <c r="I186">
        <f t="shared" si="11"/>
        <v>-2400</v>
      </c>
    </row>
    <row r="187" spans="1:9">
      <c r="A187" t="s">
        <v>25</v>
      </c>
      <c r="B187" t="s">
        <v>18</v>
      </c>
      <c r="C187">
        <v>14367000</v>
      </c>
      <c r="D187">
        <v>35417000</v>
      </c>
      <c r="E187" t="str">
        <f>VLOOKUP(B187,Лист2!A:E,5,0)</f>
        <v>малые</v>
      </c>
      <c r="F187">
        <f>VLOOKUP(B187,Лист2!A:E,4,0)</f>
        <v>2.5</v>
      </c>
      <c r="G187">
        <f t="shared" si="9"/>
        <v>-21050000</v>
      </c>
      <c r="H187">
        <f t="shared" si="10"/>
        <v>5746800</v>
      </c>
      <c r="I187">
        <f t="shared" si="11"/>
        <v>-8420000</v>
      </c>
    </row>
    <row r="188" spans="1:9">
      <c r="A188" t="s">
        <v>14</v>
      </c>
      <c r="B188" t="s">
        <v>18</v>
      </c>
      <c r="C188">
        <v>8479000</v>
      </c>
      <c r="D188">
        <v>9593000</v>
      </c>
      <c r="E188" t="str">
        <f>VLOOKUP(B188,Лист2!A:E,5,0)</f>
        <v>малые</v>
      </c>
      <c r="F188">
        <f>VLOOKUP(B188,Лист2!A:E,4,0)</f>
        <v>2.5</v>
      </c>
      <c r="G188">
        <f t="shared" si="9"/>
        <v>-1114000</v>
      </c>
      <c r="H188">
        <f t="shared" si="10"/>
        <v>3391600</v>
      </c>
      <c r="I188">
        <f t="shared" si="11"/>
        <v>-445600</v>
      </c>
    </row>
    <row r="189" spans="1:9">
      <c r="A189" t="s">
        <v>25</v>
      </c>
      <c r="B189" t="s">
        <v>22</v>
      </c>
      <c r="C189">
        <v>258333000</v>
      </c>
      <c r="D189">
        <v>27443000</v>
      </c>
      <c r="E189" t="str">
        <f>VLOOKUP(B189,Лист2!A:E,5,0)</f>
        <v>малые</v>
      </c>
      <c r="F189">
        <f>VLOOKUP(B189,Лист2!A:E,4,0)</f>
        <v>13</v>
      </c>
      <c r="G189">
        <f t="shared" si="9"/>
        <v>230890000</v>
      </c>
      <c r="H189">
        <f t="shared" si="10"/>
        <v>19871769.230769232</v>
      </c>
      <c r="I189">
        <f t="shared" si="11"/>
        <v>17760769.230769232</v>
      </c>
    </row>
    <row r="190" spans="1:9">
      <c r="A190" t="s">
        <v>25</v>
      </c>
      <c r="B190" t="s">
        <v>18</v>
      </c>
      <c r="C190">
        <v>24910000</v>
      </c>
      <c r="D190">
        <v>21239000</v>
      </c>
      <c r="E190" t="str">
        <f>VLOOKUP(B190,Лист2!A:E,5,0)</f>
        <v>малые</v>
      </c>
      <c r="F190">
        <f>VLOOKUP(B190,Лист2!A:E,4,0)</f>
        <v>2.5</v>
      </c>
      <c r="G190">
        <f t="shared" si="9"/>
        <v>3671000</v>
      </c>
      <c r="H190">
        <f t="shared" si="10"/>
        <v>9964000</v>
      </c>
      <c r="I190">
        <f t="shared" si="11"/>
        <v>1468400</v>
      </c>
    </row>
    <row r="191" spans="1:9">
      <c r="A191" t="s">
        <v>25</v>
      </c>
      <c r="B191" t="s">
        <v>18</v>
      </c>
      <c r="C191">
        <v>3550000</v>
      </c>
      <c r="D191">
        <v>3548000</v>
      </c>
      <c r="E191" t="str">
        <f>VLOOKUP(B191,Лист2!A:E,5,0)</f>
        <v>малые</v>
      </c>
      <c r="F191">
        <f>VLOOKUP(B191,Лист2!A:E,4,0)</f>
        <v>2.5</v>
      </c>
      <c r="G191">
        <f t="shared" si="9"/>
        <v>2000</v>
      </c>
      <c r="H191">
        <f t="shared" si="10"/>
        <v>1420000</v>
      </c>
      <c r="I191">
        <f t="shared" si="11"/>
        <v>800</v>
      </c>
    </row>
    <row r="192" spans="1:9">
      <c r="A192" t="s">
        <v>14</v>
      </c>
      <c r="B192" t="s">
        <v>18</v>
      </c>
      <c r="C192">
        <v>4872000</v>
      </c>
      <c r="D192">
        <v>5280000</v>
      </c>
      <c r="E192" t="str">
        <f>VLOOKUP(B192,Лист2!A:E,5,0)</f>
        <v>малые</v>
      </c>
      <c r="F192">
        <f>VLOOKUP(B192,Лист2!A:E,4,0)</f>
        <v>2.5</v>
      </c>
      <c r="G192">
        <f t="shared" si="9"/>
        <v>-408000</v>
      </c>
      <c r="H192">
        <f t="shared" si="10"/>
        <v>1948800</v>
      </c>
      <c r="I192">
        <f t="shared" si="11"/>
        <v>-163200</v>
      </c>
    </row>
    <row r="193" spans="1:9">
      <c r="A193" t="s">
        <v>14</v>
      </c>
      <c r="B193" t="s">
        <v>18</v>
      </c>
      <c r="C193">
        <v>167910000</v>
      </c>
      <c r="D193">
        <v>169220000</v>
      </c>
      <c r="E193" t="str">
        <f>VLOOKUP(B193,Лист2!A:E,5,0)</f>
        <v>малые</v>
      </c>
      <c r="F193">
        <f>VLOOKUP(B193,Лист2!A:E,4,0)</f>
        <v>2.5</v>
      </c>
      <c r="G193">
        <f t="shared" si="9"/>
        <v>-1310000</v>
      </c>
      <c r="H193">
        <f t="shared" si="10"/>
        <v>67164000</v>
      </c>
      <c r="I193">
        <f t="shared" si="11"/>
        <v>-524000</v>
      </c>
    </row>
    <row r="194" spans="1:9">
      <c r="A194" t="s">
        <v>14</v>
      </c>
      <c r="B194" t="s">
        <v>18</v>
      </c>
      <c r="C194">
        <v>337000</v>
      </c>
      <c r="D194">
        <v>375000</v>
      </c>
      <c r="E194" t="str">
        <f>VLOOKUP(B194,Лист2!A:E,5,0)</f>
        <v>малые</v>
      </c>
      <c r="F194">
        <f>VLOOKUP(B194,Лист2!A:E,4,0)</f>
        <v>2.5</v>
      </c>
      <c r="G194">
        <f t="shared" si="9"/>
        <v>-38000</v>
      </c>
      <c r="H194">
        <f t="shared" si="10"/>
        <v>134800</v>
      </c>
      <c r="I194">
        <f t="shared" si="11"/>
        <v>-15200</v>
      </c>
    </row>
    <row r="195" spans="1:9">
      <c r="A195" t="s">
        <v>14</v>
      </c>
      <c r="B195" t="s">
        <v>77</v>
      </c>
      <c r="C195">
        <v>9390000</v>
      </c>
      <c r="D195">
        <v>7434000</v>
      </c>
      <c r="E195" t="str">
        <f>VLOOKUP(B195,Лист2!A:E,5,0)</f>
        <v>малые</v>
      </c>
      <c r="F195">
        <f>VLOOKUP(B195,Лист2!A:E,4,0)</f>
        <v>8</v>
      </c>
      <c r="G195">
        <f t="shared" si="9"/>
        <v>1956000</v>
      </c>
      <c r="H195">
        <f t="shared" si="10"/>
        <v>1173750</v>
      </c>
      <c r="I195">
        <f t="shared" si="11"/>
        <v>244500</v>
      </c>
    </row>
    <row r="196" spans="1:9">
      <c r="A196" t="s">
        <v>14</v>
      </c>
      <c r="B196" t="s">
        <v>23</v>
      </c>
      <c r="C196">
        <v>76693000</v>
      </c>
      <c r="D196">
        <v>76390000</v>
      </c>
      <c r="E196" t="str">
        <f>VLOOKUP(B196,Лист2!A:E,5,0)</f>
        <v>средние</v>
      </c>
      <c r="F196">
        <f>VLOOKUP(B196,Лист2!A:E,4,0)</f>
        <v>75.5</v>
      </c>
      <c r="G196">
        <f t="shared" si="9"/>
        <v>303000</v>
      </c>
      <c r="H196">
        <f t="shared" si="10"/>
        <v>1015801.3245033113</v>
      </c>
      <c r="I196">
        <f t="shared" si="11"/>
        <v>4013.2450331125829</v>
      </c>
    </row>
    <row r="197" spans="1:9">
      <c r="A197" t="s">
        <v>14</v>
      </c>
      <c r="B197" t="s">
        <v>18</v>
      </c>
      <c r="C197">
        <v>298000</v>
      </c>
      <c r="D197">
        <v>558000</v>
      </c>
      <c r="E197" t="str">
        <f>VLOOKUP(B197,Лист2!A:E,5,0)</f>
        <v>малые</v>
      </c>
      <c r="F197">
        <f>VLOOKUP(B197,Лист2!A:E,4,0)</f>
        <v>2.5</v>
      </c>
      <c r="G197">
        <f t="shared" si="9"/>
        <v>-260000</v>
      </c>
      <c r="H197">
        <f t="shared" si="10"/>
        <v>119200</v>
      </c>
      <c r="I197">
        <f t="shared" si="11"/>
        <v>-104000</v>
      </c>
    </row>
    <row r="198" spans="1:9">
      <c r="A198" t="s">
        <v>14</v>
      </c>
      <c r="B198" t="s">
        <v>18</v>
      </c>
      <c r="C198">
        <v>351000</v>
      </c>
      <c r="D198">
        <v>465000</v>
      </c>
      <c r="E198" t="str">
        <f>VLOOKUP(B198,Лист2!A:E,5,0)</f>
        <v>малые</v>
      </c>
      <c r="F198">
        <f>VLOOKUP(B198,Лист2!A:E,4,0)</f>
        <v>2.5</v>
      </c>
      <c r="G198">
        <f t="shared" ref="G198:G246" si="12">C198-D198</f>
        <v>-114000</v>
      </c>
      <c r="H198">
        <f t="shared" ref="H198:H246" si="13">C198/F198</f>
        <v>140400</v>
      </c>
      <c r="I198">
        <f t="shared" ref="I198:I246" si="14">G198/F198</f>
        <v>-45600</v>
      </c>
    </row>
    <row r="199" spans="1:9">
      <c r="A199" t="s">
        <v>14</v>
      </c>
      <c r="B199" t="s">
        <v>18</v>
      </c>
      <c r="C199">
        <v>10000</v>
      </c>
      <c r="D199">
        <v>84000</v>
      </c>
      <c r="E199" t="str">
        <f>VLOOKUP(B199,Лист2!A:E,5,0)</f>
        <v>малые</v>
      </c>
      <c r="F199">
        <f>VLOOKUP(B199,Лист2!A:E,4,0)</f>
        <v>2.5</v>
      </c>
      <c r="G199">
        <f t="shared" si="12"/>
        <v>-74000</v>
      </c>
      <c r="H199">
        <f t="shared" si="13"/>
        <v>4000</v>
      </c>
      <c r="I199">
        <f t="shared" si="14"/>
        <v>-29600</v>
      </c>
    </row>
    <row r="200" spans="1:9">
      <c r="A200" t="s">
        <v>14</v>
      </c>
      <c r="B200" t="s">
        <v>18</v>
      </c>
      <c r="C200">
        <v>52585000</v>
      </c>
      <c r="D200">
        <v>50658000</v>
      </c>
      <c r="E200" t="str">
        <f>VLOOKUP(B200,Лист2!A:E,5,0)</f>
        <v>малые</v>
      </c>
      <c r="F200">
        <f>VLOOKUP(B200,Лист2!A:E,4,0)</f>
        <v>2.5</v>
      </c>
      <c r="G200">
        <f t="shared" si="12"/>
        <v>1927000</v>
      </c>
      <c r="H200">
        <f t="shared" si="13"/>
        <v>21034000</v>
      </c>
      <c r="I200">
        <f t="shared" si="14"/>
        <v>770800</v>
      </c>
    </row>
    <row r="201" spans="1:9">
      <c r="A201" t="s">
        <v>14</v>
      </c>
      <c r="B201" t="s">
        <v>22</v>
      </c>
      <c r="C201">
        <v>134427000</v>
      </c>
      <c r="D201">
        <v>516511000</v>
      </c>
      <c r="E201" t="str">
        <f>VLOOKUP(B201,Лист2!A:E,5,0)</f>
        <v>малые</v>
      </c>
      <c r="F201">
        <f>VLOOKUP(B201,Лист2!A:E,4,0)</f>
        <v>13</v>
      </c>
      <c r="G201">
        <f t="shared" si="12"/>
        <v>-382084000</v>
      </c>
      <c r="H201">
        <f t="shared" si="13"/>
        <v>10340538.461538462</v>
      </c>
      <c r="I201">
        <f t="shared" si="14"/>
        <v>-29391076.923076924</v>
      </c>
    </row>
    <row r="202" spans="1:9">
      <c r="A202" t="s">
        <v>14</v>
      </c>
      <c r="B202" t="s">
        <v>18</v>
      </c>
      <c r="C202">
        <v>30345000</v>
      </c>
      <c r="D202">
        <v>29381000</v>
      </c>
      <c r="E202" t="str">
        <f>VLOOKUP(B202,Лист2!A:E,5,0)</f>
        <v>малые</v>
      </c>
      <c r="F202">
        <f>VLOOKUP(B202,Лист2!A:E,4,0)</f>
        <v>2.5</v>
      </c>
      <c r="G202">
        <f t="shared" si="12"/>
        <v>964000</v>
      </c>
      <c r="H202">
        <f t="shared" si="13"/>
        <v>12138000</v>
      </c>
      <c r="I202">
        <f t="shared" si="14"/>
        <v>385600</v>
      </c>
    </row>
    <row r="203" spans="1:9">
      <c r="A203" t="s">
        <v>14</v>
      </c>
      <c r="B203" t="s">
        <v>23</v>
      </c>
      <c r="C203">
        <v>8649000</v>
      </c>
      <c r="D203">
        <v>8831000</v>
      </c>
      <c r="E203" t="str">
        <f>VLOOKUP(B203,Лист2!A:E,5,0)</f>
        <v>средние</v>
      </c>
      <c r="F203">
        <f>VLOOKUP(B203,Лист2!A:E,4,0)</f>
        <v>75.5</v>
      </c>
      <c r="G203">
        <f t="shared" si="12"/>
        <v>-182000</v>
      </c>
      <c r="H203">
        <f t="shared" si="13"/>
        <v>114556.29139072848</v>
      </c>
      <c r="I203">
        <f t="shared" si="14"/>
        <v>-2410.5960264900664</v>
      </c>
    </row>
    <row r="204" spans="1:9">
      <c r="A204" t="s">
        <v>14</v>
      </c>
      <c r="B204" t="s">
        <v>18</v>
      </c>
      <c r="C204">
        <v>999000</v>
      </c>
      <c r="D204">
        <v>982000</v>
      </c>
      <c r="E204" t="str">
        <f>VLOOKUP(B204,Лист2!A:E,5,0)</f>
        <v>малые</v>
      </c>
      <c r="F204">
        <f>VLOOKUP(B204,Лист2!A:E,4,0)</f>
        <v>2.5</v>
      </c>
      <c r="G204">
        <f t="shared" si="12"/>
        <v>17000</v>
      </c>
      <c r="H204">
        <f t="shared" si="13"/>
        <v>399600</v>
      </c>
      <c r="I204">
        <f t="shared" si="14"/>
        <v>6800</v>
      </c>
    </row>
    <row r="205" spans="1:9">
      <c r="A205" t="s">
        <v>14</v>
      </c>
      <c r="B205" t="s">
        <v>18</v>
      </c>
      <c r="C205">
        <v>16772000</v>
      </c>
      <c r="D205">
        <v>16489000</v>
      </c>
      <c r="E205" t="str">
        <f>VLOOKUP(B205,Лист2!A:E,5,0)</f>
        <v>малые</v>
      </c>
      <c r="F205">
        <f>VLOOKUP(B205,Лист2!A:E,4,0)</f>
        <v>2.5</v>
      </c>
      <c r="G205">
        <f t="shared" si="12"/>
        <v>283000</v>
      </c>
      <c r="H205">
        <f t="shared" si="13"/>
        <v>6708800</v>
      </c>
      <c r="I205">
        <f t="shared" si="14"/>
        <v>113200</v>
      </c>
    </row>
    <row r="206" spans="1:9">
      <c r="A206" t="s">
        <v>14</v>
      </c>
      <c r="B206" t="s">
        <v>77</v>
      </c>
      <c r="C206">
        <v>114314000</v>
      </c>
      <c r="D206">
        <v>70701000</v>
      </c>
      <c r="E206" t="str">
        <f>VLOOKUP(B206,Лист2!A:E,5,0)</f>
        <v>малые</v>
      </c>
      <c r="F206">
        <f>VLOOKUP(B206,Лист2!A:E,4,0)</f>
        <v>8</v>
      </c>
      <c r="G206">
        <f t="shared" si="12"/>
        <v>43613000</v>
      </c>
      <c r="H206">
        <f t="shared" si="13"/>
        <v>14289250</v>
      </c>
      <c r="I206">
        <f t="shared" si="14"/>
        <v>5451625</v>
      </c>
    </row>
    <row r="207" spans="1:9">
      <c r="A207" t="s">
        <v>14</v>
      </c>
      <c r="B207" t="s">
        <v>18</v>
      </c>
      <c r="C207">
        <v>257884000</v>
      </c>
      <c r="D207">
        <v>300932000</v>
      </c>
      <c r="E207" t="str">
        <f>VLOOKUP(B207,Лист2!A:E,5,0)</f>
        <v>малые</v>
      </c>
      <c r="F207">
        <f>VLOOKUP(B207,Лист2!A:E,4,0)</f>
        <v>2.5</v>
      </c>
      <c r="G207">
        <f t="shared" si="12"/>
        <v>-43048000</v>
      </c>
      <c r="H207">
        <f t="shared" si="13"/>
        <v>103153600</v>
      </c>
      <c r="I207">
        <f t="shared" si="14"/>
        <v>-17219200</v>
      </c>
    </row>
    <row r="208" spans="1:9">
      <c r="A208" t="s">
        <v>14</v>
      </c>
      <c r="B208" t="s">
        <v>22</v>
      </c>
      <c r="C208">
        <v>139399000</v>
      </c>
      <c r="D208">
        <v>114925000</v>
      </c>
      <c r="E208" t="str">
        <f>VLOOKUP(B208,Лист2!A:E,5,0)</f>
        <v>малые</v>
      </c>
      <c r="F208">
        <f>VLOOKUP(B208,Лист2!A:E,4,0)</f>
        <v>13</v>
      </c>
      <c r="G208">
        <f t="shared" si="12"/>
        <v>24474000</v>
      </c>
      <c r="H208">
        <f t="shared" si="13"/>
        <v>10723000</v>
      </c>
      <c r="I208">
        <f t="shared" si="14"/>
        <v>1882615.3846153845</v>
      </c>
    </row>
    <row r="209" spans="1:9">
      <c r="A209" t="s">
        <v>14</v>
      </c>
      <c r="B209" t="s">
        <v>18</v>
      </c>
      <c r="C209">
        <v>2325000</v>
      </c>
      <c r="D209">
        <v>2334000</v>
      </c>
      <c r="E209" t="str">
        <f>VLOOKUP(B209,Лист2!A:E,5,0)</f>
        <v>малые</v>
      </c>
      <c r="F209">
        <f>VLOOKUP(B209,Лист2!A:E,4,0)</f>
        <v>2.5</v>
      </c>
      <c r="G209">
        <f t="shared" si="12"/>
        <v>-9000</v>
      </c>
      <c r="H209">
        <f t="shared" si="13"/>
        <v>930000</v>
      </c>
      <c r="I209">
        <f t="shared" si="14"/>
        <v>-3600</v>
      </c>
    </row>
    <row r="210" spans="1:9">
      <c r="A210" t="s">
        <v>14</v>
      </c>
      <c r="B210" t="s">
        <v>77</v>
      </c>
      <c r="C210">
        <v>163483000</v>
      </c>
      <c r="D210">
        <v>173535000</v>
      </c>
      <c r="E210" t="str">
        <f>VLOOKUP(B210,Лист2!A:E,5,0)</f>
        <v>малые</v>
      </c>
      <c r="F210">
        <f>VLOOKUP(B210,Лист2!A:E,4,0)</f>
        <v>8</v>
      </c>
      <c r="G210">
        <f t="shared" si="12"/>
        <v>-10052000</v>
      </c>
      <c r="H210">
        <f t="shared" si="13"/>
        <v>20435375</v>
      </c>
      <c r="I210">
        <f t="shared" si="14"/>
        <v>-1256500</v>
      </c>
    </row>
    <row r="211" spans="1:9">
      <c r="A211" t="s">
        <v>25</v>
      </c>
      <c r="B211" t="s">
        <v>18</v>
      </c>
      <c r="C211">
        <v>874000</v>
      </c>
      <c r="D211">
        <v>874000</v>
      </c>
      <c r="E211" t="str">
        <f>VLOOKUP(B211,Лист2!A:E,5,0)</f>
        <v>малые</v>
      </c>
      <c r="F211">
        <f>VLOOKUP(B211,Лист2!A:E,4,0)</f>
        <v>2.5</v>
      </c>
      <c r="G211">
        <f t="shared" si="12"/>
        <v>0</v>
      </c>
      <c r="H211">
        <f t="shared" si="13"/>
        <v>349600</v>
      </c>
      <c r="I211">
        <f t="shared" si="14"/>
        <v>0</v>
      </c>
    </row>
    <row r="212" spans="1:9">
      <c r="A212" t="s">
        <v>14</v>
      </c>
      <c r="B212" t="s">
        <v>18</v>
      </c>
      <c r="C212">
        <v>5644000</v>
      </c>
      <c r="D212">
        <v>5611000</v>
      </c>
      <c r="E212" t="str">
        <f>VLOOKUP(B212,Лист2!A:E,5,0)</f>
        <v>малые</v>
      </c>
      <c r="F212">
        <f>VLOOKUP(B212,Лист2!A:E,4,0)</f>
        <v>2.5</v>
      </c>
      <c r="G212">
        <f t="shared" si="12"/>
        <v>33000</v>
      </c>
      <c r="H212">
        <f t="shared" si="13"/>
        <v>2257600</v>
      </c>
      <c r="I212">
        <f t="shared" si="14"/>
        <v>13200</v>
      </c>
    </row>
    <row r="213" spans="1:9">
      <c r="A213" t="s">
        <v>25</v>
      </c>
      <c r="B213" t="s">
        <v>18</v>
      </c>
      <c r="C213">
        <v>2850000</v>
      </c>
      <c r="D213">
        <v>3350000</v>
      </c>
      <c r="E213" t="str">
        <f>VLOOKUP(B213,Лист2!A:E,5,0)</f>
        <v>малые</v>
      </c>
      <c r="F213">
        <f>VLOOKUP(B213,Лист2!A:E,4,0)</f>
        <v>2.5</v>
      </c>
      <c r="G213">
        <f t="shared" si="12"/>
        <v>-500000</v>
      </c>
      <c r="H213">
        <f t="shared" si="13"/>
        <v>1140000</v>
      </c>
      <c r="I213">
        <f t="shared" si="14"/>
        <v>-200000</v>
      </c>
    </row>
    <row r="214" spans="1:9">
      <c r="A214" t="s">
        <v>25</v>
      </c>
      <c r="B214" t="s">
        <v>77</v>
      </c>
      <c r="C214">
        <v>460623000</v>
      </c>
      <c r="D214">
        <v>628128000</v>
      </c>
      <c r="E214" t="str">
        <f>VLOOKUP(B214,Лист2!A:E,5,0)</f>
        <v>малые</v>
      </c>
      <c r="F214">
        <f>VLOOKUP(B214,Лист2!A:E,4,0)</f>
        <v>8</v>
      </c>
      <c r="G214">
        <f t="shared" si="12"/>
        <v>-167505000</v>
      </c>
      <c r="H214">
        <f t="shared" si="13"/>
        <v>57577875</v>
      </c>
      <c r="I214">
        <f t="shared" si="14"/>
        <v>-20938125</v>
      </c>
    </row>
    <row r="215" spans="1:9">
      <c r="A215" t="s">
        <v>14</v>
      </c>
      <c r="B215" t="s">
        <v>18</v>
      </c>
      <c r="C215">
        <v>1564000</v>
      </c>
      <c r="D215">
        <v>1653000</v>
      </c>
      <c r="E215" t="str">
        <f>VLOOKUP(B215,Лист2!A:E,5,0)</f>
        <v>малые</v>
      </c>
      <c r="F215">
        <f>VLOOKUP(B215,Лист2!A:E,4,0)</f>
        <v>2.5</v>
      </c>
      <c r="G215">
        <f t="shared" si="12"/>
        <v>-89000</v>
      </c>
      <c r="H215">
        <f t="shared" si="13"/>
        <v>625600</v>
      </c>
      <c r="I215">
        <f t="shared" si="14"/>
        <v>-35600</v>
      </c>
    </row>
    <row r="216" spans="1:9">
      <c r="A216" t="s">
        <v>14</v>
      </c>
      <c r="B216" t="s">
        <v>18</v>
      </c>
      <c r="C216">
        <v>11105000</v>
      </c>
      <c r="D216">
        <v>11154000</v>
      </c>
      <c r="E216" t="str">
        <f>VLOOKUP(B216,Лист2!A:E,5,0)</f>
        <v>малые</v>
      </c>
      <c r="F216">
        <f>VLOOKUP(B216,Лист2!A:E,4,0)</f>
        <v>2.5</v>
      </c>
      <c r="G216">
        <f t="shared" si="12"/>
        <v>-49000</v>
      </c>
      <c r="H216">
        <f t="shared" si="13"/>
        <v>4442000</v>
      </c>
      <c r="I216">
        <f t="shared" si="14"/>
        <v>-19600</v>
      </c>
    </row>
    <row r="217" spans="1:9">
      <c r="A217" t="s">
        <v>14</v>
      </c>
      <c r="B217" t="s">
        <v>18</v>
      </c>
      <c r="C217">
        <v>3000000</v>
      </c>
      <c r="D217">
        <v>1456000</v>
      </c>
      <c r="E217" t="str">
        <f>VLOOKUP(B217,Лист2!A:E,5,0)</f>
        <v>малые</v>
      </c>
      <c r="F217">
        <f>VLOOKUP(B217,Лист2!A:E,4,0)</f>
        <v>2.5</v>
      </c>
      <c r="G217">
        <f t="shared" si="12"/>
        <v>1544000</v>
      </c>
      <c r="H217">
        <f t="shared" si="13"/>
        <v>1200000</v>
      </c>
      <c r="I217">
        <f t="shared" si="14"/>
        <v>617600</v>
      </c>
    </row>
    <row r="218" spans="1:9">
      <c r="A218" t="s">
        <v>14</v>
      </c>
      <c r="B218" t="s">
        <v>18</v>
      </c>
      <c r="C218">
        <v>73556000</v>
      </c>
      <c r="D218">
        <v>74957000</v>
      </c>
      <c r="E218" t="str">
        <f>VLOOKUP(B218,Лист2!A:E,5,0)</f>
        <v>малые</v>
      </c>
      <c r="F218">
        <f>VLOOKUP(B218,Лист2!A:E,4,0)</f>
        <v>2.5</v>
      </c>
      <c r="G218">
        <f t="shared" si="12"/>
        <v>-1401000</v>
      </c>
      <c r="H218">
        <f t="shared" si="13"/>
        <v>29422400</v>
      </c>
      <c r="I218">
        <f t="shared" si="14"/>
        <v>-560400</v>
      </c>
    </row>
    <row r="219" spans="1:9">
      <c r="A219" t="s">
        <v>25</v>
      </c>
      <c r="B219" t="s">
        <v>18</v>
      </c>
      <c r="C219">
        <v>9896000</v>
      </c>
      <c r="D219">
        <v>13811000</v>
      </c>
      <c r="E219" t="str">
        <f>VLOOKUP(B219,Лист2!A:E,5,0)</f>
        <v>малые</v>
      </c>
      <c r="F219">
        <f>VLOOKUP(B219,Лист2!A:E,4,0)</f>
        <v>2.5</v>
      </c>
      <c r="G219">
        <f t="shared" si="12"/>
        <v>-3915000</v>
      </c>
      <c r="H219">
        <f t="shared" si="13"/>
        <v>3958400</v>
      </c>
      <c r="I219">
        <f t="shared" si="14"/>
        <v>-1566000</v>
      </c>
    </row>
    <row r="220" spans="1:9">
      <c r="A220" t="s">
        <v>25</v>
      </c>
      <c r="B220" t="s">
        <v>18</v>
      </c>
      <c r="C220">
        <v>357000</v>
      </c>
      <c r="D220">
        <v>393000</v>
      </c>
      <c r="E220" t="str">
        <f>VLOOKUP(B220,Лист2!A:E,5,0)</f>
        <v>малые</v>
      </c>
      <c r="F220">
        <f>VLOOKUP(B220,Лист2!A:E,4,0)</f>
        <v>2.5</v>
      </c>
      <c r="G220">
        <f t="shared" si="12"/>
        <v>-36000</v>
      </c>
      <c r="H220">
        <f t="shared" si="13"/>
        <v>142800</v>
      </c>
      <c r="I220">
        <f t="shared" si="14"/>
        <v>-14400</v>
      </c>
    </row>
    <row r="221" spans="1:9">
      <c r="A221" t="s">
        <v>14</v>
      </c>
      <c r="B221" t="s">
        <v>18</v>
      </c>
      <c r="C221">
        <v>457387000</v>
      </c>
      <c r="D221">
        <v>456679000</v>
      </c>
      <c r="E221" t="str">
        <f>VLOOKUP(B221,Лист2!A:E,5,0)</f>
        <v>малые</v>
      </c>
      <c r="F221">
        <f>VLOOKUP(B221,Лист2!A:E,4,0)</f>
        <v>2.5</v>
      </c>
      <c r="G221">
        <f t="shared" si="12"/>
        <v>708000</v>
      </c>
      <c r="H221">
        <f t="shared" si="13"/>
        <v>182954800</v>
      </c>
      <c r="I221">
        <f t="shared" si="14"/>
        <v>283200</v>
      </c>
    </row>
    <row r="222" spans="1:9">
      <c r="A222" t="s">
        <v>14</v>
      </c>
      <c r="B222" t="s">
        <v>18</v>
      </c>
      <c r="C222">
        <v>42245000</v>
      </c>
      <c r="D222">
        <v>28444000</v>
      </c>
      <c r="E222" t="str">
        <f>VLOOKUP(B222,Лист2!A:E,5,0)</f>
        <v>малые</v>
      </c>
      <c r="F222">
        <f>VLOOKUP(B222,Лист2!A:E,4,0)</f>
        <v>2.5</v>
      </c>
      <c r="G222">
        <f t="shared" si="12"/>
        <v>13801000</v>
      </c>
      <c r="H222">
        <f t="shared" si="13"/>
        <v>16898000</v>
      </c>
      <c r="I222">
        <f t="shared" si="14"/>
        <v>5520400</v>
      </c>
    </row>
    <row r="223" spans="1:9">
      <c r="A223" t="s">
        <v>14</v>
      </c>
      <c r="B223" t="s">
        <v>18</v>
      </c>
      <c r="C223">
        <v>21733000</v>
      </c>
      <c r="D223">
        <v>31568000</v>
      </c>
      <c r="E223" t="str">
        <f>VLOOKUP(B223,Лист2!A:E,5,0)</f>
        <v>малые</v>
      </c>
      <c r="F223">
        <f>VLOOKUP(B223,Лист2!A:E,4,0)</f>
        <v>2.5</v>
      </c>
      <c r="G223">
        <f t="shared" si="12"/>
        <v>-9835000</v>
      </c>
      <c r="H223">
        <f t="shared" si="13"/>
        <v>8693200</v>
      </c>
      <c r="I223">
        <f t="shared" si="14"/>
        <v>-3934000</v>
      </c>
    </row>
    <row r="224" spans="1:9">
      <c r="A224" t="s">
        <v>14</v>
      </c>
      <c r="B224" t="s">
        <v>22</v>
      </c>
      <c r="C224">
        <v>1052143000</v>
      </c>
      <c r="D224">
        <v>178009000</v>
      </c>
      <c r="E224" t="str">
        <f>VLOOKUP(B224,Лист2!A:E,5,0)</f>
        <v>малые</v>
      </c>
      <c r="F224">
        <f>VLOOKUP(B224,Лист2!A:E,4,0)</f>
        <v>13</v>
      </c>
      <c r="G224">
        <f t="shared" si="12"/>
        <v>874134000</v>
      </c>
      <c r="H224">
        <f t="shared" si="13"/>
        <v>80934076.923076928</v>
      </c>
      <c r="I224">
        <f t="shared" si="14"/>
        <v>67241076.923076928</v>
      </c>
    </row>
    <row r="225" spans="1:9">
      <c r="A225" t="s">
        <v>14</v>
      </c>
      <c r="B225" t="s">
        <v>18</v>
      </c>
      <c r="C225">
        <v>125000000</v>
      </c>
      <c r="D225">
        <v>123580000</v>
      </c>
      <c r="E225" t="str">
        <f>VLOOKUP(B225,Лист2!A:E,5,0)</f>
        <v>малые</v>
      </c>
      <c r="F225">
        <f>VLOOKUP(B225,Лист2!A:E,4,0)</f>
        <v>2.5</v>
      </c>
      <c r="G225">
        <f t="shared" si="12"/>
        <v>1420000</v>
      </c>
      <c r="H225">
        <f t="shared" si="13"/>
        <v>50000000</v>
      </c>
      <c r="I225">
        <f t="shared" si="14"/>
        <v>568000</v>
      </c>
    </row>
    <row r="226" spans="1:9">
      <c r="A226" t="s">
        <v>14</v>
      </c>
      <c r="B226" t="s">
        <v>18</v>
      </c>
      <c r="C226">
        <v>15015000</v>
      </c>
      <c r="D226">
        <v>17079000</v>
      </c>
      <c r="E226" t="str">
        <f>VLOOKUP(B226,Лист2!A:E,5,0)</f>
        <v>малые</v>
      </c>
      <c r="F226">
        <f>VLOOKUP(B226,Лист2!A:E,4,0)</f>
        <v>2.5</v>
      </c>
      <c r="G226">
        <f t="shared" si="12"/>
        <v>-2064000</v>
      </c>
      <c r="H226">
        <f t="shared" si="13"/>
        <v>6006000</v>
      </c>
      <c r="I226">
        <f t="shared" si="14"/>
        <v>-825600</v>
      </c>
    </row>
    <row r="227" spans="1:9">
      <c r="A227" t="s">
        <v>14</v>
      </c>
      <c r="B227" t="s">
        <v>18</v>
      </c>
      <c r="C227">
        <v>2554000</v>
      </c>
      <c r="D227">
        <v>2538000</v>
      </c>
      <c r="E227" t="str">
        <f>VLOOKUP(B227,Лист2!A:E,5,0)</f>
        <v>малые</v>
      </c>
      <c r="F227">
        <f>VLOOKUP(B227,Лист2!A:E,4,0)</f>
        <v>2.5</v>
      </c>
      <c r="G227">
        <f t="shared" si="12"/>
        <v>16000</v>
      </c>
      <c r="H227">
        <f t="shared" si="13"/>
        <v>1021600</v>
      </c>
      <c r="I227">
        <f t="shared" si="14"/>
        <v>6400</v>
      </c>
    </row>
    <row r="228" spans="1:9">
      <c r="A228" t="s">
        <v>14</v>
      </c>
      <c r="B228" t="s">
        <v>18</v>
      </c>
      <c r="C228">
        <v>661000</v>
      </c>
      <c r="D228">
        <v>1058000</v>
      </c>
      <c r="E228" t="str">
        <f>VLOOKUP(B228,Лист2!A:E,5,0)</f>
        <v>малые</v>
      </c>
      <c r="F228">
        <f>VLOOKUP(B228,Лист2!A:E,4,0)</f>
        <v>2.5</v>
      </c>
      <c r="G228">
        <f t="shared" si="12"/>
        <v>-397000</v>
      </c>
      <c r="H228">
        <f t="shared" si="13"/>
        <v>264400</v>
      </c>
      <c r="I228">
        <f t="shared" si="14"/>
        <v>-158800</v>
      </c>
    </row>
    <row r="229" spans="1:9">
      <c r="A229" t="s">
        <v>14</v>
      </c>
      <c r="B229" t="s">
        <v>18</v>
      </c>
      <c r="C229">
        <v>4687000</v>
      </c>
      <c r="D229">
        <v>6695000</v>
      </c>
      <c r="E229" t="str">
        <f>VLOOKUP(B229,Лист2!A:E,5,0)</f>
        <v>малые</v>
      </c>
      <c r="F229">
        <f>VLOOKUP(B229,Лист2!A:E,4,0)</f>
        <v>2.5</v>
      </c>
      <c r="G229">
        <f t="shared" si="12"/>
        <v>-2008000</v>
      </c>
      <c r="H229">
        <f t="shared" si="13"/>
        <v>1874800</v>
      </c>
      <c r="I229">
        <f t="shared" si="14"/>
        <v>-803200</v>
      </c>
    </row>
    <row r="230" spans="1:9">
      <c r="A230" t="s">
        <v>14</v>
      </c>
      <c r="B230" t="s">
        <v>18</v>
      </c>
      <c r="C230">
        <v>21438000</v>
      </c>
      <c r="D230">
        <v>21387000</v>
      </c>
      <c r="E230" t="str">
        <f>VLOOKUP(B230,Лист2!A:E,5,0)</f>
        <v>малые</v>
      </c>
      <c r="F230">
        <f>VLOOKUP(B230,Лист2!A:E,4,0)</f>
        <v>2.5</v>
      </c>
      <c r="G230">
        <f t="shared" si="12"/>
        <v>51000</v>
      </c>
      <c r="H230">
        <f t="shared" si="13"/>
        <v>8575200</v>
      </c>
      <c r="I230">
        <f t="shared" si="14"/>
        <v>20400</v>
      </c>
    </row>
    <row r="231" spans="1:9">
      <c r="A231" t="s">
        <v>14</v>
      </c>
      <c r="B231" t="s">
        <v>18</v>
      </c>
      <c r="C231">
        <v>376000</v>
      </c>
      <c r="D231">
        <v>446000</v>
      </c>
      <c r="E231" t="str">
        <f>VLOOKUP(B231,Лист2!A:E,5,0)</f>
        <v>малые</v>
      </c>
      <c r="F231">
        <f>VLOOKUP(B231,Лист2!A:E,4,0)</f>
        <v>2.5</v>
      </c>
      <c r="G231">
        <f t="shared" si="12"/>
        <v>-70000</v>
      </c>
      <c r="H231">
        <f t="shared" si="13"/>
        <v>150400</v>
      </c>
      <c r="I231">
        <f t="shared" si="14"/>
        <v>-28000</v>
      </c>
    </row>
    <row r="232" spans="1:9">
      <c r="A232" t="s">
        <v>14</v>
      </c>
      <c r="B232" t="s">
        <v>18</v>
      </c>
      <c r="C232">
        <v>70174000</v>
      </c>
      <c r="D232">
        <v>111611000</v>
      </c>
      <c r="E232" t="str">
        <f>VLOOKUP(B232,Лист2!A:E,5,0)</f>
        <v>малые</v>
      </c>
      <c r="F232">
        <f>VLOOKUP(B232,Лист2!A:E,4,0)</f>
        <v>2.5</v>
      </c>
      <c r="G232">
        <f t="shared" si="12"/>
        <v>-41437000</v>
      </c>
      <c r="H232">
        <f t="shared" si="13"/>
        <v>28069600</v>
      </c>
      <c r="I232">
        <f t="shared" si="14"/>
        <v>-16574800</v>
      </c>
    </row>
    <row r="233" spans="1:9">
      <c r="A233" t="s">
        <v>14</v>
      </c>
      <c r="B233" t="s">
        <v>22</v>
      </c>
      <c r="C233">
        <v>2084490000</v>
      </c>
      <c r="D233">
        <v>2305712000</v>
      </c>
      <c r="E233" t="str">
        <f>VLOOKUP(B233,Лист2!A:E,5,0)</f>
        <v>малые</v>
      </c>
      <c r="F233">
        <f>VLOOKUP(B233,Лист2!A:E,4,0)</f>
        <v>13</v>
      </c>
      <c r="G233">
        <f t="shared" si="12"/>
        <v>-221222000</v>
      </c>
      <c r="H233">
        <f t="shared" si="13"/>
        <v>160345384.61538461</v>
      </c>
      <c r="I233">
        <f t="shared" si="14"/>
        <v>-17017076.923076924</v>
      </c>
    </row>
    <row r="234" spans="1:9">
      <c r="A234" t="s">
        <v>14</v>
      </c>
      <c r="B234" t="s">
        <v>18</v>
      </c>
      <c r="C234">
        <v>10571000</v>
      </c>
      <c r="D234">
        <v>12777000</v>
      </c>
      <c r="E234" t="str">
        <f>VLOOKUP(B234,Лист2!A:E,5,0)</f>
        <v>малые</v>
      </c>
      <c r="F234">
        <f>VLOOKUP(B234,Лист2!A:E,4,0)</f>
        <v>2.5</v>
      </c>
      <c r="G234">
        <f t="shared" si="12"/>
        <v>-2206000</v>
      </c>
      <c r="H234">
        <f t="shared" si="13"/>
        <v>4228400</v>
      </c>
      <c r="I234">
        <f t="shared" si="14"/>
        <v>-882400</v>
      </c>
    </row>
    <row r="235" spans="1:9">
      <c r="A235" t="s">
        <v>14</v>
      </c>
      <c r="B235" t="s">
        <v>22</v>
      </c>
      <c r="C235">
        <v>52199000</v>
      </c>
      <c r="D235">
        <v>52356000</v>
      </c>
      <c r="E235" t="str">
        <f>VLOOKUP(B235,Лист2!A:E,5,0)</f>
        <v>малые</v>
      </c>
      <c r="F235">
        <f>VLOOKUP(B235,Лист2!A:E,4,0)</f>
        <v>13</v>
      </c>
      <c r="G235">
        <f t="shared" si="12"/>
        <v>-157000</v>
      </c>
      <c r="H235">
        <f t="shared" si="13"/>
        <v>4015307.6923076925</v>
      </c>
      <c r="I235">
        <f t="shared" si="14"/>
        <v>-12076.923076923076</v>
      </c>
    </row>
    <row r="236" spans="1:9">
      <c r="A236" t="s">
        <v>14</v>
      </c>
      <c r="B236" t="s">
        <v>18</v>
      </c>
      <c r="C236">
        <v>99997000</v>
      </c>
      <c r="D236">
        <v>95431000</v>
      </c>
      <c r="E236" t="str">
        <f>VLOOKUP(B236,Лист2!A:E,5,0)</f>
        <v>малые</v>
      </c>
      <c r="F236">
        <f>VLOOKUP(B236,Лист2!A:E,4,0)</f>
        <v>2.5</v>
      </c>
      <c r="G236">
        <f t="shared" si="12"/>
        <v>4566000</v>
      </c>
      <c r="H236">
        <f t="shared" si="13"/>
        <v>39998800</v>
      </c>
      <c r="I236">
        <f t="shared" si="14"/>
        <v>1826400</v>
      </c>
    </row>
    <row r="237" spans="1:9">
      <c r="A237" t="s">
        <v>14</v>
      </c>
      <c r="B237" t="s">
        <v>18</v>
      </c>
      <c r="C237">
        <v>22655000</v>
      </c>
      <c r="D237">
        <v>19518000</v>
      </c>
      <c r="E237" t="str">
        <f>VLOOKUP(B237,Лист2!A:E,5,0)</f>
        <v>малые</v>
      </c>
      <c r="F237">
        <f>VLOOKUP(B237,Лист2!A:E,4,0)</f>
        <v>2.5</v>
      </c>
      <c r="G237">
        <f t="shared" si="12"/>
        <v>3137000</v>
      </c>
      <c r="H237">
        <f t="shared" si="13"/>
        <v>9062000</v>
      </c>
      <c r="I237">
        <f t="shared" si="14"/>
        <v>1254800</v>
      </c>
    </row>
    <row r="238" spans="1:9">
      <c r="A238" t="s">
        <v>14</v>
      </c>
      <c r="B238" t="s">
        <v>18</v>
      </c>
      <c r="C238">
        <v>306000</v>
      </c>
      <c r="D238">
        <v>580000</v>
      </c>
      <c r="E238" t="str">
        <f>VLOOKUP(B238,Лист2!A:E,5,0)</f>
        <v>малые</v>
      </c>
      <c r="F238">
        <f>VLOOKUP(B238,Лист2!A:E,4,0)</f>
        <v>2.5</v>
      </c>
      <c r="G238">
        <f t="shared" si="12"/>
        <v>-274000</v>
      </c>
      <c r="H238">
        <f t="shared" si="13"/>
        <v>122400</v>
      </c>
      <c r="I238">
        <f t="shared" si="14"/>
        <v>-109600</v>
      </c>
    </row>
    <row r="239" spans="1:9">
      <c r="A239" t="s">
        <v>14</v>
      </c>
      <c r="B239" t="s">
        <v>302</v>
      </c>
      <c r="C239">
        <v>220541000</v>
      </c>
      <c r="D239">
        <v>175444000</v>
      </c>
      <c r="E239" t="str">
        <f>VLOOKUP(B239,Лист2!A:E,5,0)</f>
        <v>средние</v>
      </c>
      <c r="F239">
        <f>VLOOKUP(B239,Лист2!A:E,4,0)</f>
        <v>125.5</v>
      </c>
      <c r="G239">
        <f t="shared" si="12"/>
        <v>45097000</v>
      </c>
      <c r="H239">
        <f t="shared" si="13"/>
        <v>1757298.8047808765</v>
      </c>
      <c r="I239">
        <f t="shared" si="14"/>
        <v>359338.64541832672</v>
      </c>
    </row>
    <row r="240" spans="1:9">
      <c r="A240" t="s">
        <v>14</v>
      </c>
      <c r="B240" t="s">
        <v>23</v>
      </c>
      <c r="C240">
        <v>4304994000</v>
      </c>
      <c r="D240">
        <v>4337361000</v>
      </c>
      <c r="E240" t="str">
        <f>VLOOKUP(B240,Лист2!A:E,5,0)</f>
        <v>средние</v>
      </c>
      <c r="F240">
        <f>VLOOKUP(B240,Лист2!A:E,4,0)</f>
        <v>75.5</v>
      </c>
      <c r="G240">
        <f t="shared" si="12"/>
        <v>-32367000</v>
      </c>
      <c r="H240">
        <f t="shared" si="13"/>
        <v>57019788.079470202</v>
      </c>
      <c r="I240">
        <f t="shared" si="14"/>
        <v>-428701.9867549669</v>
      </c>
    </row>
    <row r="241" spans="1:9">
      <c r="A241" t="s">
        <v>14</v>
      </c>
      <c r="B241" t="s">
        <v>18</v>
      </c>
      <c r="C241">
        <v>86516000</v>
      </c>
      <c r="D241">
        <v>73220000</v>
      </c>
      <c r="E241" t="str">
        <f>VLOOKUP(B241,Лист2!A:E,5,0)</f>
        <v>малые</v>
      </c>
      <c r="F241">
        <f>VLOOKUP(B241,Лист2!A:E,4,0)</f>
        <v>2.5</v>
      </c>
      <c r="G241">
        <f t="shared" si="12"/>
        <v>13296000</v>
      </c>
      <c r="H241">
        <f t="shared" si="13"/>
        <v>34606400</v>
      </c>
      <c r="I241">
        <f t="shared" si="14"/>
        <v>5318400</v>
      </c>
    </row>
    <row r="242" spans="1:9">
      <c r="A242" t="s">
        <v>14</v>
      </c>
      <c r="B242" t="s">
        <v>18</v>
      </c>
      <c r="C242">
        <v>9295000</v>
      </c>
      <c r="D242">
        <v>7935000</v>
      </c>
      <c r="E242" t="str">
        <f>VLOOKUP(B242,Лист2!A:E,5,0)</f>
        <v>малые</v>
      </c>
      <c r="F242">
        <f>VLOOKUP(B242,Лист2!A:E,4,0)</f>
        <v>2.5</v>
      </c>
      <c r="G242">
        <f t="shared" si="12"/>
        <v>1360000</v>
      </c>
      <c r="H242">
        <f t="shared" si="13"/>
        <v>3718000</v>
      </c>
      <c r="I242">
        <f t="shared" si="14"/>
        <v>544000</v>
      </c>
    </row>
    <row r="243" spans="1:9">
      <c r="A243" t="s">
        <v>14</v>
      </c>
      <c r="B243" t="s">
        <v>77</v>
      </c>
      <c r="C243">
        <v>14878000</v>
      </c>
      <c r="D243">
        <v>14613000</v>
      </c>
      <c r="E243" t="str">
        <f>VLOOKUP(B243,Лист2!A:E,5,0)</f>
        <v>малые</v>
      </c>
      <c r="F243">
        <f>VLOOKUP(B243,Лист2!A:E,4,0)</f>
        <v>8</v>
      </c>
      <c r="G243">
        <f t="shared" si="12"/>
        <v>265000</v>
      </c>
      <c r="H243">
        <f t="shared" si="13"/>
        <v>1859750</v>
      </c>
      <c r="I243">
        <f t="shared" si="14"/>
        <v>33125</v>
      </c>
    </row>
    <row r="244" spans="1:9">
      <c r="A244" t="s">
        <v>14</v>
      </c>
      <c r="B244" t="s">
        <v>18</v>
      </c>
      <c r="C244">
        <v>135000</v>
      </c>
      <c r="D244">
        <v>128000</v>
      </c>
      <c r="E244" t="str">
        <f>VLOOKUP(B244,Лист2!A:E,5,0)</f>
        <v>малые</v>
      </c>
      <c r="F244">
        <f>VLOOKUP(B244,Лист2!A:E,4,0)</f>
        <v>2.5</v>
      </c>
      <c r="G244">
        <f t="shared" si="12"/>
        <v>7000</v>
      </c>
      <c r="H244">
        <f t="shared" si="13"/>
        <v>54000</v>
      </c>
      <c r="I244">
        <f t="shared" si="14"/>
        <v>2800</v>
      </c>
    </row>
    <row r="245" spans="1:9">
      <c r="A245" t="s">
        <v>25</v>
      </c>
      <c r="B245" t="s">
        <v>18</v>
      </c>
      <c r="C245">
        <v>2947000</v>
      </c>
      <c r="D245">
        <v>4856000</v>
      </c>
      <c r="E245" t="str">
        <f>VLOOKUP(B245,Лист2!A:E,5,0)</f>
        <v>малые</v>
      </c>
      <c r="F245">
        <f>VLOOKUP(B245,Лист2!A:E,4,0)</f>
        <v>2.5</v>
      </c>
      <c r="G245">
        <f t="shared" si="12"/>
        <v>-1909000</v>
      </c>
      <c r="H245">
        <f t="shared" si="13"/>
        <v>1178800</v>
      </c>
      <c r="I245">
        <f t="shared" si="14"/>
        <v>-763600</v>
      </c>
    </row>
    <row r="246" spans="1:9">
      <c r="A246" t="s">
        <v>25</v>
      </c>
      <c r="B246" t="s">
        <v>18</v>
      </c>
      <c r="C246">
        <v>2077000</v>
      </c>
      <c r="D246">
        <v>2723000</v>
      </c>
      <c r="E246" t="str">
        <f>VLOOKUP(B246,Лист2!A:E,5,0)</f>
        <v>малые</v>
      </c>
      <c r="F246">
        <f>VLOOKUP(B246,Лист2!A:E,4,0)</f>
        <v>2.5</v>
      </c>
      <c r="G246">
        <f t="shared" si="12"/>
        <v>-646000</v>
      </c>
      <c r="H246">
        <f t="shared" si="13"/>
        <v>830800</v>
      </c>
      <c r="I246">
        <f t="shared" si="14"/>
        <v>-258400</v>
      </c>
    </row>
    <row r="247" spans="1:9">
      <c r="A247" t="s">
        <v>14</v>
      </c>
      <c r="B247" t="s">
        <v>22</v>
      </c>
      <c r="C247">
        <v>76363000</v>
      </c>
      <c r="D247">
        <v>67744000</v>
      </c>
      <c r="E247" t="str">
        <f>VLOOKUP(B247,Лист2!A:E,5,0)</f>
        <v>малые</v>
      </c>
      <c r="F247">
        <f>VLOOKUP(B247,Лист2!A:E,4,0)</f>
        <v>13</v>
      </c>
      <c r="G247">
        <f t="shared" ref="G247:G298" si="15">C247-D247</f>
        <v>8619000</v>
      </c>
      <c r="H247">
        <f t="shared" ref="H247:H298" si="16">C247/F247</f>
        <v>5874076.923076923</v>
      </c>
      <c r="I247">
        <f t="shared" ref="I247:I298" si="17">G247/F247</f>
        <v>663000</v>
      </c>
    </row>
    <row r="248" spans="1:9">
      <c r="A248" t="s">
        <v>14</v>
      </c>
      <c r="B248" t="s">
        <v>18</v>
      </c>
      <c r="C248">
        <v>764000</v>
      </c>
      <c r="D248">
        <v>794000</v>
      </c>
      <c r="E248" t="str">
        <f>VLOOKUP(B248,Лист2!A:E,5,0)</f>
        <v>малые</v>
      </c>
      <c r="F248">
        <f>VLOOKUP(B248,Лист2!A:E,4,0)</f>
        <v>2.5</v>
      </c>
      <c r="G248">
        <f t="shared" si="15"/>
        <v>-30000</v>
      </c>
      <c r="H248">
        <f t="shared" si="16"/>
        <v>305600</v>
      </c>
      <c r="I248">
        <f t="shared" si="17"/>
        <v>-12000</v>
      </c>
    </row>
    <row r="249" spans="1:9">
      <c r="A249" t="s">
        <v>25</v>
      </c>
      <c r="B249" t="s">
        <v>18</v>
      </c>
      <c r="C249">
        <v>3120000</v>
      </c>
      <c r="D249">
        <v>3216000</v>
      </c>
      <c r="E249" t="str">
        <f>VLOOKUP(B249,Лист2!A:E,5,0)</f>
        <v>малые</v>
      </c>
      <c r="F249">
        <f>VLOOKUP(B249,Лист2!A:E,4,0)</f>
        <v>2.5</v>
      </c>
      <c r="G249">
        <f t="shared" si="15"/>
        <v>-96000</v>
      </c>
      <c r="H249">
        <f t="shared" si="16"/>
        <v>1248000</v>
      </c>
      <c r="I249">
        <f t="shared" si="17"/>
        <v>-38400</v>
      </c>
    </row>
    <row r="250" spans="1:9">
      <c r="A250" t="s">
        <v>14</v>
      </c>
      <c r="B250" t="s">
        <v>22</v>
      </c>
      <c r="C250">
        <v>11417000</v>
      </c>
      <c r="D250">
        <v>18444000</v>
      </c>
      <c r="E250" t="str">
        <f>VLOOKUP(B250,Лист2!A:E,5,0)</f>
        <v>малые</v>
      </c>
      <c r="F250">
        <f>VLOOKUP(B250,Лист2!A:E,4,0)</f>
        <v>13</v>
      </c>
      <c r="G250">
        <f t="shared" si="15"/>
        <v>-7027000</v>
      </c>
      <c r="H250">
        <f t="shared" si="16"/>
        <v>878230.76923076925</v>
      </c>
      <c r="I250">
        <f t="shared" si="17"/>
        <v>-540538.4615384615</v>
      </c>
    </row>
    <row r="251" spans="1:9">
      <c r="A251" t="s">
        <v>14</v>
      </c>
      <c r="B251" t="s">
        <v>77</v>
      </c>
      <c r="C251">
        <v>22650000</v>
      </c>
      <c r="D251">
        <v>28246000</v>
      </c>
      <c r="E251" t="str">
        <f>VLOOKUP(B251,Лист2!A:E,5,0)</f>
        <v>малые</v>
      </c>
      <c r="F251">
        <f>VLOOKUP(B251,Лист2!A:E,4,0)</f>
        <v>8</v>
      </c>
      <c r="G251">
        <f t="shared" si="15"/>
        <v>-5596000</v>
      </c>
      <c r="H251">
        <f t="shared" si="16"/>
        <v>2831250</v>
      </c>
      <c r="I251">
        <f t="shared" si="17"/>
        <v>-699500</v>
      </c>
    </row>
    <row r="252" spans="1:9">
      <c r="A252" t="s">
        <v>14</v>
      </c>
      <c r="B252" t="s">
        <v>18</v>
      </c>
      <c r="C252">
        <v>23000</v>
      </c>
      <c r="D252">
        <v>479000</v>
      </c>
      <c r="E252" t="str">
        <f>VLOOKUP(B252,Лист2!A:E,5,0)</f>
        <v>малые</v>
      </c>
      <c r="F252">
        <f>VLOOKUP(B252,Лист2!A:E,4,0)</f>
        <v>2.5</v>
      </c>
      <c r="G252">
        <f t="shared" si="15"/>
        <v>-456000</v>
      </c>
      <c r="H252">
        <f t="shared" si="16"/>
        <v>9200</v>
      </c>
      <c r="I252">
        <f t="shared" si="17"/>
        <v>-182400</v>
      </c>
    </row>
    <row r="253" spans="1:9">
      <c r="A253" t="s">
        <v>14</v>
      </c>
      <c r="B253" t="s">
        <v>18</v>
      </c>
      <c r="C253">
        <v>38772000</v>
      </c>
      <c r="D253">
        <v>42617000</v>
      </c>
      <c r="E253" t="str">
        <f>VLOOKUP(B253,Лист2!A:E,5,0)</f>
        <v>малые</v>
      </c>
      <c r="F253">
        <f>VLOOKUP(B253,Лист2!A:E,4,0)</f>
        <v>2.5</v>
      </c>
      <c r="G253">
        <f t="shared" si="15"/>
        <v>-3845000</v>
      </c>
      <c r="H253">
        <f t="shared" si="16"/>
        <v>15508800</v>
      </c>
      <c r="I253">
        <f t="shared" si="17"/>
        <v>-1538000</v>
      </c>
    </row>
    <row r="254" spans="1:9">
      <c r="A254" t="s">
        <v>25</v>
      </c>
      <c r="B254" t="s">
        <v>18</v>
      </c>
      <c r="C254">
        <v>291000</v>
      </c>
      <c r="D254">
        <v>233000</v>
      </c>
      <c r="E254" t="str">
        <f>VLOOKUP(B254,Лист2!A:E,5,0)</f>
        <v>малые</v>
      </c>
      <c r="F254">
        <f>VLOOKUP(B254,Лист2!A:E,4,0)</f>
        <v>2.5</v>
      </c>
      <c r="G254">
        <f t="shared" si="15"/>
        <v>58000</v>
      </c>
      <c r="H254">
        <f t="shared" si="16"/>
        <v>116400</v>
      </c>
      <c r="I254">
        <f t="shared" si="17"/>
        <v>23200</v>
      </c>
    </row>
    <row r="255" spans="1:9">
      <c r="A255" t="s">
        <v>14</v>
      </c>
      <c r="B255" t="s">
        <v>18</v>
      </c>
      <c r="C255">
        <v>11819000</v>
      </c>
      <c r="D255">
        <v>14110000</v>
      </c>
      <c r="E255" t="str">
        <f>VLOOKUP(B255,Лист2!A:E,5,0)</f>
        <v>малые</v>
      </c>
      <c r="F255">
        <f>VLOOKUP(B255,Лист2!A:E,4,0)</f>
        <v>2.5</v>
      </c>
      <c r="G255">
        <f t="shared" si="15"/>
        <v>-2291000</v>
      </c>
      <c r="H255">
        <f t="shared" si="16"/>
        <v>4727600</v>
      </c>
      <c r="I255">
        <f t="shared" si="17"/>
        <v>-916400</v>
      </c>
    </row>
    <row r="256" spans="1:9">
      <c r="A256" t="s">
        <v>14</v>
      </c>
      <c r="B256" t="s">
        <v>18</v>
      </c>
      <c r="C256">
        <v>7932000</v>
      </c>
      <c r="D256">
        <v>3806000</v>
      </c>
      <c r="E256" t="str">
        <f>VLOOKUP(B256,Лист2!A:E,5,0)</f>
        <v>малые</v>
      </c>
      <c r="F256">
        <f>VLOOKUP(B256,Лист2!A:E,4,0)</f>
        <v>2.5</v>
      </c>
      <c r="G256">
        <f t="shared" si="15"/>
        <v>4126000</v>
      </c>
      <c r="H256">
        <f t="shared" si="16"/>
        <v>3172800</v>
      </c>
      <c r="I256">
        <f t="shared" si="17"/>
        <v>1650400</v>
      </c>
    </row>
    <row r="257" spans="1:9">
      <c r="A257" t="s">
        <v>14</v>
      </c>
      <c r="B257" t="s">
        <v>18</v>
      </c>
      <c r="C257">
        <v>6008000</v>
      </c>
      <c r="D257">
        <v>633000</v>
      </c>
      <c r="E257" t="str">
        <f>VLOOKUP(B257,Лист2!A:E,5,0)</f>
        <v>малые</v>
      </c>
      <c r="F257">
        <f>VLOOKUP(B257,Лист2!A:E,4,0)</f>
        <v>2.5</v>
      </c>
      <c r="G257">
        <f t="shared" si="15"/>
        <v>5375000</v>
      </c>
      <c r="H257">
        <f t="shared" si="16"/>
        <v>2403200</v>
      </c>
      <c r="I257">
        <f t="shared" si="17"/>
        <v>2150000</v>
      </c>
    </row>
    <row r="258" spans="1:9">
      <c r="A258" t="s">
        <v>25</v>
      </c>
      <c r="B258" t="s">
        <v>18</v>
      </c>
      <c r="C258">
        <v>117000</v>
      </c>
      <c r="D258">
        <v>118000</v>
      </c>
      <c r="E258" t="str">
        <f>VLOOKUP(B258,Лист2!A:E,5,0)</f>
        <v>малые</v>
      </c>
      <c r="F258">
        <f>VLOOKUP(B258,Лист2!A:E,4,0)</f>
        <v>2.5</v>
      </c>
      <c r="G258">
        <f t="shared" si="15"/>
        <v>-1000</v>
      </c>
      <c r="H258">
        <f t="shared" si="16"/>
        <v>46800</v>
      </c>
      <c r="I258">
        <f t="shared" si="17"/>
        <v>-400</v>
      </c>
    </row>
    <row r="259" spans="1:9">
      <c r="A259" t="s">
        <v>25</v>
      </c>
      <c r="B259" t="s">
        <v>77</v>
      </c>
      <c r="C259">
        <v>320527000</v>
      </c>
      <c r="D259">
        <v>198011000</v>
      </c>
      <c r="E259" t="str">
        <f>VLOOKUP(B259,Лист2!A:E,5,0)</f>
        <v>малые</v>
      </c>
      <c r="F259">
        <f>VLOOKUP(B259,Лист2!A:E,4,0)</f>
        <v>8</v>
      </c>
      <c r="G259">
        <f t="shared" si="15"/>
        <v>122516000</v>
      </c>
      <c r="H259">
        <f t="shared" si="16"/>
        <v>40065875</v>
      </c>
      <c r="I259">
        <f t="shared" si="17"/>
        <v>15314500</v>
      </c>
    </row>
    <row r="260" spans="1:9">
      <c r="A260" t="s">
        <v>14</v>
      </c>
      <c r="B260" t="s">
        <v>18</v>
      </c>
      <c r="C260">
        <v>968000</v>
      </c>
      <c r="D260">
        <v>826000</v>
      </c>
      <c r="E260" t="str">
        <f>VLOOKUP(B260,Лист2!A:E,5,0)</f>
        <v>малые</v>
      </c>
      <c r="F260">
        <f>VLOOKUP(B260,Лист2!A:E,4,0)</f>
        <v>2.5</v>
      </c>
      <c r="G260">
        <f t="shared" si="15"/>
        <v>142000</v>
      </c>
      <c r="H260">
        <f t="shared" si="16"/>
        <v>387200</v>
      </c>
      <c r="I260">
        <f t="shared" si="17"/>
        <v>56800</v>
      </c>
    </row>
    <row r="261" spans="1:9">
      <c r="A261" t="s">
        <v>14</v>
      </c>
      <c r="B261" t="s">
        <v>18</v>
      </c>
      <c r="C261">
        <v>191686000</v>
      </c>
      <c r="D261">
        <v>144937000</v>
      </c>
      <c r="E261" t="str">
        <f>VLOOKUP(B261,Лист2!A:E,5,0)</f>
        <v>малые</v>
      </c>
      <c r="F261">
        <f>VLOOKUP(B261,Лист2!A:E,4,0)</f>
        <v>2.5</v>
      </c>
      <c r="G261">
        <f t="shared" si="15"/>
        <v>46749000</v>
      </c>
      <c r="H261">
        <f t="shared" si="16"/>
        <v>76674400</v>
      </c>
      <c r="I261">
        <f t="shared" si="17"/>
        <v>18699600</v>
      </c>
    </row>
    <row r="262" spans="1:9">
      <c r="A262" t="s">
        <v>14</v>
      </c>
      <c r="B262" t="s">
        <v>18</v>
      </c>
      <c r="C262">
        <v>38990000</v>
      </c>
      <c r="D262">
        <v>55460000</v>
      </c>
      <c r="E262" t="str">
        <f>VLOOKUP(B262,Лист2!A:E,5,0)</f>
        <v>малые</v>
      </c>
      <c r="F262">
        <f>VLOOKUP(B262,Лист2!A:E,4,0)</f>
        <v>2.5</v>
      </c>
      <c r="G262">
        <f t="shared" si="15"/>
        <v>-16470000</v>
      </c>
      <c r="H262">
        <f t="shared" si="16"/>
        <v>15596000</v>
      </c>
      <c r="I262">
        <f t="shared" si="17"/>
        <v>-6588000</v>
      </c>
    </row>
    <row r="263" spans="1:9">
      <c r="A263" t="s">
        <v>14</v>
      </c>
      <c r="B263" t="s">
        <v>18</v>
      </c>
      <c r="C263">
        <v>147000</v>
      </c>
      <c r="D263">
        <v>147000</v>
      </c>
      <c r="E263" t="str">
        <f>VLOOKUP(B263,Лист2!A:E,5,0)</f>
        <v>малые</v>
      </c>
      <c r="F263">
        <f>VLOOKUP(B263,Лист2!A:E,4,0)</f>
        <v>2.5</v>
      </c>
      <c r="G263">
        <f t="shared" si="15"/>
        <v>0</v>
      </c>
      <c r="H263">
        <f t="shared" si="16"/>
        <v>58800</v>
      </c>
      <c r="I263">
        <f t="shared" si="17"/>
        <v>0</v>
      </c>
    </row>
    <row r="264" spans="1:9">
      <c r="A264" t="s">
        <v>14</v>
      </c>
      <c r="B264" t="s">
        <v>77</v>
      </c>
      <c r="C264">
        <v>138185000</v>
      </c>
      <c r="D264">
        <v>28901000</v>
      </c>
      <c r="E264" t="str">
        <f>VLOOKUP(B264,Лист2!A:E,5,0)</f>
        <v>малые</v>
      </c>
      <c r="F264">
        <f>VLOOKUP(B264,Лист2!A:E,4,0)</f>
        <v>8</v>
      </c>
      <c r="G264">
        <f t="shared" si="15"/>
        <v>109284000</v>
      </c>
      <c r="H264">
        <f t="shared" si="16"/>
        <v>17273125</v>
      </c>
      <c r="I264">
        <f t="shared" si="17"/>
        <v>13660500</v>
      </c>
    </row>
    <row r="265" spans="1:9">
      <c r="A265" t="s">
        <v>14</v>
      </c>
      <c r="B265" t="s">
        <v>18</v>
      </c>
      <c r="C265">
        <v>176000</v>
      </c>
      <c r="D265">
        <v>187000</v>
      </c>
      <c r="E265" t="str">
        <f>VLOOKUP(B265,Лист2!A:E,5,0)</f>
        <v>малые</v>
      </c>
      <c r="F265">
        <f>VLOOKUP(B265,Лист2!A:E,4,0)</f>
        <v>2.5</v>
      </c>
      <c r="G265">
        <f t="shared" si="15"/>
        <v>-11000</v>
      </c>
      <c r="H265">
        <f t="shared" si="16"/>
        <v>70400</v>
      </c>
      <c r="I265">
        <f t="shared" si="17"/>
        <v>-4400</v>
      </c>
    </row>
    <row r="266" spans="1:9">
      <c r="A266" t="s">
        <v>24</v>
      </c>
      <c r="B266" t="s">
        <v>18</v>
      </c>
      <c r="C266">
        <v>262000</v>
      </c>
      <c r="D266">
        <v>745000</v>
      </c>
      <c r="E266" t="str">
        <f>VLOOKUP(B266,Лист2!A:E,5,0)</f>
        <v>малые</v>
      </c>
      <c r="F266">
        <f>VLOOKUP(B266,Лист2!A:E,4,0)</f>
        <v>2.5</v>
      </c>
      <c r="G266">
        <f t="shared" si="15"/>
        <v>-483000</v>
      </c>
      <c r="H266">
        <f t="shared" si="16"/>
        <v>104800</v>
      </c>
      <c r="I266">
        <f t="shared" si="17"/>
        <v>-193200</v>
      </c>
    </row>
    <row r="267" spans="1:9">
      <c r="A267" t="s">
        <v>25</v>
      </c>
      <c r="B267" t="s">
        <v>18</v>
      </c>
      <c r="C267">
        <v>1030734000</v>
      </c>
      <c r="D267">
        <v>713230000</v>
      </c>
      <c r="E267" t="str">
        <f>VLOOKUP(B267,Лист2!A:E,5,0)</f>
        <v>малые</v>
      </c>
      <c r="F267">
        <f>VLOOKUP(B267,Лист2!A:E,4,0)</f>
        <v>2.5</v>
      </c>
      <c r="G267">
        <f t="shared" si="15"/>
        <v>317504000</v>
      </c>
      <c r="H267">
        <f t="shared" si="16"/>
        <v>412293600</v>
      </c>
      <c r="I267">
        <f t="shared" si="17"/>
        <v>127001600</v>
      </c>
    </row>
    <row r="268" spans="1:9">
      <c r="A268" t="s">
        <v>14</v>
      </c>
      <c r="B268" t="s">
        <v>18</v>
      </c>
      <c r="C268">
        <v>600000</v>
      </c>
      <c r="D268">
        <v>702000</v>
      </c>
      <c r="E268" t="str">
        <f>VLOOKUP(B268,Лист2!A:E,5,0)</f>
        <v>малые</v>
      </c>
      <c r="F268">
        <f>VLOOKUP(B268,Лист2!A:E,4,0)</f>
        <v>2.5</v>
      </c>
      <c r="G268">
        <f t="shared" si="15"/>
        <v>-102000</v>
      </c>
      <c r="H268">
        <f t="shared" si="16"/>
        <v>240000</v>
      </c>
      <c r="I268">
        <f t="shared" si="17"/>
        <v>-40800</v>
      </c>
    </row>
    <row r="269" spans="1:9">
      <c r="A269" t="s">
        <v>14</v>
      </c>
      <c r="B269" t="s">
        <v>18</v>
      </c>
      <c r="C269">
        <v>1086000</v>
      </c>
      <c r="D269">
        <v>1086000</v>
      </c>
      <c r="E269" t="str">
        <f>VLOOKUP(B269,Лист2!A:E,5,0)</f>
        <v>малые</v>
      </c>
      <c r="F269">
        <f>VLOOKUP(B269,Лист2!A:E,4,0)</f>
        <v>2.5</v>
      </c>
      <c r="G269">
        <f t="shared" si="15"/>
        <v>0</v>
      </c>
      <c r="H269">
        <f t="shared" si="16"/>
        <v>434400</v>
      </c>
      <c r="I269">
        <f t="shared" si="17"/>
        <v>0</v>
      </c>
    </row>
    <row r="270" spans="1:9">
      <c r="A270" t="s">
        <v>14</v>
      </c>
      <c r="B270" t="s">
        <v>18</v>
      </c>
      <c r="C270">
        <v>699587000</v>
      </c>
      <c r="D270">
        <v>1144761000</v>
      </c>
      <c r="E270" t="str">
        <f>VLOOKUP(B270,Лист2!A:E,5,0)</f>
        <v>малые</v>
      </c>
      <c r="F270">
        <f>VLOOKUP(B270,Лист2!A:E,4,0)</f>
        <v>2.5</v>
      </c>
      <c r="G270">
        <f t="shared" si="15"/>
        <v>-445174000</v>
      </c>
      <c r="H270">
        <f t="shared" si="16"/>
        <v>279834800</v>
      </c>
      <c r="I270">
        <f t="shared" si="17"/>
        <v>-178069600</v>
      </c>
    </row>
    <row r="271" spans="1:9">
      <c r="A271" t="s">
        <v>14</v>
      </c>
      <c r="B271" t="s">
        <v>18</v>
      </c>
      <c r="C271">
        <v>304000</v>
      </c>
      <c r="D271">
        <v>680000</v>
      </c>
      <c r="E271" t="str">
        <f>VLOOKUP(B271,Лист2!A:E,5,0)</f>
        <v>малые</v>
      </c>
      <c r="F271">
        <f>VLOOKUP(B271,Лист2!A:E,4,0)</f>
        <v>2.5</v>
      </c>
      <c r="G271">
        <f t="shared" si="15"/>
        <v>-376000</v>
      </c>
      <c r="H271">
        <f t="shared" si="16"/>
        <v>121600</v>
      </c>
      <c r="I271">
        <f t="shared" si="17"/>
        <v>-150400</v>
      </c>
    </row>
    <row r="272" spans="1:9">
      <c r="A272" t="s">
        <v>25</v>
      </c>
      <c r="B272" t="s">
        <v>18</v>
      </c>
      <c r="C272">
        <v>6107000</v>
      </c>
      <c r="D272">
        <v>1983000</v>
      </c>
      <c r="E272" t="str">
        <f>VLOOKUP(B272,Лист2!A:E,5,0)</f>
        <v>малые</v>
      </c>
      <c r="F272">
        <f>VLOOKUP(B272,Лист2!A:E,4,0)</f>
        <v>2.5</v>
      </c>
      <c r="G272">
        <f t="shared" si="15"/>
        <v>4124000</v>
      </c>
      <c r="H272">
        <f t="shared" si="16"/>
        <v>2442800</v>
      </c>
      <c r="I272">
        <f t="shared" si="17"/>
        <v>1649600</v>
      </c>
    </row>
    <row r="273" spans="1:9">
      <c r="A273" t="s">
        <v>25</v>
      </c>
      <c r="B273" t="s">
        <v>18</v>
      </c>
      <c r="C273">
        <v>1167000</v>
      </c>
      <c r="D273">
        <v>1406000</v>
      </c>
      <c r="E273" t="str">
        <f>VLOOKUP(B273,Лист2!A:E,5,0)</f>
        <v>малые</v>
      </c>
      <c r="F273">
        <f>VLOOKUP(B273,Лист2!A:E,4,0)</f>
        <v>2.5</v>
      </c>
      <c r="G273">
        <f t="shared" si="15"/>
        <v>-239000</v>
      </c>
      <c r="H273">
        <f t="shared" si="16"/>
        <v>466800</v>
      </c>
      <c r="I273">
        <f t="shared" si="17"/>
        <v>-95600</v>
      </c>
    </row>
    <row r="274" spans="1:9">
      <c r="A274" t="s">
        <v>14</v>
      </c>
      <c r="B274" t="s">
        <v>18</v>
      </c>
      <c r="C274">
        <v>4374000</v>
      </c>
      <c r="D274">
        <v>4392000</v>
      </c>
      <c r="E274" t="str">
        <f>VLOOKUP(B274,Лист2!A:E,5,0)</f>
        <v>малые</v>
      </c>
      <c r="F274">
        <f>VLOOKUP(B274,Лист2!A:E,4,0)</f>
        <v>2.5</v>
      </c>
      <c r="G274">
        <f t="shared" si="15"/>
        <v>-18000</v>
      </c>
      <c r="H274">
        <f t="shared" si="16"/>
        <v>1749600</v>
      </c>
      <c r="I274">
        <f t="shared" si="17"/>
        <v>-7200</v>
      </c>
    </row>
    <row r="275" spans="1:9">
      <c r="A275" t="s">
        <v>14</v>
      </c>
      <c r="B275" t="s">
        <v>18</v>
      </c>
      <c r="C275">
        <v>173000</v>
      </c>
      <c r="D275">
        <v>717000</v>
      </c>
      <c r="E275" t="str">
        <f>VLOOKUP(B275,Лист2!A:E,5,0)</f>
        <v>малые</v>
      </c>
      <c r="F275">
        <f>VLOOKUP(B275,Лист2!A:E,4,0)</f>
        <v>2.5</v>
      </c>
      <c r="G275">
        <f t="shared" si="15"/>
        <v>-544000</v>
      </c>
      <c r="H275">
        <f t="shared" si="16"/>
        <v>69200</v>
      </c>
      <c r="I275">
        <f t="shared" si="17"/>
        <v>-217600</v>
      </c>
    </row>
    <row r="276" spans="1:9">
      <c r="A276" t="s">
        <v>25</v>
      </c>
      <c r="B276" t="s">
        <v>18</v>
      </c>
      <c r="C276">
        <v>1163000</v>
      </c>
      <c r="D276">
        <v>1165000</v>
      </c>
      <c r="E276" t="str">
        <f>VLOOKUP(B276,Лист2!A:E,5,0)</f>
        <v>малые</v>
      </c>
      <c r="F276">
        <f>VLOOKUP(B276,Лист2!A:E,4,0)</f>
        <v>2.5</v>
      </c>
      <c r="G276">
        <f t="shared" si="15"/>
        <v>-2000</v>
      </c>
      <c r="H276">
        <f t="shared" si="16"/>
        <v>465200</v>
      </c>
      <c r="I276">
        <f t="shared" si="17"/>
        <v>-800</v>
      </c>
    </row>
    <row r="277" spans="1:9">
      <c r="A277" t="s">
        <v>14</v>
      </c>
      <c r="B277" t="s">
        <v>22</v>
      </c>
      <c r="C277">
        <v>199364000</v>
      </c>
      <c r="D277">
        <v>204388000</v>
      </c>
      <c r="E277" t="str">
        <f>VLOOKUP(B277,Лист2!A:E,5,0)</f>
        <v>малые</v>
      </c>
      <c r="F277">
        <f>VLOOKUP(B277,Лист2!A:E,4,0)</f>
        <v>13</v>
      </c>
      <c r="G277">
        <f t="shared" si="15"/>
        <v>-5024000</v>
      </c>
      <c r="H277">
        <f t="shared" si="16"/>
        <v>15335692.307692308</v>
      </c>
      <c r="I277">
        <f t="shared" si="17"/>
        <v>-386461.53846153844</v>
      </c>
    </row>
    <row r="278" spans="1:9">
      <c r="A278" t="s">
        <v>14</v>
      </c>
      <c r="B278" t="s">
        <v>22</v>
      </c>
      <c r="C278">
        <v>3342000</v>
      </c>
      <c r="D278">
        <v>3342000</v>
      </c>
      <c r="E278" t="str">
        <f>VLOOKUP(B278,Лист2!A:E,5,0)</f>
        <v>малые</v>
      </c>
      <c r="F278">
        <f>VLOOKUP(B278,Лист2!A:E,4,0)</f>
        <v>13</v>
      </c>
      <c r="G278">
        <f t="shared" si="15"/>
        <v>0</v>
      </c>
      <c r="H278">
        <f t="shared" si="16"/>
        <v>257076.92307692306</v>
      </c>
      <c r="I278">
        <f t="shared" si="17"/>
        <v>0</v>
      </c>
    </row>
    <row r="279" spans="1:9">
      <c r="A279" t="s">
        <v>14</v>
      </c>
      <c r="B279" t="s">
        <v>18</v>
      </c>
      <c r="C279">
        <v>18201000</v>
      </c>
      <c r="D279">
        <v>18423000</v>
      </c>
      <c r="E279" t="str">
        <f>VLOOKUP(B279,Лист2!A:E,5,0)</f>
        <v>малые</v>
      </c>
      <c r="F279">
        <f>VLOOKUP(B279,Лист2!A:E,4,0)</f>
        <v>2.5</v>
      </c>
      <c r="G279">
        <f t="shared" si="15"/>
        <v>-222000</v>
      </c>
      <c r="H279">
        <f t="shared" si="16"/>
        <v>7280400</v>
      </c>
      <c r="I279">
        <f t="shared" si="17"/>
        <v>-88800</v>
      </c>
    </row>
    <row r="280" spans="1:9">
      <c r="A280" t="s">
        <v>25</v>
      </c>
      <c r="B280" t="s">
        <v>18</v>
      </c>
      <c r="C280">
        <v>1732000</v>
      </c>
      <c r="D280">
        <v>1732000</v>
      </c>
      <c r="E280" t="str">
        <f>VLOOKUP(B280,Лист2!A:E,5,0)</f>
        <v>малые</v>
      </c>
      <c r="F280">
        <f>VLOOKUP(B280,Лист2!A:E,4,0)</f>
        <v>2.5</v>
      </c>
      <c r="G280">
        <f t="shared" si="15"/>
        <v>0</v>
      </c>
      <c r="H280">
        <f t="shared" si="16"/>
        <v>692800</v>
      </c>
      <c r="I280">
        <f t="shared" si="17"/>
        <v>0</v>
      </c>
    </row>
    <row r="281" spans="1:9">
      <c r="A281" t="s">
        <v>25</v>
      </c>
      <c r="B281" t="s">
        <v>18</v>
      </c>
      <c r="C281">
        <v>8761000</v>
      </c>
      <c r="D281">
        <v>2652000</v>
      </c>
      <c r="E281" t="str">
        <f>VLOOKUP(B281,Лист2!A:E,5,0)</f>
        <v>малые</v>
      </c>
      <c r="F281">
        <f>VLOOKUP(B281,Лист2!A:E,4,0)</f>
        <v>2.5</v>
      </c>
      <c r="G281">
        <f t="shared" si="15"/>
        <v>6109000</v>
      </c>
      <c r="H281">
        <f t="shared" si="16"/>
        <v>3504400</v>
      </c>
      <c r="I281">
        <f t="shared" si="17"/>
        <v>2443600</v>
      </c>
    </row>
    <row r="282" spans="1:9">
      <c r="A282" t="s">
        <v>25</v>
      </c>
      <c r="B282" t="s">
        <v>77</v>
      </c>
      <c r="C282">
        <v>1270000</v>
      </c>
      <c r="D282">
        <v>1270000</v>
      </c>
      <c r="E282" t="str">
        <f>VLOOKUP(B282,Лист2!A:E,5,0)</f>
        <v>малые</v>
      </c>
      <c r="F282">
        <f>VLOOKUP(B282,Лист2!A:E,4,0)</f>
        <v>8</v>
      </c>
      <c r="G282">
        <f t="shared" si="15"/>
        <v>0</v>
      </c>
      <c r="H282">
        <f t="shared" si="16"/>
        <v>158750</v>
      </c>
      <c r="I282">
        <f t="shared" si="17"/>
        <v>0</v>
      </c>
    </row>
    <row r="283" spans="1:9">
      <c r="A283" t="s">
        <v>25</v>
      </c>
      <c r="B283" t="s">
        <v>18</v>
      </c>
      <c r="C283">
        <v>19700000</v>
      </c>
      <c r="D283">
        <v>94331000</v>
      </c>
      <c r="E283" t="str">
        <f>VLOOKUP(B283,Лист2!A:E,5,0)</f>
        <v>малые</v>
      </c>
      <c r="F283">
        <f>VLOOKUP(B283,Лист2!A:E,4,0)</f>
        <v>2.5</v>
      </c>
      <c r="G283">
        <f t="shared" si="15"/>
        <v>-74631000</v>
      </c>
      <c r="H283">
        <f t="shared" si="16"/>
        <v>7880000</v>
      </c>
      <c r="I283">
        <f t="shared" si="17"/>
        <v>-29852400</v>
      </c>
    </row>
    <row r="284" spans="1:9">
      <c r="A284" t="s">
        <v>14</v>
      </c>
      <c r="B284" t="s">
        <v>1135</v>
      </c>
      <c r="C284">
        <v>250407000</v>
      </c>
      <c r="D284">
        <v>247062000</v>
      </c>
      <c r="E284" t="str">
        <f>VLOOKUP(B284,Лист2!A:E,5,0)</f>
        <v>крупные</v>
      </c>
      <c r="F284">
        <f>VLOOKUP(B284,Лист2!A:E,4,0)</f>
        <v>375.5</v>
      </c>
      <c r="G284">
        <f t="shared" si="15"/>
        <v>3345000</v>
      </c>
      <c r="H284">
        <f t="shared" si="16"/>
        <v>666862.84953395475</v>
      </c>
      <c r="I284">
        <f t="shared" si="17"/>
        <v>8908.1225033288956</v>
      </c>
    </row>
    <row r="285" spans="1:9">
      <c r="A285" t="s">
        <v>14</v>
      </c>
      <c r="B285" t="s">
        <v>22</v>
      </c>
      <c r="C285">
        <v>15162000</v>
      </c>
      <c r="D285">
        <v>13671000</v>
      </c>
      <c r="E285" t="str">
        <f>VLOOKUP(B285,Лист2!A:E,5,0)</f>
        <v>малые</v>
      </c>
      <c r="F285">
        <f>VLOOKUP(B285,Лист2!A:E,4,0)</f>
        <v>13</v>
      </c>
      <c r="G285">
        <f t="shared" si="15"/>
        <v>1491000</v>
      </c>
      <c r="H285">
        <f t="shared" si="16"/>
        <v>1166307.6923076923</v>
      </c>
      <c r="I285">
        <f t="shared" si="17"/>
        <v>114692.30769230769</v>
      </c>
    </row>
    <row r="286" spans="1:9">
      <c r="A286" t="s">
        <v>14</v>
      </c>
      <c r="B286" t="s">
        <v>18</v>
      </c>
      <c r="C286">
        <v>13209000</v>
      </c>
      <c r="D286">
        <v>174000</v>
      </c>
      <c r="E286" t="str">
        <f>VLOOKUP(B286,Лист2!A:E,5,0)</f>
        <v>малые</v>
      </c>
      <c r="F286">
        <f>VLOOKUP(B286,Лист2!A:E,4,0)</f>
        <v>2.5</v>
      </c>
      <c r="G286">
        <f t="shared" si="15"/>
        <v>13035000</v>
      </c>
      <c r="H286">
        <f t="shared" si="16"/>
        <v>5283600</v>
      </c>
      <c r="I286">
        <f t="shared" si="17"/>
        <v>5214000</v>
      </c>
    </row>
    <row r="287" spans="1:9">
      <c r="A287" t="s">
        <v>14</v>
      </c>
      <c r="B287" t="s">
        <v>18</v>
      </c>
      <c r="C287">
        <v>64000</v>
      </c>
      <c r="D287">
        <v>35000</v>
      </c>
      <c r="E287" t="str">
        <f>VLOOKUP(B287,Лист2!A:E,5,0)</f>
        <v>малые</v>
      </c>
      <c r="F287">
        <f>VLOOKUP(B287,Лист2!A:E,4,0)</f>
        <v>2.5</v>
      </c>
      <c r="G287">
        <f t="shared" si="15"/>
        <v>29000</v>
      </c>
      <c r="H287">
        <f t="shared" si="16"/>
        <v>25600</v>
      </c>
      <c r="I287">
        <f t="shared" si="17"/>
        <v>11600</v>
      </c>
    </row>
    <row r="288" spans="1:9">
      <c r="A288" t="s">
        <v>14</v>
      </c>
      <c r="B288" t="s">
        <v>18</v>
      </c>
      <c r="C288">
        <v>1675000</v>
      </c>
      <c r="D288">
        <v>1689000</v>
      </c>
      <c r="E288" t="str">
        <f>VLOOKUP(B288,Лист2!A:E,5,0)</f>
        <v>малые</v>
      </c>
      <c r="F288">
        <f>VLOOKUP(B288,Лист2!A:E,4,0)</f>
        <v>2.5</v>
      </c>
      <c r="G288">
        <f t="shared" si="15"/>
        <v>-14000</v>
      </c>
      <c r="H288">
        <f t="shared" si="16"/>
        <v>670000</v>
      </c>
      <c r="I288">
        <f t="shared" si="17"/>
        <v>-5600</v>
      </c>
    </row>
    <row r="289" spans="1:9">
      <c r="A289" t="s">
        <v>14</v>
      </c>
      <c r="B289" t="s">
        <v>302</v>
      </c>
      <c r="C289">
        <v>1585261000</v>
      </c>
      <c r="D289">
        <v>1561316000</v>
      </c>
      <c r="E289" t="str">
        <f>VLOOKUP(B289,Лист2!A:E,5,0)</f>
        <v>средние</v>
      </c>
      <c r="F289">
        <f>VLOOKUP(B289,Лист2!A:E,4,0)</f>
        <v>125.5</v>
      </c>
      <c r="G289">
        <f t="shared" si="15"/>
        <v>23945000</v>
      </c>
      <c r="H289">
        <f t="shared" si="16"/>
        <v>12631561.752988048</v>
      </c>
      <c r="I289">
        <f t="shared" si="17"/>
        <v>190796.81274900399</v>
      </c>
    </row>
    <row r="290" spans="1:9">
      <c r="A290" t="s">
        <v>14</v>
      </c>
      <c r="B290" t="s">
        <v>18</v>
      </c>
      <c r="C290">
        <v>6945000</v>
      </c>
      <c r="D290">
        <v>7091000</v>
      </c>
      <c r="E290" t="str">
        <f>VLOOKUP(B290,Лист2!A:E,5,0)</f>
        <v>малые</v>
      </c>
      <c r="F290">
        <f>VLOOKUP(B290,Лист2!A:E,4,0)</f>
        <v>2.5</v>
      </c>
      <c r="G290">
        <f t="shared" si="15"/>
        <v>-146000</v>
      </c>
      <c r="H290">
        <f t="shared" si="16"/>
        <v>2778000</v>
      </c>
      <c r="I290">
        <f t="shared" si="17"/>
        <v>-58400</v>
      </c>
    </row>
    <row r="291" spans="1:9">
      <c r="A291" t="s">
        <v>14</v>
      </c>
      <c r="B291" t="s">
        <v>18</v>
      </c>
      <c r="C291">
        <v>11399000</v>
      </c>
      <c r="D291">
        <v>10199000</v>
      </c>
      <c r="E291" t="str">
        <f>VLOOKUP(B291,Лист2!A:E,5,0)</f>
        <v>малые</v>
      </c>
      <c r="F291">
        <f>VLOOKUP(B291,Лист2!A:E,4,0)</f>
        <v>2.5</v>
      </c>
      <c r="G291">
        <f t="shared" si="15"/>
        <v>1200000</v>
      </c>
      <c r="H291">
        <f t="shared" si="16"/>
        <v>4559600</v>
      </c>
      <c r="I291">
        <f t="shared" si="17"/>
        <v>480000</v>
      </c>
    </row>
    <row r="292" spans="1:9">
      <c r="A292" t="s">
        <v>25</v>
      </c>
      <c r="B292" t="s">
        <v>22</v>
      </c>
      <c r="C292">
        <v>360000</v>
      </c>
      <c r="D292">
        <v>360000</v>
      </c>
      <c r="E292" t="str">
        <f>VLOOKUP(B292,Лист2!A:E,5,0)</f>
        <v>малые</v>
      </c>
      <c r="F292">
        <f>VLOOKUP(B292,Лист2!A:E,4,0)</f>
        <v>13</v>
      </c>
      <c r="G292">
        <f t="shared" si="15"/>
        <v>0</v>
      </c>
      <c r="H292">
        <f t="shared" si="16"/>
        <v>27692.307692307691</v>
      </c>
      <c r="I292">
        <f t="shared" si="17"/>
        <v>0</v>
      </c>
    </row>
    <row r="293" spans="1:9">
      <c r="A293" t="s">
        <v>14</v>
      </c>
      <c r="B293" t="s">
        <v>18</v>
      </c>
      <c r="C293">
        <v>1923231000</v>
      </c>
      <c r="D293">
        <v>1926765000</v>
      </c>
      <c r="E293" t="str">
        <f>VLOOKUP(B293,Лист2!A:E,5,0)</f>
        <v>малые</v>
      </c>
      <c r="F293">
        <f>VLOOKUP(B293,Лист2!A:E,4,0)</f>
        <v>2.5</v>
      </c>
      <c r="G293">
        <f t="shared" si="15"/>
        <v>-3534000</v>
      </c>
      <c r="H293">
        <f t="shared" si="16"/>
        <v>769292400</v>
      </c>
      <c r="I293">
        <f t="shared" si="17"/>
        <v>-1413600</v>
      </c>
    </row>
    <row r="294" spans="1:9">
      <c r="A294" t="s">
        <v>14</v>
      </c>
      <c r="B294" t="s">
        <v>77</v>
      </c>
      <c r="C294">
        <v>14193000</v>
      </c>
      <c r="D294">
        <v>15366000</v>
      </c>
      <c r="E294" t="str">
        <f>VLOOKUP(B294,Лист2!A:E,5,0)</f>
        <v>малые</v>
      </c>
      <c r="F294">
        <f>VLOOKUP(B294,Лист2!A:E,4,0)</f>
        <v>8</v>
      </c>
      <c r="G294">
        <f t="shared" si="15"/>
        <v>-1173000</v>
      </c>
      <c r="H294">
        <f t="shared" si="16"/>
        <v>1774125</v>
      </c>
      <c r="I294">
        <f t="shared" si="17"/>
        <v>-146625</v>
      </c>
    </row>
    <row r="295" spans="1:9">
      <c r="A295" t="s">
        <v>14</v>
      </c>
      <c r="B295" t="s">
        <v>18</v>
      </c>
      <c r="C295">
        <v>793000</v>
      </c>
      <c r="D295">
        <v>1348000</v>
      </c>
      <c r="E295" t="str">
        <f>VLOOKUP(B295,Лист2!A:E,5,0)</f>
        <v>малые</v>
      </c>
      <c r="F295">
        <f>VLOOKUP(B295,Лист2!A:E,4,0)</f>
        <v>2.5</v>
      </c>
      <c r="G295">
        <f t="shared" si="15"/>
        <v>-555000</v>
      </c>
      <c r="H295">
        <f t="shared" si="16"/>
        <v>317200</v>
      </c>
      <c r="I295">
        <f t="shared" si="17"/>
        <v>-222000</v>
      </c>
    </row>
    <row r="296" spans="1:9">
      <c r="A296" t="s">
        <v>14</v>
      </c>
      <c r="B296" t="s">
        <v>18</v>
      </c>
      <c r="C296">
        <v>45000</v>
      </c>
      <c r="D296">
        <v>55000</v>
      </c>
      <c r="E296" t="str">
        <f>VLOOKUP(B296,Лист2!A:E,5,0)</f>
        <v>малые</v>
      </c>
      <c r="F296">
        <f>VLOOKUP(B296,Лист2!A:E,4,0)</f>
        <v>2.5</v>
      </c>
      <c r="G296">
        <f t="shared" si="15"/>
        <v>-10000</v>
      </c>
      <c r="H296">
        <f t="shared" si="16"/>
        <v>18000</v>
      </c>
      <c r="I296">
        <f t="shared" si="17"/>
        <v>-4000</v>
      </c>
    </row>
    <row r="297" spans="1:9">
      <c r="A297" t="s">
        <v>14</v>
      </c>
      <c r="B297" t="s">
        <v>18</v>
      </c>
      <c r="C297">
        <v>9144000</v>
      </c>
      <c r="D297">
        <v>38536000</v>
      </c>
      <c r="E297" t="str">
        <f>VLOOKUP(B297,Лист2!A:E,5,0)</f>
        <v>малые</v>
      </c>
      <c r="F297">
        <f>VLOOKUP(B297,Лист2!A:E,4,0)</f>
        <v>2.5</v>
      </c>
      <c r="G297">
        <f t="shared" si="15"/>
        <v>-29392000</v>
      </c>
      <c r="H297">
        <f t="shared" si="16"/>
        <v>3657600</v>
      </c>
      <c r="I297">
        <f t="shared" si="17"/>
        <v>-11756800</v>
      </c>
    </row>
    <row r="298" spans="1:9">
      <c r="A298" t="s">
        <v>14</v>
      </c>
      <c r="B298" t="s">
        <v>18</v>
      </c>
      <c r="C298">
        <v>5509000</v>
      </c>
      <c r="D298">
        <v>5525000</v>
      </c>
      <c r="E298" t="str">
        <f>VLOOKUP(B298,Лист2!A:E,5,0)</f>
        <v>малые</v>
      </c>
      <c r="F298">
        <f>VLOOKUP(B298,Лист2!A:E,4,0)</f>
        <v>2.5</v>
      </c>
      <c r="G298">
        <f t="shared" si="15"/>
        <v>-16000</v>
      </c>
      <c r="H298">
        <f t="shared" si="16"/>
        <v>2203600</v>
      </c>
      <c r="I298">
        <f t="shared" si="17"/>
        <v>-6400</v>
      </c>
    </row>
    <row r="299" spans="1:9">
      <c r="A299" t="s">
        <v>14</v>
      </c>
      <c r="B299" t="s">
        <v>18</v>
      </c>
      <c r="C299">
        <v>130000</v>
      </c>
      <c r="D299">
        <v>739000</v>
      </c>
      <c r="E299" t="str">
        <f>VLOOKUP(B299,Лист2!A:E,5,0)</f>
        <v>малые</v>
      </c>
      <c r="F299">
        <f>VLOOKUP(B299,Лист2!A:E,4,0)</f>
        <v>2.5</v>
      </c>
      <c r="G299">
        <f t="shared" ref="G299:G344" si="18">C299-D299</f>
        <v>-609000</v>
      </c>
      <c r="H299">
        <f t="shared" ref="H299:H344" si="19">C299/F299</f>
        <v>52000</v>
      </c>
      <c r="I299">
        <f t="shared" ref="I299:I344" si="20">G299/F299</f>
        <v>-243600</v>
      </c>
    </row>
    <row r="300" spans="1:9">
      <c r="A300" t="s">
        <v>14</v>
      </c>
      <c r="B300" t="s">
        <v>18</v>
      </c>
      <c r="C300">
        <v>74438000</v>
      </c>
      <c r="D300">
        <v>44744000</v>
      </c>
      <c r="E300" t="str">
        <f>VLOOKUP(B300,Лист2!A:E,5,0)</f>
        <v>малые</v>
      </c>
      <c r="F300">
        <f>VLOOKUP(B300,Лист2!A:E,4,0)</f>
        <v>2.5</v>
      </c>
      <c r="G300">
        <f t="shared" si="18"/>
        <v>29694000</v>
      </c>
      <c r="H300">
        <f t="shared" si="19"/>
        <v>29775200</v>
      </c>
      <c r="I300">
        <f t="shared" si="20"/>
        <v>11877600</v>
      </c>
    </row>
    <row r="301" spans="1:9">
      <c r="A301" t="s">
        <v>14</v>
      </c>
      <c r="B301" t="s">
        <v>18</v>
      </c>
      <c r="C301">
        <v>710000</v>
      </c>
      <c r="D301">
        <v>1792000</v>
      </c>
      <c r="E301" t="str">
        <f>VLOOKUP(B301,Лист2!A:E,5,0)</f>
        <v>малые</v>
      </c>
      <c r="F301">
        <f>VLOOKUP(B301,Лист2!A:E,4,0)</f>
        <v>2.5</v>
      </c>
      <c r="G301">
        <f t="shared" si="18"/>
        <v>-1082000</v>
      </c>
      <c r="H301">
        <f t="shared" si="19"/>
        <v>284000</v>
      </c>
      <c r="I301">
        <f t="shared" si="20"/>
        <v>-432800</v>
      </c>
    </row>
    <row r="302" spans="1:9">
      <c r="A302" t="s">
        <v>14</v>
      </c>
      <c r="B302" t="s">
        <v>18</v>
      </c>
      <c r="C302">
        <v>13416000</v>
      </c>
      <c r="D302">
        <v>11852000</v>
      </c>
      <c r="E302" t="str">
        <f>VLOOKUP(B302,Лист2!A:E,5,0)</f>
        <v>малые</v>
      </c>
      <c r="F302">
        <f>VLOOKUP(B302,Лист2!A:E,4,0)</f>
        <v>2.5</v>
      </c>
      <c r="G302">
        <f t="shared" si="18"/>
        <v>1564000</v>
      </c>
      <c r="H302">
        <f t="shared" si="19"/>
        <v>5366400</v>
      </c>
      <c r="I302">
        <f t="shared" si="20"/>
        <v>625600</v>
      </c>
    </row>
    <row r="303" spans="1:9">
      <c r="A303" t="s">
        <v>14</v>
      </c>
      <c r="B303" t="s">
        <v>18</v>
      </c>
      <c r="C303">
        <v>2849000</v>
      </c>
      <c r="D303">
        <v>2903000</v>
      </c>
      <c r="E303" t="str">
        <f>VLOOKUP(B303,Лист2!A:E,5,0)</f>
        <v>малые</v>
      </c>
      <c r="F303">
        <f>VLOOKUP(B303,Лист2!A:E,4,0)</f>
        <v>2.5</v>
      </c>
      <c r="G303">
        <f t="shared" si="18"/>
        <v>-54000</v>
      </c>
      <c r="H303">
        <f t="shared" si="19"/>
        <v>1139600</v>
      </c>
      <c r="I303">
        <f t="shared" si="20"/>
        <v>-21600</v>
      </c>
    </row>
    <row r="304" spans="1:9">
      <c r="A304" t="s">
        <v>14</v>
      </c>
      <c r="B304" t="s">
        <v>18</v>
      </c>
      <c r="C304">
        <v>35401000</v>
      </c>
      <c r="D304">
        <v>17519000</v>
      </c>
      <c r="E304" t="str">
        <f>VLOOKUP(B304,Лист2!A:E,5,0)</f>
        <v>малые</v>
      </c>
      <c r="F304">
        <f>VLOOKUP(B304,Лист2!A:E,4,0)</f>
        <v>2.5</v>
      </c>
      <c r="G304">
        <f t="shared" si="18"/>
        <v>17882000</v>
      </c>
      <c r="H304">
        <f t="shared" si="19"/>
        <v>14160400</v>
      </c>
      <c r="I304">
        <f t="shared" si="20"/>
        <v>7152800</v>
      </c>
    </row>
    <row r="305" spans="1:9">
      <c r="A305" t="s">
        <v>14</v>
      </c>
      <c r="B305" t="s">
        <v>77</v>
      </c>
      <c r="C305">
        <v>281912000</v>
      </c>
      <c r="D305">
        <v>415979000</v>
      </c>
      <c r="E305" t="str">
        <f>VLOOKUP(B305,Лист2!A:E,5,0)</f>
        <v>малые</v>
      </c>
      <c r="F305">
        <f>VLOOKUP(B305,Лист2!A:E,4,0)</f>
        <v>8</v>
      </c>
      <c r="G305">
        <f t="shared" si="18"/>
        <v>-134067000</v>
      </c>
      <c r="H305">
        <f t="shared" si="19"/>
        <v>35239000</v>
      </c>
      <c r="I305">
        <f t="shared" si="20"/>
        <v>-16758375</v>
      </c>
    </row>
    <row r="306" spans="1:9">
      <c r="A306" t="s">
        <v>25</v>
      </c>
      <c r="B306" t="s">
        <v>18</v>
      </c>
      <c r="C306">
        <v>20000</v>
      </c>
      <c r="D306">
        <v>33000</v>
      </c>
      <c r="E306" t="str">
        <f>VLOOKUP(B306,Лист2!A:E,5,0)</f>
        <v>малые</v>
      </c>
      <c r="F306">
        <f>VLOOKUP(B306,Лист2!A:E,4,0)</f>
        <v>2.5</v>
      </c>
      <c r="G306">
        <f t="shared" si="18"/>
        <v>-13000</v>
      </c>
      <c r="H306">
        <f t="shared" si="19"/>
        <v>8000</v>
      </c>
      <c r="I306">
        <f t="shared" si="20"/>
        <v>-5200</v>
      </c>
    </row>
    <row r="307" spans="1:9">
      <c r="A307" t="s">
        <v>25</v>
      </c>
      <c r="B307" t="s">
        <v>18</v>
      </c>
      <c r="C307">
        <v>750000</v>
      </c>
      <c r="D307">
        <v>724000</v>
      </c>
      <c r="E307" t="str">
        <f>VLOOKUP(B307,Лист2!A:E,5,0)</f>
        <v>малые</v>
      </c>
      <c r="F307">
        <f>VLOOKUP(B307,Лист2!A:E,4,0)</f>
        <v>2.5</v>
      </c>
      <c r="G307">
        <f t="shared" si="18"/>
        <v>26000</v>
      </c>
      <c r="H307">
        <f t="shared" si="19"/>
        <v>300000</v>
      </c>
      <c r="I307">
        <f t="shared" si="20"/>
        <v>10400</v>
      </c>
    </row>
    <row r="308" spans="1:9">
      <c r="A308" t="s">
        <v>25</v>
      </c>
      <c r="B308" t="s">
        <v>18</v>
      </c>
      <c r="C308">
        <v>21000000</v>
      </c>
      <c r="D308">
        <v>16452000</v>
      </c>
      <c r="E308" t="str">
        <f>VLOOKUP(B308,Лист2!A:E,5,0)</f>
        <v>малые</v>
      </c>
      <c r="F308">
        <f>VLOOKUP(B308,Лист2!A:E,4,0)</f>
        <v>2.5</v>
      </c>
      <c r="G308">
        <f t="shared" si="18"/>
        <v>4548000</v>
      </c>
      <c r="H308">
        <f t="shared" si="19"/>
        <v>8400000</v>
      </c>
      <c r="I308">
        <f t="shared" si="20"/>
        <v>1819200</v>
      </c>
    </row>
    <row r="309" spans="1:9">
      <c r="A309" t="s">
        <v>25</v>
      </c>
      <c r="B309" t="s">
        <v>18</v>
      </c>
      <c r="C309">
        <v>14116000</v>
      </c>
      <c r="D309">
        <v>20822000</v>
      </c>
      <c r="E309" t="str">
        <f>VLOOKUP(B309,Лист2!A:E,5,0)</f>
        <v>малые</v>
      </c>
      <c r="F309">
        <f>VLOOKUP(B309,Лист2!A:E,4,0)</f>
        <v>2.5</v>
      </c>
      <c r="G309">
        <f t="shared" si="18"/>
        <v>-6706000</v>
      </c>
      <c r="H309">
        <f t="shared" si="19"/>
        <v>5646400</v>
      </c>
      <c r="I309">
        <f t="shared" si="20"/>
        <v>-2682400</v>
      </c>
    </row>
    <row r="310" spans="1:9">
      <c r="A310" t="s">
        <v>25</v>
      </c>
      <c r="B310" t="s">
        <v>18</v>
      </c>
      <c r="C310">
        <v>86000</v>
      </c>
      <c r="D310">
        <v>86000</v>
      </c>
      <c r="E310" t="str">
        <f>VLOOKUP(B310,Лист2!A:E,5,0)</f>
        <v>малые</v>
      </c>
      <c r="F310">
        <f>VLOOKUP(B310,Лист2!A:E,4,0)</f>
        <v>2.5</v>
      </c>
      <c r="G310">
        <f t="shared" si="18"/>
        <v>0</v>
      </c>
      <c r="H310">
        <f t="shared" si="19"/>
        <v>34400</v>
      </c>
      <c r="I310">
        <f t="shared" si="20"/>
        <v>0</v>
      </c>
    </row>
    <row r="311" spans="1:9">
      <c r="A311" t="s">
        <v>25</v>
      </c>
      <c r="B311" t="s">
        <v>18</v>
      </c>
      <c r="C311">
        <v>113853000</v>
      </c>
      <c r="D311">
        <v>114136000</v>
      </c>
      <c r="E311" t="str">
        <f>VLOOKUP(B311,Лист2!A:E,5,0)</f>
        <v>малые</v>
      </c>
      <c r="F311">
        <f>VLOOKUP(B311,Лист2!A:E,4,0)</f>
        <v>2.5</v>
      </c>
      <c r="G311">
        <f t="shared" si="18"/>
        <v>-283000</v>
      </c>
      <c r="H311">
        <f t="shared" si="19"/>
        <v>45541200</v>
      </c>
      <c r="I311">
        <f t="shared" si="20"/>
        <v>-113200</v>
      </c>
    </row>
    <row r="312" spans="1:9">
      <c r="A312" t="s">
        <v>14</v>
      </c>
      <c r="B312" t="s">
        <v>18</v>
      </c>
      <c r="C312">
        <v>15469000</v>
      </c>
      <c r="D312">
        <v>26648000</v>
      </c>
      <c r="E312" t="str">
        <f>VLOOKUP(B312,Лист2!A:E,5,0)</f>
        <v>малые</v>
      </c>
      <c r="F312">
        <f>VLOOKUP(B312,Лист2!A:E,4,0)</f>
        <v>2.5</v>
      </c>
      <c r="G312">
        <f t="shared" si="18"/>
        <v>-11179000</v>
      </c>
      <c r="H312">
        <f t="shared" si="19"/>
        <v>6187600</v>
      </c>
      <c r="I312">
        <f t="shared" si="20"/>
        <v>-4471600</v>
      </c>
    </row>
    <row r="313" spans="1:9">
      <c r="A313" t="s">
        <v>14</v>
      </c>
      <c r="B313" t="s">
        <v>18</v>
      </c>
      <c r="C313">
        <v>79715000</v>
      </c>
      <c r="D313">
        <v>79806000</v>
      </c>
      <c r="E313" t="str">
        <f>VLOOKUP(B313,Лист2!A:E,5,0)</f>
        <v>малые</v>
      </c>
      <c r="F313">
        <f>VLOOKUP(B313,Лист2!A:E,4,0)</f>
        <v>2.5</v>
      </c>
      <c r="G313">
        <f t="shared" si="18"/>
        <v>-91000</v>
      </c>
      <c r="H313">
        <f t="shared" si="19"/>
        <v>31886000</v>
      </c>
      <c r="I313">
        <f t="shared" si="20"/>
        <v>-36400</v>
      </c>
    </row>
    <row r="314" spans="1:9">
      <c r="A314" t="s">
        <v>14</v>
      </c>
      <c r="B314" t="s">
        <v>18</v>
      </c>
      <c r="C314">
        <v>35483000</v>
      </c>
      <c r="D314">
        <v>37450000</v>
      </c>
      <c r="E314" t="str">
        <f>VLOOKUP(B314,Лист2!A:E,5,0)</f>
        <v>малые</v>
      </c>
      <c r="F314">
        <f>VLOOKUP(B314,Лист2!A:E,4,0)</f>
        <v>2.5</v>
      </c>
      <c r="G314">
        <f t="shared" si="18"/>
        <v>-1967000</v>
      </c>
      <c r="H314">
        <f t="shared" si="19"/>
        <v>14193200</v>
      </c>
      <c r="I314">
        <f t="shared" si="20"/>
        <v>-786800</v>
      </c>
    </row>
    <row r="315" spans="1:9">
      <c r="A315" t="s">
        <v>14</v>
      </c>
      <c r="B315" t="s">
        <v>18</v>
      </c>
      <c r="C315">
        <v>2735000</v>
      </c>
      <c r="D315">
        <v>2714000</v>
      </c>
      <c r="E315" t="str">
        <f>VLOOKUP(B315,Лист2!A:E,5,0)</f>
        <v>малые</v>
      </c>
      <c r="F315">
        <f>VLOOKUP(B315,Лист2!A:E,4,0)</f>
        <v>2.5</v>
      </c>
      <c r="G315">
        <f t="shared" si="18"/>
        <v>21000</v>
      </c>
      <c r="H315">
        <f t="shared" si="19"/>
        <v>1094000</v>
      </c>
      <c r="I315">
        <f t="shared" si="20"/>
        <v>8400</v>
      </c>
    </row>
    <row r="316" spans="1:9">
      <c r="A316" t="s">
        <v>14</v>
      </c>
      <c r="B316" t="s">
        <v>18</v>
      </c>
      <c r="C316">
        <v>106050000</v>
      </c>
      <c r="D316">
        <v>105576000</v>
      </c>
      <c r="E316" t="str">
        <f>VLOOKUP(B316,Лист2!A:E,5,0)</f>
        <v>малые</v>
      </c>
      <c r="F316">
        <f>VLOOKUP(B316,Лист2!A:E,4,0)</f>
        <v>2.5</v>
      </c>
      <c r="G316">
        <f t="shared" si="18"/>
        <v>474000</v>
      </c>
      <c r="H316">
        <f t="shared" si="19"/>
        <v>42420000</v>
      </c>
      <c r="I316">
        <f t="shared" si="20"/>
        <v>189600</v>
      </c>
    </row>
    <row r="317" spans="1:9">
      <c r="A317" t="s">
        <v>25</v>
      </c>
      <c r="B317" t="s">
        <v>18</v>
      </c>
      <c r="C317">
        <v>381796000</v>
      </c>
      <c r="D317">
        <v>459402000</v>
      </c>
      <c r="E317" t="str">
        <f>VLOOKUP(B317,Лист2!A:E,5,0)</f>
        <v>малые</v>
      </c>
      <c r="F317">
        <f>VLOOKUP(B317,Лист2!A:E,4,0)</f>
        <v>2.5</v>
      </c>
      <c r="G317">
        <f t="shared" si="18"/>
        <v>-77606000</v>
      </c>
      <c r="H317">
        <f t="shared" si="19"/>
        <v>152718400</v>
      </c>
      <c r="I317">
        <f t="shared" si="20"/>
        <v>-31042400</v>
      </c>
    </row>
    <row r="318" spans="1:9">
      <c r="A318" t="s">
        <v>14</v>
      </c>
      <c r="B318" t="s">
        <v>77</v>
      </c>
      <c r="C318">
        <v>636111000</v>
      </c>
      <c r="D318">
        <v>818631000</v>
      </c>
      <c r="E318" t="str">
        <f>VLOOKUP(B318,Лист2!A:E,5,0)</f>
        <v>малые</v>
      </c>
      <c r="F318">
        <f>VLOOKUP(B318,Лист2!A:E,4,0)</f>
        <v>8</v>
      </c>
      <c r="G318">
        <f t="shared" si="18"/>
        <v>-182520000</v>
      </c>
      <c r="H318">
        <f t="shared" si="19"/>
        <v>79513875</v>
      </c>
      <c r="I318">
        <f t="shared" si="20"/>
        <v>-22815000</v>
      </c>
    </row>
    <row r="319" spans="1:9">
      <c r="A319" t="s">
        <v>14</v>
      </c>
      <c r="B319" t="s">
        <v>18</v>
      </c>
      <c r="C319">
        <v>7061000</v>
      </c>
      <c r="D319">
        <v>7085000</v>
      </c>
      <c r="E319" t="str">
        <f>VLOOKUP(B319,Лист2!A:E,5,0)</f>
        <v>малые</v>
      </c>
      <c r="F319">
        <f>VLOOKUP(B319,Лист2!A:E,4,0)</f>
        <v>2.5</v>
      </c>
      <c r="G319">
        <f t="shared" si="18"/>
        <v>-24000</v>
      </c>
      <c r="H319">
        <f t="shared" si="19"/>
        <v>2824400</v>
      </c>
      <c r="I319">
        <f t="shared" si="20"/>
        <v>-9600</v>
      </c>
    </row>
    <row r="320" spans="1:9">
      <c r="A320" t="s">
        <v>14</v>
      </c>
      <c r="B320" t="s">
        <v>22</v>
      </c>
      <c r="C320">
        <v>210000</v>
      </c>
      <c r="D320">
        <v>35000000</v>
      </c>
      <c r="E320" t="str">
        <f>VLOOKUP(B320,Лист2!A:E,5,0)</f>
        <v>малые</v>
      </c>
      <c r="F320">
        <f>VLOOKUP(B320,Лист2!A:E,4,0)</f>
        <v>13</v>
      </c>
      <c r="G320">
        <f t="shared" si="18"/>
        <v>-34790000</v>
      </c>
      <c r="H320">
        <f t="shared" si="19"/>
        <v>16153.846153846154</v>
      </c>
      <c r="I320">
        <f t="shared" si="20"/>
        <v>-2676153.846153846</v>
      </c>
    </row>
    <row r="321" spans="1:9">
      <c r="A321" t="s">
        <v>14</v>
      </c>
      <c r="B321" t="s">
        <v>77</v>
      </c>
      <c r="C321">
        <v>22148000</v>
      </c>
      <c r="D321">
        <v>11297000</v>
      </c>
      <c r="E321" t="str">
        <f>VLOOKUP(B321,Лист2!A:E,5,0)</f>
        <v>малые</v>
      </c>
      <c r="F321">
        <f>VLOOKUP(B321,Лист2!A:E,4,0)</f>
        <v>8</v>
      </c>
      <c r="G321">
        <f t="shared" si="18"/>
        <v>10851000</v>
      </c>
      <c r="H321">
        <f t="shared" si="19"/>
        <v>2768500</v>
      </c>
      <c r="I321">
        <f t="shared" si="20"/>
        <v>1356375</v>
      </c>
    </row>
    <row r="322" spans="1:9">
      <c r="A322" t="s">
        <v>14</v>
      </c>
      <c r="B322" t="s">
        <v>18</v>
      </c>
      <c r="C322">
        <v>2257000</v>
      </c>
      <c r="D322">
        <v>2348000</v>
      </c>
      <c r="E322" t="str">
        <f>VLOOKUP(B322,Лист2!A:E,5,0)</f>
        <v>малые</v>
      </c>
      <c r="F322">
        <f>VLOOKUP(B322,Лист2!A:E,4,0)</f>
        <v>2.5</v>
      </c>
      <c r="G322">
        <f t="shared" si="18"/>
        <v>-91000</v>
      </c>
      <c r="H322">
        <f t="shared" si="19"/>
        <v>902800</v>
      </c>
      <c r="I322">
        <f t="shared" si="20"/>
        <v>-36400</v>
      </c>
    </row>
    <row r="323" spans="1:9">
      <c r="A323" t="s">
        <v>25</v>
      </c>
      <c r="B323" t="s">
        <v>18</v>
      </c>
      <c r="C323">
        <v>30985000</v>
      </c>
      <c r="D323">
        <v>29941000</v>
      </c>
      <c r="E323" t="str">
        <f>VLOOKUP(B323,Лист2!A:E,5,0)</f>
        <v>малые</v>
      </c>
      <c r="F323">
        <f>VLOOKUP(B323,Лист2!A:E,4,0)</f>
        <v>2.5</v>
      </c>
      <c r="G323">
        <f t="shared" si="18"/>
        <v>1044000</v>
      </c>
      <c r="H323">
        <f t="shared" si="19"/>
        <v>12394000</v>
      </c>
      <c r="I323">
        <f t="shared" si="20"/>
        <v>417600</v>
      </c>
    </row>
    <row r="324" spans="1:9">
      <c r="A324" t="s">
        <v>25</v>
      </c>
      <c r="B324" t="s">
        <v>18</v>
      </c>
      <c r="C324">
        <v>50000</v>
      </c>
      <c r="D324">
        <v>10000</v>
      </c>
      <c r="E324" t="str">
        <f>VLOOKUP(B324,Лист2!A:E,5,0)</f>
        <v>малые</v>
      </c>
      <c r="F324">
        <f>VLOOKUP(B324,Лист2!A:E,4,0)</f>
        <v>2.5</v>
      </c>
      <c r="G324">
        <f t="shared" si="18"/>
        <v>40000</v>
      </c>
      <c r="H324">
        <f t="shared" si="19"/>
        <v>20000</v>
      </c>
      <c r="I324">
        <f t="shared" si="20"/>
        <v>16000</v>
      </c>
    </row>
    <row r="325" spans="1:9">
      <c r="A325" t="s">
        <v>14</v>
      </c>
      <c r="B325" t="s">
        <v>23</v>
      </c>
      <c r="C325">
        <v>149824000</v>
      </c>
      <c r="D325">
        <v>122410000</v>
      </c>
      <c r="E325" t="str">
        <f>VLOOKUP(B325,Лист2!A:E,5,0)</f>
        <v>средние</v>
      </c>
      <c r="F325">
        <f>VLOOKUP(B325,Лист2!A:E,4,0)</f>
        <v>75.5</v>
      </c>
      <c r="G325">
        <f t="shared" si="18"/>
        <v>27414000</v>
      </c>
      <c r="H325">
        <f t="shared" si="19"/>
        <v>1984423.8410596026</v>
      </c>
      <c r="I325">
        <f t="shared" si="20"/>
        <v>363099.33774834435</v>
      </c>
    </row>
    <row r="326" spans="1:9">
      <c r="A326" t="s">
        <v>14</v>
      </c>
      <c r="B326" t="s">
        <v>18</v>
      </c>
      <c r="C326">
        <v>5863000</v>
      </c>
      <c r="D326">
        <v>5959000</v>
      </c>
      <c r="E326" t="str">
        <f>VLOOKUP(B326,Лист2!A:E,5,0)</f>
        <v>малые</v>
      </c>
      <c r="F326">
        <f>VLOOKUP(B326,Лист2!A:E,4,0)</f>
        <v>2.5</v>
      </c>
      <c r="G326">
        <f t="shared" si="18"/>
        <v>-96000</v>
      </c>
      <c r="H326">
        <f t="shared" si="19"/>
        <v>2345200</v>
      </c>
      <c r="I326">
        <f t="shared" si="20"/>
        <v>-38400</v>
      </c>
    </row>
    <row r="327" spans="1:9">
      <c r="A327" t="s">
        <v>25</v>
      </c>
      <c r="B327" t="s">
        <v>18</v>
      </c>
      <c r="C327">
        <v>645000</v>
      </c>
      <c r="D327">
        <v>1042000</v>
      </c>
      <c r="E327" t="str">
        <f>VLOOKUP(B327,Лист2!A:E,5,0)</f>
        <v>малые</v>
      </c>
      <c r="F327">
        <f>VLOOKUP(B327,Лист2!A:E,4,0)</f>
        <v>2.5</v>
      </c>
      <c r="G327">
        <f t="shared" si="18"/>
        <v>-397000</v>
      </c>
      <c r="H327">
        <f t="shared" si="19"/>
        <v>258000</v>
      </c>
      <c r="I327">
        <f t="shared" si="20"/>
        <v>-158800</v>
      </c>
    </row>
    <row r="328" spans="1:9">
      <c r="A328" t="s">
        <v>14</v>
      </c>
      <c r="B328" t="s">
        <v>18</v>
      </c>
      <c r="C328">
        <v>7503000</v>
      </c>
      <c r="D328">
        <v>10274000</v>
      </c>
      <c r="E328" t="str">
        <f>VLOOKUP(B328,Лист2!A:E,5,0)</f>
        <v>малые</v>
      </c>
      <c r="F328">
        <f>VLOOKUP(B328,Лист2!A:E,4,0)</f>
        <v>2.5</v>
      </c>
      <c r="G328">
        <f t="shared" si="18"/>
        <v>-2771000</v>
      </c>
      <c r="H328">
        <f t="shared" si="19"/>
        <v>3001200</v>
      </c>
      <c r="I328">
        <f t="shared" si="20"/>
        <v>-1108400</v>
      </c>
    </row>
    <row r="329" spans="1:9">
      <c r="A329" t="s">
        <v>14</v>
      </c>
      <c r="B329" t="s">
        <v>22</v>
      </c>
      <c r="C329">
        <v>921553000</v>
      </c>
      <c r="D329">
        <v>941968000</v>
      </c>
      <c r="E329" t="str">
        <f>VLOOKUP(B329,Лист2!A:E,5,0)</f>
        <v>малые</v>
      </c>
      <c r="F329">
        <f>VLOOKUP(B329,Лист2!A:E,4,0)</f>
        <v>13</v>
      </c>
      <c r="G329">
        <f t="shared" si="18"/>
        <v>-20415000</v>
      </c>
      <c r="H329">
        <f t="shared" si="19"/>
        <v>70888692.307692304</v>
      </c>
      <c r="I329">
        <f t="shared" si="20"/>
        <v>-1570384.6153846155</v>
      </c>
    </row>
    <row r="330" spans="1:9">
      <c r="A330" t="s">
        <v>25</v>
      </c>
      <c r="B330" t="s">
        <v>18</v>
      </c>
      <c r="C330">
        <v>2754000</v>
      </c>
      <c r="D330">
        <v>2765000</v>
      </c>
      <c r="E330" t="str">
        <f>VLOOKUP(B330,Лист2!A:E,5,0)</f>
        <v>малые</v>
      </c>
      <c r="F330">
        <f>VLOOKUP(B330,Лист2!A:E,4,0)</f>
        <v>2.5</v>
      </c>
      <c r="G330">
        <f t="shared" si="18"/>
        <v>-11000</v>
      </c>
      <c r="H330">
        <f t="shared" si="19"/>
        <v>1101600</v>
      </c>
      <c r="I330">
        <f t="shared" si="20"/>
        <v>-4400</v>
      </c>
    </row>
    <row r="331" spans="1:9">
      <c r="A331" t="s">
        <v>14</v>
      </c>
      <c r="B331" t="s">
        <v>18</v>
      </c>
      <c r="C331">
        <v>1351000</v>
      </c>
      <c r="D331">
        <v>1494000</v>
      </c>
      <c r="E331" t="str">
        <f>VLOOKUP(B331,Лист2!A:E,5,0)</f>
        <v>малые</v>
      </c>
      <c r="F331">
        <f>VLOOKUP(B331,Лист2!A:E,4,0)</f>
        <v>2.5</v>
      </c>
      <c r="G331">
        <f t="shared" si="18"/>
        <v>-143000</v>
      </c>
      <c r="H331">
        <f t="shared" si="19"/>
        <v>540400</v>
      </c>
      <c r="I331">
        <f t="shared" si="20"/>
        <v>-57200</v>
      </c>
    </row>
    <row r="332" spans="1:9">
      <c r="A332" t="s">
        <v>14</v>
      </c>
      <c r="B332" t="s">
        <v>22</v>
      </c>
      <c r="C332">
        <v>44657000</v>
      </c>
      <c r="D332">
        <v>44875000</v>
      </c>
      <c r="E332" t="str">
        <f>VLOOKUP(B332,Лист2!A:E,5,0)</f>
        <v>малые</v>
      </c>
      <c r="F332">
        <f>VLOOKUP(B332,Лист2!A:E,4,0)</f>
        <v>13</v>
      </c>
      <c r="G332">
        <f t="shared" si="18"/>
        <v>-218000</v>
      </c>
      <c r="H332">
        <f t="shared" si="19"/>
        <v>3435153.846153846</v>
      </c>
      <c r="I332">
        <f t="shared" si="20"/>
        <v>-16769.23076923077</v>
      </c>
    </row>
    <row r="333" spans="1:9">
      <c r="A333" t="s">
        <v>14</v>
      </c>
      <c r="B333" t="s">
        <v>22</v>
      </c>
      <c r="C333">
        <v>16194000</v>
      </c>
      <c r="D333">
        <v>15966000</v>
      </c>
      <c r="E333" t="str">
        <f>VLOOKUP(B333,Лист2!A:E,5,0)</f>
        <v>малые</v>
      </c>
      <c r="F333">
        <f>VLOOKUP(B333,Лист2!A:E,4,0)</f>
        <v>13</v>
      </c>
      <c r="G333">
        <f t="shared" si="18"/>
        <v>228000</v>
      </c>
      <c r="H333">
        <f t="shared" si="19"/>
        <v>1245692.3076923077</v>
      </c>
      <c r="I333">
        <f t="shared" si="20"/>
        <v>17538.461538461539</v>
      </c>
    </row>
    <row r="334" spans="1:9">
      <c r="A334" t="s">
        <v>14</v>
      </c>
      <c r="B334" t="s">
        <v>23</v>
      </c>
      <c r="C334">
        <v>36995000</v>
      </c>
      <c r="D334">
        <v>36880000</v>
      </c>
      <c r="E334" t="str">
        <f>VLOOKUP(B334,Лист2!A:E,5,0)</f>
        <v>средние</v>
      </c>
      <c r="F334">
        <f>VLOOKUP(B334,Лист2!A:E,4,0)</f>
        <v>75.5</v>
      </c>
      <c r="G334">
        <f t="shared" si="18"/>
        <v>115000</v>
      </c>
      <c r="H334">
        <f t="shared" si="19"/>
        <v>490000</v>
      </c>
      <c r="I334">
        <f t="shared" si="20"/>
        <v>1523.1788079470198</v>
      </c>
    </row>
    <row r="335" spans="1:9">
      <c r="A335" t="s">
        <v>14</v>
      </c>
      <c r="B335" t="s">
        <v>18</v>
      </c>
      <c r="C335">
        <v>204203000</v>
      </c>
      <c r="D335">
        <v>139426000</v>
      </c>
      <c r="E335" t="str">
        <f>VLOOKUP(B335,Лист2!A:E,5,0)</f>
        <v>малые</v>
      </c>
      <c r="F335">
        <f>VLOOKUP(B335,Лист2!A:E,4,0)</f>
        <v>2.5</v>
      </c>
      <c r="G335">
        <f t="shared" si="18"/>
        <v>64777000</v>
      </c>
      <c r="H335">
        <f t="shared" si="19"/>
        <v>81681200</v>
      </c>
      <c r="I335">
        <f t="shared" si="20"/>
        <v>25910800</v>
      </c>
    </row>
    <row r="336" spans="1:9">
      <c r="A336" t="s">
        <v>14</v>
      </c>
      <c r="B336" t="s">
        <v>18</v>
      </c>
      <c r="C336">
        <v>2313000</v>
      </c>
      <c r="D336">
        <v>2291000</v>
      </c>
      <c r="E336" t="str">
        <f>VLOOKUP(B336,Лист2!A:E,5,0)</f>
        <v>малые</v>
      </c>
      <c r="F336">
        <f>VLOOKUP(B336,Лист2!A:E,4,0)</f>
        <v>2.5</v>
      </c>
      <c r="G336">
        <f t="shared" si="18"/>
        <v>22000</v>
      </c>
      <c r="H336">
        <f t="shared" si="19"/>
        <v>925200</v>
      </c>
      <c r="I336">
        <f t="shared" si="20"/>
        <v>8800</v>
      </c>
    </row>
    <row r="337" spans="1:9">
      <c r="A337" t="s">
        <v>14</v>
      </c>
      <c r="B337" t="s">
        <v>23</v>
      </c>
      <c r="C337">
        <v>10186000</v>
      </c>
      <c r="D337">
        <v>10727000</v>
      </c>
      <c r="E337" t="str">
        <f>VLOOKUP(B337,Лист2!A:E,5,0)</f>
        <v>средние</v>
      </c>
      <c r="F337">
        <f>VLOOKUP(B337,Лист2!A:E,4,0)</f>
        <v>75.5</v>
      </c>
      <c r="G337">
        <f t="shared" si="18"/>
        <v>-541000</v>
      </c>
      <c r="H337">
        <f t="shared" si="19"/>
        <v>134913.90728476821</v>
      </c>
      <c r="I337">
        <f t="shared" si="20"/>
        <v>-7165.5629139072844</v>
      </c>
    </row>
    <row r="338" spans="1:9">
      <c r="A338" t="s">
        <v>25</v>
      </c>
      <c r="B338" t="s">
        <v>22</v>
      </c>
      <c r="C338">
        <v>114225000</v>
      </c>
      <c r="D338">
        <v>138495000</v>
      </c>
      <c r="E338" t="str">
        <f>VLOOKUP(B338,Лист2!A:E,5,0)</f>
        <v>малые</v>
      </c>
      <c r="F338">
        <f>VLOOKUP(B338,Лист2!A:E,4,0)</f>
        <v>13</v>
      </c>
      <c r="G338">
        <f t="shared" si="18"/>
        <v>-24270000</v>
      </c>
      <c r="H338">
        <f t="shared" si="19"/>
        <v>8786538.461538462</v>
      </c>
      <c r="I338">
        <f t="shared" si="20"/>
        <v>-1866923.076923077</v>
      </c>
    </row>
    <row r="339" spans="1:9">
      <c r="A339" t="s">
        <v>25</v>
      </c>
      <c r="B339" t="s">
        <v>18</v>
      </c>
      <c r="C339">
        <v>16147000</v>
      </c>
      <c r="D339">
        <v>16514000</v>
      </c>
      <c r="E339" t="str">
        <f>VLOOKUP(B339,Лист2!A:E,5,0)</f>
        <v>малые</v>
      </c>
      <c r="F339">
        <f>VLOOKUP(B339,Лист2!A:E,4,0)</f>
        <v>2.5</v>
      </c>
      <c r="G339">
        <f t="shared" si="18"/>
        <v>-367000</v>
      </c>
      <c r="H339">
        <f t="shared" si="19"/>
        <v>6458800</v>
      </c>
      <c r="I339">
        <f t="shared" si="20"/>
        <v>-146800</v>
      </c>
    </row>
    <row r="340" spans="1:9">
      <c r="A340" t="s">
        <v>14</v>
      </c>
      <c r="B340" t="s">
        <v>18</v>
      </c>
      <c r="C340">
        <v>25000</v>
      </c>
      <c r="D340">
        <v>37000</v>
      </c>
      <c r="E340" t="str">
        <f>VLOOKUP(B340,Лист2!A:E,5,0)</f>
        <v>малые</v>
      </c>
      <c r="F340">
        <f>VLOOKUP(B340,Лист2!A:E,4,0)</f>
        <v>2.5</v>
      </c>
      <c r="G340">
        <f t="shared" si="18"/>
        <v>-12000</v>
      </c>
      <c r="H340">
        <f t="shared" si="19"/>
        <v>10000</v>
      </c>
      <c r="I340">
        <f t="shared" si="20"/>
        <v>-4800</v>
      </c>
    </row>
    <row r="341" spans="1:9">
      <c r="A341" t="s">
        <v>14</v>
      </c>
      <c r="B341" t="s">
        <v>18</v>
      </c>
      <c r="C341">
        <v>41050000</v>
      </c>
      <c r="D341">
        <v>41578000</v>
      </c>
      <c r="E341" t="str">
        <f>VLOOKUP(B341,Лист2!A:E,5,0)</f>
        <v>малые</v>
      </c>
      <c r="F341">
        <f>VLOOKUP(B341,Лист2!A:E,4,0)</f>
        <v>2.5</v>
      </c>
      <c r="G341">
        <f t="shared" si="18"/>
        <v>-528000</v>
      </c>
      <c r="H341">
        <f t="shared" si="19"/>
        <v>16420000</v>
      </c>
      <c r="I341">
        <f t="shared" si="20"/>
        <v>-211200</v>
      </c>
    </row>
    <row r="342" spans="1:9">
      <c r="A342" t="s">
        <v>25</v>
      </c>
      <c r="B342" t="s">
        <v>18</v>
      </c>
      <c r="C342">
        <v>7920000</v>
      </c>
      <c r="D342">
        <v>3542000</v>
      </c>
      <c r="E342" t="str">
        <f>VLOOKUP(B342,Лист2!A:E,5,0)</f>
        <v>малые</v>
      </c>
      <c r="F342">
        <f>VLOOKUP(B342,Лист2!A:E,4,0)</f>
        <v>2.5</v>
      </c>
      <c r="G342">
        <f t="shared" si="18"/>
        <v>4378000</v>
      </c>
      <c r="H342">
        <f t="shared" si="19"/>
        <v>3168000</v>
      </c>
      <c r="I342">
        <f t="shared" si="20"/>
        <v>1751200</v>
      </c>
    </row>
    <row r="343" spans="1:9">
      <c r="A343" t="s">
        <v>14</v>
      </c>
      <c r="B343" t="s">
        <v>18</v>
      </c>
      <c r="C343">
        <v>11899000</v>
      </c>
      <c r="D343">
        <v>12127000</v>
      </c>
      <c r="E343" t="str">
        <f>VLOOKUP(B343,Лист2!A:E,5,0)</f>
        <v>малые</v>
      </c>
      <c r="F343">
        <f>VLOOKUP(B343,Лист2!A:E,4,0)</f>
        <v>2.5</v>
      </c>
      <c r="G343">
        <f t="shared" si="18"/>
        <v>-228000</v>
      </c>
      <c r="H343">
        <f t="shared" si="19"/>
        <v>4759600</v>
      </c>
      <c r="I343">
        <f t="shared" si="20"/>
        <v>-91200</v>
      </c>
    </row>
    <row r="344" spans="1:9">
      <c r="A344" t="s">
        <v>14</v>
      </c>
      <c r="B344" t="s">
        <v>22</v>
      </c>
      <c r="C344">
        <v>10544000</v>
      </c>
      <c r="D344">
        <v>9089000</v>
      </c>
      <c r="E344" t="str">
        <f>VLOOKUP(B344,Лист2!A:E,5,0)</f>
        <v>малые</v>
      </c>
      <c r="F344">
        <f>VLOOKUP(B344,Лист2!A:E,4,0)</f>
        <v>13</v>
      </c>
      <c r="G344">
        <f t="shared" si="18"/>
        <v>1455000</v>
      </c>
      <c r="H344">
        <f t="shared" si="19"/>
        <v>811076.92307692312</v>
      </c>
      <c r="I344">
        <f t="shared" si="20"/>
        <v>111923.07692307692</v>
      </c>
    </row>
    <row r="345" spans="1:9">
      <c r="A345" t="s">
        <v>14</v>
      </c>
      <c r="B345" t="s">
        <v>22</v>
      </c>
      <c r="C345">
        <v>61298000</v>
      </c>
      <c r="D345">
        <v>58996000</v>
      </c>
      <c r="E345" t="str">
        <f>VLOOKUP(B345,Лист2!A:E,5,0)</f>
        <v>малые</v>
      </c>
      <c r="F345">
        <f>VLOOKUP(B345,Лист2!A:E,4,0)</f>
        <v>13</v>
      </c>
      <c r="G345">
        <f t="shared" ref="G345:G388" si="21">C345-D345</f>
        <v>2302000</v>
      </c>
      <c r="H345">
        <f t="shared" ref="H345:H388" si="22">C345/F345</f>
        <v>4715230.769230769</v>
      </c>
      <c r="I345">
        <f t="shared" ref="I345:I388" si="23">G345/F345</f>
        <v>177076.92307692306</v>
      </c>
    </row>
    <row r="346" spans="1:9">
      <c r="A346" t="s">
        <v>14</v>
      </c>
      <c r="B346" t="s">
        <v>18</v>
      </c>
      <c r="C346">
        <v>19498000</v>
      </c>
      <c r="D346">
        <v>22071000</v>
      </c>
      <c r="E346" t="str">
        <f>VLOOKUP(B346,Лист2!A:E,5,0)</f>
        <v>малые</v>
      </c>
      <c r="F346">
        <f>VLOOKUP(B346,Лист2!A:E,4,0)</f>
        <v>2.5</v>
      </c>
      <c r="G346">
        <f t="shared" si="21"/>
        <v>-2573000</v>
      </c>
      <c r="H346">
        <f t="shared" si="22"/>
        <v>7799200</v>
      </c>
      <c r="I346">
        <f t="shared" si="23"/>
        <v>-1029200</v>
      </c>
    </row>
    <row r="347" spans="1:9">
      <c r="A347" t="s">
        <v>14</v>
      </c>
      <c r="B347" t="s">
        <v>18</v>
      </c>
      <c r="C347">
        <v>5780000</v>
      </c>
      <c r="D347">
        <v>6473000</v>
      </c>
      <c r="E347" t="str">
        <f>VLOOKUP(B347,Лист2!A:E,5,0)</f>
        <v>малые</v>
      </c>
      <c r="F347">
        <f>VLOOKUP(B347,Лист2!A:E,4,0)</f>
        <v>2.5</v>
      </c>
      <c r="G347">
        <f t="shared" si="21"/>
        <v>-693000</v>
      </c>
      <c r="H347">
        <f t="shared" si="22"/>
        <v>2312000</v>
      </c>
      <c r="I347">
        <f t="shared" si="23"/>
        <v>-277200</v>
      </c>
    </row>
    <row r="348" spans="1:9">
      <c r="A348" t="s">
        <v>14</v>
      </c>
      <c r="B348" t="s">
        <v>18</v>
      </c>
      <c r="C348">
        <v>664000</v>
      </c>
      <c r="D348">
        <v>673000</v>
      </c>
      <c r="E348" t="str">
        <f>VLOOKUP(B348,Лист2!A:E,5,0)</f>
        <v>малые</v>
      </c>
      <c r="F348">
        <f>VLOOKUP(B348,Лист2!A:E,4,0)</f>
        <v>2.5</v>
      </c>
      <c r="G348">
        <f t="shared" si="21"/>
        <v>-9000</v>
      </c>
      <c r="H348">
        <f t="shared" si="22"/>
        <v>265600</v>
      </c>
      <c r="I348">
        <f t="shared" si="23"/>
        <v>-3600</v>
      </c>
    </row>
    <row r="349" spans="1:9">
      <c r="A349" t="s">
        <v>14</v>
      </c>
      <c r="B349" t="s">
        <v>77</v>
      </c>
      <c r="C349">
        <v>703793000</v>
      </c>
      <c r="D349">
        <v>468026000</v>
      </c>
      <c r="E349" t="str">
        <f>VLOOKUP(B349,Лист2!A:E,5,0)</f>
        <v>малые</v>
      </c>
      <c r="F349">
        <f>VLOOKUP(B349,Лист2!A:E,4,0)</f>
        <v>8</v>
      </c>
      <c r="G349">
        <f t="shared" si="21"/>
        <v>235767000</v>
      </c>
      <c r="H349">
        <f t="shared" si="22"/>
        <v>87974125</v>
      </c>
      <c r="I349">
        <f t="shared" si="23"/>
        <v>29470875</v>
      </c>
    </row>
    <row r="350" spans="1:9">
      <c r="A350" t="s">
        <v>14</v>
      </c>
      <c r="B350" t="s">
        <v>22</v>
      </c>
      <c r="C350">
        <v>292451000</v>
      </c>
      <c r="D350">
        <v>354412000</v>
      </c>
      <c r="E350" t="str">
        <f>VLOOKUP(B350,Лист2!A:E,5,0)</f>
        <v>малые</v>
      </c>
      <c r="F350">
        <f>VLOOKUP(B350,Лист2!A:E,4,0)</f>
        <v>13</v>
      </c>
      <c r="G350">
        <f t="shared" si="21"/>
        <v>-61961000</v>
      </c>
      <c r="H350">
        <f t="shared" si="22"/>
        <v>22496230.769230768</v>
      </c>
      <c r="I350">
        <f t="shared" si="23"/>
        <v>-4766230.769230769</v>
      </c>
    </row>
    <row r="351" spans="1:9">
      <c r="A351" t="s">
        <v>14</v>
      </c>
      <c r="B351" t="s">
        <v>22</v>
      </c>
      <c r="C351">
        <v>6566000</v>
      </c>
      <c r="D351">
        <v>6668000</v>
      </c>
      <c r="E351" t="str">
        <f>VLOOKUP(B351,Лист2!A:E,5,0)</f>
        <v>малые</v>
      </c>
      <c r="F351">
        <f>VLOOKUP(B351,Лист2!A:E,4,0)</f>
        <v>13</v>
      </c>
      <c r="G351">
        <f t="shared" si="21"/>
        <v>-102000</v>
      </c>
      <c r="H351">
        <f t="shared" si="22"/>
        <v>505076.92307692306</v>
      </c>
      <c r="I351">
        <f t="shared" si="23"/>
        <v>-7846.1538461538457</v>
      </c>
    </row>
    <row r="352" spans="1:9">
      <c r="A352" t="s">
        <v>25</v>
      </c>
      <c r="B352" t="s">
        <v>22</v>
      </c>
      <c r="C352">
        <v>14550000</v>
      </c>
      <c r="D352">
        <v>15837000</v>
      </c>
      <c r="E352" t="str">
        <f>VLOOKUP(B352,Лист2!A:E,5,0)</f>
        <v>малые</v>
      </c>
      <c r="F352">
        <f>VLOOKUP(B352,Лист2!A:E,4,0)</f>
        <v>13</v>
      </c>
      <c r="G352">
        <f t="shared" si="21"/>
        <v>-1287000</v>
      </c>
      <c r="H352">
        <f t="shared" si="22"/>
        <v>1119230.7692307692</v>
      </c>
      <c r="I352">
        <f t="shared" si="23"/>
        <v>-99000</v>
      </c>
    </row>
    <row r="353" spans="1:9">
      <c r="A353" t="s">
        <v>14</v>
      </c>
      <c r="B353" t="s">
        <v>77</v>
      </c>
      <c r="C353">
        <v>64637000</v>
      </c>
      <c r="D353">
        <v>85342000</v>
      </c>
      <c r="E353" t="str">
        <f>VLOOKUP(B353,Лист2!A:E,5,0)</f>
        <v>малые</v>
      </c>
      <c r="F353">
        <f>VLOOKUP(B353,Лист2!A:E,4,0)</f>
        <v>8</v>
      </c>
      <c r="G353">
        <f t="shared" si="21"/>
        <v>-20705000</v>
      </c>
      <c r="H353">
        <f t="shared" si="22"/>
        <v>8079625</v>
      </c>
      <c r="I353">
        <f t="shared" si="23"/>
        <v>-2588125</v>
      </c>
    </row>
    <row r="354" spans="1:9">
      <c r="A354" t="s">
        <v>14</v>
      </c>
      <c r="B354" t="s">
        <v>22</v>
      </c>
      <c r="C354">
        <v>38436000</v>
      </c>
      <c r="D354">
        <v>37666000</v>
      </c>
      <c r="E354" t="str">
        <f>VLOOKUP(B354,Лист2!A:E,5,0)</f>
        <v>малые</v>
      </c>
      <c r="F354">
        <f>VLOOKUP(B354,Лист2!A:E,4,0)</f>
        <v>13</v>
      </c>
      <c r="G354">
        <f t="shared" si="21"/>
        <v>770000</v>
      </c>
      <c r="H354">
        <f t="shared" si="22"/>
        <v>2956615.3846153845</v>
      </c>
      <c r="I354">
        <f t="shared" si="23"/>
        <v>59230.769230769234</v>
      </c>
    </row>
    <row r="355" spans="1:9">
      <c r="A355" t="s">
        <v>25</v>
      </c>
      <c r="B355" t="s">
        <v>18</v>
      </c>
      <c r="C355">
        <v>8110000</v>
      </c>
      <c r="D355">
        <v>8803000</v>
      </c>
      <c r="E355" t="str">
        <f>VLOOKUP(B355,Лист2!A:E,5,0)</f>
        <v>малые</v>
      </c>
      <c r="F355">
        <f>VLOOKUP(B355,Лист2!A:E,4,0)</f>
        <v>2.5</v>
      </c>
      <c r="G355">
        <f t="shared" si="21"/>
        <v>-693000</v>
      </c>
      <c r="H355">
        <f t="shared" si="22"/>
        <v>3244000</v>
      </c>
      <c r="I355">
        <f t="shared" si="23"/>
        <v>-277200</v>
      </c>
    </row>
    <row r="356" spans="1:9">
      <c r="A356" t="s">
        <v>14</v>
      </c>
      <c r="B356" t="s">
        <v>18</v>
      </c>
      <c r="C356">
        <v>540000</v>
      </c>
      <c r="D356">
        <v>540000</v>
      </c>
      <c r="E356" t="str">
        <f>VLOOKUP(B356,Лист2!A:E,5,0)</f>
        <v>малые</v>
      </c>
      <c r="F356">
        <f>VLOOKUP(B356,Лист2!A:E,4,0)</f>
        <v>2.5</v>
      </c>
      <c r="G356">
        <f t="shared" si="21"/>
        <v>0</v>
      </c>
      <c r="H356">
        <f t="shared" si="22"/>
        <v>216000</v>
      </c>
      <c r="I356">
        <f t="shared" si="23"/>
        <v>0</v>
      </c>
    </row>
    <row r="357" spans="1:9">
      <c r="A357" t="s">
        <v>14</v>
      </c>
      <c r="B357" t="s">
        <v>18</v>
      </c>
      <c r="C357">
        <v>1351000</v>
      </c>
      <c r="D357">
        <v>1337000</v>
      </c>
      <c r="E357" t="str">
        <f>VLOOKUP(B357,Лист2!A:E,5,0)</f>
        <v>малые</v>
      </c>
      <c r="F357">
        <f>VLOOKUP(B357,Лист2!A:E,4,0)</f>
        <v>2.5</v>
      </c>
      <c r="G357">
        <f t="shared" si="21"/>
        <v>14000</v>
      </c>
      <c r="H357">
        <f t="shared" si="22"/>
        <v>540400</v>
      </c>
      <c r="I357">
        <f t="shared" si="23"/>
        <v>5600</v>
      </c>
    </row>
    <row r="358" spans="1:9">
      <c r="A358" t="s">
        <v>14</v>
      </c>
      <c r="B358" t="s">
        <v>18</v>
      </c>
      <c r="C358">
        <v>26941000</v>
      </c>
      <c r="D358">
        <v>11738000</v>
      </c>
      <c r="E358" t="str">
        <f>VLOOKUP(B358,Лист2!A:E,5,0)</f>
        <v>малые</v>
      </c>
      <c r="F358">
        <f>VLOOKUP(B358,Лист2!A:E,4,0)</f>
        <v>2.5</v>
      </c>
      <c r="G358">
        <f t="shared" si="21"/>
        <v>15203000</v>
      </c>
      <c r="H358">
        <f t="shared" si="22"/>
        <v>10776400</v>
      </c>
      <c r="I358">
        <f t="shared" si="23"/>
        <v>6081200</v>
      </c>
    </row>
    <row r="359" spans="1:9">
      <c r="A359" t="s">
        <v>14</v>
      </c>
      <c r="B359" t="s">
        <v>18</v>
      </c>
      <c r="C359">
        <v>1699000</v>
      </c>
      <c r="D359">
        <v>1914000</v>
      </c>
      <c r="E359" t="str">
        <f>VLOOKUP(B359,Лист2!A:E,5,0)</f>
        <v>малые</v>
      </c>
      <c r="F359">
        <f>VLOOKUP(B359,Лист2!A:E,4,0)</f>
        <v>2.5</v>
      </c>
      <c r="G359">
        <f t="shared" si="21"/>
        <v>-215000</v>
      </c>
      <c r="H359">
        <f t="shared" si="22"/>
        <v>679600</v>
      </c>
      <c r="I359">
        <f t="shared" si="23"/>
        <v>-86000</v>
      </c>
    </row>
    <row r="360" spans="1:9">
      <c r="A360" t="s">
        <v>14</v>
      </c>
      <c r="B360" t="s">
        <v>22</v>
      </c>
      <c r="C360">
        <v>69987000</v>
      </c>
      <c r="D360">
        <v>71678000</v>
      </c>
      <c r="E360" t="str">
        <f>VLOOKUP(B360,Лист2!A:E,5,0)</f>
        <v>малые</v>
      </c>
      <c r="F360">
        <f>VLOOKUP(B360,Лист2!A:E,4,0)</f>
        <v>13</v>
      </c>
      <c r="G360">
        <f t="shared" si="21"/>
        <v>-1691000</v>
      </c>
      <c r="H360">
        <f t="shared" si="22"/>
        <v>5383615.384615385</v>
      </c>
      <c r="I360">
        <f t="shared" si="23"/>
        <v>-130076.92307692308</v>
      </c>
    </row>
    <row r="361" spans="1:9">
      <c r="A361" t="s">
        <v>25</v>
      </c>
      <c r="B361" t="s">
        <v>22</v>
      </c>
      <c r="C361">
        <v>216523000</v>
      </c>
      <c r="D361">
        <v>165237000</v>
      </c>
      <c r="E361" t="str">
        <f>VLOOKUP(B361,Лист2!A:E,5,0)</f>
        <v>малые</v>
      </c>
      <c r="F361">
        <f>VLOOKUP(B361,Лист2!A:E,4,0)</f>
        <v>13</v>
      </c>
      <c r="G361">
        <f t="shared" si="21"/>
        <v>51286000</v>
      </c>
      <c r="H361">
        <f t="shared" si="22"/>
        <v>16655615.384615384</v>
      </c>
      <c r="I361">
        <f t="shared" si="23"/>
        <v>3945076.923076923</v>
      </c>
    </row>
    <row r="362" spans="1:9">
      <c r="A362" t="s">
        <v>14</v>
      </c>
      <c r="B362" t="s">
        <v>18</v>
      </c>
      <c r="C362">
        <v>171000</v>
      </c>
      <c r="D362">
        <v>152000</v>
      </c>
      <c r="E362" t="str">
        <f>VLOOKUP(B362,Лист2!A:E,5,0)</f>
        <v>малые</v>
      </c>
      <c r="F362">
        <f>VLOOKUP(B362,Лист2!A:E,4,0)</f>
        <v>2.5</v>
      </c>
      <c r="G362">
        <f t="shared" si="21"/>
        <v>19000</v>
      </c>
      <c r="H362">
        <f t="shared" si="22"/>
        <v>68400</v>
      </c>
      <c r="I362">
        <f t="shared" si="23"/>
        <v>7600</v>
      </c>
    </row>
    <row r="363" spans="1:9">
      <c r="A363" t="s">
        <v>25</v>
      </c>
      <c r="B363" t="s">
        <v>18</v>
      </c>
      <c r="C363">
        <v>15035000</v>
      </c>
      <c r="D363">
        <v>23060000</v>
      </c>
      <c r="E363" t="str">
        <f>VLOOKUP(B363,Лист2!A:E,5,0)</f>
        <v>малые</v>
      </c>
      <c r="F363">
        <f>VLOOKUP(B363,Лист2!A:E,4,0)</f>
        <v>2.5</v>
      </c>
      <c r="G363">
        <f t="shared" si="21"/>
        <v>-8025000</v>
      </c>
      <c r="H363">
        <f t="shared" si="22"/>
        <v>6014000</v>
      </c>
      <c r="I363">
        <f t="shared" si="23"/>
        <v>-3210000</v>
      </c>
    </row>
    <row r="364" spans="1:9">
      <c r="A364" t="s">
        <v>25</v>
      </c>
      <c r="B364" t="s">
        <v>18</v>
      </c>
      <c r="C364">
        <v>200000000</v>
      </c>
      <c r="D364">
        <v>42240000</v>
      </c>
      <c r="E364" t="str">
        <f>VLOOKUP(B364,Лист2!A:E,5,0)</f>
        <v>малые</v>
      </c>
      <c r="F364">
        <f>VLOOKUP(B364,Лист2!A:E,4,0)</f>
        <v>2.5</v>
      </c>
      <c r="G364">
        <f t="shared" si="21"/>
        <v>157760000</v>
      </c>
      <c r="H364">
        <f t="shared" si="22"/>
        <v>80000000</v>
      </c>
      <c r="I364">
        <f t="shared" si="23"/>
        <v>63104000</v>
      </c>
    </row>
    <row r="365" spans="1:9">
      <c r="A365" t="s">
        <v>14</v>
      </c>
      <c r="B365" t="s">
        <v>18</v>
      </c>
      <c r="C365">
        <v>87000</v>
      </c>
      <c r="D365">
        <v>39000</v>
      </c>
      <c r="E365" t="str">
        <f>VLOOKUP(B365,Лист2!A:E,5,0)</f>
        <v>малые</v>
      </c>
      <c r="F365">
        <f>VLOOKUP(B365,Лист2!A:E,4,0)</f>
        <v>2.5</v>
      </c>
      <c r="G365">
        <f t="shared" si="21"/>
        <v>48000</v>
      </c>
      <c r="H365">
        <f t="shared" si="22"/>
        <v>34800</v>
      </c>
      <c r="I365">
        <f t="shared" si="23"/>
        <v>19200</v>
      </c>
    </row>
    <row r="366" spans="1:9">
      <c r="A366" t="s">
        <v>14</v>
      </c>
      <c r="B366" t="s">
        <v>18</v>
      </c>
      <c r="C366">
        <v>7122000</v>
      </c>
      <c r="D366">
        <v>7214000</v>
      </c>
      <c r="E366" t="str">
        <f>VLOOKUP(B366,Лист2!A:E,5,0)</f>
        <v>малые</v>
      </c>
      <c r="F366">
        <f>VLOOKUP(B366,Лист2!A:E,4,0)</f>
        <v>2.5</v>
      </c>
      <c r="G366">
        <f t="shared" si="21"/>
        <v>-92000</v>
      </c>
      <c r="H366">
        <f t="shared" si="22"/>
        <v>2848800</v>
      </c>
      <c r="I366">
        <f t="shared" si="23"/>
        <v>-36800</v>
      </c>
    </row>
    <row r="367" spans="1:9">
      <c r="A367" t="s">
        <v>14</v>
      </c>
      <c r="B367" t="s">
        <v>18</v>
      </c>
      <c r="C367">
        <v>2069000</v>
      </c>
      <c r="D367">
        <v>1662000</v>
      </c>
      <c r="E367" t="str">
        <f>VLOOKUP(B367,Лист2!A:E,5,0)</f>
        <v>малые</v>
      </c>
      <c r="F367">
        <f>VLOOKUP(B367,Лист2!A:E,4,0)</f>
        <v>2.5</v>
      </c>
      <c r="G367">
        <f t="shared" si="21"/>
        <v>407000</v>
      </c>
      <c r="H367">
        <f t="shared" si="22"/>
        <v>827600</v>
      </c>
      <c r="I367">
        <f t="shared" si="23"/>
        <v>162800</v>
      </c>
    </row>
    <row r="368" spans="1:9">
      <c r="A368" t="s">
        <v>14</v>
      </c>
      <c r="B368" t="s">
        <v>807</v>
      </c>
      <c r="C368">
        <v>210174000</v>
      </c>
      <c r="D368">
        <v>209771000</v>
      </c>
      <c r="E368" t="str">
        <f>VLOOKUP(B368,Лист2!A:E,5,0)</f>
        <v>средние</v>
      </c>
      <c r="F368">
        <f>VLOOKUP(B368,Лист2!A:E,4,0)</f>
        <v>175.5</v>
      </c>
      <c r="G368">
        <f t="shared" si="21"/>
        <v>403000</v>
      </c>
      <c r="H368">
        <f t="shared" si="22"/>
        <v>1197572.6495726495</v>
      </c>
      <c r="I368">
        <f t="shared" si="23"/>
        <v>2296.2962962962961</v>
      </c>
    </row>
    <row r="369" spans="1:9">
      <c r="A369" t="s">
        <v>14</v>
      </c>
      <c r="B369" t="s">
        <v>18</v>
      </c>
      <c r="C369">
        <v>34254000</v>
      </c>
      <c r="D369">
        <v>30749000</v>
      </c>
      <c r="E369" t="str">
        <f>VLOOKUP(B369,Лист2!A:E,5,0)</f>
        <v>малые</v>
      </c>
      <c r="F369">
        <f>VLOOKUP(B369,Лист2!A:E,4,0)</f>
        <v>2.5</v>
      </c>
      <c r="G369">
        <f t="shared" si="21"/>
        <v>3505000</v>
      </c>
      <c r="H369">
        <f t="shared" si="22"/>
        <v>13701600</v>
      </c>
      <c r="I369">
        <f t="shared" si="23"/>
        <v>1402000</v>
      </c>
    </row>
    <row r="370" spans="1:9">
      <c r="A370" t="s">
        <v>14</v>
      </c>
      <c r="B370" t="s">
        <v>18</v>
      </c>
      <c r="C370">
        <v>1928000</v>
      </c>
      <c r="D370">
        <v>1983000</v>
      </c>
      <c r="E370" t="str">
        <f>VLOOKUP(B370,Лист2!A:E,5,0)</f>
        <v>малые</v>
      </c>
      <c r="F370">
        <f>VLOOKUP(B370,Лист2!A:E,4,0)</f>
        <v>2.5</v>
      </c>
      <c r="G370">
        <f t="shared" si="21"/>
        <v>-55000</v>
      </c>
      <c r="H370">
        <f t="shared" si="22"/>
        <v>771200</v>
      </c>
      <c r="I370">
        <f t="shared" si="23"/>
        <v>-22000</v>
      </c>
    </row>
    <row r="371" spans="1:9">
      <c r="A371" t="s">
        <v>14</v>
      </c>
      <c r="B371" t="s">
        <v>18</v>
      </c>
      <c r="C371">
        <v>7758000</v>
      </c>
      <c r="D371">
        <v>6147000</v>
      </c>
      <c r="E371" t="str">
        <f>VLOOKUP(B371,Лист2!A:E,5,0)</f>
        <v>малые</v>
      </c>
      <c r="F371">
        <f>VLOOKUP(B371,Лист2!A:E,4,0)</f>
        <v>2.5</v>
      </c>
      <c r="G371">
        <f t="shared" si="21"/>
        <v>1611000</v>
      </c>
      <c r="H371">
        <f t="shared" si="22"/>
        <v>3103200</v>
      </c>
      <c r="I371">
        <f t="shared" si="23"/>
        <v>644400</v>
      </c>
    </row>
    <row r="372" spans="1:9">
      <c r="A372" t="s">
        <v>14</v>
      </c>
      <c r="B372" t="s">
        <v>77</v>
      </c>
      <c r="C372">
        <v>411626000</v>
      </c>
      <c r="D372">
        <v>296732000</v>
      </c>
      <c r="E372" t="str">
        <f>VLOOKUP(B372,Лист2!A:E,5,0)</f>
        <v>малые</v>
      </c>
      <c r="F372">
        <f>VLOOKUP(B372,Лист2!A:E,4,0)</f>
        <v>8</v>
      </c>
      <c r="G372">
        <f t="shared" si="21"/>
        <v>114894000</v>
      </c>
      <c r="H372">
        <f t="shared" si="22"/>
        <v>51453250</v>
      </c>
      <c r="I372">
        <f t="shared" si="23"/>
        <v>14361750</v>
      </c>
    </row>
    <row r="373" spans="1:9">
      <c r="A373" t="s">
        <v>25</v>
      </c>
      <c r="B373" t="s">
        <v>18</v>
      </c>
      <c r="C373">
        <v>5230000</v>
      </c>
      <c r="D373">
        <v>2311000</v>
      </c>
      <c r="E373" t="str">
        <f>VLOOKUP(B373,Лист2!A:E,5,0)</f>
        <v>малые</v>
      </c>
      <c r="F373">
        <f>VLOOKUP(B373,Лист2!A:E,4,0)</f>
        <v>2.5</v>
      </c>
      <c r="G373">
        <f t="shared" si="21"/>
        <v>2919000</v>
      </c>
      <c r="H373">
        <f t="shared" si="22"/>
        <v>2092000</v>
      </c>
      <c r="I373">
        <f t="shared" si="23"/>
        <v>1167600</v>
      </c>
    </row>
    <row r="374" spans="1:9">
      <c r="A374" t="s">
        <v>25</v>
      </c>
      <c r="B374" t="s">
        <v>18</v>
      </c>
      <c r="C374">
        <v>543633000</v>
      </c>
      <c r="D374">
        <v>606984000</v>
      </c>
      <c r="E374" t="str">
        <f>VLOOKUP(B374,Лист2!A:E,5,0)</f>
        <v>малые</v>
      </c>
      <c r="F374">
        <f>VLOOKUP(B374,Лист2!A:E,4,0)</f>
        <v>2.5</v>
      </c>
      <c r="G374">
        <f t="shared" si="21"/>
        <v>-63351000</v>
      </c>
      <c r="H374">
        <f t="shared" si="22"/>
        <v>217453200</v>
      </c>
      <c r="I374">
        <f t="shared" si="23"/>
        <v>-25340400</v>
      </c>
    </row>
    <row r="375" spans="1:9">
      <c r="A375" t="s">
        <v>25</v>
      </c>
      <c r="B375" t="s">
        <v>18</v>
      </c>
      <c r="C375">
        <v>1143000</v>
      </c>
      <c r="D375">
        <v>1757000</v>
      </c>
      <c r="E375" t="str">
        <f>VLOOKUP(B375,Лист2!A:E,5,0)</f>
        <v>малые</v>
      </c>
      <c r="F375">
        <f>VLOOKUP(B375,Лист2!A:E,4,0)</f>
        <v>2.5</v>
      </c>
      <c r="G375">
        <f t="shared" si="21"/>
        <v>-614000</v>
      </c>
      <c r="H375">
        <f t="shared" si="22"/>
        <v>457200</v>
      </c>
      <c r="I375">
        <f t="shared" si="23"/>
        <v>-245600</v>
      </c>
    </row>
    <row r="376" spans="1:9">
      <c r="A376" t="s">
        <v>14</v>
      </c>
      <c r="B376" t="s">
        <v>18</v>
      </c>
      <c r="C376">
        <v>12642000</v>
      </c>
      <c r="D376">
        <v>5474000</v>
      </c>
      <c r="E376" t="str">
        <f>VLOOKUP(B376,Лист2!A:E,5,0)</f>
        <v>малые</v>
      </c>
      <c r="F376">
        <f>VLOOKUP(B376,Лист2!A:E,4,0)</f>
        <v>2.5</v>
      </c>
      <c r="G376">
        <f t="shared" si="21"/>
        <v>7168000</v>
      </c>
      <c r="H376">
        <f t="shared" si="22"/>
        <v>5056800</v>
      </c>
      <c r="I376">
        <f t="shared" si="23"/>
        <v>2867200</v>
      </c>
    </row>
    <row r="377" spans="1:9">
      <c r="A377" t="s">
        <v>14</v>
      </c>
      <c r="B377" t="s">
        <v>18</v>
      </c>
      <c r="C377">
        <v>1030000</v>
      </c>
      <c r="D377">
        <v>1311000</v>
      </c>
      <c r="E377" t="str">
        <f>VLOOKUP(B377,Лист2!A:E,5,0)</f>
        <v>малые</v>
      </c>
      <c r="F377">
        <f>VLOOKUP(B377,Лист2!A:E,4,0)</f>
        <v>2.5</v>
      </c>
      <c r="G377">
        <f t="shared" si="21"/>
        <v>-281000</v>
      </c>
      <c r="H377">
        <f t="shared" si="22"/>
        <v>412000</v>
      </c>
      <c r="I377">
        <f t="shared" si="23"/>
        <v>-112400</v>
      </c>
    </row>
    <row r="378" spans="1:9">
      <c r="A378" t="s">
        <v>14</v>
      </c>
      <c r="B378" t="s">
        <v>18</v>
      </c>
      <c r="C378">
        <v>10390000</v>
      </c>
      <c r="D378">
        <v>8681000</v>
      </c>
      <c r="E378" t="str">
        <f>VLOOKUP(B378,Лист2!A:E,5,0)</f>
        <v>малые</v>
      </c>
      <c r="F378">
        <f>VLOOKUP(B378,Лист2!A:E,4,0)</f>
        <v>2.5</v>
      </c>
      <c r="G378">
        <f t="shared" si="21"/>
        <v>1709000</v>
      </c>
      <c r="H378">
        <f t="shared" si="22"/>
        <v>4156000</v>
      </c>
      <c r="I378">
        <f t="shared" si="23"/>
        <v>683600</v>
      </c>
    </row>
    <row r="379" spans="1:9">
      <c r="A379" t="s">
        <v>14</v>
      </c>
      <c r="B379" t="s">
        <v>18</v>
      </c>
      <c r="C379">
        <v>436000</v>
      </c>
      <c r="D379">
        <v>428000</v>
      </c>
      <c r="E379" t="str">
        <f>VLOOKUP(B379,Лист2!A:E,5,0)</f>
        <v>малые</v>
      </c>
      <c r="F379">
        <f>VLOOKUP(B379,Лист2!A:E,4,0)</f>
        <v>2.5</v>
      </c>
      <c r="G379">
        <f t="shared" si="21"/>
        <v>8000</v>
      </c>
      <c r="H379">
        <f t="shared" si="22"/>
        <v>174400</v>
      </c>
      <c r="I379">
        <f t="shared" si="23"/>
        <v>3200</v>
      </c>
    </row>
    <row r="380" spans="1:9">
      <c r="A380" t="s">
        <v>14</v>
      </c>
      <c r="B380" t="s">
        <v>22</v>
      </c>
      <c r="C380">
        <v>7245000</v>
      </c>
      <c r="D380">
        <v>6065000</v>
      </c>
      <c r="E380" t="str">
        <f>VLOOKUP(B380,Лист2!A:E,5,0)</f>
        <v>малые</v>
      </c>
      <c r="F380">
        <f>VLOOKUP(B380,Лист2!A:E,4,0)</f>
        <v>13</v>
      </c>
      <c r="G380">
        <f t="shared" si="21"/>
        <v>1180000</v>
      </c>
      <c r="H380">
        <f t="shared" si="22"/>
        <v>557307.69230769225</v>
      </c>
      <c r="I380">
        <f t="shared" si="23"/>
        <v>90769.230769230766</v>
      </c>
    </row>
    <row r="381" spans="1:9">
      <c r="A381" t="s">
        <v>14</v>
      </c>
      <c r="B381" t="s">
        <v>18</v>
      </c>
      <c r="C381">
        <v>1779000</v>
      </c>
      <c r="D381">
        <v>2017000</v>
      </c>
      <c r="E381" t="str">
        <f>VLOOKUP(B381,Лист2!A:E,5,0)</f>
        <v>малые</v>
      </c>
      <c r="F381">
        <f>VLOOKUP(B381,Лист2!A:E,4,0)</f>
        <v>2.5</v>
      </c>
      <c r="G381">
        <f t="shared" si="21"/>
        <v>-238000</v>
      </c>
      <c r="H381">
        <f t="shared" si="22"/>
        <v>711600</v>
      </c>
      <c r="I381">
        <f t="shared" si="23"/>
        <v>-95200</v>
      </c>
    </row>
    <row r="382" spans="1:9">
      <c r="A382" t="s">
        <v>14</v>
      </c>
      <c r="B382" t="s">
        <v>22</v>
      </c>
      <c r="C382">
        <v>349895000</v>
      </c>
      <c r="D382">
        <v>352614000</v>
      </c>
      <c r="E382" t="str">
        <f>VLOOKUP(B382,Лист2!A:E,5,0)</f>
        <v>малые</v>
      </c>
      <c r="F382">
        <f>VLOOKUP(B382,Лист2!A:E,4,0)</f>
        <v>13</v>
      </c>
      <c r="G382">
        <f t="shared" si="21"/>
        <v>-2719000</v>
      </c>
      <c r="H382">
        <f t="shared" si="22"/>
        <v>26915000</v>
      </c>
      <c r="I382">
        <f t="shared" si="23"/>
        <v>-209153.84615384616</v>
      </c>
    </row>
    <row r="383" spans="1:9">
      <c r="A383" t="s">
        <v>14</v>
      </c>
      <c r="B383" t="s">
        <v>18</v>
      </c>
      <c r="C383">
        <v>4000000</v>
      </c>
      <c r="D383">
        <v>4328000</v>
      </c>
      <c r="E383" t="str">
        <f>VLOOKUP(B383,Лист2!A:E,5,0)</f>
        <v>малые</v>
      </c>
      <c r="F383">
        <f>VLOOKUP(B383,Лист2!A:E,4,0)</f>
        <v>2.5</v>
      </c>
      <c r="G383">
        <f t="shared" si="21"/>
        <v>-328000</v>
      </c>
      <c r="H383">
        <f t="shared" si="22"/>
        <v>1600000</v>
      </c>
      <c r="I383">
        <f t="shared" si="23"/>
        <v>-131200</v>
      </c>
    </row>
    <row r="384" spans="1:9">
      <c r="A384" t="s">
        <v>14</v>
      </c>
      <c r="B384" t="s">
        <v>18</v>
      </c>
      <c r="C384">
        <v>1100000</v>
      </c>
      <c r="D384">
        <v>1100000</v>
      </c>
      <c r="E384" t="str">
        <f>VLOOKUP(B384,Лист2!A:E,5,0)</f>
        <v>малые</v>
      </c>
      <c r="F384">
        <f>VLOOKUP(B384,Лист2!A:E,4,0)</f>
        <v>2.5</v>
      </c>
      <c r="G384">
        <f t="shared" si="21"/>
        <v>0</v>
      </c>
      <c r="H384">
        <f t="shared" si="22"/>
        <v>440000</v>
      </c>
      <c r="I384">
        <f t="shared" si="23"/>
        <v>0</v>
      </c>
    </row>
    <row r="385" spans="1:9">
      <c r="A385" t="s">
        <v>14</v>
      </c>
      <c r="B385" t="s">
        <v>18</v>
      </c>
      <c r="C385">
        <v>18501000</v>
      </c>
      <c r="D385">
        <v>18453000</v>
      </c>
      <c r="E385" t="str">
        <f>VLOOKUP(B385,Лист2!A:E,5,0)</f>
        <v>малые</v>
      </c>
      <c r="F385">
        <f>VLOOKUP(B385,Лист2!A:E,4,0)</f>
        <v>2.5</v>
      </c>
      <c r="G385">
        <f t="shared" si="21"/>
        <v>48000</v>
      </c>
      <c r="H385">
        <f t="shared" si="22"/>
        <v>7400400</v>
      </c>
      <c r="I385">
        <f t="shared" si="23"/>
        <v>19200</v>
      </c>
    </row>
    <row r="386" spans="1:9">
      <c r="A386" t="s">
        <v>14</v>
      </c>
      <c r="B386" t="s">
        <v>18</v>
      </c>
      <c r="C386">
        <v>143662000</v>
      </c>
      <c r="D386">
        <v>145571000</v>
      </c>
      <c r="E386" t="str">
        <f>VLOOKUP(B386,Лист2!A:E,5,0)</f>
        <v>малые</v>
      </c>
      <c r="F386">
        <f>VLOOKUP(B386,Лист2!A:E,4,0)</f>
        <v>2.5</v>
      </c>
      <c r="G386">
        <f t="shared" si="21"/>
        <v>-1909000</v>
      </c>
      <c r="H386">
        <f t="shared" si="22"/>
        <v>57464800</v>
      </c>
      <c r="I386">
        <f t="shared" si="23"/>
        <v>-763600</v>
      </c>
    </row>
    <row r="387" spans="1:9">
      <c r="A387" t="s">
        <v>14</v>
      </c>
      <c r="B387" t="s">
        <v>18</v>
      </c>
      <c r="C387">
        <v>894000</v>
      </c>
      <c r="D387">
        <v>670000</v>
      </c>
      <c r="E387" t="str">
        <f>VLOOKUP(B387,Лист2!A:E,5,0)</f>
        <v>малые</v>
      </c>
      <c r="F387">
        <f>VLOOKUP(B387,Лист2!A:E,4,0)</f>
        <v>2.5</v>
      </c>
      <c r="G387">
        <f t="shared" si="21"/>
        <v>224000</v>
      </c>
      <c r="H387">
        <f t="shared" si="22"/>
        <v>357600</v>
      </c>
      <c r="I387">
        <f t="shared" si="23"/>
        <v>89600</v>
      </c>
    </row>
    <row r="388" spans="1:9">
      <c r="A388" t="s">
        <v>14</v>
      </c>
      <c r="B388" t="s">
        <v>18</v>
      </c>
      <c r="C388">
        <v>1502000</v>
      </c>
      <c r="D388">
        <v>1441000</v>
      </c>
      <c r="E388" t="str">
        <f>VLOOKUP(B388,Лист2!A:E,5,0)</f>
        <v>малые</v>
      </c>
      <c r="F388">
        <f>VLOOKUP(B388,Лист2!A:E,4,0)</f>
        <v>2.5</v>
      </c>
      <c r="G388">
        <f t="shared" si="21"/>
        <v>61000</v>
      </c>
      <c r="H388">
        <f t="shared" si="22"/>
        <v>600800</v>
      </c>
      <c r="I388">
        <f t="shared" si="23"/>
        <v>24400</v>
      </c>
    </row>
    <row r="389" spans="1:9">
      <c r="A389" t="s">
        <v>14</v>
      </c>
      <c r="B389" t="s">
        <v>18</v>
      </c>
      <c r="C389">
        <v>17936000</v>
      </c>
      <c r="D389">
        <v>17591000</v>
      </c>
      <c r="E389" t="str">
        <f>VLOOKUP(B389,Лист2!A:E,5,0)</f>
        <v>малые</v>
      </c>
      <c r="F389">
        <f>VLOOKUP(B389,Лист2!A:E,4,0)</f>
        <v>2.5</v>
      </c>
      <c r="G389">
        <f t="shared" ref="G389:G431" si="24">C389-D389</f>
        <v>345000</v>
      </c>
      <c r="H389">
        <f t="shared" ref="H389:H431" si="25">C389/F389</f>
        <v>7174400</v>
      </c>
      <c r="I389">
        <f t="shared" ref="I389:I431" si="26">G389/F389</f>
        <v>138000</v>
      </c>
    </row>
    <row r="390" spans="1:9">
      <c r="A390" t="s">
        <v>14</v>
      </c>
      <c r="B390" t="s">
        <v>18</v>
      </c>
      <c r="C390">
        <v>130383000</v>
      </c>
      <c r="D390">
        <v>82391000</v>
      </c>
      <c r="E390" t="str">
        <f>VLOOKUP(B390,Лист2!A:E,5,0)</f>
        <v>малые</v>
      </c>
      <c r="F390">
        <f>VLOOKUP(B390,Лист2!A:E,4,0)</f>
        <v>2.5</v>
      </c>
      <c r="G390">
        <f t="shared" si="24"/>
        <v>47992000</v>
      </c>
      <c r="H390">
        <f t="shared" si="25"/>
        <v>52153200</v>
      </c>
      <c r="I390">
        <f t="shared" si="26"/>
        <v>19196800</v>
      </c>
    </row>
    <row r="391" spans="1:9">
      <c r="A391" t="s">
        <v>14</v>
      </c>
      <c r="B391" t="s">
        <v>18</v>
      </c>
      <c r="C391">
        <v>1645000</v>
      </c>
      <c r="D391">
        <v>1737000</v>
      </c>
      <c r="E391" t="str">
        <f>VLOOKUP(B391,Лист2!A:E,5,0)</f>
        <v>малые</v>
      </c>
      <c r="F391">
        <f>VLOOKUP(B391,Лист2!A:E,4,0)</f>
        <v>2.5</v>
      </c>
      <c r="G391">
        <f t="shared" si="24"/>
        <v>-92000</v>
      </c>
      <c r="H391">
        <f t="shared" si="25"/>
        <v>658000</v>
      </c>
      <c r="I391">
        <f t="shared" si="26"/>
        <v>-36800</v>
      </c>
    </row>
    <row r="392" spans="1:9">
      <c r="A392" t="s">
        <v>14</v>
      </c>
      <c r="B392" t="s">
        <v>18</v>
      </c>
      <c r="C392">
        <v>1300000</v>
      </c>
      <c r="D392">
        <v>1204000</v>
      </c>
      <c r="E392" t="str">
        <f>VLOOKUP(B392,Лист2!A:E,5,0)</f>
        <v>малые</v>
      </c>
      <c r="F392">
        <f>VLOOKUP(B392,Лист2!A:E,4,0)</f>
        <v>2.5</v>
      </c>
      <c r="G392">
        <f t="shared" si="24"/>
        <v>96000</v>
      </c>
      <c r="H392">
        <f t="shared" si="25"/>
        <v>520000</v>
      </c>
      <c r="I392">
        <f t="shared" si="26"/>
        <v>38400</v>
      </c>
    </row>
    <row r="393" spans="1:9">
      <c r="A393" t="s">
        <v>14</v>
      </c>
      <c r="B393" t="s">
        <v>18</v>
      </c>
      <c r="C393">
        <v>1603000</v>
      </c>
      <c r="D393">
        <v>1235000</v>
      </c>
      <c r="E393" t="str">
        <f>VLOOKUP(B393,Лист2!A:E,5,0)</f>
        <v>малые</v>
      </c>
      <c r="F393">
        <f>VLOOKUP(B393,Лист2!A:E,4,0)</f>
        <v>2.5</v>
      </c>
      <c r="G393">
        <f t="shared" si="24"/>
        <v>368000</v>
      </c>
      <c r="H393">
        <f t="shared" si="25"/>
        <v>641200</v>
      </c>
      <c r="I393">
        <f t="shared" si="26"/>
        <v>147200</v>
      </c>
    </row>
    <row r="394" spans="1:9">
      <c r="A394" t="s">
        <v>14</v>
      </c>
      <c r="B394" t="s">
        <v>18</v>
      </c>
      <c r="C394">
        <v>90000</v>
      </c>
      <c r="D394">
        <v>391000</v>
      </c>
      <c r="E394" t="str">
        <f>VLOOKUP(B394,Лист2!A:E,5,0)</f>
        <v>малые</v>
      </c>
      <c r="F394">
        <f>VLOOKUP(B394,Лист2!A:E,4,0)</f>
        <v>2.5</v>
      </c>
      <c r="G394">
        <f t="shared" si="24"/>
        <v>-301000</v>
      </c>
      <c r="H394">
        <f t="shared" si="25"/>
        <v>36000</v>
      </c>
      <c r="I394">
        <f t="shared" si="26"/>
        <v>-120400</v>
      </c>
    </row>
    <row r="395" spans="1:9">
      <c r="A395" t="s">
        <v>14</v>
      </c>
      <c r="B395" t="s">
        <v>18</v>
      </c>
      <c r="C395">
        <v>3806000</v>
      </c>
      <c r="D395">
        <v>1963000</v>
      </c>
      <c r="E395" t="str">
        <f>VLOOKUP(B395,Лист2!A:E,5,0)</f>
        <v>малые</v>
      </c>
      <c r="F395">
        <f>VLOOKUP(B395,Лист2!A:E,4,0)</f>
        <v>2.5</v>
      </c>
      <c r="G395">
        <f t="shared" si="24"/>
        <v>1843000</v>
      </c>
      <c r="H395">
        <f t="shared" si="25"/>
        <v>1522400</v>
      </c>
      <c r="I395">
        <f t="shared" si="26"/>
        <v>737200</v>
      </c>
    </row>
    <row r="396" spans="1:9">
      <c r="A396" t="s">
        <v>25</v>
      </c>
      <c r="B396" t="s">
        <v>18</v>
      </c>
      <c r="C396">
        <v>50576000</v>
      </c>
      <c r="D396">
        <v>50353000</v>
      </c>
      <c r="E396" t="str">
        <f>VLOOKUP(B396,Лист2!A:E,5,0)</f>
        <v>малые</v>
      </c>
      <c r="F396">
        <f>VLOOKUP(B396,Лист2!A:E,4,0)</f>
        <v>2.5</v>
      </c>
      <c r="G396">
        <f t="shared" si="24"/>
        <v>223000</v>
      </c>
      <c r="H396">
        <f t="shared" si="25"/>
        <v>20230400</v>
      </c>
      <c r="I396">
        <f t="shared" si="26"/>
        <v>89200</v>
      </c>
    </row>
    <row r="397" spans="1:9">
      <c r="A397" t="s">
        <v>14</v>
      </c>
      <c r="B397" t="s">
        <v>77</v>
      </c>
      <c r="C397">
        <v>24123000</v>
      </c>
      <c r="D397">
        <v>24927000</v>
      </c>
      <c r="E397" t="str">
        <f>VLOOKUP(B397,Лист2!A:E,5,0)</f>
        <v>малые</v>
      </c>
      <c r="F397">
        <f>VLOOKUP(B397,Лист2!A:E,4,0)</f>
        <v>8</v>
      </c>
      <c r="G397">
        <f t="shared" si="24"/>
        <v>-804000</v>
      </c>
      <c r="H397">
        <f t="shared" si="25"/>
        <v>3015375</v>
      </c>
      <c r="I397">
        <f t="shared" si="26"/>
        <v>-100500</v>
      </c>
    </row>
    <row r="398" spans="1:9">
      <c r="A398" t="s">
        <v>14</v>
      </c>
      <c r="B398" t="s">
        <v>18</v>
      </c>
      <c r="C398">
        <v>1625000</v>
      </c>
      <c r="D398">
        <v>1266000</v>
      </c>
      <c r="E398" t="str">
        <f>VLOOKUP(B398,Лист2!A:E,5,0)</f>
        <v>малые</v>
      </c>
      <c r="F398">
        <f>VLOOKUP(B398,Лист2!A:E,4,0)</f>
        <v>2.5</v>
      </c>
      <c r="G398">
        <f t="shared" si="24"/>
        <v>359000</v>
      </c>
      <c r="H398">
        <f t="shared" si="25"/>
        <v>650000</v>
      </c>
      <c r="I398">
        <f t="shared" si="26"/>
        <v>143600</v>
      </c>
    </row>
    <row r="399" spans="1:9">
      <c r="A399" t="s">
        <v>14</v>
      </c>
      <c r="B399" t="s">
        <v>22</v>
      </c>
      <c r="C399">
        <v>14543000</v>
      </c>
      <c r="D399">
        <v>14541000</v>
      </c>
      <c r="E399" t="str">
        <f>VLOOKUP(B399,Лист2!A:E,5,0)</f>
        <v>малые</v>
      </c>
      <c r="F399">
        <f>VLOOKUP(B399,Лист2!A:E,4,0)</f>
        <v>13</v>
      </c>
      <c r="G399">
        <f t="shared" si="24"/>
        <v>2000</v>
      </c>
      <c r="H399">
        <f t="shared" si="25"/>
        <v>1118692.3076923077</v>
      </c>
      <c r="I399">
        <f t="shared" si="26"/>
        <v>153.84615384615384</v>
      </c>
    </row>
    <row r="400" spans="1:9">
      <c r="A400" t="s">
        <v>25</v>
      </c>
      <c r="B400" t="s">
        <v>18</v>
      </c>
      <c r="C400">
        <v>1322000</v>
      </c>
      <c r="D400">
        <v>1291000</v>
      </c>
      <c r="E400" t="str">
        <f>VLOOKUP(B400,Лист2!A:E,5,0)</f>
        <v>малые</v>
      </c>
      <c r="F400">
        <f>VLOOKUP(B400,Лист2!A:E,4,0)</f>
        <v>2.5</v>
      </c>
      <c r="G400">
        <f t="shared" si="24"/>
        <v>31000</v>
      </c>
      <c r="H400">
        <f t="shared" si="25"/>
        <v>528800</v>
      </c>
      <c r="I400">
        <f t="shared" si="26"/>
        <v>12400</v>
      </c>
    </row>
    <row r="401" spans="1:9">
      <c r="A401" t="s">
        <v>14</v>
      </c>
      <c r="B401" t="s">
        <v>18</v>
      </c>
      <c r="C401">
        <v>4231000</v>
      </c>
      <c r="D401">
        <v>3668000</v>
      </c>
      <c r="E401" t="str">
        <f>VLOOKUP(B401,Лист2!A:E,5,0)</f>
        <v>малые</v>
      </c>
      <c r="F401">
        <f>VLOOKUP(B401,Лист2!A:E,4,0)</f>
        <v>2.5</v>
      </c>
      <c r="G401">
        <f t="shared" si="24"/>
        <v>563000</v>
      </c>
      <c r="H401">
        <f t="shared" si="25"/>
        <v>1692400</v>
      </c>
      <c r="I401">
        <f t="shared" si="26"/>
        <v>225200</v>
      </c>
    </row>
    <row r="402" spans="1:9">
      <c r="A402" t="s">
        <v>25</v>
      </c>
      <c r="B402" t="s">
        <v>18</v>
      </c>
      <c r="C402">
        <v>315000</v>
      </c>
      <c r="D402">
        <v>325000</v>
      </c>
      <c r="E402" t="str">
        <f>VLOOKUP(B402,Лист2!A:E,5,0)</f>
        <v>малые</v>
      </c>
      <c r="F402">
        <f>VLOOKUP(B402,Лист2!A:E,4,0)</f>
        <v>2.5</v>
      </c>
      <c r="G402">
        <f t="shared" si="24"/>
        <v>-10000</v>
      </c>
      <c r="H402">
        <f t="shared" si="25"/>
        <v>126000</v>
      </c>
      <c r="I402">
        <f t="shared" si="26"/>
        <v>-4000</v>
      </c>
    </row>
    <row r="403" spans="1:9">
      <c r="A403" t="s">
        <v>14</v>
      </c>
      <c r="B403" t="s">
        <v>18</v>
      </c>
      <c r="C403">
        <v>95000</v>
      </c>
      <c r="D403">
        <v>95000</v>
      </c>
      <c r="E403" t="str">
        <f>VLOOKUP(B403,Лист2!A:E,5,0)</f>
        <v>малые</v>
      </c>
      <c r="F403">
        <f>VLOOKUP(B403,Лист2!A:E,4,0)</f>
        <v>2.5</v>
      </c>
      <c r="G403">
        <f t="shared" si="24"/>
        <v>0</v>
      </c>
      <c r="H403">
        <f t="shared" si="25"/>
        <v>38000</v>
      </c>
      <c r="I403">
        <f t="shared" si="26"/>
        <v>0</v>
      </c>
    </row>
    <row r="404" spans="1:9">
      <c r="A404" t="s">
        <v>14</v>
      </c>
      <c r="B404" t="s">
        <v>18</v>
      </c>
      <c r="C404">
        <v>144000</v>
      </c>
      <c r="D404">
        <v>144000</v>
      </c>
      <c r="E404" t="str">
        <f>VLOOKUP(B404,Лист2!A:E,5,0)</f>
        <v>малые</v>
      </c>
      <c r="F404">
        <f>VLOOKUP(B404,Лист2!A:E,4,0)</f>
        <v>2.5</v>
      </c>
      <c r="G404">
        <f t="shared" si="24"/>
        <v>0</v>
      </c>
      <c r="H404">
        <f t="shared" si="25"/>
        <v>57600</v>
      </c>
      <c r="I404">
        <f t="shared" si="26"/>
        <v>0</v>
      </c>
    </row>
    <row r="405" spans="1:9">
      <c r="A405" t="s">
        <v>14</v>
      </c>
      <c r="B405" t="s">
        <v>18</v>
      </c>
      <c r="C405">
        <v>426000</v>
      </c>
      <c r="D405">
        <v>25000</v>
      </c>
      <c r="E405" t="str">
        <f>VLOOKUP(B405,Лист2!A:E,5,0)</f>
        <v>малые</v>
      </c>
      <c r="F405">
        <f>VLOOKUP(B405,Лист2!A:E,4,0)</f>
        <v>2.5</v>
      </c>
      <c r="G405">
        <f t="shared" si="24"/>
        <v>401000</v>
      </c>
      <c r="H405">
        <f t="shared" si="25"/>
        <v>170400</v>
      </c>
      <c r="I405">
        <f t="shared" si="26"/>
        <v>160400</v>
      </c>
    </row>
    <row r="406" spans="1:9">
      <c r="A406" t="s">
        <v>14</v>
      </c>
      <c r="B406" t="s">
        <v>18</v>
      </c>
      <c r="C406">
        <v>3713000</v>
      </c>
      <c r="D406">
        <v>3509000</v>
      </c>
      <c r="E406" t="str">
        <f>VLOOKUP(B406,Лист2!A:E,5,0)</f>
        <v>малые</v>
      </c>
      <c r="F406">
        <f>VLOOKUP(B406,Лист2!A:E,4,0)</f>
        <v>2.5</v>
      </c>
      <c r="G406">
        <f t="shared" si="24"/>
        <v>204000</v>
      </c>
      <c r="H406">
        <f t="shared" si="25"/>
        <v>1485200</v>
      </c>
      <c r="I406">
        <f t="shared" si="26"/>
        <v>81600</v>
      </c>
    </row>
    <row r="407" spans="1:9">
      <c r="A407" t="s">
        <v>14</v>
      </c>
      <c r="B407" t="s">
        <v>18</v>
      </c>
      <c r="C407">
        <v>7378000</v>
      </c>
      <c r="D407">
        <v>8729000</v>
      </c>
      <c r="E407" t="str">
        <f>VLOOKUP(B407,Лист2!A:E,5,0)</f>
        <v>малые</v>
      </c>
      <c r="F407">
        <f>VLOOKUP(B407,Лист2!A:E,4,0)</f>
        <v>2.5</v>
      </c>
      <c r="G407">
        <f t="shared" si="24"/>
        <v>-1351000</v>
      </c>
      <c r="H407">
        <f t="shared" si="25"/>
        <v>2951200</v>
      </c>
      <c r="I407">
        <f t="shared" si="26"/>
        <v>-540400</v>
      </c>
    </row>
    <row r="408" spans="1:9">
      <c r="A408" t="s">
        <v>14</v>
      </c>
      <c r="B408" t="s">
        <v>18</v>
      </c>
      <c r="C408">
        <v>5007000</v>
      </c>
      <c r="D408">
        <v>4433000</v>
      </c>
      <c r="E408" t="str">
        <f>VLOOKUP(B408,Лист2!A:E,5,0)</f>
        <v>малые</v>
      </c>
      <c r="F408">
        <f>VLOOKUP(B408,Лист2!A:E,4,0)</f>
        <v>2.5</v>
      </c>
      <c r="G408">
        <f t="shared" si="24"/>
        <v>574000</v>
      </c>
      <c r="H408">
        <f t="shared" si="25"/>
        <v>2002800</v>
      </c>
      <c r="I408">
        <f t="shared" si="26"/>
        <v>229600</v>
      </c>
    </row>
    <row r="409" spans="1:9">
      <c r="A409" t="s">
        <v>14</v>
      </c>
      <c r="B409" t="s">
        <v>18</v>
      </c>
      <c r="C409">
        <v>3980000</v>
      </c>
      <c r="D409">
        <v>3638000</v>
      </c>
      <c r="E409" t="str">
        <f>VLOOKUP(B409,Лист2!A:E,5,0)</f>
        <v>малые</v>
      </c>
      <c r="F409">
        <f>VLOOKUP(B409,Лист2!A:E,4,0)</f>
        <v>2.5</v>
      </c>
      <c r="G409">
        <f t="shared" si="24"/>
        <v>342000</v>
      </c>
      <c r="H409">
        <f t="shared" si="25"/>
        <v>1592000</v>
      </c>
      <c r="I409">
        <f t="shared" si="26"/>
        <v>136800</v>
      </c>
    </row>
    <row r="410" spans="1:9">
      <c r="A410" t="s">
        <v>14</v>
      </c>
      <c r="B410" t="s">
        <v>18</v>
      </c>
      <c r="C410">
        <v>5141000</v>
      </c>
      <c r="D410">
        <v>5437000</v>
      </c>
      <c r="E410" t="str">
        <f>VLOOKUP(B410,Лист2!A:E,5,0)</f>
        <v>малые</v>
      </c>
      <c r="F410">
        <f>VLOOKUP(B410,Лист2!A:E,4,0)</f>
        <v>2.5</v>
      </c>
      <c r="G410">
        <f t="shared" si="24"/>
        <v>-296000</v>
      </c>
      <c r="H410">
        <f t="shared" si="25"/>
        <v>2056400</v>
      </c>
      <c r="I410">
        <f t="shared" si="26"/>
        <v>-118400</v>
      </c>
    </row>
    <row r="411" spans="1:9">
      <c r="A411" t="s">
        <v>14</v>
      </c>
      <c r="B411" t="s">
        <v>18</v>
      </c>
      <c r="C411">
        <v>681000</v>
      </c>
      <c r="D411">
        <v>1884000</v>
      </c>
      <c r="E411" t="str">
        <f>VLOOKUP(B411,Лист2!A:E,5,0)</f>
        <v>малые</v>
      </c>
      <c r="F411">
        <f>VLOOKUP(B411,Лист2!A:E,4,0)</f>
        <v>2.5</v>
      </c>
      <c r="G411">
        <f t="shared" si="24"/>
        <v>-1203000</v>
      </c>
      <c r="H411">
        <f t="shared" si="25"/>
        <v>272400</v>
      </c>
      <c r="I411">
        <f t="shared" si="26"/>
        <v>-481200</v>
      </c>
    </row>
    <row r="412" spans="1:9">
      <c r="A412" t="s">
        <v>14</v>
      </c>
      <c r="B412" t="s">
        <v>18</v>
      </c>
      <c r="C412">
        <v>4412000</v>
      </c>
      <c r="D412">
        <v>5838000</v>
      </c>
      <c r="E412" t="str">
        <f>VLOOKUP(B412,Лист2!A:E,5,0)</f>
        <v>малые</v>
      </c>
      <c r="F412">
        <f>VLOOKUP(B412,Лист2!A:E,4,0)</f>
        <v>2.5</v>
      </c>
      <c r="G412">
        <f t="shared" si="24"/>
        <v>-1426000</v>
      </c>
      <c r="H412">
        <f t="shared" si="25"/>
        <v>1764800</v>
      </c>
      <c r="I412">
        <f t="shared" si="26"/>
        <v>-570400</v>
      </c>
    </row>
    <row r="413" spans="1:9">
      <c r="A413" t="s">
        <v>25</v>
      </c>
      <c r="B413" t="s">
        <v>18</v>
      </c>
      <c r="C413">
        <v>509000</v>
      </c>
      <c r="D413">
        <v>511000</v>
      </c>
      <c r="E413" t="str">
        <f>VLOOKUP(B413,Лист2!A:E,5,0)</f>
        <v>малые</v>
      </c>
      <c r="F413">
        <f>VLOOKUP(B413,Лист2!A:E,4,0)</f>
        <v>2.5</v>
      </c>
      <c r="G413">
        <f t="shared" si="24"/>
        <v>-2000</v>
      </c>
      <c r="H413">
        <f t="shared" si="25"/>
        <v>203600</v>
      </c>
      <c r="I413">
        <f t="shared" si="26"/>
        <v>-800</v>
      </c>
    </row>
    <row r="414" spans="1:9">
      <c r="A414" t="s">
        <v>14</v>
      </c>
      <c r="B414" t="s">
        <v>18</v>
      </c>
      <c r="C414">
        <v>87175000</v>
      </c>
      <c r="D414">
        <v>83982000</v>
      </c>
      <c r="E414" t="str">
        <f>VLOOKUP(B414,Лист2!A:E,5,0)</f>
        <v>малые</v>
      </c>
      <c r="F414">
        <f>VLOOKUP(B414,Лист2!A:E,4,0)</f>
        <v>2.5</v>
      </c>
      <c r="G414">
        <f t="shared" si="24"/>
        <v>3193000</v>
      </c>
      <c r="H414">
        <f t="shared" si="25"/>
        <v>34870000</v>
      </c>
      <c r="I414">
        <f t="shared" si="26"/>
        <v>1277200</v>
      </c>
    </row>
    <row r="415" spans="1:9">
      <c r="A415" t="s">
        <v>14</v>
      </c>
      <c r="B415" t="s">
        <v>23</v>
      </c>
      <c r="C415">
        <v>32744000</v>
      </c>
      <c r="D415">
        <v>48533000</v>
      </c>
      <c r="E415" t="str">
        <f>VLOOKUP(B415,Лист2!A:E,5,0)</f>
        <v>средние</v>
      </c>
      <c r="F415">
        <f>VLOOKUP(B415,Лист2!A:E,4,0)</f>
        <v>75.5</v>
      </c>
      <c r="G415">
        <f t="shared" si="24"/>
        <v>-15789000</v>
      </c>
      <c r="H415">
        <f t="shared" si="25"/>
        <v>433695.36423841061</v>
      </c>
      <c r="I415">
        <f t="shared" si="26"/>
        <v>-209125.82781456952</v>
      </c>
    </row>
    <row r="416" spans="1:9">
      <c r="A416" t="s">
        <v>14</v>
      </c>
      <c r="B416" t="s">
        <v>22</v>
      </c>
      <c r="C416">
        <v>33149000</v>
      </c>
      <c r="D416">
        <v>33033000</v>
      </c>
      <c r="E416" t="str">
        <f>VLOOKUP(B416,Лист2!A:E,5,0)</f>
        <v>малые</v>
      </c>
      <c r="F416">
        <f>VLOOKUP(B416,Лист2!A:E,4,0)</f>
        <v>13</v>
      </c>
      <c r="G416">
        <f t="shared" si="24"/>
        <v>116000</v>
      </c>
      <c r="H416">
        <f t="shared" si="25"/>
        <v>2549923.076923077</v>
      </c>
      <c r="I416">
        <f t="shared" si="26"/>
        <v>8923.0769230769238</v>
      </c>
    </row>
    <row r="417" spans="1:9">
      <c r="A417" t="s">
        <v>14</v>
      </c>
      <c r="B417" t="s">
        <v>18</v>
      </c>
      <c r="C417">
        <v>1000000</v>
      </c>
      <c r="D417">
        <v>1000000</v>
      </c>
      <c r="E417" t="str">
        <f>VLOOKUP(B417,Лист2!A:E,5,0)</f>
        <v>малые</v>
      </c>
      <c r="F417">
        <f>VLOOKUP(B417,Лист2!A:E,4,0)</f>
        <v>2.5</v>
      </c>
      <c r="G417">
        <f t="shared" si="24"/>
        <v>0</v>
      </c>
      <c r="H417">
        <f t="shared" si="25"/>
        <v>400000</v>
      </c>
      <c r="I417">
        <f t="shared" si="26"/>
        <v>0</v>
      </c>
    </row>
    <row r="418" spans="1:9">
      <c r="A418" t="s">
        <v>14</v>
      </c>
      <c r="B418" t="s">
        <v>18</v>
      </c>
      <c r="C418">
        <v>1724000</v>
      </c>
      <c r="D418">
        <v>1989000</v>
      </c>
      <c r="E418" t="str">
        <f>VLOOKUP(B418,Лист2!A:E,5,0)</f>
        <v>малые</v>
      </c>
      <c r="F418">
        <f>VLOOKUP(B418,Лист2!A:E,4,0)</f>
        <v>2.5</v>
      </c>
      <c r="G418">
        <f t="shared" si="24"/>
        <v>-265000</v>
      </c>
      <c r="H418">
        <f t="shared" si="25"/>
        <v>689600</v>
      </c>
      <c r="I418">
        <f t="shared" si="26"/>
        <v>-106000</v>
      </c>
    </row>
    <row r="419" spans="1:9">
      <c r="A419" t="s">
        <v>14</v>
      </c>
      <c r="B419" t="s">
        <v>18</v>
      </c>
      <c r="C419">
        <v>2250000</v>
      </c>
      <c r="D419">
        <v>2174000</v>
      </c>
      <c r="E419" t="str">
        <f>VLOOKUP(B419,Лист2!A:E,5,0)</f>
        <v>малые</v>
      </c>
      <c r="F419">
        <f>VLOOKUP(B419,Лист2!A:E,4,0)</f>
        <v>2.5</v>
      </c>
      <c r="G419">
        <f t="shared" si="24"/>
        <v>76000</v>
      </c>
      <c r="H419">
        <f t="shared" si="25"/>
        <v>900000</v>
      </c>
      <c r="I419">
        <f t="shared" si="26"/>
        <v>30400</v>
      </c>
    </row>
    <row r="420" spans="1:9">
      <c r="A420" t="s">
        <v>14</v>
      </c>
      <c r="B420" t="s">
        <v>18</v>
      </c>
      <c r="C420">
        <v>300000</v>
      </c>
      <c r="D420">
        <v>225000</v>
      </c>
      <c r="E420" t="str">
        <f>VLOOKUP(B420,Лист2!A:E,5,0)</f>
        <v>малые</v>
      </c>
      <c r="F420">
        <f>VLOOKUP(B420,Лист2!A:E,4,0)</f>
        <v>2.5</v>
      </c>
      <c r="G420">
        <f t="shared" si="24"/>
        <v>75000</v>
      </c>
      <c r="H420">
        <f t="shared" si="25"/>
        <v>120000</v>
      </c>
      <c r="I420">
        <f t="shared" si="26"/>
        <v>30000</v>
      </c>
    </row>
    <row r="421" spans="1:9">
      <c r="A421" t="s">
        <v>25</v>
      </c>
      <c r="B421" t="s">
        <v>18</v>
      </c>
      <c r="C421">
        <v>2990000</v>
      </c>
      <c r="D421">
        <v>6231000</v>
      </c>
      <c r="E421" t="str">
        <f>VLOOKUP(B421,Лист2!A:E,5,0)</f>
        <v>малые</v>
      </c>
      <c r="F421">
        <f>VLOOKUP(B421,Лист2!A:E,4,0)</f>
        <v>2.5</v>
      </c>
      <c r="G421">
        <f t="shared" si="24"/>
        <v>-3241000</v>
      </c>
      <c r="H421">
        <f t="shared" si="25"/>
        <v>1196000</v>
      </c>
      <c r="I421">
        <f t="shared" si="26"/>
        <v>-1296400</v>
      </c>
    </row>
    <row r="422" spans="1:9">
      <c r="A422" t="s">
        <v>25</v>
      </c>
      <c r="B422" t="s">
        <v>22</v>
      </c>
      <c r="C422">
        <v>28256000</v>
      </c>
      <c r="D422">
        <v>28319000</v>
      </c>
      <c r="E422" t="str">
        <f>VLOOKUP(B422,Лист2!A:E,5,0)</f>
        <v>малые</v>
      </c>
      <c r="F422">
        <f>VLOOKUP(B422,Лист2!A:E,4,0)</f>
        <v>13</v>
      </c>
      <c r="G422">
        <f t="shared" si="24"/>
        <v>-63000</v>
      </c>
      <c r="H422">
        <f t="shared" si="25"/>
        <v>2173538.4615384615</v>
      </c>
      <c r="I422">
        <f t="shared" si="26"/>
        <v>-4846.1538461538457</v>
      </c>
    </row>
    <row r="423" spans="1:9">
      <c r="A423" t="s">
        <v>14</v>
      </c>
      <c r="B423" t="s">
        <v>18</v>
      </c>
      <c r="C423">
        <v>1660000</v>
      </c>
      <c r="D423">
        <v>1836000</v>
      </c>
      <c r="E423" t="str">
        <f>VLOOKUP(B423,Лист2!A:E,5,0)</f>
        <v>малые</v>
      </c>
      <c r="F423">
        <f>VLOOKUP(B423,Лист2!A:E,4,0)</f>
        <v>2.5</v>
      </c>
      <c r="G423">
        <f t="shared" si="24"/>
        <v>-176000</v>
      </c>
      <c r="H423">
        <f t="shared" si="25"/>
        <v>664000</v>
      </c>
      <c r="I423">
        <f t="shared" si="26"/>
        <v>-70400</v>
      </c>
    </row>
    <row r="424" spans="1:9">
      <c r="A424" t="s">
        <v>14</v>
      </c>
      <c r="B424" t="s">
        <v>18</v>
      </c>
      <c r="C424">
        <v>28000</v>
      </c>
      <c r="D424">
        <v>22000</v>
      </c>
      <c r="E424" t="str">
        <f>VLOOKUP(B424,Лист2!A:E,5,0)</f>
        <v>малые</v>
      </c>
      <c r="F424">
        <f>VLOOKUP(B424,Лист2!A:E,4,0)</f>
        <v>2.5</v>
      </c>
      <c r="G424">
        <f t="shared" si="24"/>
        <v>6000</v>
      </c>
      <c r="H424">
        <f t="shared" si="25"/>
        <v>11200</v>
      </c>
      <c r="I424">
        <f t="shared" si="26"/>
        <v>2400</v>
      </c>
    </row>
    <row r="425" spans="1:9">
      <c r="A425" t="s">
        <v>14</v>
      </c>
      <c r="B425" t="s">
        <v>18</v>
      </c>
      <c r="C425">
        <v>9771000</v>
      </c>
      <c r="D425">
        <v>5975000</v>
      </c>
      <c r="E425" t="str">
        <f>VLOOKUP(B425,Лист2!A:E,5,0)</f>
        <v>малые</v>
      </c>
      <c r="F425">
        <f>VLOOKUP(B425,Лист2!A:E,4,0)</f>
        <v>2.5</v>
      </c>
      <c r="G425">
        <f t="shared" si="24"/>
        <v>3796000</v>
      </c>
      <c r="H425">
        <f t="shared" si="25"/>
        <v>3908400</v>
      </c>
      <c r="I425">
        <f t="shared" si="26"/>
        <v>1518400</v>
      </c>
    </row>
    <row r="426" spans="1:9">
      <c r="A426" t="s">
        <v>14</v>
      </c>
      <c r="B426" t="s">
        <v>18</v>
      </c>
      <c r="C426">
        <v>179000</v>
      </c>
      <c r="D426">
        <v>179000</v>
      </c>
      <c r="E426" t="str">
        <f>VLOOKUP(B426,Лист2!A:E,5,0)</f>
        <v>малые</v>
      </c>
      <c r="F426">
        <f>VLOOKUP(B426,Лист2!A:E,4,0)</f>
        <v>2.5</v>
      </c>
      <c r="G426">
        <f t="shared" si="24"/>
        <v>0</v>
      </c>
      <c r="H426">
        <f t="shared" si="25"/>
        <v>71600</v>
      </c>
      <c r="I426">
        <f t="shared" si="26"/>
        <v>0</v>
      </c>
    </row>
    <row r="427" spans="1:9">
      <c r="A427" t="s">
        <v>14</v>
      </c>
      <c r="B427" t="s">
        <v>18</v>
      </c>
      <c r="C427">
        <v>5890000</v>
      </c>
      <c r="D427">
        <v>6549000</v>
      </c>
      <c r="E427" t="str">
        <f>VLOOKUP(B427,Лист2!A:E,5,0)</f>
        <v>малые</v>
      </c>
      <c r="F427">
        <f>VLOOKUP(B427,Лист2!A:E,4,0)</f>
        <v>2.5</v>
      </c>
      <c r="G427">
        <f t="shared" si="24"/>
        <v>-659000</v>
      </c>
      <c r="H427">
        <f t="shared" si="25"/>
        <v>2356000</v>
      </c>
      <c r="I427">
        <f t="shared" si="26"/>
        <v>-263600</v>
      </c>
    </row>
    <row r="428" spans="1:9">
      <c r="A428" t="s">
        <v>25</v>
      </c>
      <c r="B428" t="s">
        <v>18</v>
      </c>
      <c r="C428">
        <v>53000</v>
      </c>
      <c r="D428">
        <v>53000</v>
      </c>
      <c r="E428" t="str">
        <f>VLOOKUP(B428,Лист2!A:E,5,0)</f>
        <v>малые</v>
      </c>
      <c r="F428">
        <f>VLOOKUP(B428,Лист2!A:E,4,0)</f>
        <v>2.5</v>
      </c>
      <c r="G428">
        <f t="shared" si="24"/>
        <v>0</v>
      </c>
      <c r="H428">
        <f t="shared" si="25"/>
        <v>21200</v>
      </c>
      <c r="I428">
        <f t="shared" si="26"/>
        <v>0</v>
      </c>
    </row>
    <row r="429" spans="1:9">
      <c r="A429" t="s">
        <v>14</v>
      </c>
      <c r="B429" t="s">
        <v>18</v>
      </c>
      <c r="C429">
        <v>1553000</v>
      </c>
      <c r="D429">
        <v>1557000</v>
      </c>
      <c r="E429" t="str">
        <f>VLOOKUP(B429,Лист2!A:E,5,0)</f>
        <v>малые</v>
      </c>
      <c r="F429">
        <f>VLOOKUP(B429,Лист2!A:E,4,0)</f>
        <v>2.5</v>
      </c>
      <c r="G429">
        <f t="shared" si="24"/>
        <v>-4000</v>
      </c>
      <c r="H429">
        <f t="shared" si="25"/>
        <v>621200</v>
      </c>
      <c r="I429">
        <f t="shared" si="26"/>
        <v>-1600</v>
      </c>
    </row>
    <row r="430" spans="1:9">
      <c r="A430" t="s">
        <v>14</v>
      </c>
      <c r="B430" t="s">
        <v>18</v>
      </c>
      <c r="C430">
        <v>13250000</v>
      </c>
      <c r="D430">
        <v>12881000</v>
      </c>
      <c r="E430" t="str">
        <f>VLOOKUP(B430,Лист2!A:E,5,0)</f>
        <v>малые</v>
      </c>
      <c r="F430">
        <f>VLOOKUP(B430,Лист2!A:E,4,0)</f>
        <v>2.5</v>
      </c>
      <c r="G430">
        <f t="shared" si="24"/>
        <v>369000</v>
      </c>
      <c r="H430">
        <f t="shared" si="25"/>
        <v>5300000</v>
      </c>
      <c r="I430">
        <f t="shared" si="26"/>
        <v>147600</v>
      </c>
    </row>
    <row r="431" spans="1:9">
      <c r="A431" t="s">
        <v>14</v>
      </c>
      <c r="B431" t="s">
        <v>18</v>
      </c>
      <c r="C431">
        <v>274000</v>
      </c>
      <c r="D431">
        <v>274000</v>
      </c>
      <c r="E431" t="str">
        <f>VLOOKUP(B431,Лист2!A:E,5,0)</f>
        <v>малые</v>
      </c>
      <c r="F431">
        <f>VLOOKUP(B431,Лист2!A:E,4,0)</f>
        <v>2.5</v>
      </c>
      <c r="G431">
        <f t="shared" si="24"/>
        <v>0</v>
      </c>
      <c r="H431">
        <f t="shared" si="25"/>
        <v>109600</v>
      </c>
      <c r="I431">
        <f t="shared" si="26"/>
        <v>0</v>
      </c>
    </row>
    <row r="432" spans="1:9">
      <c r="A432" t="s">
        <v>14</v>
      </c>
      <c r="B432" t="s">
        <v>18</v>
      </c>
      <c r="C432">
        <v>214000</v>
      </c>
      <c r="D432">
        <v>170000</v>
      </c>
      <c r="E432" t="str">
        <f>VLOOKUP(B432,Лист2!A:E,5,0)</f>
        <v>малые</v>
      </c>
      <c r="F432">
        <f>VLOOKUP(B432,Лист2!A:E,4,0)</f>
        <v>2.5</v>
      </c>
      <c r="G432">
        <f t="shared" ref="G432:G469" si="27">C432-D432</f>
        <v>44000</v>
      </c>
      <c r="H432">
        <f t="shared" ref="H432:H469" si="28">C432/F432</f>
        <v>85600</v>
      </c>
      <c r="I432">
        <f t="shared" ref="I432:I469" si="29">G432/F432</f>
        <v>17600</v>
      </c>
    </row>
    <row r="433" spans="1:9">
      <c r="A433" t="s">
        <v>14</v>
      </c>
      <c r="B433" t="s">
        <v>18</v>
      </c>
      <c r="C433">
        <v>389000</v>
      </c>
      <c r="D433">
        <v>389000</v>
      </c>
      <c r="E433" t="str">
        <f>VLOOKUP(B433,Лист2!A:E,5,0)</f>
        <v>малые</v>
      </c>
      <c r="F433">
        <f>VLOOKUP(B433,Лист2!A:E,4,0)</f>
        <v>2.5</v>
      </c>
      <c r="G433">
        <f t="shared" si="27"/>
        <v>0</v>
      </c>
      <c r="H433">
        <f t="shared" si="28"/>
        <v>155600</v>
      </c>
      <c r="I433">
        <f t="shared" si="29"/>
        <v>0</v>
      </c>
    </row>
    <row r="434" spans="1:9">
      <c r="A434" t="s">
        <v>14</v>
      </c>
      <c r="B434" t="s">
        <v>18</v>
      </c>
      <c r="C434">
        <v>711000</v>
      </c>
      <c r="D434">
        <v>781000</v>
      </c>
      <c r="E434" t="str">
        <f>VLOOKUP(B434,Лист2!A:E,5,0)</f>
        <v>малые</v>
      </c>
      <c r="F434">
        <f>VLOOKUP(B434,Лист2!A:E,4,0)</f>
        <v>2.5</v>
      </c>
      <c r="G434">
        <f t="shared" si="27"/>
        <v>-70000</v>
      </c>
      <c r="H434">
        <f t="shared" si="28"/>
        <v>284400</v>
      </c>
      <c r="I434">
        <f t="shared" si="29"/>
        <v>-28000</v>
      </c>
    </row>
    <row r="435" spans="1:9">
      <c r="A435" t="s">
        <v>14</v>
      </c>
      <c r="B435" t="s">
        <v>22</v>
      </c>
      <c r="C435">
        <v>467017000</v>
      </c>
      <c r="D435">
        <v>465426000</v>
      </c>
      <c r="E435" t="str">
        <f>VLOOKUP(B435,Лист2!A:E,5,0)</f>
        <v>малые</v>
      </c>
      <c r="F435">
        <f>VLOOKUP(B435,Лист2!A:E,4,0)</f>
        <v>13</v>
      </c>
      <c r="G435">
        <f t="shared" si="27"/>
        <v>1591000</v>
      </c>
      <c r="H435">
        <f t="shared" si="28"/>
        <v>35924384.615384616</v>
      </c>
      <c r="I435">
        <f t="shared" si="29"/>
        <v>122384.61538461539</v>
      </c>
    </row>
    <row r="436" spans="1:9">
      <c r="A436" t="s">
        <v>14</v>
      </c>
      <c r="B436" t="s">
        <v>18</v>
      </c>
      <c r="C436">
        <v>2938000</v>
      </c>
      <c r="D436">
        <v>2106000</v>
      </c>
      <c r="E436" t="str">
        <f>VLOOKUP(B436,Лист2!A:E,5,0)</f>
        <v>малые</v>
      </c>
      <c r="F436">
        <f>VLOOKUP(B436,Лист2!A:E,4,0)</f>
        <v>2.5</v>
      </c>
      <c r="G436">
        <f t="shared" si="27"/>
        <v>832000</v>
      </c>
      <c r="H436">
        <f t="shared" si="28"/>
        <v>1175200</v>
      </c>
      <c r="I436">
        <f t="shared" si="29"/>
        <v>332800</v>
      </c>
    </row>
    <row r="437" spans="1:9">
      <c r="A437" t="s">
        <v>14</v>
      </c>
      <c r="B437" t="s">
        <v>18</v>
      </c>
      <c r="C437">
        <v>778000</v>
      </c>
      <c r="D437">
        <v>393000</v>
      </c>
      <c r="E437" t="str">
        <f>VLOOKUP(B437,Лист2!A:E,5,0)</f>
        <v>малые</v>
      </c>
      <c r="F437">
        <f>VLOOKUP(B437,Лист2!A:E,4,0)</f>
        <v>2.5</v>
      </c>
      <c r="G437">
        <f t="shared" si="27"/>
        <v>385000</v>
      </c>
      <c r="H437">
        <f t="shared" si="28"/>
        <v>311200</v>
      </c>
      <c r="I437">
        <f t="shared" si="29"/>
        <v>154000</v>
      </c>
    </row>
    <row r="438" spans="1:9">
      <c r="A438" t="s">
        <v>14</v>
      </c>
      <c r="B438" t="s">
        <v>18</v>
      </c>
      <c r="C438">
        <v>15779000</v>
      </c>
      <c r="D438">
        <v>13908000</v>
      </c>
      <c r="E438" t="str">
        <f>VLOOKUP(B438,Лист2!A:E,5,0)</f>
        <v>малые</v>
      </c>
      <c r="F438">
        <f>VLOOKUP(B438,Лист2!A:E,4,0)</f>
        <v>2.5</v>
      </c>
      <c r="G438">
        <f t="shared" si="27"/>
        <v>1871000</v>
      </c>
      <c r="H438">
        <f t="shared" si="28"/>
        <v>6311600</v>
      </c>
      <c r="I438">
        <f t="shared" si="29"/>
        <v>748400</v>
      </c>
    </row>
    <row r="439" spans="1:9">
      <c r="A439" t="s">
        <v>14</v>
      </c>
      <c r="B439" t="s">
        <v>18</v>
      </c>
      <c r="C439">
        <v>2050000</v>
      </c>
      <c r="D439">
        <v>1849000</v>
      </c>
      <c r="E439" t="str">
        <f>VLOOKUP(B439,Лист2!A:E,5,0)</f>
        <v>малые</v>
      </c>
      <c r="F439">
        <f>VLOOKUP(B439,Лист2!A:E,4,0)</f>
        <v>2.5</v>
      </c>
      <c r="G439">
        <f t="shared" si="27"/>
        <v>201000</v>
      </c>
      <c r="H439">
        <f t="shared" si="28"/>
        <v>820000</v>
      </c>
      <c r="I439">
        <f t="shared" si="29"/>
        <v>80400</v>
      </c>
    </row>
    <row r="440" spans="1:9">
      <c r="A440" t="s">
        <v>14</v>
      </c>
      <c r="B440" t="s">
        <v>18</v>
      </c>
      <c r="C440">
        <v>25500000</v>
      </c>
      <c r="D440">
        <v>26629000</v>
      </c>
      <c r="E440" t="str">
        <f>VLOOKUP(B440,Лист2!A:E,5,0)</f>
        <v>малые</v>
      </c>
      <c r="F440">
        <f>VLOOKUP(B440,Лист2!A:E,4,0)</f>
        <v>2.5</v>
      </c>
      <c r="G440">
        <f t="shared" si="27"/>
        <v>-1129000</v>
      </c>
      <c r="H440">
        <f t="shared" si="28"/>
        <v>10200000</v>
      </c>
      <c r="I440">
        <f t="shared" si="29"/>
        <v>-451600</v>
      </c>
    </row>
    <row r="441" spans="1:9">
      <c r="A441" t="s">
        <v>14</v>
      </c>
      <c r="B441" t="s">
        <v>18</v>
      </c>
      <c r="C441">
        <v>300000</v>
      </c>
      <c r="D441">
        <v>344000</v>
      </c>
      <c r="E441" t="str">
        <f>VLOOKUP(B441,Лист2!A:E,5,0)</f>
        <v>малые</v>
      </c>
      <c r="F441">
        <f>VLOOKUP(B441,Лист2!A:E,4,0)</f>
        <v>2.5</v>
      </c>
      <c r="G441">
        <f t="shared" si="27"/>
        <v>-44000</v>
      </c>
      <c r="H441">
        <f t="shared" si="28"/>
        <v>120000</v>
      </c>
      <c r="I441">
        <f t="shared" si="29"/>
        <v>-17600</v>
      </c>
    </row>
    <row r="442" spans="1:9">
      <c r="A442" t="s">
        <v>14</v>
      </c>
      <c r="B442" t="s">
        <v>22</v>
      </c>
      <c r="C442">
        <v>1518000</v>
      </c>
      <c r="D442">
        <v>1549000</v>
      </c>
      <c r="E442" t="str">
        <f>VLOOKUP(B442,Лист2!A:E,5,0)</f>
        <v>малые</v>
      </c>
      <c r="F442">
        <f>VLOOKUP(B442,Лист2!A:E,4,0)</f>
        <v>13</v>
      </c>
      <c r="G442">
        <f t="shared" si="27"/>
        <v>-31000</v>
      </c>
      <c r="H442">
        <f t="shared" si="28"/>
        <v>116769.23076923077</v>
      </c>
      <c r="I442">
        <f t="shared" si="29"/>
        <v>-2384.6153846153848</v>
      </c>
    </row>
    <row r="443" spans="1:9">
      <c r="A443" t="s">
        <v>14</v>
      </c>
      <c r="B443" t="s">
        <v>18</v>
      </c>
      <c r="C443">
        <v>16941000</v>
      </c>
      <c r="D443">
        <v>21812000</v>
      </c>
      <c r="E443" t="str">
        <f>VLOOKUP(B443,Лист2!A:E,5,0)</f>
        <v>малые</v>
      </c>
      <c r="F443">
        <f>VLOOKUP(B443,Лист2!A:E,4,0)</f>
        <v>2.5</v>
      </c>
      <c r="G443">
        <f t="shared" si="27"/>
        <v>-4871000</v>
      </c>
      <c r="H443">
        <f t="shared" si="28"/>
        <v>6776400</v>
      </c>
      <c r="I443">
        <f t="shared" si="29"/>
        <v>-1948400</v>
      </c>
    </row>
    <row r="444" spans="1:9">
      <c r="A444" t="s">
        <v>14</v>
      </c>
      <c r="B444" t="s">
        <v>18</v>
      </c>
      <c r="C444">
        <v>2747000</v>
      </c>
      <c r="D444">
        <v>2608000</v>
      </c>
      <c r="E444" t="str">
        <f>VLOOKUP(B444,Лист2!A:E,5,0)</f>
        <v>малые</v>
      </c>
      <c r="F444">
        <f>VLOOKUP(B444,Лист2!A:E,4,0)</f>
        <v>2.5</v>
      </c>
      <c r="G444">
        <f t="shared" si="27"/>
        <v>139000</v>
      </c>
      <c r="H444">
        <f t="shared" si="28"/>
        <v>1098800</v>
      </c>
      <c r="I444">
        <f t="shared" si="29"/>
        <v>55600</v>
      </c>
    </row>
    <row r="445" spans="1:9">
      <c r="A445" t="s">
        <v>25</v>
      </c>
      <c r="B445" t="s">
        <v>18</v>
      </c>
      <c r="C445">
        <v>1831000</v>
      </c>
      <c r="D445">
        <v>2785000</v>
      </c>
      <c r="E445" t="str">
        <f>VLOOKUP(B445,Лист2!A:E,5,0)</f>
        <v>малые</v>
      </c>
      <c r="F445">
        <f>VLOOKUP(B445,Лист2!A:E,4,0)</f>
        <v>2.5</v>
      </c>
      <c r="G445">
        <f t="shared" si="27"/>
        <v>-954000</v>
      </c>
      <c r="H445">
        <f t="shared" si="28"/>
        <v>732400</v>
      </c>
      <c r="I445">
        <f t="shared" si="29"/>
        <v>-381600</v>
      </c>
    </row>
    <row r="446" spans="1:9">
      <c r="A446" t="s">
        <v>14</v>
      </c>
      <c r="B446" t="s">
        <v>18</v>
      </c>
      <c r="C446">
        <v>8042000</v>
      </c>
      <c r="D446">
        <v>7647000</v>
      </c>
      <c r="E446" t="str">
        <f>VLOOKUP(B446,Лист2!A:E,5,0)</f>
        <v>малые</v>
      </c>
      <c r="F446">
        <f>VLOOKUP(B446,Лист2!A:E,4,0)</f>
        <v>2.5</v>
      </c>
      <c r="G446">
        <f t="shared" si="27"/>
        <v>395000</v>
      </c>
      <c r="H446">
        <f t="shared" si="28"/>
        <v>3216800</v>
      </c>
      <c r="I446">
        <f t="shared" si="29"/>
        <v>158000</v>
      </c>
    </row>
    <row r="447" spans="1:9">
      <c r="A447" t="s">
        <v>25</v>
      </c>
      <c r="B447" t="s">
        <v>18</v>
      </c>
      <c r="C447">
        <v>5666000</v>
      </c>
      <c r="D447">
        <v>5876000</v>
      </c>
      <c r="E447" t="str">
        <f>VLOOKUP(B447,Лист2!A:E,5,0)</f>
        <v>малые</v>
      </c>
      <c r="F447">
        <f>VLOOKUP(B447,Лист2!A:E,4,0)</f>
        <v>2.5</v>
      </c>
      <c r="G447">
        <f t="shared" si="27"/>
        <v>-210000</v>
      </c>
      <c r="H447">
        <f t="shared" si="28"/>
        <v>2266400</v>
      </c>
      <c r="I447">
        <f t="shared" si="29"/>
        <v>-84000</v>
      </c>
    </row>
    <row r="448" spans="1:9">
      <c r="A448" t="s">
        <v>14</v>
      </c>
      <c r="B448" t="s">
        <v>18</v>
      </c>
      <c r="C448">
        <v>1569000</v>
      </c>
      <c r="D448">
        <v>1572000</v>
      </c>
      <c r="E448" t="str">
        <f>VLOOKUP(B448,Лист2!A:E,5,0)</f>
        <v>малые</v>
      </c>
      <c r="F448">
        <f>VLOOKUP(B448,Лист2!A:E,4,0)</f>
        <v>2.5</v>
      </c>
      <c r="G448">
        <f t="shared" si="27"/>
        <v>-3000</v>
      </c>
      <c r="H448">
        <f t="shared" si="28"/>
        <v>627600</v>
      </c>
      <c r="I448">
        <f t="shared" si="29"/>
        <v>-1200</v>
      </c>
    </row>
    <row r="449" spans="1:9">
      <c r="A449" t="s">
        <v>14</v>
      </c>
      <c r="B449" t="s">
        <v>18</v>
      </c>
      <c r="C449">
        <v>609000</v>
      </c>
      <c r="D449">
        <v>613000</v>
      </c>
      <c r="E449" t="str">
        <f>VLOOKUP(B449,Лист2!A:E,5,0)</f>
        <v>малые</v>
      </c>
      <c r="F449">
        <f>VLOOKUP(B449,Лист2!A:E,4,0)</f>
        <v>2.5</v>
      </c>
      <c r="G449">
        <f t="shared" si="27"/>
        <v>-4000</v>
      </c>
      <c r="H449">
        <f t="shared" si="28"/>
        <v>243600</v>
      </c>
      <c r="I449">
        <f t="shared" si="29"/>
        <v>-1600</v>
      </c>
    </row>
    <row r="450" spans="1:9">
      <c r="A450" t="s">
        <v>14</v>
      </c>
      <c r="B450" t="s">
        <v>18</v>
      </c>
      <c r="C450">
        <v>6212000</v>
      </c>
      <c r="D450">
        <v>10111000</v>
      </c>
      <c r="E450" t="str">
        <f>VLOOKUP(B450,Лист2!A:E,5,0)</f>
        <v>малые</v>
      </c>
      <c r="F450">
        <f>VLOOKUP(B450,Лист2!A:E,4,0)</f>
        <v>2.5</v>
      </c>
      <c r="G450">
        <f t="shared" si="27"/>
        <v>-3899000</v>
      </c>
      <c r="H450">
        <f t="shared" si="28"/>
        <v>2484800</v>
      </c>
      <c r="I450">
        <f t="shared" si="29"/>
        <v>-1559600</v>
      </c>
    </row>
    <row r="451" spans="1:9">
      <c r="A451" t="s">
        <v>14</v>
      </c>
      <c r="B451" t="s">
        <v>18</v>
      </c>
      <c r="C451">
        <v>200000</v>
      </c>
      <c r="D451">
        <v>200000</v>
      </c>
      <c r="E451" t="str">
        <f>VLOOKUP(B451,Лист2!A:E,5,0)</f>
        <v>малые</v>
      </c>
      <c r="F451">
        <f>VLOOKUP(B451,Лист2!A:E,4,0)</f>
        <v>2.5</v>
      </c>
      <c r="G451">
        <f t="shared" si="27"/>
        <v>0</v>
      </c>
      <c r="H451">
        <f t="shared" si="28"/>
        <v>80000</v>
      </c>
      <c r="I451">
        <f t="shared" si="29"/>
        <v>0</v>
      </c>
    </row>
    <row r="452" spans="1:9">
      <c r="A452" t="s">
        <v>14</v>
      </c>
      <c r="B452" t="s">
        <v>18</v>
      </c>
      <c r="C452">
        <v>2049000</v>
      </c>
      <c r="D452">
        <v>2049000</v>
      </c>
      <c r="E452" t="str">
        <f>VLOOKUP(B452,Лист2!A:E,5,0)</f>
        <v>малые</v>
      </c>
      <c r="F452">
        <f>VLOOKUP(B452,Лист2!A:E,4,0)</f>
        <v>2.5</v>
      </c>
      <c r="G452">
        <f t="shared" si="27"/>
        <v>0</v>
      </c>
      <c r="H452">
        <f t="shared" si="28"/>
        <v>819600</v>
      </c>
      <c r="I452">
        <f t="shared" si="29"/>
        <v>0</v>
      </c>
    </row>
    <row r="453" spans="1:9">
      <c r="A453" t="s">
        <v>14</v>
      </c>
      <c r="B453" t="s">
        <v>18</v>
      </c>
      <c r="C453">
        <v>884000</v>
      </c>
      <c r="D453">
        <v>865000</v>
      </c>
      <c r="E453" t="str">
        <f>VLOOKUP(B453,Лист2!A:E,5,0)</f>
        <v>малые</v>
      </c>
      <c r="F453">
        <f>VLOOKUP(B453,Лист2!A:E,4,0)</f>
        <v>2.5</v>
      </c>
      <c r="G453">
        <f t="shared" si="27"/>
        <v>19000</v>
      </c>
      <c r="H453">
        <f t="shared" si="28"/>
        <v>353600</v>
      </c>
      <c r="I453">
        <f t="shared" si="29"/>
        <v>7600</v>
      </c>
    </row>
    <row r="454" spans="1:9">
      <c r="A454" t="s">
        <v>14</v>
      </c>
      <c r="B454" t="s">
        <v>22</v>
      </c>
      <c r="C454">
        <v>37773000</v>
      </c>
      <c r="D454">
        <v>37871000</v>
      </c>
      <c r="E454" t="str">
        <f>VLOOKUP(B454,Лист2!A:E,5,0)</f>
        <v>малые</v>
      </c>
      <c r="F454">
        <f>VLOOKUP(B454,Лист2!A:E,4,0)</f>
        <v>13</v>
      </c>
      <c r="G454">
        <f t="shared" si="27"/>
        <v>-98000</v>
      </c>
      <c r="H454">
        <f t="shared" si="28"/>
        <v>2905615.3846153845</v>
      </c>
      <c r="I454">
        <f t="shared" si="29"/>
        <v>-7538.4615384615381</v>
      </c>
    </row>
    <row r="455" spans="1:9">
      <c r="A455" t="s">
        <v>14</v>
      </c>
      <c r="B455" t="s">
        <v>18</v>
      </c>
      <c r="C455">
        <v>3594000</v>
      </c>
      <c r="D455">
        <v>4489000</v>
      </c>
      <c r="E455" t="str">
        <f>VLOOKUP(B455,Лист2!A:E,5,0)</f>
        <v>малые</v>
      </c>
      <c r="F455">
        <f>VLOOKUP(B455,Лист2!A:E,4,0)</f>
        <v>2.5</v>
      </c>
      <c r="G455">
        <f t="shared" si="27"/>
        <v>-895000</v>
      </c>
      <c r="H455">
        <f t="shared" si="28"/>
        <v>1437600</v>
      </c>
      <c r="I455">
        <f t="shared" si="29"/>
        <v>-358000</v>
      </c>
    </row>
    <row r="456" spans="1:9">
      <c r="A456" t="s">
        <v>14</v>
      </c>
      <c r="B456" t="s">
        <v>77</v>
      </c>
      <c r="C456">
        <v>44349000</v>
      </c>
      <c r="D456">
        <v>53518000</v>
      </c>
      <c r="E456" t="str">
        <f>VLOOKUP(B456,Лист2!A:E,5,0)</f>
        <v>малые</v>
      </c>
      <c r="F456">
        <f>VLOOKUP(B456,Лист2!A:E,4,0)</f>
        <v>8</v>
      </c>
      <c r="G456">
        <f t="shared" si="27"/>
        <v>-9169000</v>
      </c>
      <c r="H456">
        <f t="shared" si="28"/>
        <v>5543625</v>
      </c>
      <c r="I456">
        <f t="shared" si="29"/>
        <v>-1146125</v>
      </c>
    </row>
    <row r="457" spans="1:9">
      <c r="A457" t="s">
        <v>14</v>
      </c>
      <c r="B457" t="s">
        <v>18</v>
      </c>
      <c r="C457">
        <v>2812000</v>
      </c>
      <c r="D457">
        <v>2847000</v>
      </c>
      <c r="E457" t="str">
        <f>VLOOKUP(B457,Лист2!A:E,5,0)</f>
        <v>малые</v>
      </c>
      <c r="F457">
        <f>VLOOKUP(B457,Лист2!A:E,4,0)</f>
        <v>2.5</v>
      </c>
      <c r="G457">
        <f t="shared" si="27"/>
        <v>-35000</v>
      </c>
      <c r="H457">
        <f t="shared" si="28"/>
        <v>1124800</v>
      </c>
      <c r="I457">
        <f t="shared" si="29"/>
        <v>-14000</v>
      </c>
    </row>
    <row r="458" spans="1:9">
      <c r="A458" t="s">
        <v>14</v>
      </c>
      <c r="B458" t="s">
        <v>18</v>
      </c>
      <c r="C458">
        <v>2356000</v>
      </c>
      <c r="D458">
        <v>1348000</v>
      </c>
      <c r="E458" t="str">
        <f>VLOOKUP(B458,Лист2!A:E,5,0)</f>
        <v>малые</v>
      </c>
      <c r="F458">
        <f>VLOOKUP(B458,Лист2!A:E,4,0)</f>
        <v>2.5</v>
      </c>
      <c r="G458">
        <f t="shared" si="27"/>
        <v>1008000</v>
      </c>
      <c r="H458">
        <f t="shared" si="28"/>
        <v>942400</v>
      </c>
      <c r="I458">
        <f t="shared" si="29"/>
        <v>403200</v>
      </c>
    </row>
    <row r="459" spans="1:9">
      <c r="A459" t="s">
        <v>14</v>
      </c>
      <c r="B459" t="s">
        <v>18</v>
      </c>
      <c r="C459">
        <v>3953000</v>
      </c>
      <c r="D459">
        <v>4100000</v>
      </c>
      <c r="E459" t="str">
        <f>VLOOKUP(B459,Лист2!A:E,5,0)</f>
        <v>малые</v>
      </c>
      <c r="F459">
        <f>VLOOKUP(B459,Лист2!A:E,4,0)</f>
        <v>2.5</v>
      </c>
      <c r="G459">
        <f t="shared" si="27"/>
        <v>-147000</v>
      </c>
      <c r="H459">
        <f t="shared" si="28"/>
        <v>1581200</v>
      </c>
      <c r="I459">
        <f t="shared" si="29"/>
        <v>-58800</v>
      </c>
    </row>
    <row r="460" spans="1:9">
      <c r="A460" t="s">
        <v>14</v>
      </c>
      <c r="B460" t="s">
        <v>18</v>
      </c>
      <c r="C460">
        <v>339000</v>
      </c>
      <c r="D460">
        <v>678000</v>
      </c>
      <c r="E460" t="str">
        <f>VLOOKUP(B460,Лист2!A:E,5,0)</f>
        <v>малые</v>
      </c>
      <c r="F460">
        <f>VLOOKUP(B460,Лист2!A:E,4,0)</f>
        <v>2.5</v>
      </c>
      <c r="G460">
        <f t="shared" si="27"/>
        <v>-339000</v>
      </c>
      <c r="H460">
        <f t="shared" si="28"/>
        <v>135600</v>
      </c>
      <c r="I460">
        <f t="shared" si="29"/>
        <v>-135600</v>
      </c>
    </row>
    <row r="461" spans="1:9">
      <c r="A461" t="s">
        <v>14</v>
      </c>
      <c r="B461" t="s">
        <v>18</v>
      </c>
      <c r="C461">
        <v>1631000</v>
      </c>
      <c r="D461">
        <v>900000</v>
      </c>
      <c r="E461" t="str">
        <f>VLOOKUP(B461,Лист2!A:E,5,0)</f>
        <v>малые</v>
      </c>
      <c r="F461">
        <f>VLOOKUP(B461,Лист2!A:E,4,0)</f>
        <v>2.5</v>
      </c>
      <c r="G461">
        <f t="shared" si="27"/>
        <v>731000</v>
      </c>
      <c r="H461">
        <f t="shared" si="28"/>
        <v>652400</v>
      </c>
      <c r="I461">
        <f t="shared" si="29"/>
        <v>292400</v>
      </c>
    </row>
    <row r="462" spans="1:9">
      <c r="A462" t="s">
        <v>14</v>
      </c>
      <c r="B462" t="s">
        <v>77</v>
      </c>
      <c r="C462">
        <v>254864000</v>
      </c>
      <c r="D462">
        <v>255590000</v>
      </c>
      <c r="E462" t="str">
        <f>VLOOKUP(B462,Лист2!A:E,5,0)</f>
        <v>малые</v>
      </c>
      <c r="F462">
        <f>VLOOKUP(B462,Лист2!A:E,4,0)</f>
        <v>8</v>
      </c>
      <c r="G462">
        <f t="shared" si="27"/>
        <v>-726000</v>
      </c>
      <c r="H462">
        <f t="shared" si="28"/>
        <v>31858000</v>
      </c>
      <c r="I462">
        <f t="shared" si="29"/>
        <v>-90750</v>
      </c>
    </row>
    <row r="463" spans="1:9">
      <c r="A463" t="s">
        <v>14</v>
      </c>
      <c r="B463" t="s">
        <v>18</v>
      </c>
      <c r="C463">
        <v>216914000</v>
      </c>
      <c r="D463">
        <v>209119000</v>
      </c>
      <c r="E463" t="str">
        <f>VLOOKUP(B463,Лист2!A:E,5,0)</f>
        <v>малые</v>
      </c>
      <c r="F463">
        <f>VLOOKUP(B463,Лист2!A:E,4,0)</f>
        <v>2.5</v>
      </c>
      <c r="G463">
        <f t="shared" si="27"/>
        <v>7795000</v>
      </c>
      <c r="H463">
        <f t="shared" si="28"/>
        <v>86765600</v>
      </c>
      <c r="I463">
        <f t="shared" si="29"/>
        <v>3118000</v>
      </c>
    </row>
    <row r="464" spans="1:9">
      <c r="A464" t="s">
        <v>14</v>
      </c>
      <c r="B464" t="s">
        <v>18</v>
      </c>
      <c r="C464">
        <v>90999000</v>
      </c>
      <c r="D464">
        <v>89946000</v>
      </c>
      <c r="E464" t="str">
        <f>VLOOKUP(B464,Лист2!A:E,5,0)</f>
        <v>малые</v>
      </c>
      <c r="F464">
        <f>VLOOKUP(B464,Лист2!A:E,4,0)</f>
        <v>2.5</v>
      </c>
      <c r="G464">
        <f t="shared" si="27"/>
        <v>1053000</v>
      </c>
      <c r="H464">
        <f t="shared" si="28"/>
        <v>36399600</v>
      </c>
      <c r="I464">
        <f t="shared" si="29"/>
        <v>421200</v>
      </c>
    </row>
    <row r="465" spans="1:9">
      <c r="A465" t="s">
        <v>14</v>
      </c>
      <c r="B465" t="s">
        <v>22</v>
      </c>
      <c r="C465">
        <v>53232000</v>
      </c>
      <c r="D465">
        <v>54305000</v>
      </c>
      <c r="E465" t="str">
        <f>VLOOKUP(B465,Лист2!A:E,5,0)</f>
        <v>малые</v>
      </c>
      <c r="F465">
        <f>VLOOKUP(B465,Лист2!A:E,4,0)</f>
        <v>13</v>
      </c>
      <c r="G465">
        <f t="shared" si="27"/>
        <v>-1073000</v>
      </c>
      <c r="H465">
        <f t="shared" si="28"/>
        <v>4094769.230769231</v>
      </c>
      <c r="I465">
        <f t="shared" si="29"/>
        <v>-82538.461538461532</v>
      </c>
    </row>
    <row r="466" spans="1:9">
      <c r="A466" t="s">
        <v>14</v>
      </c>
      <c r="B466" t="s">
        <v>22</v>
      </c>
      <c r="C466">
        <v>2371000</v>
      </c>
      <c r="D466">
        <v>3909000</v>
      </c>
      <c r="E466" t="str">
        <f>VLOOKUP(B466,Лист2!A:E,5,0)</f>
        <v>малые</v>
      </c>
      <c r="F466">
        <f>VLOOKUP(B466,Лист2!A:E,4,0)</f>
        <v>13</v>
      </c>
      <c r="G466">
        <f t="shared" si="27"/>
        <v>-1538000</v>
      </c>
      <c r="H466">
        <f t="shared" si="28"/>
        <v>182384.61538461538</v>
      </c>
      <c r="I466">
        <f t="shared" si="29"/>
        <v>-118307.69230769231</v>
      </c>
    </row>
    <row r="467" spans="1:9">
      <c r="A467" t="s">
        <v>14</v>
      </c>
      <c r="B467" t="s">
        <v>18</v>
      </c>
      <c r="C467">
        <v>1532000</v>
      </c>
      <c r="D467">
        <v>1532000</v>
      </c>
      <c r="E467" t="str">
        <f>VLOOKUP(B467,Лист2!A:E,5,0)</f>
        <v>малые</v>
      </c>
      <c r="F467">
        <f>VLOOKUP(B467,Лист2!A:E,4,0)</f>
        <v>2.5</v>
      </c>
      <c r="G467">
        <f t="shared" si="27"/>
        <v>0</v>
      </c>
      <c r="H467">
        <f t="shared" si="28"/>
        <v>612800</v>
      </c>
      <c r="I467">
        <f t="shared" si="29"/>
        <v>0</v>
      </c>
    </row>
    <row r="468" spans="1:9">
      <c r="A468" t="s">
        <v>14</v>
      </c>
      <c r="B468" t="s">
        <v>18</v>
      </c>
      <c r="C468">
        <v>576000</v>
      </c>
      <c r="D468">
        <v>555000</v>
      </c>
      <c r="E468" t="str">
        <f>VLOOKUP(B468,Лист2!A:E,5,0)</f>
        <v>малые</v>
      </c>
      <c r="F468">
        <f>VLOOKUP(B468,Лист2!A:E,4,0)</f>
        <v>2.5</v>
      </c>
      <c r="G468">
        <f t="shared" si="27"/>
        <v>21000</v>
      </c>
      <c r="H468">
        <f t="shared" si="28"/>
        <v>230400</v>
      </c>
      <c r="I468">
        <f t="shared" si="29"/>
        <v>8400</v>
      </c>
    </row>
    <row r="469" spans="1:9">
      <c r="A469" t="s">
        <v>14</v>
      </c>
      <c r="B469" t="s">
        <v>18</v>
      </c>
      <c r="C469">
        <v>8815000</v>
      </c>
      <c r="D469">
        <v>9946000</v>
      </c>
      <c r="E469" t="str">
        <f>VLOOKUP(B469,Лист2!A:E,5,0)</f>
        <v>малые</v>
      </c>
      <c r="F469">
        <f>VLOOKUP(B469,Лист2!A:E,4,0)</f>
        <v>2.5</v>
      </c>
      <c r="G469">
        <f t="shared" si="27"/>
        <v>-1131000</v>
      </c>
      <c r="H469">
        <f t="shared" si="28"/>
        <v>3526000</v>
      </c>
      <c r="I469">
        <f t="shared" si="29"/>
        <v>-452400</v>
      </c>
    </row>
    <row r="470" spans="1:9">
      <c r="A470" t="s">
        <v>14</v>
      </c>
      <c r="B470" t="s">
        <v>18</v>
      </c>
      <c r="C470">
        <v>200000</v>
      </c>
      <c r="D470">
        <v>200000</v>
      </c>
      <c r="E470" t="str">
        <f>VLOOKUP(B470,Лист2!A:E,5,0)</f>
        <v>малые</v>
      </c>
      <c r="F470">
        <f>VLOOKUP(B470,Лист2!A:E,4,0)</f>
        <v>2.5</v>
      </c>
      <c r="G470">
        <f t="shared" ref="G470:G506" si="30">C470-D470</f>
        <v>0</v>
      </c>
      <c r="H470">
        <f t="shared" ref="H470:H506" si="31">C470/F470</f>
        <v>80000</v>
      </c>
      <c r="I470">
        <f t="shared" ref="I470:I506" si="32">G470/F470</f>
        <v>0</v>
      </c>
    </row>
    <row r="471" spans="1:9">
      <c r="A471" t="s">
        <v>14</v>
      </c>
      <c r="B471" t="s">
        <v>18</v>
      </c>
      <c r="C471">
        <v>660000</v>
      </c>
      <c r="D471">
        <v>659000</v>
      </c>
      <c r="E471" t="str">
        <f>VLOOKUP(B471,Лист2!A:E,5,0)</f>
        <v>малые</v>
      </c>
      <c r="F471">
        <f>VLOOKUP(B471,Лист2!A:E,4,0)</f>
        <v>2.5</v>
      </c>
      <c r="G471">
        <f t="shared" si="30"/>
        <v>1000</v>
      </c>
      <c r="H471">
        <f t="shared" si="31"/>
        <v>264000</v>
      </c>
      <c r="I471">
        <f t="shared" si="32"/>
        <v>400</v>
      </c>
    </row>
    <row r="472" spans="1:9">
      <c r="A472" t="s">
        <v>14</v>
      </c>
      <c r="B472" t="s">
        <v>18</v>
      </c>
      <c r="C472">
        <v>7000</v>
      </c>
      <c r="D472">
        <v>6000</v>
      </c>
      <c r="E472" t="str">
        <f>VLOOKUP(B472,Лист2!A:E,5,0)</f>
        <v>малые</v>
      </c>
      <c r="F472">
        <f>VLOOKUP(B472,Лист2!A:E,4,0)</f>
        <v>2.5</v>
      </c>
      <c r="G472">
        <f t="shared" si="30"/>
        <v>1000</v>
      </c>
      <c r="H472">
        <f t="shared" si="31"/>
        <v>2800</v>
      </c>
      <c r="I472">
        <f t="shared" si="32"/>
        <v>400</v>
      </c>
    </row>
    <row r="473" spans="1:9">
      <c r="A473" t="s">
        <v>14</v>
      </c>
      <c r="B473" t="s">
        <v>18</v>
      </c>
      <c r="C473">
        <v>2557000</v>
      </c>
      <c r="D473">
        <v>3099000</v>
      </c>
      <c r="E473" t="str">
        <f>VLOOKUP(B473,Лист2!A:E,5,0)</f>
        <v>малые</v>
      </c>
      <c r="F473">
        <f>VLOOKUP(B473,Лист2!A:E,4,0)</f>
        <v>2.5</v>
      </c>
      <c r="G473">
        <f t="shared" si="30"/>
        <v>-542000</v>
      </c>
      <c r="H473">
        <f t="shared" si="31"/>
        <v>1022800</v>
      </c>
      <c r="I473">
        <f t="shared" si="32"/>
        <v>-216800</v>
      </c>
    </row>
    <row r="474" spans="1:9">
      <c r="A474" t="s">
        <v>14</v>
      </c>
      <c r="B474" t="s">
        <v>18</v>
      </c>
      <c r="C474">
        <v>14874000</v>
      </c>
      <c r="D474">
        <v>12846000</v>
      </c>
      <c r="E474" t="str">
        <f>VLOOKUP(B474,Лист2!A:E,5,0)</f>
        <v>малые</v>
      </c>
      <c r="F474">
        <f>VLOOKUP(B474,Лист2!A:E,4,0)</f>
        <v>2.5</v>
      </c>
      <c r="G474">
        <f t="shared" si="30"/>
        <v>2028000</v>
      </c>
      <c r="H474">
        <f t="shared" si="31"/>
        <v>5949600</v>
      </c>
      <c r="I474">
        <f t="shared" si="32"/>
        <v>811200</v>
      </c>
    </row>
    <row r="475" spans="1:9">
      <c r="A475" t="s">
        <v>14</v>
      </c>
      <c r="B475" t="s">
        <v>18</v>
      </c>
      <c r="C475">
        <v>2846000</v>
      </c>
      <c r="D475">
        <v>641000</v>
      </c>
      <c r="E475" t="str">
        <f>VLOOKUP(B475,Лист2!A:E,5,0)</f>
        <v>малые</v>
      </c>
      <c r="F475">
        <f>VLOOKUP(B475,Лист2!A:E,4,0)</f>
        <v>2.5</v>
      </c>
      <c r="G475">
        <f t="shared" si="30"/>
        <v>2205000</v>
      </c>
      <c r="H475">
        <f t="shared" si="31"/>
        <v>1138400</v>
      </c>
      <c r="I475">
        <f t="shared" si="32"/>
        <v>882000</v>
      </c>
    </row>
    <row r="476" spans="1:9">
      <c r="A476" t="s">
        <v>14</v>
      </c>
      <c r="B476" t="s">
        <v>18</v>
      </c>
      <c r="C476">
        <v>2754000</v>
      </c>
      <c r="D476">
        <v>2862000</v>
      </c>
      <c r="E476" t="str">
        <f>VLOOKUP(B476,Лист2!A:E,5,0)</f>
        <v>малые</v>
      </c>
      <c r="F476">
        <f>VLOOKUP(B476,Лист2!A:E,4,0)</f>
        <v>2.5</v>
      </c>
      <c r="G476">
        <f t="shared" si="30"/>
        <v>-108000</v>
      </c>
      <c r="H476">
        <f t="shared" si="31"/>
        <v>1101600</v>
      </c>
      <c r="I476">
        <f t="shared" si="32"/>
        <v>-43200</v>
      </c>
    </row>
    <row r="477" spans="1:9">
      <c r="A477" t="s">
        <v>14</v>
      </c>
      <c r="B477" t="s">
        <v>18</v>
      </c>
      <c r="C477">
        <v>424000</v>
      </c>
      <c r="D477">
        <v>342000</v>
      </c>
      <c r="E477" t="str">
        <f>VLOOKUP(B477,Лист2!A:E,5,0)</f>
        <v>малые</v>
      </c>
      <c r="F477">
        <f>VLOOKUP(B477,Лист2!A:E,4,0)</f>
        <v>2.5</v>
      </c>
      <c r="G477">
        <f t="shared" si="30"/>
        <v>82000</v>
      </c>
      <c r="H477">
        <f t="shared" si="31"/>
        <v>169600</v>
      </c>
      <c r="I477">
        <f t="shared" si="32"/>
        <v>32800</v>
      </c>
    </row>
    <row r="478" spans="1:9">
      <c r="A478" t="s">
        <v>14</v>
      </c>
      <c r="B478" t="s">
        <v>18</v>
      </c>
      <c r="C478">
        <v>68000</v>
      </c>
      <c r="D478">
        <v>41000</v>
      </c>
      <c r="E478" t="str">
        <f>VLOOKUP(B478,Лист2!A:E,5,0)</f>
        <v>малые</v>
      </c>
      <c r="F478">
        <f>VLOOKUP(B478,Лист2!A:E,4,0)</f>
        <v>2.5</v>
      </c>
      <c r="G478">
        <f t="shared" si="30"/>
        <v>27000</v>
      </c>
      <c r="H478">
        <f t="shared" si="31"/>
        <v>27200</v>
      </c>
      <c r="I478">
        <f t="shared" si="32"/>
        <v>10800</v>
      </c>
    </row>
    <row r="479" spans="1:9">
      <c r="A479" t="s">
        <v>14</v>
      </c>
      <c r="B479" t="s">
        <v>18</v>
      </c>
      <c r="C479">
        <v>1350000</v>
      </c>
      <c r="D479">
        <v>1344000</v>
      </c>
      <c r="E479" t="str">
        <f>VLOOKUP(B479,Лист2!A:E,5,0)</f>
        <v>малые</v>
      </c>
      <c r="F479">
        <f>VLOOKUP(B479,Лист2!A:E,4,0)</f>
        <v>2.5</v>
      </c>
      <c r="G479">
        <f t="shared" si="30"/>
        <v>6000</v>
      </c>
      <c r="H479">
        <f t="shared" si="31"/>
        <v>540000</v>
      </c>
      <c r="I479">
        <f t="shared" si="32"/>
        <v>2400</v>
      </c>
    </row>
    <row r="480" spans="1:9">
      <c r="A480" t="s">
        <v>14</v>
      </c>
      <c r="B480" t="s">
        <v>18</v>
      </c>
      <c r="C480">
        <v>52000</v>
      </c>
      <c r="D480">
        <v>158000</v>
      </c>
      <c r="E480" t="str">
        <f>VLOOKUP(B480,Лист2!A:E,5,0)</f>
        <v>малые</v>
      </c>
      <c r="F480">
        <f>VLOOKUP(B480,Лист2!A:E,4,0)</f>
        <v>2.5</v>
      </c>
      <c r="G480">
        <f t="shared" si="30"/>
        <v>-106000</v>
      </c>
      <c r="H480">
        <f t="shared" si="31"/>
        <v>20800</v>
      </c>
      <c r="I480">
        <f t="shared" si="32"/>
        <v>-42400</v>
      </c>
    </row>
    <row r="481" spans="1:9">
      <c r="A481" t="s">
        <v>14</v>
      </c>
      <c r="B481" t="s">
        <v>18</v>
      </c>
      <c r="C481">
        <v>11431000</v>
      </c>
      <c r="D481">
        <v>11503000</v>
      </c>
      <c r="E481" t="str">
        <f>VLOOKUP(B481,Лист2!A:E,5,0)</f>
        <v>малые</v>
      </c>
      <c r="F481">
        <f>VLOOKUP(B481,Лист2!A:E,4,0)</f>
        <v>2.5</v>
      </c>
      <c r="G481">
        <f t="shared" si="30"/>
        <v>-72000</v>
      </c>
      <c r="H481">
        <f t="shared" si="31"/>
        <v>4572400</v>
      </c>
      <c r="I481">
        <f t="shared" si="32"/>
        <v>-28800</v>
      </c>
    </row>
    <row r="482" spans="1:9">
      <c r="A482" t="s">
        <v>14</v>
      </c>
      <c r="B482" t="s">
        <v>18</v>
      </c>
      <c r="C482">
        <v>5846000</v>
      </c>
      <c r="D482">
        <v>5939000</v>
      </c>
      <c r="E482" t="str">
        <f>VLOOKUP(B482,Лист2!A:E,5,0)</f>
        <v>малые</v>
      </c>
      <c r="F482">
        <f>VLOOKUP(B482,Лист2!A:E,4,0)</f>
        <v>2.5</v>
      </c>
      <c r="G482">
        <f t="shared" si="30"/>
        <v>-93000</v>
      </c>
      <c r="H482">
        <f t="shared" si="31"/>
        <v>2338400</v>
      </c>
      <c r="I482">
        <f t="shared" si="32"/>
        <v>-37200</v>
      </c>
    </row>
    <row r="483" spans="1:9">
      <c r="A483" t="s">
        <v>14</v>
      </c>
      <c r="B483" t="s">
        <v>18</v>
      </c>
      <c r="C483">
        <v>1384000</v>
      </c>
      <c r="D483">
        <v>1379000</v>
      </c>
      <c r="E483" t="str">
        <f>VLOOKUP(B483,Лист2!A:E,5,0)</f>
        <v>малые</v>
      </c>
      <c r="F483">
        <f>VLOOKUP(B483,Лист2!A:E,4,0)</f>
        <v>2.5</v>
      </c>
      <c r="G483">
        <f t="shared" si="30"/>
        <v>5000</v>
      </c>
      <c r="H483">
        <f t="shared" si="31"/>
        <v>553600</v>
      </c>
      <c r="I483">
        <f t="shared" si="32"/>
        <v>2000</v>
      </c>
    </row>
    <row r="484" spans="1:9">
      <c r="A484" t="s">
        <v>14</v>
      </c>
      <c r="B484" t="s">
        <v>18</v>
      </c>
      <c r="C484">
        <v>1238000</v>
      </c>
      <c r="D484">
        <v>1171000</v>
      </c>
      <c r="E484" t="str">
        <f>VLOOKUP(B484,Лист2!A:E,5,0)</f>
        <v>малые</v>
      </c>
      <c r="F484">
        <f>VLOOKUP(B484,Лист2!A:E,4,0)</f>
        <v>2.5</v>
      </c>
      <c r="G484">
        <f t="shared" si="30"/>
        <v>67000</v>
      </c>
      <c r="H484">
        <f t="shared" si="31"/>
        <v>495200</v>
      </c>
      <c r="I484">
        <f t="shared" si="32"/>
        <v>26800</v>
      </c>
    </row>
    <row r="485" spans="1:9">
      <c r="A485" t="s">
        <v>14</v>
      </c>
      <c r="B485" t="s">
        <v>18</v>
      </c>
      <c r="C485">
        <v>2478000</v>
      </c>
      <c r="D485">
        <v>2326000</v>
      </c>
      <c r="E485" t="str">
        <f>VLOOKUP(B485,Лист2!A:E,5,0)</f>
        <v>малые</v>
      </c>
      <c r="F485">
        <f>VLOOKUP(B485,Лист2!A:E,4,0)</f>
        <v>2.5</v>
      </c>
      <c r="G485">
        <f t="shared" si="30"/>
        <v>152000</v>
      </c>
      <c r="H485">
        <f t="shared" si="31"/>
        <v>991200</v>
      </c>
      <c r="I485">
        <f t="shared" si="32"/>
        <v>60800</v>
      </c>
    </row>
    <row r="486" spans="1:9">
      <c r="A486" t="s">
        <v>14</v>
      </c>
      <c r="B486" t="s">
        <v>18</v>
      </c>
      <c r="C486">
        <v>2926000</v>
      </c>
      <c r="D486">
        <v>2590000</v>
      </c>
      <c r="E486" t="str">
        <f>VLOOKUP(B486,Лист2!A:E,5,0)</f>
        <v>малые</v>
      </c>
      <c r="F486">
        <f>VLOOKUP(B486,Лист2!A:E,4,0)</f>
        <v>2.5</v>
      </c>
      <c r="G486">
        <f t="shared" si="30"/>
        <v>336000</v>
      </c>
      <c r="H486">
        <f t="shared" si="31"/>
        <v>1170400</v>
      </c>
      <c r="I486">
        <f t="shared" si="32"/>
        <v>134400</v>
      </c>
    </row>
    <row r="487" spans="1:9">
      <c r="A487" t="s">
        <v>14</v>
      </c>
      <c r="B487" t="s">
        <v>18</v>
      </c>
      <c r="C487">
        <v>180000</v>
      </c>
      <c r="D487">
        <v>1465000</v>
      </c>
      <c r="E487" t="str">
        <f>VLOOKUP(B487,Лист2!A:E,5,0)</f>
        <v>малые</v>
      </c>
      <c r="F487">
        <f>VLOOKUP(B487,Лист2!A:E,4,0)</f>
        <v>2.5</v>
      </c>
      <c r="G487">
        <f t="shared" si="30"/>
        <v>-1285000</v>
      </c>
      <c r="H487">
        <f t="shared" si="31"/>
        <v>72000</v>
      </c>
      <c r="I487">
        <f t="shared" si="32"/>
        <v>-514000</v>
      </c>
    </row>
    <row r="488" spans="1:9">
      <c r="A488" t="s">
        <v>14</v>
      </c>
      <c r="B488" t="s">
        <v>18</v>
      </c>
      <c r="C488">
        <v>4199000</v>
      </c>
      <c r="D488">
        <v>2151000</v>
      </c>
      <c r="E488" t="str">
        <f>VLOOKUP(B488,Лист2!A:E,5,0)</f>
        <v>малые</v>
      </c>
      <c r="F488">
        <f>VLOOKUP(B488,Лист2!A:E,4,0)</f>
        <v>2.5</v>
      </c>
      <c r="G488">
        <f t="shared" si="30"/>
        <v>2048000</v>
      </c>
      <c r="H488">
        <f t="shared" si="31"/>
        <v>1679600</v>
      </c>
      <c r="I488">
        <f t="shared" si="32"/>
        <v>819200</v>
      </c>
    </row>
    <row r="489" spans="1:9">
      <c r="A489" t="s">
        <v>14</v>
      </c>
      <c r="B489" t="s">
        <v>18</v>
      </c>
      <c r="C489">
        <v>228000</v>
      </c>
      <c r="D489">
        <v>85000</v>
      </c>
      <c r="E489" t="str">
        <f>VLOOKUP(B489,Лист2!A:E,5,0)</f>
        <v>малые</v>
      </c>
      <c r="F489">
        <f>VLOOKUP(B489,Лист2!A:E,4,0)</f>
        <v>2.5</v>
      </c>
      <c r="G489">
        <f t="shared" si="30"/>
        <v>143000</v>
      </c>
      <c r="H489">
        <f t="shared" si="31"/>
        <v>91200</v>
      </c>
      <c r="I489">
        <f t="shared" si="32"/>
        <v>57200</v>
      </c>
    </row>
    <row r="490" spans="1:9">
      <c r="A490" t="s">
        <v>14</v>
      </c>
      <c r="B490" t="s">
        <v>22</v>
      </c>
      <c r="C490">
        <v>11048000</v>
      </c>
      <c r="D490">
        <v>13287000</v>
      </c>
      <c r="E490" t="str">
        <f>VLOOKUP(B490,Лист2!A:E,5,0)</f>
        <v>малые</v>
      </c>
      <c r="F490">
        <f>VLOOKUP(B490,Лист2!A:E,4,0)</f>
        <v>13</v>
      </c>
      <c r="G490">
        <f t="shared" si="30"/>
        <v>-2239000</v>
      </c>
      <c r="H490">
        <f t="shared" si="31"/>
        <v>849846.15384615387</v>
      </c>
      <c r="I490">
        <f t="shared" si="32"/>
        <v>-172230.76923076922</v>
      </c>
    </row>
    <row r="491" spans="1:9">
      <c r="A491" t="s">
        <v>14</v>
      </c>
      <c r="B491" t="s">
        <v>18</v>
      </c>
      <c r="C491">
        <v>280000</v>
      </c>
      <c r="D491">
        <v>34000</v>
      </c>
      <c r="E491" t="str">
        <f>VLOOKUP(B491,Лист2!A:E,5,0)</f>
        <v>малые</v>
      </c>
      <c r="F491">
        <f>VLOOKUP(B491,Лист2!A:E,4,0)</f>
        <v>2.5</v>
      </c>
      <c r="G491">
        <f t="shared" si="30"/>
        <v>246000</v>
      </c>
      <c r="H491">
        <f t="shared" si="31"/>
        <v>112000</v>
      </c>
      <c r="I491">
        <f t="shared" si="32"/>
        <v>98400</v>
      </c>
    </row>
    <row r="492" spans="1:9">
      <c r="A492" t="s">
        <v>14</v>
      </c>
      <c r="B492" t="s">
        <v>18</v>
      </c>
      <c r="C492">
        <v>50000</v>
      </c>
      <c r="D492">
        <v>62000</v>
      </c>
      <c r="E492" t="str">
        <f>VLOOKUP(B492,Лист2!A:E,5,0)</f>
        <v>малые</v>
      </c>
      <c r="F492">
        <f>VLOOKUP(B492,Лист2!A:E,4,0)</f>
        <v>2.5</v>
      </c>
      <c r="G492">
        <f t="shared" si="30"/>
        <v>-12000</v>
      </c>
      <c r="H492">
        <f t="shared" si="31"/>
        <v>20000</v>
      </c>
      <c r="I492">
        <f t="shared" si="32"/>
        <v>-4800</v>
      </c>
    </row>
    <row r="493" spans="1:9">
      <c r="A493" t="s">
        <v>25</v>
      </c>
      <c r="B493" t="s">
        <v>18</v>
      </c>
      <c r="C493">
        <v>137321000</v>
      </c>
      <c r="D493">
        <v>119956000</v>
      </c>
      <c r="E493" t="str">
        <f>VLOOKUP(B493,Лист2!A:E,5,0)</f>
        <v>малые</v>
      </c>
      <c r="F493">
        <f>VLOOKUP(B493,Лист2!A:E,4,0)</f>
        <v>2.5</v>
      </c>
      <c r="G493">
        <f t="shared" si="30"/>
        <v>17365000</v>
      </c>
      <c r="H493">
        <f t="shared" si="31"/>
        <v>54928400</v>
      </c>
      <c r="I493">
        <f t="shared" si="32"/>
        <v>6946000</v>
      </c>
    </row>
    <row r="494" spans="1:9">
      <c r="A494" t="s">
        <v>14</v>
      </c>
      <c r="B494" t="s">
        <v>18</v>
      </c>
      <c r="C494">
        <v>1238000</v>
      </c>
      <c r="D494">
        <v>1264000</v>
      </c>
      <c r="E494" t="str">
        <f>VLOOKUP(B494,Лист2!A:E,5,0)</f>
        <v>малые</v>
      </c>
      <c r="F494">
        <f>VLOOKUP(B494,Лист2!A:E,4,0)</f>
        <v>2.5</v>
      </c>
      <c r="G494">
        <f t="shared" si="30"/>
        <v>-26000</v>
      </c>
      <c r="H494">
        <f t="shared" si="31"/>
        <v>495200</v>
      </c>
      <c r="I494">
        <f t="shared" si="32"/>
        <v>-10400</v>
      </c>
    </row>
    <row r="495" spans="1:9">
      <c r="A495" t="s">
        <v>14</v>
      </c>
      <c r="B495" t="s">
        <v>18</v>
      </c>
      <c r="C495">
        <v>1204000</v>
      </c>
      <c r="D495">
        <v>1144000</v>
      </c>
      <c r="E495" t="str">
        <f>VLOOKUP(B495,Лист2!A:E,5,0)</f>
        <v>малые</v>
      </c>
      <c r="F495">
        <f>VLOOKUP(B495,Лист2!A:E,4,0)</f>
        <v>2.5</v>
      </c>
      <c r="G495">
        <f t="shared" si="30"/>
        <v>60000</v>
      </c>
      <c r="H495">
        <f t="shared" si="31"/>
        <v>481600</v>
      </c>
      <c r="I495">
        <f t="shared" si="32"/>
        <v>24000</v>
      </c>
    </row>
    <row r="496" spans="1:9">
      <c r="A496" t="s">
        <v>14</v>
      </c>
      <c r="B496" t="s">
        <v>18</v>
      </c>
      <c r="C496">
        <v>1596000</v>
      </c>
      <c r="D496">
        <v>1599000</v>
      </c>
      <c r="E496" t="str">
        <f>VLOOKUP(B496,Лист2!A:E,5,0)</f>
        <v>малые</v>
      </c>
      <c r="F496">
        <f>VLOOKUP(B496,Лист2!A:E,4,0)</f>
        <v>2.5</v>
      </c>
      <c r="G496">
        <f t="shared" si="30"/>
        <v>-3000</v>
      </c>
      <c r="H496">
        <f t="shared" si="31"/>
        <v>638400</v>
      </c>
      <c r="I496">
        <f t="shared" si="32"/>
        <v>-1200</v>
      </c>
    </row>
    <row r="497" spans="1:9">
      <c r="A497" t="s">
        <v>14</v>
      </c>
      <c r="B497" t="s">
        <v>18</v>
      </c>
      <c r="C497">
        <v>178028000</v>
      </c>
      <c r="D497">
        <v>170429000</v>
      </c>
      <c r="E497" t="str">
        <f>VLOOKUP(B497,Лист2!A:E,5,0)</f>
        <v>малые</v>
      </c>
      <c r="F497">
        <f>VLOOKUP(B497,Лист2!A:E,4,0)</f>
        <v>2.5</v>
      </c>
      <c r="G497">
        <f t="shared" si="30"/>
        <v>7599000</v>
      </c>
      <c r="H497">
        <f t="shared" si="31"/>
        <v>71211200</v>
      </c>
      <c r="I497">
        <f t="shared" si="32"/>
        <v>3039600</v>
      </c>
    </row>
    <row r="498" spans="1:9">
      <c r="A498" t="s">
        <v>14</v>
      </c>
      <c r="B498" t="s">
        <v>18</v>
      </c>
      <c r="C498">
        <v>184000</v>
      </c>
      <c r="D498">
        <v>284000</v>
      </c>
      <c r="E498" t="str">
        <f>VLOOKUP(B498,Лист2!A:E,5,0)</f>
        <v>малые</v>
      </c>
      <c r="F498">
        <f>VLOOKUP(B498,Лист2!A:E,4,0)</f>
        <v>2.5</v>
      </c>
      <c r="G498">
        <f t="shared" si="30"/>
        <v>-100000</v>
      </c>
      <c r="H498">
        <f t="shared" si="31"/>
        <v>73600</v>
      </c>
      <c r="I498">
        <f t="shared" si="32"/>
        <v>-40000</v>
      </c>
    </row>
    <row r="499" spans="1:9">
      <c r="A499" t="s">
        <v>14</v>
      </c>
      <c r="B499" t="s">
        <v>18</v>
      </c>
      <c r="C499">
        <v>192000</v>
      </c>
      <c r="D499">
        <v>10000</v>
      </c>
      <c r="E499" t="str">
        <f>VLOOKUP(B499,Лист2!A:E,5,0)</f>
        <v>малые</v>
      </c>
      <c r="F499">
        <f>VLOOKUP(B499,Лист2!A:E,4,0)</f>
        <v>2.5</v>
      </c>
      <c r="G499">
        <f t="shared" si="30"/>
        <v>182000</v>
      </c>
      <c r="H499">
        <f t="shared" si="31"/>
        <v>76800</v>
      </c>
      <c r="I499">
        <f t="shared" si="32"/>
        <v>72800</v>
      </c>
    </row>
    <row r="500" spans="1:9">
      <c r="A500" t="s">
        <v>14</v>
      </c>
      <c r="B500" t="s">
        <v>18</v>
      </c>
      <c r="C500">
        <v>2054000</v>
      </c>
      <c r="D500">
        <v>2057000</v>
      </c>
      <c r="E500" t="str">
        <f>VLOOKUP(B500,Лист2!A:E,5,0)</f>
        <v>малые</v>
      </c>
      <c r="F500">
        <f>VLOOKUP(B500,Лист2!A:E,4,0)</f>
        <v>2.5</v>
      </c>
      <c r="G500">
        <f t="shared" si="30"/>
        <v>-3000</v>
      </c>
      <c r="H500">
        <f t="shared" si="31"/>
        <v>821600</v>
      </c>
      <c r="I500">
        <f t="shared" si="32"/>
        <v>-1200</v>
      </c>
    </row>
    <row r="501" spans="1:9">
      <c r="A501" t="s">
        <v>14</v>
      </c>
      <c r="B501" t="s">
        <v>18</v>
      </c>
      <c r="C501">
        <v>30407000</v>
      </c>
      <c r="D501">
        <v>30407000</v>
      </c>
      <c r="E501" t="str">
        <f>VLOOKUP(B501,Лист2!A:E,5,0)</f>
        <v>малые</v>
      </c>
      <c r="F501">
        <f>VLOOKUP(B501,Лист2!A:E,4,0)</f>
        <v>2.5</v>
      </c>
      <c r="G501">
        <f t="shared" si="30"/>
        <v>0</v>
      </c>
      <c r="H501">
        <f t="shared" si="31"/>
        <v>12162800</v>
      </c>
      <c r="I501">
        <f t="shared" si="32"/>
        <v>0</v>
      </c>
    </row>
    <row r="502" spans="1:9">
      <c r="A502" t="s">
        <v>14</v>
      </c>
      <c r="B502" t="s">
        <v>18</v>
      </c>
      <c r="C502">
        <v>500000</v>
      </c>
      <c r="D502">
        <v>493000</v>
      </c>
      <c r="E502" t="str">
        <f>VLOOKUP(B502,Лист2!A:E,5,0)</f>
        <v>малые</v>
      </c>
      <c r="F502">
        <f>VLOOKUP(B502,Лист2!A:E,4,0)</f>
        <v>2.5</v>
      </c>
      <c r="G502">
        <f t="shared" si="30"/>
        <v>7000</v>
      </c>
      <c r="H502">
        <f t="shared" si="31"/>
        <v>200000</v>
      </c>
      <c r="I502">
        <f t="shared" si="32"/>
        <v>2800</v>
      </c>
    </row>
    <row r="503" spans="1:9">
      <c r="A503" t="s">
        <v>14</v>
      </c>
      <c r="B503" t="s">
        <v>18</v>
      </c>
      <c r="C503">
        <v>10000</v>
      </c>
      <c r="D503">
        <v>10000</v>
      </c>
      <c r="E503" t="str">
        <f>VLOOKUP(B503,Лист2!A:E,5,0)</f>
        <v>малые</v>
      </c>
      <c r="F503">
        <f>VLOOKUP(B503,Лист2!A:E,4,0)</f>
        <v>2.5</v>
      </c>
      <c r="G503">
        <f t="shared" si="30"/>
        <v>0</v>
      </c>
      <c r="H503">
        <f t="shared" si="31"/>
        <v>4000</v>
      </c>
      <c r="I503">
        <f t="shared" si="32"/>
        <v>0</v>
      </c>
    </row>
    <row r="504" spans="1:9">
      <c r="A504" t="s">
        <v>14</v>
      </c>
      <c r="B504" t="s">
        <v>18</v>
      </c>
      <c r="C504">
        <v>3524000</v>
      </c>
      <c r="D504">
        <v>2213000</v>
      </c>
      <c r="E504" t="str">
        <f>VLOOKUP(B504,Лист2!A:E,5,0)</f>
        <v>малые</v>
      </c>
      <c r="F504">
        <f>VLOOKUP(B504,Лист2!A:E,4,0)</f>
        <v>2.5</v>
      </c>
      <c r="G504">
        <f t="shared" si="30"/>
        <v>1311000</v>
      </c>
      <c r="H504">
        <f t="shared" si="31"/>
        <v>1409600</v>
      </c>
      <c r="I504">
        <f t="shared" si="32"/>
        <v>524400</v>
      </c>
    </row>
    <row r="505" spans="1:9">
      <c r="A505" t="s">
        <v>14</v>
      </c>
      <c r="B505" t="s">
        <v>18</v>
      </c>
      <c r="C505">
        <v>1840000</v>
      </c>
      <c r="D505">
        <v>3747000</v>
      </c>
      <c r="E505" t="str">
        <f>VLOOKUP(B505,Лист2!A:E,5,0)</f>
        <v>малые</v>
      </c>
      <c r="F505">
        <f>VLOOKUP(B505,Лист2!A:E,4,0)</f>
        <v>2.5</v>
      </c>
      <c r="G505">
        <f t="shared" si="30"/>
        <v>-1907000</v>
      </c>
      <c r="H505">
        <f t="shared" si="31"/>
        <v>736000</v>
      </c>
      <c r="I505">
        <f t="shared" si="32"/>
        <v>-762800</v>
      </c>
    </row>
    <row r="506" spans="1:9">
      <c r="A506" t="s">
        <v>25</v>
      </c>
      <c r="B506" t="s">
        <v>18</v>
      </c>
      <c r="C506">
        <v>2759000</v>
      </c>
      <c r="D506">
        <v>2560000</v>
      </c>
      <c r="E506" t="str">
        <f>VLOOKUP(B506,Лист2!A:E,5,0)</f>
        <v>малые</v>
      </c>
      <c r="F506">
        <f>VLOOKUP(B506,Лист2!A:E,4,0)</f>
        <v>2.5</v>
      </c>
      <c r="G506">
        <f t="shared" si="30"/>
        <v>199000</v>
      </c>
      <c r="H506">
        <f t="shared" si="31"/>
        <v>1103600</v>
      </c>
      <c r="I506">
        <f t="shared" si="32"/>
        <v>79600</v>
      </c>
    </row>
    <row r="507" spans="1:9">
      <c r="A507" t="s">
        <v>14</v>
      </c>
      <c r="B507" t="s">
        <v>18</v>
      </c>
      <c r="C507">
        <v>2396000</v>
      </c>
      <c r="D507">
        <v>2300000</v>
      </c>
      <c r="E507" t="str">
        <f>VLOOKUP(B507,Лист2!A:E,5,0)</f>
        <v>малые</v>
      </c>
      <c r="F507">
        <f>VLOOKUP(B507,Лист2!A:E,4,0)</f>
        <v>2.5</v>
      </c>
      <c r="G507">
        <f t="shared" ref="G507:G543" si="33">C507-D507</f>
        <v>96000</v>
      </c>
      <c r="H507">
        <f t="shared" ref="H507:H543" si="34">C507/F507</f>
        <v>958400</v>
      </c>
      <c r="I507">
        <f t="shared" ref="I507:I543" si="35">G507/F507</f>
        <v>38400</v>
      </c>
    </row>
    <row r="508" spans="1:9">
      <c r="A508" t="s">
        <v>14</v>
      </c>
      <c r="B508" t="s">
        <v>18</v>
      </c>
      <c r="C508">
        <v>649000</v>
      </c>
      <c r="D508">
        <v>196000</v>
      </c>
      <c r="E508" t="str">
        <f>VLOOKUP(B508,Лист2!A:E,5,0)</f>
        <v>малые</v>
      </c>
      <c r="F508">
        <f>VLOOKUP(B508,Лист2!A:E,4,0)</f>
        <v>2.5</v>
      </c>
      <c r="G508">
        <f t="shared" si="33"/>
        <v>453000</v>
      </c>
      <c r="H508">
        <f t="shared" si="34"/>
        <v>259600</v>
      </c>
      <c r="I508">
        <f t="shared" si="35"/>
        <v>181200</v>
      </c>
    </row>
    <row r="509" spans="1:9">
      <c r="A509" t="s">
        <v>14</v>
      </c>
      <c r="B509" t="s">
        <v>18</v>
      </c>
      <c r="C509">
        <v>10194000</v>
      </c>
      <c r="D509">
        <v>3539000</v>
      </c>
      <c r="E509" t="str">
        <f>VLOOKUP(B509,Лист2!A:E,5,0)</f>
        <v>малые</v>
      </c>
      <c r="F509">
        <f>VLOOKUP(B509,Лист2!A:E,4,0)</f>
        <v>2.5</v>
      </c>
      <c r="G509">
        <f t="shared" si="33"/>
        <v>6655000</v>
      </c>
      <c r="H509">
        <f t="shared" si="34"/>
        <v>4077600</v>
      </c>
      <c r="I509">
        <f t="shared" si="35"/>
        <v>2662000</v>
      </c>
    </row>
    <row r="510" spans="1:9">
      <c r="A510" t="s">
        <v>14</v>
      </c>
      <c r="B510" t="s">
        <v>18</v>
      </c>
      <c r="C510">
        <v>190650000</v>
      </c>
      <c r="D510">
        <v>190666000</v>
      </c>
      <c r="E510" t="str">
        <f>VLOOKUP(B510,Лист2!A:E,5,0)</f>
        <v>малые</v>
      </c>
      <c r="F510">
        <f>VLOOKUP(B510,Лист2!A:E,4,0)</f>
        <v>2.5</v>
      </c>
      <c r="G510">
        <f t="shared" si="33"/>
        <v>-16000</v>
      </c>
      <c r="H510">
        <f t="shared" si="34"/>
        <v>76260000</v>
      </c>
      <c r="I510">
        <f t="shared" si="35"/>
        <v>-6400</v>
      </c>
    </row>
    <row r="511" spans="1:9">
      <c r="A511" t="s">
        <v>14</v>
      </c>
      <c r="B511" t="s">
        <v>18</v>
      </c>
      <c r="C511">
        <v>750000</v>
      </c>
      <c r="D511">
        <v>300000</v>
      </c>
      <c r="E511" t="str">
        <f>VLOOKUP(B511,Лист2!A:E,5,0)</f>
        <v>малые</v>
      </c>
      <c r="F511">
        <f>VLOOKUP(B511,Лист2!A:E,4,0)</f>
        <v>2.5</v>
      </c>
      <c r="G511">
        <f t="shared" si="33"/>
        <v>450000</v>
      </c>
      <c r="H511">
        <f t="shared" si="34"/>
        <v>300000</v>
      </c>
      <c r="I511">
        <f t="shared" si="35"/>
        <v>180000</v>
      </c>
    </row>
    <row r="512" spans="1:9">
      <c r="A512" t="s">
        <v>14</v>
      </c>
      <c r="B512" t="s">
        <v>18</v>
      </c>
      <c r="C512">
        <v>276000</v>
      </c>
      <c r="D512">
        <v>172000</v>
      </c>
      <c r="E512" t="str">
        <f>VLOOKUP(B512,Лист2!A:E,5,0)</f>
        <v>малые</v>
      </c>
      <c r="F512">
        <f>VLOOKUP(B512,Лист2!A:E,4,0)</f>
        <v>2.5</v>
      </c>
      <c r="G512">
        <f t="shared" si="33"/>
        <v>104000</v>
      </c>
      <c r="H512">
        <f t="shared" si="34"/>
        <v>110400</v>
      </c>
      <c r="I512">
        <f t="shared" si="35"/>
        <v>41600</v>
      </c>
    </row>
    <row r="513" spans="1:9">
      <c r="A513" t="s">
        <v>14</v>
      </c>
      <c r="B513" t="s">
        <v>18</v>
      </c>
      <c r="C513">
        <v>153000</v>
      </c>
      <c r="D513">
        <v>10000</v>
      </c>
      <c r="E513" t="str">
        <f>VLOOKUP(B513,Лист2!A:E,5,0)</f>
        <v>малые</v>
      </c>
      <c r="F513">
        <f>VLOOKUP(B513,Лист2!A:E,4,0)</f>
        <v>2.5</v>
      </c>
      <c r="G513">
        <f t="shared" si="33"/>
        <v>143000</v>
      </c>
      <c r="H513">
        <f t="shared" si="34"/>
        <v>61200</v>
      </c>
      <c r="I513">
        <f t="shared" si="35"/>
        <v>57200</v>
      </c>
    </row>
    <row r="514" spans="1:9">
      <c r="A514" t="s">
        <v>14</v>
      </c>
      <c r="B514" t="s">
        <v>18</v>
      </c>
      <c r="C514">
        <v>50000</v>
      </c>
      <c r="D514">
        <v>232000</v>
      </c>
      <c r="E514" t="str">
        <f>VLOOKUP(B514,Лист2!A:E,5,0)</f>
        <v>малые</v>
      </c>
      <c r="F514">
        <f>VLOOKUP(B514,Лист2!A:E,4,0)</f>
        <v>2.5</v>
      </c>
      <c r="G514">
        <f t="shared" si="33"/>
        <v>-182000</v>
      </c>
      <c r="H514">
        <f t="shared" si="34"/>
        <v>20000</v>
      </c>
      <c r="I514">
        <f t="shared" si="35"/>
        <v>-72800</v>
      </c>
    </row>
    <row r="515" spans="1:9">
      <c r="A515" t="s">
        <v>14</v>
      </c>
      <c r="B515" t="s">
        <v>18</v>
      </c>
      <c r="C515">
        <v>318000</v>
      </c>
      <c r="D515">
        <v>390000</v>
      </c>
      <c r="E515" t="str">
        <f>VLOOKUP(B515,Лист2!A:E,5,0)</f>
        <v>малые</v>
      </c>
      <c r="F515">
        <f>VLOOKUP(B515,Лист2!A:E,4,0)</f>
        <v>2.5</v>
      </c>
      <c r="G515">
        <f t="shared" si="33"/>
        <v>-72000</v>
      </c>
      <c r="H515">
        <f t="shared" si="34"/>
        <v>127200</v>
      </c>
      <c r="I515">
        <f t="shared" si="35"/>
        <v>-28800</v>
      </c>
    </row>
    <row r="516" spans="1:9">
      <c r="A516" t="s">
        <v>14</v>
      </c>
      <c r="B516" t="s">
        <v>18</v>
      </c>
      <c r="C516">
        <v>600000</v>
      </c>
      <c r="D516">
        <v>513000</v>
      </c>
      <c r="E516" t="str">
        <f>VLOOKUP(B516,Лист2!A:E,5,0)</f>
        <v>малые</v>
      </c>
      <c r="F516">
        <f>VLOOKUP(B516,Лист2!A:E,4,0)</f>
        <v>2.5</v>
      </c>
      <c r="G516">
        <f t="shared" si="33"/>
        <v>87000</v>
      </c>
      <c r="H516">
        <f t="shared" si="34"/>
        <v>240000</v>
      </c>
      <c r="I516">
        <f t="shared" si="35"/>
        <v>34800</v>
      </c>
    </row>
    <row r="517" spans="1:9">
      <c r="A517" t="s">
        <v>14</v>
      </c>
      <c r="B517" t="s">
        <v>18</v>
      </c>
      <c r="C517">
        <v>557000</v>
      </c>
      <c r="D517">
        <v>629000</v>
      </c>
      <c r="E517" t="str">
        <f>VLOOKUP(B517,Лист2!A:E,5,0)</f>
        <v>малые</v>
      </c>
      <c r="F517">
        <f>VLOOKUP(B517,Лист2!A:E,4,0)</f>
        <v>2.5</v>
      </c>
      <c r="G517">
        <f t="shared" si="33"/>
        <v>-72000</v>
      </c>
      <c r="H517">
        <f t="shared" si="34"/>
        <v>222800</v>
      </c>
      <c r="I517">
        <f t="shared" si="35"/>
        <v>-28800</v>
      </c>
    </row>
    <row r="518" spans="1:9">
      <c r="A518" t="s">
        <v>14</v>
      </c>
      <c r="B518" t="s">
        <v>18</v>
      </c>
      <c r="C518">
        <v>4774000</v>
      </c>
      <c r="D518">
        <v>1757000</v>
      </c>
      <c r="E518" t="str">
        <f>VLOOKUP(B518,Лист2!A:E,5,0)</f>
        <v>малые</v>
      </c>
      <c r="F518">
        <f>VLOOKUP(B518,Лист2!A:E,4,0)</f>
        <v>2.5</v>
      </c>
      <c r="G518">
        <f t="shared" si="33"/>
        <v>3017000</v>
      </c>
      <c r="H518">
        <f t="shared" si="34"/>
        <v>1909600</v>
      </c>
      <c r="I518">
        <f t="shared" si="35"/>
        <v>1206800</v>
      </c>
    </row>
    <row r="519" spans="1:9">
      <c r="A519" t="s">
        <v>14</v>
      </c>
      <c r="B519" t="s">
        <v>22</v>
      </c>
      <c r="C519">
        <v>24215000</v>
      </c>
      <c r="D519">
        <v>24234000</v>
      </c>
      <c r="E519" t="str">
        <f>VLOOKUP(B519,Лист2!A:E,5,0)</f>
        <v>малые</v>
      </c>
      <c r="F519">
        <f>VLOOKUP(B519,Лист2!A:E,4,0)</f>
        <v>13</v>
      </c>
      <c r="G519">
        <f t="shared" si="33"/>
        <v>-19000</v>
      </c>
      <c r="H519">
        <f t="shared" si="34"/>
        <v>1862692.3076923077</v>
      </c>
      <c r="I519">
        <f t="shared" si="35"/>
        <v>-1461.5384615384614</v>
      </c>
    </row>
    <row r="520" spans="1:9">
      <c r="A520" t="s">
        <v>25</v>
      </c>
      <c r="B520" t="s">
        <v>18</v>
      </c>
      <c r="C520">
        <v>701000</v>
      </c>
      <c r="D520">
        <v>660000</v>
      </c>
      <c r="E520" t="str">
        <f>VLOOKUP(B520,Лист2!A:E,5,0)</f>
        <v>малые</v>
      </c>
      <c r="F520">
        <f>VLOOKUP(B520,Лист2!A:E,4,0)</f>
        <v>2.5</v>
      </c>
      <c r="G520">
        <f t="shared" si="33"/>
        <v>41000</v>
      </c>
      <c r="H520">
        <f t="shared" si="34"/>
        <v>280400</v>
      </c>
      <c r="I520">
        <f t="shared" si="35"/>
        <v>16400</v>
      </c>
    </row>
    <row r="521" spans="1:9">
      <c r="A521" t="s">
        <v>25</v>
      </c>
      <c r="B521" t="s">
        <v>18</v>
      </c>
      <c r="C521">
        <v>1575000</v>
      </c>
      <c r="D521">
        <v>1854000</v>
      </c>
      <c r="E521" t="str">
        <f>VLOOKUP(B521,Лист2!A:E,5,0)</f>
        <v>малые</v>
      </c>
      <c r="F521">
        <f>VLOOKUP(B521,Лист2!A:E,4,0)</f>
        <v>2.5</v>
      </c>
      <c r="G521">
        <f t="shared" si="33"/>
        <v>-279000</v>
      </c>
      <c r="H521">
        <f t="shared" si="34"/>
        <v>630000</v>
      </c>
      <c r="I521">
        <f t="shared" si="35"/>
        <v>-111600</v>
      </c>
    </row>
    <row r="522" spans="1:9">
      <c r="A522" t="s">
        <v>14</v>
      </c>
      <c r="B522" t="s">
        <v>18</v>
      </c>
      <c r="C522">
        <v>10072000</v>
      </c>
      <c r="D522">
        <v>4179000</v>
      </c>
      <c r="E522" t="str">
        <f>VLOOKUP(B522,Лист2!A:E,5,0)</f>
        <v>малые</v>
      </c>
      <c r="F522">
        <f>VLOOKUP(B522,Лист2!A:E,4,0)</f>
        <v>2.5</v>
      </c>
      <c r="G522">
        <f t="shared" si="33"/>
        <v>5893000</v>
      </c>
      <c r="H522">
        <f t="shared" si="34"/>
        <v>4028800</v>
      </c>
      <c r="I522">
        <f t="shared" si="35"/>
        <v>2357200</v>
      </c>
    </row>
    <row r="523" spans="1:9">
      <c r="A523" t="s">
        <v>14</v>
      </c>
      <c r="B523" t="s">
        <v>18</v>
      </c>
      <c r="C523">
        <v>326000</v>
      </c>
      <c r="D523">
        <v>326000</v>
      </c>
      <c r="E523" t="str">
        <f>VLOOKUP(B523,Лист2!A:E,5,0)</f>
        <v>малые</v>
      </c>
      <c r="F523">
        <f>VLOOKUP(B523,Лист2!A:E,4,0)</f>
        <v>2.5</v>
      </c>
      <c r="G523">
        <f t="shared" si="33"/>
        <v>0</v>
      </c>
      <c r="H523">
        <f t="shared" si="34"/>
        <v>130400</v>
      </c>
      <c r="I523">
        <f t="shared" si="35"/>
        <v>0</v>
      </c>
    </row>
    <row r="524" spans="1:9">
      <c r="A524" t="s">
        <v>14</v>
      </c>
      <c r="B524" t="s">
        <v>18</v>
      </c>
      <c r="C524">
        <v>3456000</v>
      </c>
      <c r="D524">
        <v>2969000</v>
      </c>
      <c r="E524" t="str">
        <f>VLOOKUP(B524,Лист2!A:E,5,0)</f>
        <v>малые</v>
      </c>
      <c r="F524">
        <f>VLOOKUP(B524,Лист2!A:E,4,0)</f>
        <v>2.5</v>
      </c>
      <c r="G524">
        <f t="shared" si="33"/>
        <v>487000</v>
      </c>
      <c r="H524">
        <f t="shared" si="34"/>
        <v>1382400</v>
      </c>
      <c r="I524">
        <f t="shared" si="35"/>
        <v>194800</v>
      </c>
    </row>
    <row r="525" spans="1:9">
      <c r="A525" t="s">
        <v>14</v>
      </c>
      <c r="B525" t="s">
        <v>18</v>
      </c>
      <c r="C525">
        <v>23694000</v>
      </c>
      <c r="D525">
        <v>29578000</v>
      </c>
      <c r="E525" t="str">
        <f>VLOOKUP(B525,Лист2!A:E,5,0)</f>
        <v>малые</v>
      </c>
      <c r="F525">
        <f>VLOOKUP(B525,Лист2!A:E,4,0)</f>
        <v>2.5</v>
      </c>
      <c r="G525">
        <f t="shared" si="33"/>
        <v>-5884000</v>
      </c>
      <c r="H525">
        <f t="shared" si="34"/>
        <v>9477600</v>
      </c>
      <c r="I525">
        <f t="shared" si="35"/>
        <v>-2353600</v>
      </c>
    </row>
    <row r="526" spans="1:9">
      <c r="A526" t="s">
        <v>14</v>
      </c>
      <c r="B526" t="s">
        <v>18</v>
      </c>
      <c r="C526">
        <v>305000</v>
      </c>
      <c r="D526">
        <v>293000</v>
      </c>
      <c r="E526" t="str">
        <f>VLOOKUP(B526,Лист2!A:E,5,0)</f>
        <v>малые</v>
      </c>
      <c r="F526">
        <f>VLOOKUP(B526,Лист2!A:E,4,0)</f>
        <v>2.5</v>
      </c>
      <c r="G526">
        <f t="shared" si="33"/>
        <v>12000</v>
      </c>
      <c r="H526">
        <f t="shared" si="34"/>
        <v>122000</v>
      </c>
      <c r="I526">
        <f t="shared" si="35"/>
        <v>4800</v>
      </c>
    </row>
    <row r="527" spans="1:9">
      <c r="A527" t="s">
        <v>14</v>
      </c>
      <c r="B527" t="s">
        <v>18</v>
      </c>
      <c r="C527">
        <v>5725000</v>
      </c>
      <c r="D527">
        <v>5419000</v>
      </c>
      <c r="E527" t="str">
        <f>VLOOKUP(B527,Лист2!A:E,5,0)</f>
        <v>малые</v>
      </c>
      <c r="F527">
        <f>VLOOKUP(B527,Лист2!A:E,4,0)</f>
        <v>2.5</v>
      </c>
      <c r="G527">
        <f t="shared" si="33"/>
        <v>306000</v>
      </c>
      <c r="H527">
        <f t="shared" si="34"/>
        <v>2290000</v>
      </c>
      <c r="I527">
        <f t="shared" si="35"/>
        <v>122400</v>
      </c>
    </row>
    <row r="528" spans="1:9">
      <c r="A528" t="s">
        <v>14</v>
      </c>
      <c r="B528" t="s">
        <v>18</v>
      </c>
      <c r="C528">
        <v>574000</v>
      </c>
      <c r="D528">
        <v>579000</v>
      </c>
      <c r="E528" t="str">
        <f>VLOOKUP(B528,Лист2!A:E,5,0)</f>
        <v>малые</v>
      </c>
      <c r="F528">
        <f>VLOOKUP(B528,Лист2!A:E,4,0)</f>
        <v>2.5</v>
      </c>
      <c r="G528">
        <f t="shared" si="33"/>
        <v>-5000</v>
      </c>
      <c r="H528">
        <f t="shared" si="34"/>
        <v>229600</v>
      </c>
      <c r="I528">
        <f t="shared" si="35"/>
        <v>-2000</v>
      </c>
    </row>
    <row r="529" spans="1:9">
      <c r="A529" t="s">
        <v>14</v>
      </c>
      <c r="B529" t="s">
        <v>18</v>
      </c>
      <c r="C529">
        <v>25000</v>
      </c>
      <c r="D529">
        <v>53000</v>
      </c>
      <c r="E529" t="str">
        <f>VLOOKUP(B529,Лист2!A:E,5,0)</f>
        <v>малые</v>
      </c>
      <c r="F529">
        <f>VLOOKUP(B529,Лист2!A:E,4,0)</f>
        <v>2.5</v>
      </c>
      <c r="G529">
        <f t="shared" si="33"/>
        <v>-28000</v>
      </c>
      <c r="H529">
        <f t="shared" si="34"/>
        <v>10000</v>
      </c>
      <c r="I529">
        <f t="shared" si="35"/>
        <v>-11200</v>
      </c>
    </row>
    <row r="530" spans="1:9">
      <c r="A530" t="s">
        <v>14</v>
      </c>
      <c r="B530" t="s">
        <v>18</v>
      </c>
      <c r="C530">
        <v>6800000</v>
      </c>
      <c r="D530">
        <v>6839000</v>
      </c>
      <c r="E530" t="str">
        <f>VLOOKUP(B530,Лист2!A:E,5,0)</f>
        <v>малые</v>
      </c>
      <c r="F530">
        <f>VLOOKUP(B530,Лист2!A:E,4,0)</f>
        <v>2.5</v>
      </c>
      <c r="G530">
        <f t="shared" si="33"/>
        <v>-39000</v>
      </c>
      <c r="H530">
        <f t="shared" si="34"/>
        <v>2720000</v>
      </c>
      <c r="I530">
        <f t="shared" si="35"/>
        <v>-15600</v>
      </c>
    </row>
    <row r="531" spans="1:9">
      <c r="A531" t="s">
        <v>14</v>
      </c>
      <c r="B531" t="s">
        <v>18</v>
      </c>
      <c r="C531">
        <v>160000</v>
      </c>
      <c r="D531">
        <v>149000</v>
      </c>
      <c r="E531" t="str">
        <f>VLOOKUP(B531,Лист2!A:E,5,0)</f>
        <v>малые</v>
      </c>
      <c r="F531">
        <f>VLOOKUP(B531,Лист2!A:E,4,0)</f>
        <v>2.5</v>
      </c>
      <c r="G531">
        <f t="shared" si="33"/>
        <v>11000</v>
      </c>
      <c r="H531">
        <f t="shared" si="34"/>
        <v>64000</v>
      </c>
      <c r="I531">
        <f t="shared" si="35"/>
        <v>4400</v>
      </c>
    </row>
    <row r="532" spans="1:9">
      <c r="A532" t="s">
        <v>14</v>
      </c>
      <c r="B532" t="s">
        <v>18</v>
      </c>
      <c r="C532">
        <v>900000</v>
      </c>
      <c r="D532">
        <v>898000</v>
      </c>
      <c r="E532" t="str">
        <f>VLOOKUP(B532,Лист2!A:E,5,0)</f>
        <v>малые</v>
      </c>
      <c r="F532">
        <f>VLOOKUP(B532,Лист2!A:E,4,0)</f>
        <v>2.5</v>
      </c>
      <c r="G532">
        <f t="shared" si="33"/>
        <v>2000</v>
      </c>
      <c r="H532">
        <f t="shared" si="34"/>
        <v>360000</v>
      </c>
      <c r="I532">
        <f t="shared" si="35"/>
        <v>800</v>
      </c>
    </row>
    <row r="533" spans="1:9">
      <c r="A533" t="s">
        <v>14</v>
      </c>
      <c r="B533" t="s">
        <v>18</v>
      </c>
      <c r="C533">
        <v>1730000</v>
      </c>
      <c r="D533">
        <v>1590000</v>
      </c>
      <c r="E533" t="str">
        <f>VLOOKUP(B533,Лист2!A:E,5,0)</f>
        <v>малые</v>
      </c>
      <c r="F533">
        <f>VLOOKUP(B533,Лист2!A:E,4,0)</f>
        <v>2.5</v>
      </c>
      <c r="G533">
        <f t="shared" si="33"/>
        <v>140000</v>
      </c>
      <c r="H533">
        <f t="shared" si="34"/>
        <v>692000</v>
      </c>
      <c r="I533">
        <f t="shared" si="35"/>
        <v>56000</v>
      </c>
    </row>
    <row r="534" spans="1:9">
      <c r="A534" t="s">
        <v>14</v>
      </c>
      <c r="B534" t="s">
        <v>18</v>
      </c>
      <c r="C534">
        <v>1653000</v>
      </c>
      <c r="D534">
        <v>1676000</v>
      </c>
      <c r="E534" t="str">
        <f>VLOOKUP(B534,Лист2!A:E,5,0)</f>
        <v>малые</v>
      </c>
      <c r="F534">
        <f>VLOOKUP(B534,Лист2!A:E,4,0)</f>
        <v>2.5</v>
      </c>
      <c r="G534">
        <f t="shared" si="33"/>
        <v>-23000</v>
      </c>
      <c r="H534">
        <f t="shared" si="34"/>
        <v>661200</v>
      </c>
      <c r="I534">
        <f t="shared" si="35"/>
        <v>-9200</v>
      </c>
    </row>
    <row r="535" spans="1:9">
      <c r="A535" t="s">
        <v>14</v>
      </c>
      <c r="B535" t="s">
        <v>18</v>
      </c>
      <c r="C535">
        <v>2165000</v>
      </c>
      <c r="D535">
        <v>2480000</v>
      </c>
      <c r="E535" t="str">
        <f>VLOOKUP(B535,Лист2!A:E,5,0)</f>
        <v>малые</v>
      </c>
      <c r="F535">
        <f>VLOOKUP(B535,Лист2!A:E,4,0)</f>
        <v>2.5</v>
      </c>
      <c r="G535">
        <f t="shared" si="33"/>
        <v>-315000</v>
      </c>
      <c r="H535">
        <f t="shared" si="34"/>
        <v>866000</v>
      </c>
      <c r="I535">
        <f t="shared" si="35"/>
        <v>-126000</v>
      </c>
    </row>
    <row r="536" spans="1:9">
      <c r="A536" t="s">
        <v>14</v>
      </c>
      <c r="B536" t="s">
        <v>18</v>
      </c>
      <c r="C536">
        <v>1210000</v>
      </c>
      <c r="D536">
        <v>1207000</v>
      </c>
      <c r="E536" t="str">
        <f>VLOOKUP(B536,Лист2!A:E,5,0)</f>
        <v>малые</v>
      </c>
      <c r="F536">
        <f>VLOOKUP(B536,Лист2!A:E,4,0)</f>
        <v>2.5</v>
      </c>
      <c r="G536">
        <f t="shared" si="33"/>
        <v>3000</v>
      </c>
      <c r="H536">
        <f t="shared" si="34"/>
        <v>484000</v>
      </c>
      <c r="I536">
        <f t="shared" si="35"/>
        <v>1200</v>
      </c>
    </row>
    <row r="537" spans="1:9">
      <c r="A537" t="s">
        <v>14</v>
      </c>
      <c r="B537" t="s">
        <v>18</v>
      </c>
      <c r="C537">
        <v>34000000</v>
      </c>
      <c r="D537">
        <v>34246000</v>
      </c>
      <c r="E537" t="str">
        <f>VLOOKUP(B537,Лист2!A:E,5,0)</f>
        <v>малые</v>
      </c>
      <c r="F537">
        <f>VLOOKUP(B537,Лист2!A:E,4,0)</f>
        <v>2.5</v>
      </c>
      <c r="G537">
        <f t="shared" si="33"/>
        <v>-246000</v>
      </c>
      <c r="H537">
        <f t="shared" si="34"/>
        <v>13600000</v>
      </c>
      <c r="I537">
        <f t="shared" si="35"/>
        <v>-98400</v>
      </c>
    </row>
    <row r="538" spans="1:9">
      <c r="A538" t="s">
        <v>14</v>
      </c>
      <c r="B538" t="s">
        <v>18</v>
      </c>
      <c r="C538">
        <v>1302000</v>
      </c>
      <c r="D538">
        <v>546000</v>
      </c>
      <c r="E538" t="str">
        <f>VLOOKUP(B538,Лист2!A:E,5,0)</f>
        <v>малые</v>
      </c>
      <c r="F538">
        <f>VLOOKUP(B538,Лист2!A:E,4,0)</f>
        <v>2.5</v>
      </c>
      <c r="G538">
        <f t="shared" si="33"/>
        <v>756000</v>
      </c>
      <c r="H538">
        <f t="shared" si="34"/>
        <v>520800</v>
      </c>
      <c r="I538">
        <f t="shared" si="35"/>
        <v>302400</v>
      </c>
    </row>
    <row r="539" spans="1:9">
      <c r="A539" t="s">
        <v>14</v>
      </c>
      <c r="B539" t="s">
        <v>18</v>
      </c>
      <c r="C539">
        <v>14205000</v>
      </c>
      <c r="D539">
        <v>13913000</v>
      </c>
      <c r="E539" t="str">
        <f>VLOOKUP(B539,Лист2!A:E,5,0)</f>
        <v>малые</v>
      </c>
      <c r="F539">
        <f>VLOOKUP(B539,Лист2!A:E,4,0)</f>
        <v>2.5</v>
      </c>
      <c r="G539">
        <f t="shared" si="33"/>
        <v>292000</v>
      </c>
      <c r="H539">
        <f t="shared" si="34"/>
        <v>5682000</v>
      </c>
      <c r="I539">
        <f t="shared" si="35"/>
        <v>116800</v>
      </c>
    </row>
    <row r="540" spans="1:9">
      <c r="A540" t="s">
        <v>14</v>
      </c>
      <c r="B540" t="s">
        <v>18</v>
      </c>
      <c r="C540">
        <v>163000</v>
      </c>
      <c r="D540">
        <v>518000</v>
      </c>
      <c r="E540" t="str">
        <f>VLOOKUP(B540,Лист2!A:E,5,0)</f>
        <v>малые</v>
      </c>
      <c r="F540">
        <f>VLOOKUP(B540,Лист2!A:E,4,0)</f>
        <v>2.5</v>
      </c>
      <c r="G540">
        <f t="shared" si="33"/>
        <v>-355000</v>
      </c>
      <c r="H540">
        <f t="shared" si="34"/>
        <v>65200</v>
      </c>
      <c r="I540">
        <f t="shared" si="35"/>
        <v>-142000</v>
      </c>
    </row>
    <row r="541" spans="1:9">
      <c r="A541" t="s">
        <v>14</v>
      </c>
      <c r="B541" t="s">
        <v>18</v>
      </c>
      <c r="C541">
        <v>35000</v>
      </c>
      <c r="D541">
        <v>28000</v>
      </c>
      <c r="E541" t="str">
        <f>VLOOKUP(B541,Лист2!A:E,5,0)</f>
        <v>малые</v>
      </c>
      <c r="F541">
        <f>VLOOKUP(B541,Лист2!A:E,4,0)</f>
        <v>2.5</v>
      </c>
      <c r="G541">
        <f t="shared" si="33"/>
        <v>7000</v>
      </c>
      <c r="H541">
        <f t="shared" si="34"/>
        <v>14000</v>
      </c>
      <c r="I541">
        <f t="shared" si="35"/>
        <v>2800</v>
      </c>
    </row>
    <row r="542" spans="1:9">
      <c r="A542" t="s">
        <v>14</v>
      </c>
      <c r="B542" t="s">
        <v>18</v>
      </c>
      <c r="C542">
        <v>3560000</v>
      </c>
      <c r="D542">
        <v>3560000</v>
      </c>
      <c r="E542" t="str">
        <f>VLOOKUP(B542,Лист2!A:E,5,0)</f>
        <v>малые</v>
      </c>
      <c r="F542">
        <f>VLOOKUP(B542,Лист2!A:E,4,0)</f>
        <v>2.5</v>
      </c>
      <c r="G542">
        <f t="shared" si="33"/>
        <v>0</v>
      </c>
      <c r="H542">
        <f t="shared" si="34"/>
        <v>1424000</v>
      </c>
      <c r="I542">
        <f t="shared" si="35"/>
        <v>0</v>
      </c>
    </row>
    <row r="543" spans="1:9">
      <c r="A543" t="s">
        <v>14</v>
      </c>
      <c r="B543" t="s">
        <v>18</v>
      </c>
      <c r="C543">
        <v>178000</v>
      </c>
      <c r="D543">
        <v>155000</v>
      </c>
      <c r="E543" t="str">
        <f>VLOOKUP(B543,Лист2!A:E,5,0)</f>
        <v>малые</v>
      </c>
      <c r="F543">
        <f>VLOOKUP(B543,Лист2!A:E,4,0)</f>
        <v>2.5</v>
      </c>
      <c r="G543">
        <f t="shared" si="33"/>
        <v>23000</v>
      </c>
      <c r="H543">
        <f t="shared" si="34"/>
        <v>71200</v>
      </c>
      <c r="I543">
        <f t="shared" si="35"/>
        <v>9200</v>
      </c>
    </row>
    <row r="544" spans="1:9">
      <c r="A544" t="s">
        <v>14</v>
      </c>
      <c r="B544" t="s">
        <v>18</v>
      </c>
      <c r="C544">
        <v>2453000</v>
      </c>
      <c r="D544">
        <v>2702000</v>
      </c>
      <c r="E544" t="str">
        <f>VLOOKUP(B544,Лист2!A:E,5,0)</f>
        <v>малые</v>
      </c>
      <c r="F544">
        <f>VLOOKUP(B544,Лист2!A:E,4,0)</f>
        <v>2.5</v>
      </c>
      <c r="G544">
        <f t="shared" ref="G544:G585" si="36">C544-D544</f>
        <v>-249000</v>
      </c>
      <c r="H544">
        <f t="shared" ref="H544:H585" si="37">C544/F544</f>
        <v>981200</v>
      </c>
      <c r="I544">
        <f t="shared" ref="I544:I585" si="38">G544/F544</f>
        <v>-99600</v>
      </c>
    </row>
    <row r="545" spans="1:9">
      <c r="A545" t="s">
        <v>14</v>
      </c>
      <c r="B545" t="s">
        <v>18</v>
      </c>
      <c r="C545">
        <v>370000</v>
      </c>
      <c r="D545">
        <v>391000</v>
      </c>
      <c r="E545" t="str">
        <f>VLOOKUP(B545,Лист2!A:E,5,0)</f>
        <v>малые</v>
      </c>
      <c r="F545">
        <f>VLOOKUP(B545,Лист2!A:E,4,0)</f>
        <v>2.5</v>
      </c>
      <c r="G545">
        <f t="shared" si="36"/>
        <v>-21000</v>
      </c>
      <c r="H545">
        <f t="shared" si="37"/>
        <v>148000</v>
      </c>
      <c r="I545">
        <f t="shared" si="38"/>
        <v>-8400</v>
      </c>
    </row>
    <row r="546" spans="1:9">
      <c r="A546" t="s">
        <v>14</v>
      </c>
      <c r="B546" t="s">
        <v>18</v>
      </c>
      <c r="C546">
        <v>799000</v>
      </c>
      <c r="D546">
        <v>789000</v>
      </c>
      <c r="E546" t="str">
        <f>VLOOKUP(B546,Лист2!A:E,5,0)</f>
        <v>малые</v>
      </c>
      <c r="F546">
        <f>VLOOKUP(B546,Лист2!A:E,4,0)</f>
        <v>2.5</v>
      </c>
      <c r="G546">
        <f t="shared" si="36"/>
        <v>10000</v>
      </c>
      <c r="H546">
        <f t="shared" si="37"/>
        <v>319600</v>
      </c>
      <c r="I546">
        <f t="shared" si="38"/>
        <v>4000</v>
      </c>
    </row>
    <row r="547" spans="1:9">
      <c r="A547" t="s">
        <v>14</v>
      </c>
      <c r="B547" t="s">
        <v>18</v>
      </c>
      <c r="C547">
        <v>2797000</v>
      </c>
      <c r="D547">
        <v>3224000</v>
      </c>
      <c r="E547" t="str">
        <f>VLOOKUP(B547,Лист2!A:E,5,0)</f>
        <v>малые</v>
      </c>
      <c r="F547">
        <f>VLOOKUP(B547,Лист2!A:E,4,0)</f>
        <v>2.5</v>
      </c>
      <c r="G547">
        <f t="shared" si="36"/>
        <v>-427000</v>
      </c>
      <c r="H547">
        <f t="shared" si="37"/>
        <v>1118800</v>
      </c>
      <c r="I547">
        <f t="shared" si="38"/>
        <v>-170800</v>
      </c>
    </row>
    <row r="548" spans="1:9">
      <c r="A548" t="s">
        <v>14</v>
      </c>
      <c r="B548" t="s">
        <v>18</v>
      </c>
      <c r="C548">
        <v>384000</v>
      </c>
      <c r="D548">
        <v>455000</v>
      </c>
      <c r="E548" t="str">
        <f>VLOOKUP(B548,Лист2!A:E,5,0)</f>
        <v>малые</v>
      </c>
      <c r="F548">
        <f>VLOOKUP(B548,Лист2!A:E,4,0)</f>
        <v>2.5</v>
      </c>
      <c r="G548">
        <f t="shared" si="36"/>
        <v>-71000</v>
      </c>
      <c r="H548">
        <f t="shared" si="37"/>
        <v>153600</v>
      </c>
      <c r="I548">
        <f t="shared" si="38"/>
        <v>-28400</v>
      </c>
    </row>
    <row r="549" spans="1:9">
      <c r="A549" t="s">
        <v>14</v>
      </c>
      <c r="B549" t="s">
        <v>18</v>
      </c>
      <c r="C549">
        <v>6541000</v>
      </c>
      <c r="D549">
        <v>5865000</v>
      </c>
      <c r="E549" t="str">
        <f>VLOOKUP(B549,Лист2!A:E,5,0)</f>
        <v>малые</v>
      </c>
      <c r="F549">
        <f>VLOOKUP(B549,Лист2!A:E,4,0)</f>
        <v>2.5</v>
      </c>
      <c r="G549">
        <f t="shared" si="36"/>
        <v>676000</v>
      </c>
      <c r="H549">
        <f t="shared" si="37"/>
        <v>2616400</v>
      </c>
      <c r="I549">
        <f t="shared" si="38"/>
        <v>270400</v>
      </c>
    </row>
    <row r="550" spans="1:9">
      <c r="A550" t="s">
        <v>14</v>
      </c>
      <c r="B550" t="s">
        <v>18</v>
      </c>
      <c r="C550">
        <v>431000</v>
      </c>
      <c r="D550">
        <v>440000</v>
      </c>
      <c r="E550" t="str">
        <f>VLOOKUP(B550,Лист2!A:E,5,0)</f>
        <v>малые</v>
      </c>
      <c r="F550">
        <f>VLOOKUP(B550,Лист2!A:E,4,0)</f>
        <v>2.5</v>
      </c>
      <c r="G550">
        <f t="shared" si="36"/>
        <v>-9000</v>
      </c>
      <c r="H550">
        <f t="shared" si="37"/>
        <v>172400</v>
      </c>
      <c r="I550">
        <f t="shared" si="38"/>
        <v>-3600</v>
      </c>
    </row>
    <row r="551" spans="1:9">
      <c r="A551" t="s">
        <v>14</v>
      </c>
      <c r="B551" t="s">
        <v>18</v>
      </c>
      <c r="C551">
        <v>1731000</v>
      </c>
      <c r="D551">
        <v>1705000</v>
      </c>
      <c r="E551" t="str">
        <f>VLOOKUP(B551,Лист2!A:E,5,0)</f>
        <v>малые</v>
      </c>
      <c r="F551">
        <f>VLOOKUP(B551,Лист2!A:E,4,0)</f>
        <v>2.5</v>
      </c>
      <c r="G551">
        <f t="shared" si="36"/>
        <v>26000</v>
      </c>
      <c r="H551">
        <f t="shared" si="37"/>
        <v>692400</v>
      </c>
      <c r="I551">
        <f t="shared" si="38"/>
        <v>10400</v>
      </c>
    </row>
    <row r="552" spans="1:9">
      <c r="A552" t="s">
        <v>14</v>
      </c>
      <c r="B552" t="s">
        <v>18</v>
      </c>
      <c r="C552">
        <v>1213000</v>
      </c>
      <c r="D552">
        <v>385000</v>
      </c>
      <c r="E552" t="str">
        <f>VLOOKUP(B552,Лист2!A:E,5,0)</f>
        <v>малые</v>
      </c>
      <c r="F552">
        <f>VLOOKUP(B552,Лист2!A:E,4,0)</f>
        <v>2.5</v>
      </c>
      <c r="G552">
        <f t="shared" si="36"/>
        <v>828000</v>
      </c>
      <c r="H552">
        <f t="shared" si="37"/>
        <v>485200</v>
      </c>
      <c r="I552">
        <f t="shared" si="38"/>
        <v>331200</v>
      </c>
    </row>
    <row r="553" spans="1:9">
      <c r="A553" t="s">
        <v>14</v>
      </c>
      <c r="B553" t="s">
        <v>18</v>
      </c>
      <c r="C553">
        <v>442000</v>
      </c>
      <c r="D553">
        <v>625000</v>
      </c>
      <c r="E553" t="str">
        <f>VLOOKUP(B553,Лист2!A:E,5,0)</f>
        <v>малые</v>
      </c>
      <c r="F553">
        <f>VLOOKUP(B553,Лист2!A:E,4,0)</f>
        <v>2.5</v>
      </c>
      <c r="G553">
        <f t="shared" si="36"/>
        <v>-183000</v>
      </c>
      <c r="H553">
        <f t="shared" si="37"/>
        <v>176800</v>
      </c>
      <c r="I553">
        <f t="shared" si="38"/>
        <v>-73200</v>
      </c>
    </row>
    <row r="554" spans="1:9">
      <c r="A554" t="s">
        <v>14</v>
      </c>
      <c r="B554" t="s">
        <v>18</v>
      </c>
      <c r="C554">
        <v>2035000</v>
      </c>
      <c r="D554">
        <v>2078000</v>
      </c>
      <c r="E554" t="str">
        <f>VLOOKUP(B554,Лист2!A:E,5,0)</f>
        <v>малые</v>
      </c>
      <c r="F554">
        <f>VLOOKUP(B554,Лист2!A:E,4,0)</f>
        <v>2.5</v>
      </c>
      <c r="G554">
        <f t="shared" si="36"/>
        <v>-43000</v>
      </c>
      <c r="H554">
        <f t="shared" si="37"/>
        <v>814000</v>
      </c>
      <c r="I554">
        <f t="shared" si="38"/>
        <v>-17200</v>
      </c>
    </row>
    <row r="555" spans="1:9">
      <c r="A555" t="s">
        <v>14</v>
      </c>
      <c r="B555" t="s">
        <v>18</v>
      </c>
      <c r="C555">
        <v>366179000</v>
      </c>
      <c r="D555">
        <v>236970000</v>
      </c>
      <c r="E555" t="str">
        <f>VLOOKUP(B555,Лист2!A:E,5,0)</f>
        <v>малые</v>
      </c>
      <c r="F555">
        <f>VLOOKUP(B555,Лист2!A:E,4,0)</f>
        <v>2.5</v>
      </c>
      <c r="G555">
        <f t="shared" si="36"/>
        <v>129209000</v>
      </c>
      <c r="H555">
        <f t="shared" si="37"/>
        <v>146471600</v>
      </c>
      <c r="I555">
        <f t="shared" si="38"/>
        <v>51683600</v>
      </c>
    </row>
    <row r="556" spans="1:9">
      <c r="A556" t="s">
        <v>14</v>
      </c>
      <c r="B556" t="s">
        <v>18</v>
      </c>
      <c r="C556">
        <v>523669000</v>
      </c>
      <c r="D556">
        <v>341295000</v>
      </c>
      <c r="E556" t="str">
        <f>VLOOKUP(B556,Лист2!A:E,5,0)</f>
        <v>малые</v>
      </c>
      <c r="F556">
        <f>VLOOKUP(B556,Лист2!A:E,4,0)</f>
        <v>2.5</v>
      </c>
      <c r="G556">
        <f t="shared" si="36"/>
        <v>182374000</v>
      </c>
      <c r="H556">
        <f t="shared" si="37"/>
        <v>209467600</v>
      </c>
      <c r="I556">
        <f t="shared" si="38"/>
        <v>72949600</v>
      </c>
    </row>
    <row r="557" spans="1:9">
      <c r="A557" t="s">
        <v>14</v>
      </c>
      <c r="B557" t="s">
        <v>18</v>
      </c>
      <c r="C557">
        <v>2650000</v>
      </c>
      <c r="D557">
        <v>2588000</v>
      </c>
      <c r="E557" t="str">
        <f>VLOOKUP(B557,Лист2!A:E,5,0)</f>
        <v>малые</v>
      </c>
      <c r="F557">
        <f>VLOOKUP(B557,Лист2!A:E,4,0)</f>
        <v>2.5</v>
      </c>
      <c r="G557">
        <f t="shared" si="36"/>
        <v>62000</v>
      </c>
      <c r="H557">
        <f t="shared" si="37"/>
        <v>1060000</v>
      </c>
      <c r="I557">
        <f t="shared" si="38"/>
        <v>24800</v>
      </c>
    </row>
    <row r="558" spans="1:9">
      <c r="A558" t="s">
        <v>14</v>
      </c>
      <c r="B558" t="s">
        <v>18</v>
      </c>
      <c r="C558">
        <v>573000</v>
      </c>
      <c r="D558">
        <v>573000</v>
      </c>
      <c r="E558" t="str">
        <f>VLOOKUP(B558,Лист2!A:E,5,0)</f>
        <v>малые</v>
      </c>
      <c r="F558">
        <f>VLOOKUP(B558,Лист2!A:E,4,0)</f>
        <v>2.5</v>
      </c>
      <c r="G558">
        <f t="shared" si="36"/>
        <v>0</v>
      </c>
      <c r="H558">
        <f t="shared" si="37"/>
        <v>229200</v>
      </c>
      <c r="I558">
        <f t="shared" si="38"/>
        <v>0</v>
      </c>
    </row>
    <row r="559" spans="1:9">
      <c r="A559" t="s">
        <v>14</v>
      </c>
      <c r="B559" t="s">
        <v>18</v>
      </c>
      <c r="C559">
        <v>3017000</v>
      </c>
      <c r="D559">
        <v>2609000</v>
      </c>
      <c r="E559" t="str">
        <f>VLOOKUP(B559,Лист2!A:E,5,0)</f>
        <v>малые</v>
      </c>
      <c r="F559">
        <f>VLOOKUP(B559,Лист2!A:E,4,0)</f>
        <v>2.5</v>
      </c>
      <c r="G559">
        <f t="shared" si="36"/>
        <v>408000</v>
      </c>
      <c r="H559">
        <f t="shared" si="37"/>
        <v>1206800</v>
      </c>
      <c r="I559">
        <f t="shared" si="38"/>
        <v>163200</v>
      </c>
    </row>
    <row r="560" spans="1:9">
      <c r="A560" t="s">
        <v>14</v>
      </c>
      <c r="B560" t="s">
        <v>18</v>
      </c>
      <c r="C560">
        <v>1340000</v>
      </c>
      <c r="D560">
        <v>3230000</v>
      </c>
      <c r="E560" t="str">
        <f>VLOOKUP(B560,Лист2!A:E,5,0)</f>
        <v>малые</v>
      </c>
      <c r="F560">
        <f>VLOOKUP(B560,Лист2!A:E,4,0)</f>
        <v>2.5</v>
      </c>
      <c r="G560">
        <f t="shared" si="36"/>
        <v>-1890000</v>
      </c>
      <c r="H560">
        <f t="shared" si="37"/>
        <v>536000</v>
      </c>
      <c r="I560">
        <f t="shared" si="38"/>
        <v>-756000</v>
      </c>
    </row>
    <row r="561" spans="1:9">
      <c r="A561" t="s">
        <v>14</v>
      </c>
      <c r="B561" t="s">
        <v>18</v>
      </c>
      <c r="C561">
        <v>1101000</v>
      </c>
      <c r="D561">
        <v>1041000</v>
      </c>
      <c r="E561" t="str">
        <f>VLOOKUP(B561,Лист2!A:E,5,0)</f>
        <v>малые</v>
      </c>
      <c r="F561">
        <f>VLOOKUP(B561,Лист2!A:E,4,0)</f>
        <v>2.5</v>
      </c>
      <c r="G561">
        <f t="shared" si="36"/>
        <v>60000</v>
      </c>
      <c r="H561">
        <f t="shared" si="37"/>
        <v>440400</v>
      </c>
      <c r="I561">
        <f t="shared" si="38"/>
        <v>24000</v>
      </c>
    </row>
    <row r="562" spans="1:9">
      <c r="A562" t="s">
        <v>14</v>
      </c>
      <c r="B562" t="s">
        <v>18</v>
      </c>
      <c r="C562">
        <v>1984000</v>
      </c>
      <c r="D562">
        <v>1750000</v>
      </c>
      <c r="E562" t="str">
        <f>VLOOKUP(B562,Лист2!A:E,5,0)</f>
        <v>малые</v>
      </c>
      <c r="F562">
        <f>VLOOKUP(B562,Лист2!A:E,4,0)</f>
        <v>2.5</v>
      </c>
      <c r="G562">
        <f t="shared" si="36"/>
        <v>234000</v>
      </c>
      <c r="H562">
        <f t="shared" si="37"/>
        <v>793600</v>
      </c>
      <c r="I562">
        <f t="shared" si="38"/>
        <v>93600</v>
      </c>
    </row>
    <row r="563" spans="1:9">
      <c r="A563" t="s">
        <v>14</v>
      </c>
      <c r="B563" t="s">
        <v>18</v>
      </c>
      <c r="C563">
        <v>795000</v>
      </c>
      <c r="D563">
        <v>44000</v>
      </c>
      <c r="E563" t="str">
        <f>VLOOKUP(B563,Лист2!A:E,5,0)</f>
        <v>малые</v>
      </c>
      <c r="F563">
        <f>VLOOKUP(B563,Лист2!A:E,4,0)</f>
        <v>2.5</v>
      </c>
      <c r="G563">
        <f t="shared" si="36"/>
        <v>751000</v>
      </c>
      <c r="H563">
        <f t="shared" si="37"/>
        <v>318000</v>
      </c>
      <c r="I563">
        <f t="shared" si="38"/>
        <v>300400</v>
      </c>
    </row>
    <row r="564" spans="1:9">
      <c r="A564" t="s">
        <v>14</v>
      </c>
      <c r="B564" t="s">
        <v>18</v>
      </c>
      <c r="C564">
        <v>6594000</v>
      </c>
      <c r="D564">
        <v>5735000</v>
      </c>
      <c r="E564" t="str">
        <f>VLOOKUP(B564,Лист2!A:E,5,0)</f>
        <v>малые</v>
      </c>
      <c r="F564">
        <f>VLOOKUP(B564,Лист2!A:E,4,0)</f>
        <v>2.5</v>
      </c>
      <c r="G564">
        <f t="shared" si="36"/>
        <v>859000</v>
      </c>
      <c r="H564">
        <f t="shared" si="37"/>
        <v>2637600</v>
      </c>
      <c r="I564">
        <f t="shared" si="38"/>
        <v>343600</v>
      </c>
    </row>
    <row r="565" spans="1:9">
      <c r="A565" t="s">
        <v>14</v>
      </c>
      <c r="B565" t="s">
        <v>18</v>
      </c>
      <c r="C565">
        <v>34008000</v>
      </c>
      <c r="D565">
        <v>12000</v>
      </c>
      <c r="E565" t="str">
        <f>VLOOKUP(B565,Лист2!A:E,5,0)</f>
        <v>малые</v>
      </c>
      <c r="F565">
        <f>VLOOKUP(B565,Лист2!A:E,4,0)</f>
        <v>2.5</v>
      </c>
      <c r="G565">
        <f t="shared" si="36"/>
        <v>33996000</v>
      </c>
      <c r="H565">
        <f t="shared" si="37"/>
        <v>13603200</v>
      </c>
      <c r="I565">
        <f t="shared" si="38"/>
        <v>13598400</v>
      </c>
    </row>
    <row r="566" spans="1:9">
      <c r="A566" t="s">
        <v>14</v>
      </c>
      <c r="B566" t="s">
        <v>18</v>
      </c>
      <c r="C566">
        <v>7600000</v>
      </c>
      <c r="D566">
        <v>7579000</v>
      </c>
      <c r="E566" t="str">
        <f>VLOOKUP(B566,Лист2!A:E,5,0)</f>
        <v>малые</v>
      </c>
      <c r="F566">
        <f>VLOOKUP(B566,Лист2!A:E,4,0)</f>
        <v>2.5</v>
      </c>
      <c r="G566">
        <f t="shared" si="36"/>
        <v>21000</v>
      </c>
      <c r="H566">
        <f t="shared" si="37"/>
        <v>3040000</v>
      </c>
      <c r="I566">
        <f t="shared" si="38"/>
        <v>8400</v>
      </c>
    </row>
    <row r="567" spans="1:9">
      <c r="A567" t="s">
        <v>14</v>
      </c>
      <c r="B567" t="s">
        <v>18</v>
      </c>
      <c r="C567">
        <v>1097581000</v>
      </c>
      <c r="D567">
        <v>1028487000</v>
      </c>
      <c r="E567" t="str">
        <f>VLOOKUP(B567,Лист2!A:E,5,0)</f>
        <v>малые</v>
      </c>
      <c r="F567">
        <f>VLOOKUP(B567,Лист2!A:E,4,0)</f>
        <v>2.5</v>
      </c>
      <c r="G567">
        <f t="shared" si="36"/>
        <v>69094000</v>
      </c>
      <c r="H567">
        <f t="shared" si="37"/>
        <v>439032400</v>
      </c>
      <c r="I567">
        <f t="shared" si="38"/>
        <v>27637600</v>
      </c>
    </row>
    <row r="568" spans="1:9">
      <c r="A568" t="s">
        <v>14</v>
      </c>
      <c r="B568" t="s">
        <v>18</v>
      </c>
      <c r="C568">
        <v>1166000</v>
      </c>
      <c r="D568">
        <v>1379000</v>
      </c>
      <c r="E568" t="str">
        <f>VLOOKUP(B568,Лист2!A:E,5,0)</f>
        <v>малые</v>
      </c>
      <c r="F568">
        <f>VLOOKUP(B568,Лист2!A:E,4,0)</f>
        <v>2.5</v>
      </c>
      <c r="G568">
        <f t="shared" si="36"/>
        <v>-213000</v>
      </c>
      <c r="H568">
        <f t="shared" si="37"/>
        <v>466400</v>
      </c>
      <c r="I568">
        <f t="shared" si="38"/>
        <v>-85200</v>
      </c>
    </row>
    <row r="569" spans="1:9">
      <c r="A569" t="s">
        <v>14</v>
      </c>
      <c r="B569" t="s">
        <v>18</v>
      </c>
      <c r="C569">
        <v>7762000</v>
      </c>
      <c r="D569">
        <v>7682000</v>
      </c>
      <c r="E569" t="str">
        <f>VLOOKUP(B569,Лист2!A:E,5,0)</f>
        <v>малые</v>
      </c>
      <c r="F569">
        <f>VLOOKUP(B569,Лист2!A:E,4,0)</f>
        <v>2.5</v>
      </c>
      <c r="G569">
        <f t="shared" si="36"/>
        <v>80000</v>
      </c>
      <c r="H569">
        <f t="shared" si="37"/>
        <v>3104800</v>
      </c>
      <c r="I569">
        <f t="shared" si="38"/>
        <v>32000</v>
      </c>
    </row>
    <row r="570" spans="1:9">
      <c r="A570" t="s">
        <v>14</v>
      </c>
      <c r="B570" t="s">
        <v>18</v>
      </c>
      <c r="C570">
        <v>8863000</v>
      </c>
      <c r="D570">
        <v>7529000</v>
      </c>
      <c r="E570" t="str">
        <f>VLOOKUP(B570,Лист2!A:E,5,0)</f>
        <v>малые</v>
      </c>
      <c r="F570">
        <f>VLOOKUP(B570,Лист2!A:E,4,0)</f>
        <v>2.5</v>
      </c>
      <c r="G570">
        <f t="shared" si="36"/>
        <v>1334000</v>
      </c>
      <c r="H570">
        <f t="shared" si="37"/>
        <v>3545200</v>
      </c>
      <c r="I570">
        <f t="shared" si="38"/>
        <v>533600</v>
      </c>
    </row>
    <row r="571" spans="1:9">
      <c r="A571" t="s">
        <v>14</v>
      </c>
      <c r="B571" t="s">
        <v>77</v>
      </c>
      <c r="C571">
        <v>42098000</v>
      </c>
      <c r="D571">
        <v>41683000</v>
      </c>
      <c r="E571" t="str">
        <f>VLOOKUP(B571,Лист2!A:E,5,0)</f>
        <v>малые</v>
      </c>
      <c r="F571">
        <f>VLOOKUP(B571,Лист2!A:E,4,0)</f>
        <v>8</v>
      </c>
      <c r="G571">
        <f t="shared" si="36"/>
        <v>415000</v>
      </c>
      <c r="H571">
        <f t="shared" si="37"/>
        <v>5262250</v>
      </c>
      <c r="I571">
        <f t="shared" si="38"/>
        <v>51875</v>
      </c>
    </row>
    <row r="572" spans="1:9">
      <c r="A572" t="s">
        <v>14</v>
      </c>
      <c r="B572" t="s">
        <v>18</v>
      </c>
      <c r="C572">
        <v>4153000</v>
      </c>
      <c r="D572">
        <v>4088000</v>
      </c>
      <c r="E572" t="str">
        <f>VLOOKUP(B572,Лист2!A:E,5,0)</f>
        <v>малые</v>
      </c>
      <c r="F572">
        <f>VLOOKUP(B572,Лист2!A:E,4,0)</f>
        <v>2.5</v>
      </c>
      <c r="G572">
        <f t="shared" si="36"/>
        <v>65000</v>
      </c>
      <c r="H572">
        <f t="shared" si="37"/>
        <v>1661200</v>
      </c>
      <c r="I572">
        <f t="shared" si="38"/>
        <v>26000</v>
      </c>
    </row>
    <row r="573" spans="1:9">
      <c r="A573" t="s">
        <v>14</v>
      </c>
      <c r="B573" t="s">
        <v>18</v>
      </c>
      <c r="C573">
        <v>1350000</v>
      </c>
      <c r="D573">
        <v>1341000</v>
      </c>
      <c r="E573" t="str">
        <f>VLOOKUP(B573,Лист2!A:E,5,0)</f>
        <v>малые</v>
      </c>
      <c r="F573">
        <f>VLOOKUP(B573,Лист2!A:E,4,0)</f>
        <v>2.5</v>
      </c>
      <c r="G573">
        <f t="shared" si="36"/>
        <v>9000</v>
      </c>
      <c r="H573">
        <f t="shared" si="37"/>
        <v>540000</v>
      </c>
      <c r="I573">
        <f t="shared" si="38"/>
        <v>3600</v>
      </c>
    </row>
    <row r="574" spans="1:9">
      <c r="A574" t="s">
        <v>14</v>
      </c>
      <c r="B574" t="s">
        <v>23</v>
      </c>
      <c r="C574">
        <v>27828000</v>
      </c>
      <c r="D574">
        <v>28976000</v>
      </c>
      <c r="E574" t="str">
        <f>VLOOKUP(B574,Лист2!A:E,5,0)</f>
        <v>средние</v>
      </c>
      <c r="F574">
        <f>VLOOKUP(B574,Лист2!A:E,4,0)</f>
        <v>75.5</v>
      </c>
      <c r="G574">
        <f t="shared" si="36"/>
        <v>-1148000</v>
      </c>
      <c r="H574">
        <f t="shared" si="37"/>
        <v>368582.78145695367</v>
      </c>
      <c r="I574">
        <f t="shared" si="38"/>
        <v>-15205.298013245034</v>
      </c>
    </row>
    <row r="575" spans="1:9">
      <c r="A575" t="s">
        <v>14</v>
      </c>
      <c r="B575" t="s">
        <v>18</v>
      </c>
      <c r="C575">
        <v>9260000</v>
      </c>
      <c r="D575">
        <v>9735000</v>
      </c>
      <c r="E575" t="str">
        <f>VLOOKUP(B575,Лист2!A:E,5,0)</f>
        <v>малые</v>
      </c>
      <c r="F575">
        <f>VLOOKUP(B575,Лист2!A:E,4,0)</f>
        <v>2.5</v>
      </c>
      <c r="G575">
        <f t="shared" si="36"/>
        <v>-475000</v>
      </c>
      <c r="H575">
        <f t="shared" si="37"/>
        <v>3704000</v>
      </c>
      <c r="I575">
        <f t="shared" si="38"/>
        <v>-190000</v>
      </c>
    </row>
    <row r="576" spans="1:9">
      <c r="A576" t="s">
        <v>14</v>
      </c>
      <c r="B576" t="s">
        <v>18</v>
      </c>
      <c r="C576">
        <v>24196000</v>
      </c>
      <c r="D576">
        <v>13883000</v>
      </c>
      <c r="E576" t="str">
        <f>VLOOKUP(B576,Лист2!A:E,5,0)</f>
        <v>малые</v>
      </c>
      <c r="F576">
        <f>VLOOKUP(B576,Лист2!A:E,4,0)</f>
        <v>2.5</v>
      </c>
      <c r="G576">
        <f t="shared" si="36"/>
        <v>10313000</v>
      </c>
      <c r="H576">
        <f t="shared" si="37"/>
        <v>9678400</v>
      </c>
      <c r="I576">
        <f t="shared" si="38"/>
        <v>4125200</v>
      </c>
    </row>
    <row r="577" spans="1:9">
      <c r="A577" t="s">
        <v>14</v>
      </c>
      <c r="B577" t="s">
        <v>18</v>
      </c>
      <c r="C577">
        <v>284000</v>
      </c>
      <c r="D577">
        <v>284000</v>
      </c>
      <c r="E577" t="str">
        <f>VLOOKUP(B577,Лист2!A:E,5,0)</f>
        <v>малые</v>
      </c>
      <c r="F577">
        <f>VLOOKUP(B577,Лист2!A:E,4,0)</f>
        <v>2.5</v>
      </c>
      <c r="G577">
        <f t="shared" si="36"/>
        <v>0</v>
      </c>
      <c r="H577">
        <f t="shared" si="37"/>
        <v>113600</v>
      </c>
      <c r="I577">
        <f t="shared" si="38"/>
        <v>0</v>
      </c>
    </row>
    <row r="578" spans="1:9">
      <c r="A578" t="s">
        <v>14</v>
      </c>
      <c r="B578" t="s">
        <v>18</v>
      </c>
      <c r="C578">
        <v>1817000</v>
      </c>
      <c r="D578">
        <v>1874000</v>
      </c>
      <c r="E578" t="str">
        <f>VLOOKUP(B578,Лист2!A:E,5,0)</f>
        <v>малые</v>
      </c>
      <c r="F578">
        <f>VLOOKUP(B578,Лист2!A:E,4,0)</f>
        <v>2.5</v>
      </c>
      <c r="G578">
        <f t="shared" si="36"/>
        <v>-57000</v>
      </c>
      <c r="H578">
        <f t="shared" si="37"/>
        <v>726800</v>
      </c>
      <c r="I578">
        <f t="shared" si="38"/>
        <v>-22800</v>
      </c>
    </row>
    <row r="579" spans="1:9">
      <c r="A579" t="s">
        <v>14</v>
      </c>
      <c r="B579" t="s">
        <v>18</v>
      </c>
      <c r="C579">
        <v>511000</v>
      </c>
      <c r="D579">
        <v>437000</v>
      </c>
      <c r="E579" t="str">
        <f>VLOOKUP(B579,Лист2!A:E,5,0)</f>
        <v>малые</v>
      </c>
      <c r="F579">
        <f>VLOOKUP(B579,Лист2!A:E,4,0)</f>
        <v>2.5</v>
      </c>
      <c r="G579">
        <f t="shared" si="36"/>
        <v>74000</v>
      </c>
      <c r="H579">
        <f t="shared" si="37"/>
        <v>204400</v>
      </c>
      <c r="I579">
        <f t="shared" si="38"/>
        <v>29600</v>
      </c>
    </row>
    <row r="580" spans="1:9">
      <c r="A580" t="s">
        <v>14</v>
      </c>
      <c r="B580" t="s">
        <v>18</v>
      </c>
      <c r="C580">
        <v>5841000</v>
      </c>
      <c r="D580">
        <v>5793000</v>
      </c>
      <c r="E580" t="str">
        <f>VLOOKUP(B580,Лист2!A:E,5,0)</f>
        <v>малые</v>
      </c>
      <c r="F580">
        <f>VLOOKUP(B580,Лист2!A:E,4,0)</f>
        <v>2.5</v>
      </c>
      <c r="G580">
        <f t="shared" si="36"/>
        <v>48000</v>
      </c>
      <c r="H580">
        <f t="shared" si="37"/>
        <v>2336400</v>
      </c>
      <c r="I580">
        <f t="shared" si="38"/>
        <v>19200</v>
      </c>
    </row>
    <row r="581" spans="1:9">
      <c r="A581" t="s">
        <v>14</v>
      </c>
      <c r="B581" t="s">
        <v>18</v>
      </c>
      <c r="C581">
        <v>714000</v>
      </c>
      <c r="D581">
        <v>798000</v>
      </c>
      <c r="E581" t="str">
        <f>VLOOKUP(B581,Лист2!A:E,5,0)</f>
        <v>малые</v>
      </c>
      <c r="F581">
        <f>VLOOKUP(B581,Лист2!A:E,4,0)</f>
        <v>2.5</v>
      </c>
      <c r="G581">
        <f t="shared" si="36"/>
        <v>-84000</v>
      </c>
      <c r="H581">
        <f t="shared" si="37"/>
        <v>285600</v>
      </c>
      <c r="I581">
        <f t="shared" si="38"/>
        <v>-33600</v>
      </c>
    </row>
    <row r="582" spans="1:9">
      <c r="A582" t="s">
        <v>14</v>
      </c>
      <c r="B582" t="s">
        <v>18</v>
      </c>
      <c r="C582">
        <v>21540000</v>
      </c>
      <c r="D582">
        <v>24909000</v>
      </c>
      <c r="E582" t="str">
        <f>VLOOKUP(B582,Лист2!A:E,5,0)</f>
        <v>малые</v>
      </c>
      <c r="F582">
        <f>VLOOKUP(B582,Лист2!A:E,4,0)</f>
        <v>2.5</v>
      </c>
      <c r="G582">
        <f t="shared" si="36"/>
        <v>-3369000</v>
      </c>
      <c r="H582">
        <f t="shared" si="37"/>
        <v>8616000</v>
      </c>
      <c r="I582">
        <f t="shared" si="38"/>
        <v>-1347600</v>
      </c>
    </row>
    <row r="583" spans="1:9">
      <c r="A583" t="s">
        <v>14</v>
      </c>
      <c r="B583" t="s">
        <v>18</v>
      </c>
      <c r="C583">
        <v>8596000</v>
      </c>
      <c r="D583">
        <v>9220000</v>
      </c>
      <c r="E583" t="str">
        <f>VLOOKUP(B583,Лист2!A:E,5,0)</f>
        <v>малые</v>
      </c>
      <c r="F583">
        <f>VLOOKUP(B583,Лист2!A:E,4,0)</f>
        <v>2.5</v>
      </c>
      <c r="G583">
        <f t="shared" si="36"/>
        <v>-624000</v>
      </c>
      <c r="H583">
        <f t="shared" si="37"/>
        <v>3438400</v>
      </c>
      <c r="I583">
        <f t="shared" si="38"/>
        <v>-249600</v>
      </c>
    </row>
    <row r="584" spans="1:9">
      <c r="A584" t="s">
        <v>14</v>
      </c>
      <c r="B584" t="s">
        <v>18</v>
      </c>
      <c r="C584">
        <v>177000</v>
      </c>
      <c r="D584">
        <v>234000</v>
      </c>
      <c r="E584" t="str">
        <f>VLOOKUP(B584,Лист2!A:E,5,0)</f>
        <v>малые</v>
      </c>
      <c r="F584">
        <f>VLOOKUP(B584,Лист2!A:E,4,0)</f>
        <v>2.5</v>
      </c>
      <c r="G584">
        <f t="shared" si="36"/>
        <v>-57000</v>
      </c>
      <c r="H584">
        <f t="shared" si="37"/>
        <v>70800</v>
      </c>
      <c r="I584">
        <f t="shared" si="38"/>
        <v>-22800</v>
      </c>
    </row>
    <row r="585" spans="1:9">
      <c r="A585" t="s">
        <v>14</v>
      </c>
      <c r="B585" t="s">
        <v>18</v>
      </c>
      <c r="C585">
        <v>4888000</v>
      </c>
      <c r="D585">
        <v>3836000</v>
      </c>
      <c r="E585" t="str">
        <f>VLOOKUP(B585,Лист2!A:E,5,0)</f>
        <v>малые</v>
      </c>
      <c r="F585">
        <f>VLOOKUP(B585,Лист2!A:E,4,0)</f>
        <v>2.5</v>
      </c>
      <c r="G585">
        <f t="shared" si="36"/>
        <v>1052000</v>
      </c>
      <c r="H585">
        <f t="shared" si="37"/>
        <v>1955200</v>
      </c>
      <c r="I585">
        <f t="shared" si="38"/>
        <v>420800</v>
      </c>
    </row>
    <row r="586" spans="1:9">
      <c r="A586" t="s">
        <v>14</v>
      </c>
      <c r="B586" t="s">
        <v>18</v>
      </c>
      <c r="C586">
        <v>5777000</v>
      </c>
      <c r="D586">
        <v>5621000</v>
      </c>
      <c r="E586" t="str">
        <f>VLOOKUP(B586,Лист2!A:E,5,0)</f>
        <v>малые</v>
      </c>
      <c r="F586">
        <f>VLOOKUP(B586,Лист2!A:E,4,0)</f>
        <v>2.5</v>
      </c>
      <c r="G586">
        <f t="shared" ref="G586:G625" si="39">C586-D586</f>
        <v>156000</v>
      </c>
      <c r="H586">
        <f t="shared" ref="H586:H625" si="40">C586/F586</f>
        <v>2310800</v>
      </c>
      <c r="I586">
        <f t="shared" ref="I586:I625" si="41">G586/F586</f>
        <v>62400</v>
      </c>
    </row>
    <row r="587" spans="1:9">
      <c r="A587" t="s">
        <v>25</v>
      </c>
      <c r="B587" t="s">
        <v>18</v>
      </c>
      <c r="C587">
        <v>1126000</v>
      </c>
      <c r="D587">
        <v>1139000</v>
      </c>
      <c r="E587" t="str">
        <f>VLOOKUP(B587,Лист2!A:E,5,0)</f>
        <v>малые</v>
      </c>
      <c r="F587">
        <f>VLOOKUP(B587,Лист2!A:E,4,0)</f>
        <v>2.5</v>
      </c>
      <c r="G587">
        <f t="shared" si="39"/>
        <v>-13000</v>
      </c>
      <c r="H587">
        <f t="shared" si="40"/>
        <v>450400</v>
      </c>
      <c r="I587">
        <f t="shared" si="41"/>
        <v>-5200</v>
      </c>
    </row>
    <row r="588" spans="1:9">
      <c r="A588" t="s">
        <v>25</v>
      </c>
      <c r="B588" t="s">
        <v>18</v>
      </c>
      <c r="C588">
        <v>725000</v>
      </c>
      <c r="D588">
        <v>978000</v>
      </c>
      <c r="E588" t="str">
        <f>VLOOKUP(B588,Лист2!A:E,5,0)</f>
        <v>малые</v>
      </c>
      <c r="F588">
        <f>VLOOKUP(B588,Лист2!A:E,4,0)</f>
        <v>2.5</v>
      </c>
      <c r="G588">
        <f t="shared" si="39"/>
        <v>-253000</v>
      </c>
      <c r="H588">
        <f t="shared" si="40"/>
        <v>290000</v>
      </c>
      <c r="I588">
        <f t="shared" si="41"/>
        <v>-101200</v>
      </c>
    </row>
    <row r="589" spans="1:9">
      <c r="A589" t="s">
        <v>14</v>
      </c>
      <c r="B589" t="s">
        <v>18</v>
      </c>
      <c r="C589">
        <v>643000</v>
      </c>
      <c r="D589">
        <v>625000</v>
      </c>
      <c r="E589" t="str">
        <f>VLOOKUP(B589,Лист2!A:E,5,0)</f>
        <v>малые</v>
      </c>
      <c r="F589">
        <f>VLOOKUP(B589,Лист2!A:E,4,0)</f>
        <v>2.5</v>
      </c>
      <c r="G589">
        <f t="shared" si="39"/>
        <v>18000</v>
      </c>
      <c r="H589">
        <f t="shared" si="40"/>
        <v>257200</v>
      </c>
      <c r="I589">
        <f t="shared" si="41"/>
        <v>7200</v>
      </c>
    </row>
    <row r="590" spans="1:9">
      <c r="A590" t="s">
        <v>14</v>
      </c>
      <c r="B590" t="s">
        <v>22</v>
      </c>
      <c r="C590">
        <v>6435000</v>
      </c>
      <c r="D590">
        <v>6469000</v>
      </c>
      <c r="E590" t="str">
        <f>VLOOKUP(B590,Лист2!A:E,5,0)</f>
        <v>малые</v>
      </c>
      <c r="F590">
        <f>VLOOKUP(B590,Лист2!A:E,4,0)</f>
        <v>13</v>
      </c>
      <c r="G590">
        <f t="shared" si="39"/>
        <v>-34000</v>
      </c>
      <c r="H590">
        <f t="shared" si="40"/>
        <v>495000</v>
      </c>
      <c r="I590">
        <f t="shared" si="41"/>
        <v>-2615.3846153846152</v>
      </c>
    </row>
    <row r="591" spans="1:9">
      <c r="A591" t="s">
        <v>14</v>
      </c>
      <c r="B591" t="s">
        <v>18</v>
      </c>
      <c r="C591">
        <v>702000</v>
      </c>
      <c r="D591">
        <v>702000</v>
      </c>
      <c r="E591" t="str">
        <f>VLOOKUP(B591,Лист2!A:E,5,0)</f>
        <v>малые</v>
      </c>
      <c r="F591">
        <f>VLOOKUP(B591,Лист2!A:E,4,0)</f>
        <v>2.5</v>
      </c>
      <c r="G591">
        <f t="shared" si="39"/>
        <v>0</v>
      </c>
      <c r="H591">
        <f t="shared" si="40"/>
        <v>280800</v>
      </c>
      <c r="I591">
        <f t="shared" si="41"/>
        <v>0</v>
      </c>
    </row>
    <row r="592" spans="1:9">
      <c r="A592" t="s">
        <v>14</v>
      </c>
      <c r="B592" t="s">
        <v>18</v>
      </c>
      <c r="C592">
        <v>2248000</v>
      </c>
      <c r="D592">
        <v>2417000</v>
      </c>
      <c r="E592" t="str">
        <f>VLOOKUP(B592,Лист2!A:E,5,0)</f>
        <v>малые</v>
      </c>
      <c r="F592">
        <f>VLOOKUP(B592,Лист2!A:E,4,0)</f>
        <v>2.5</v>
      </c>
      <c r="G592">
        <f t="shared" si="39"/>
        <v>-169000</v>
      </c>
      <c r="H592">
        <f t="shared" si="40"/>
        <v>899200</v>
      </c>
      <c r="I592">
        <f t="shared" si="41"/>
        <v>-67600</v>
      </c>
    </row>
    <row r="593" spans="1:9">
      <c r="A593" t="s">
        <v>14</v>
      </c>
      <c r="B593" t="s">
        <v>18</v>
      </c>
      <c r="C593">
        <v>70120000</v>
      </c>
      <c r="D593">
        <v>36942000</v>
      </c>
      <c r="E593" t="str">
        <f>VLOOKUP(B593,Лист2!A:E,5,0)</f>
        <v>малые</v>
      </c>
      <c r="F593">
        <f>VLOOKUP(B593,Лист2!A:E,4,0)</f>
        <v>2.5</v>
      </c>
      <c r="G593">
        <f t="shared" si="39"/>
        <v>33178000</v>
      </c>
      <c r="H593">
        <f t="shared" si="40"/>
        <v>28048000</v>
      </c>
      <c r="I593">
        <f t="shared" si="41"/>
        <v>13271200</v>
      </c>
    </row>
    <row r="594" spans="1:9">
      <c r="A594" t="s">
        <v>14</v>
      </c>
      <c r="B594" t="s">
        <v>18</v>
      </c>
      <c r="C594">
        <v>155000</v>
      </c>
      <c r="D594">
        <v>29000</v>
      </c>
      <c r="E594" t="str">
        <f>VLOOKUP(B594,Лист2!A:E,5,0)</f>
        <v>малые</v>
      </c>
      <c r="F594">
        <f>VLOOKUP(B594,Лист2!A:E,4,0)</f>
        <v>2.5</v>
      </c>
      <c r="G594">
        <f t="shared" si="39"/>
        <v>126000</v>
      </c>
      <c r="H594">
        <f t="shared" si="40"/>
        <v>62000</v>
      </c>
      <c r="I594">
        <f t="shared" si="41"/>
        <v>50400</v>
      </c>
    </row>
    <row r="595" spans="1:9">
      <c r="A595" t="s">
        <v>14</v>
      </c>
      <c r="B595" t="s">
        <v>18</v>
      </c>
      <c r="C595">
        <v>60000</v>
      </c>
      <c r="D595">
        <v>113000</v>
      </c>
      <c r="E595" t="str">
        <f>VLOOKUP(B595,Лист2!A:E,5,0)</f>
        <v>малые</v>
      </c>
      <c r="F595">
        <f>VLOOKUP(B595,Лист2!A:E,4,0)</f>
        <v>2.5</v>
      </c>
      <c r="G595">
        <f t="shared" si="39"/>
        <v>-53000</v>
      </c>
      <c r="H595">
        <f t="shared" si="40"/>
        <v>24000</v>
      </c>
      <c r="I595">
        <f t="shared" si="41"/>
        <v>-21200</v>
      </c>
    </row>
    <row r="596" spans="1:9">
      <c r="A596" t="s">
        <v>14</v>
      </c>
      <c r="B596" t="s">
        <v>18</v>
      </c>
      <c r="C596">
        <v>6958000</v>
      </c>
      <c r="D596">
        <v>8025000</v>
      </c>
      <c r="E596" t="str">
        <f>VLOOKUP(B596,Лист2!A:E,5,0)</f>
        <v>малые</v>
      </c>
      <c r="F596">
        <f>VLOOKUP(B596,Лист2!A:E,4,0)</f>
        <v>2.5</v>
      </c>
      <c r="G596">
        <f t="shared" si="39"/>
        <v>-1067000</v>
      </c>
      <c r="H596">
        <f t="shared" si="40"/>
        <v>2783200</v>
      </c>
      <c r="I596">
        <f t="shared" si="41"/>
        <v>-426800</v>
      </c>
    </row>
    <row r="597" spans="1:9">
      <c r="A597" t="s">
        <v>14</v>
      </c>
      <c r="B597" t="s">
        <v>18</v>
      </c>
      <c r="C597">
        <v>424000</v>
      </c>
      <c r="D597">
        <v>424000</v>
      </c>
      <c r="E597" t="str">
        <f>VLOOKUP(B597,Лист2!A:E,5,0)</f>
        <v>малые</v>
      </c>
      <c r="F597">
        <f>VLOOKUP(B597,Лист2!A:E,4,0)</f>
        <v>2.5</v>
      </c>
      <c r="G597">
        <f t="shared" si="39"/>
        <v>0</v>
      </c>
      <c r="H597">
        <f t="shared" si="40"/>
        <v>169600</v>
      </c>
      <c r="I597">
        <f t="shared" si="41"/>
        <v>0</v>
      </c>
    </row>
    <row r="598" spans="1:9">
      <c r="A598" t="s">
        <v>14</v>
      </c>
      <c r="B598" t="s">
        <v>18</v>
      </c>
      <c r="C598">
        <v>984000</v>
      </c>
      <c r="D598">
        <v>1824000</v>
      </c>
      <c r="E598" t="str">
        <f>VLOOKUP(B598,Лист2!A:E,5,0)</f>
        <v>малые</v>
      </c>
      <c r="F598">
        <f>VLOOKUP(B598,Лист2!A:E,4,0)</f>
        <v>2.5</v>
      </c>
      <c r="G598">
        <f t="shared" si="39"/>
        <v>-840000</v>
      </c>
      <c r="H598">
        <f t="shared" si="40"/>
        <v>393600</v>
      </c>
      <c r="I598">
        <f t="shared" si="41"/>
        <v>-336000</v>
      </c>
    </row>
    <row r="599" spans="1:9">
      <c r="A599" t="s">
        <v>14</v>
      </c>
      <c r="B599" t="s">
        <v>18</v>
      </c>
      <c r="C599">
        <v>3301000</v>
      </c>
      <c r="D599">
        <v>3049000</v>
      </c>
      <c r="E599" t="str">
        <f>VLOOKUP(B599,Лист2!A:E,5,0)</f>
        <v>малые</v>
      </c>
      <c r="F599">
        <f>VLOOKUP(B599,Лист2!A:E,4,0)</f>
        <v>2.5</v>
      </c>
      <c r="G599">
        <f t="shared" si="39"/>
        <v>252000</v>
      </c>
      <c r="H599">
        <f t="shared" si="40"/>
        <v>1320400</v>
      </c>
      <c r="I599">
        <f t="shared" si="41"/>
        <v>100800</v>
      </c>
    </row>
    <row r="600" spans="1:9">
      <c r="A600" t="s">
        <v>14</v>
      </c>
      <c r="B600" t="s">
        <v>18</v>
      </c>
      <c r="C600">
        <v>785000</v>
      </c>
      <c r="D600">
        <v>891000</v>
      </c>
      <c r="E600" t="str">
        <f>VLOOKUP(B600,Лист2!A:E,5,0)</f>
        <v>малые</v>
      </c>
      <c r="F600">
        <f>VLOOKUP(B600,Лист2!A:E,4,0)</f>
        <v>2.5</v>
      </c>
      <c r="G600">
        <f t="shared" si="39"/>
        <v>-106000</v>
      </c>
      <c r="H600">
        <f t="shared" si="40"/>
        <v>314000</v>
      </c>
      <c r="I600">
        <f t="shared" si="41"/>
        <v>-42400</v>
      </c>
    </row>
    <row r="601" spans="1:9">
      <c r="A601" t="s">
        <v>14</v>
      </c>
      <c r="B601" t="s">
        <v>18</v>
      </c>
      <c r="C601">
        <v>2794000</v>
      </c>
      <c r="D601">
        <v>3872000</v>
      </c>
      <c r="E601" t="str">
        <f>VLOOKUP(B601,Лист2!A:E,5,0)</f>
        <v>малые</v>
      </c>
      <c r="F601">
        <f>VLOOKUP(B601,Лист2!A:E,4,0)</f>
        <v>2.5</v>
      </c>
      <c r="G601">
        <f t="shared" si="39"/>
        <v>-1078000</v>
      </c>
      <c r="H601">
        <f t="shared" si="40"/>
        <v>1117600</v>
      </c>
      <c r="I601">
        <f t="shared" si="41"/>
        <v>-431200</v>
      </c>
    </row>
    <row r="602" spans="1:9">
      <c r="A602" t="s">
        <v>14</v>
      </c>
      <c r="B602" t="s">
        <v>18</v>
      </c>
      <c r="C602">
        <v>264000</v>
      </c>
      <c r="D602">
        <v>245000</v>
      </c>
      <c r="E602" t="str">
        <f>VLOOKUP(B602,Лист2!A:E,5,0)</f>
        <v>малые</v>
      </c>
      <c r="F602">
        <f>VLOOKUP(B602,Лист2!A:E,4,0)</f>
        <v>2.5</v>
      </c>
      <c r="G602">
        <f t="shared" si="39"/>
        <v>19000</v>
      </c>
      <c r="H602">
        <f t="shared" si="40"/>
        <v>105600</v>
      </c>
      <c r="I602">
        <f t="shared" si="41"/>
        <v>7600</v>
      </c>
    </row>
    <row r="603" spans="1:9">
      <c r="A603" t="s">
        <v>25</v>
      </c>
      <c r="B603" t="s">
        <v>18</v>
      </c>
      <c r="C603">
        <v>1133000</v>
      </c>
      <c r="D603">
        <v>1131000</v>
      </c>
      <c r="E603" t="str">
        <f>VLOOKUP(B603,Лист2!A:E,5,0)</f>
        <v>малые</v>
      </c>
      <c r="F603">
        <f>VLOOKUP(B603,Лист2!A:E,4,0)</f>
        <v>2.5</v>
      </c>
      <c r="G603">
        <f t="shared" si="39"/>
        <v>2000</v>
      </c>
      <c r="H603">
        <f t="shared" si="40"/>
        <v>453200</v>
      </c>
      <c r="I603">
        <f t="shared" si="41"/>
        <v>800</v>
      </c>
    </row>
    <row r="604" spans="1:9">
      <c r="A604" t="s">
        <v>14</v>
      </c>
      <c r="B604" t="s">
        <v>18</v>
      </c>
      <c r="C604">
        <v>300000</v>
      </c>
      <c r="D604">
        <v>239000</v>
      </c>
      <c r="E604" t="str">
        <f>VLOOKUP(B604,Лист2!A:E,5,0)</f>
        <v>малые</v>
      </c>
      <c r="F604">
        <f>VLOOKUP(B604,Лист2!A:E,4,0)</f>
        <v>2.5</v>
      </c>
      <c r="G604">
        <f t="shared" si="39"/>
        <v>61000</v>
      </c>
      <c r="H604">
        <f t="shared" si="40"/>
        <v>120000</v>
      </c>
      <c r="I604">
        <f t="shared" si="41"/>
        <v>24400</v>
      </c>
    </row>
    <row r="605" spans="1:9">
      <c r="A605" t="s">
        <v>14</v>
      </c>
      <c r="B605" t="s">
        <v>18</v>
      </c>
      <c r="C605">
        <v>22194000</v>
      </c>
      <c r="D605">
        <v>17488000</v>
      </c>
      <c r="E605" t="str">
        <f>VLOOKUP(B605,Лист2!A:E,5,0)</f>
        <v>малые</v>
      </c>
      <c r="F605">
        <f>VLOOKUP(B605,Лист2!A:E,4,0)</f>
        <v>2.5</v>
      </c>
      <c r="G605">
        <f t="shared" si="39"/>
        <v>4706000</v>
      </c>
      <c r="H605">
        <f t="shared" si="40"/>
        <v>8877600</v>
      </c>
      <c r="I605">
        <f t="shared" si="41"/>
        <v>1882400</v>
      </c>
    </row>
    <row r="606" spans="1:9">
      <c r="A606" t="s">
        <v>14</v>
      </c>
      <c r="B606" t="s">
        <v>18</v>
      </c>
      <c r="C606">
        <v>887000</v>
      </c>
      <c r="D606">
        <v>963000</v>
      </c>
      <c r="E606" t="str">
        <f>VLOOKUP(B606,Лист2!A:E,5,0)</f>
        <v>малые</v>
      </c>
      <c r="F606">
        <f>VLOOKUP(B606,Лист2!A:E,4,0)</f>
        <v>2.5</v>
      </c>
      <c r="G606">
        <f t="shared" si="39"/>
        <v>-76000</v>
      </c>
      <c r="H606">
        <f t="shared" si="40"/>
        <v>354800</v>
      </c>
      <c r="I606">
        <f t="shared" si="41"/>
        <v>-30400</v>
      </c>
    </row>
    <row r="607" spans="1:9">
      <c r="A607" t="s">
        <v>14</v>
      </c>
      <c r="B607" t="s">
        <v>18</v>
      </c>
      <c r="C607">
        <v>790000</v>
      </c>
      <c r="D607">
        <v>790000</v>
      </c>
      <c r="E607" t="str">
        <f>VLOOKUP(B607,Лист2!A:E,5,0)</f>
        <v>малые</v>
      </c>
      <c r="F607">
        <f>VLOOKUP(B607,Лист2!A:E,4,0)</f>
        <v>2.5</v>
      </c>
      <c r="G607">
        <f t="shared" si="39"/>
        <v>0</v>
      </c>
      <c r="H607">
        <f t="shared" si="40"/>
        <v>316000</v>
      </c>
      <c r="I607">
        <f t="shared" si="41"/>
        <v>0</v>
      </c>
    </row>
    <row r="608" spans="1:9">
      <c r="A608" t="s">
        <v>14</v>
      </c>
      <c r="B608" t="s">
        <v>18</v>
      </c>
      <c r="C608">
        <v>2530000</v>
      </c>
      <c r="D608">
        <v>3064000</v>
      </c>
      <c r="E608" t="str">
        <f>VLOOKUP(B608,Лист2!A:E,5,0)</f>
        <v>малые</v>
      </c>
      <c r="F608">
        <f>VLOOKUP(B608,Лист2!A:E,4,0)</f>
        <v>2.5</v>
      </c>
      <c r="G608">
        <f t="shared" si="39"/>
        <v>-534000</v>
      </c>
      <c r="H608">
        <f t="shared" si="40"/>
        <v>1012000</v>
      </c>
      <c r="I608">
        <f t="shared" si="41"/>
        <v>-213600</v>
      </c>
    </row>
    <row r="609" spans="1:9">
      <c r="A609" t="s">
        <v>14</v>
      </c>
      <c r="B609" t="s">
        <v>18</v>
      </c>
      <c r="C609">
        <v>14400000</v>
      </c>
      <c r="D609">
        <v>15661000</v>
      </c>
      <c r="E609" t="str">
        <f>VLOOKUP(B609,Лист2!A:E,5,0)</f>
        <v>малые</v>
      </c>
      <c r="F609">
        <f>VLOOKUP(B609,Лист2!A:E,4,0)</f>
        <v>2.5</v>
      </c>
      <c r="G609">
        <f t="shared" si="39"/>
        <v>-1261000</v>
      </c>
      <c r="H609">
        <f t="shared" si="40"/>
        <v>5760000</v>
      </c>
      <c r="I609">
        <f t="shared" si="41"/>
        <v>-504400</v>
      </c>
    </row>
    <row r="610" spans="1:9">
      <c r="A610" t="s">
        <v>14</v>
      </c>
      <c r="B610" t="s">
        <v>18</v>
      </c>
      <c r="C610">
        <v>1170000</v>
      </c>
      <c r="D610">
        <v>968000</v>
      </c>
      <c r="E610" t="str">
        <f>VLOOKUP(B610,Лист2!A:E,5,0)</f>
        <v>малые</v>
      </c>
      <c r="F610">
        <f>VLOOKUP(B610,Лист2!A:E,4,0)</f>
        <v>2.5</v>
      </c>
      <c r="G610">
        <f t="shared" si="39"/>
        <v>202000</v>
      </c>
      <c r="H610">
        <f t="shared" si="40"/>
        <v>468000</v>
      </c>
      <c r="I610">
        <f t="shared" si="41"/>
        <v>80800</v>
      </c>
    </row>
    <row r="611" spans="1:9">
      <c r="A611" t="s">
        <v>14</v>
      </c>
      <c r="B611" t="s">
        <v>18</v>
      </c>
      <c r="C611">
        <v>34000</v>
      </c>
      <c r="D611">
        <v>56000</v>
      </c>
      <c r="E611" t="str">
        <f>VLOOKUP(B611,Лист2!A:E,5,0)</f>
        <v>малые</v>
      </c>
      <c r="F611">
        <f>VLOOKUP(B611,Лист2!A:E,4,0)</f>
        <v>2.5</v>
      </c>
      <c r="G611">
        <f t="shared" si="39"/>
        <v>-22000</v>
      </c>
      <c r="H611">
        <f t="shared" si="40"/>
        <v>13600</v>
      </c>
      <c r="I611">
        <f t="shared" si="41"/>
        <v>-8800</v>
      </c>
    </row>
    <row r="612" spans="1:9">
      <c r="A612" t="s">
        <v>14</v>
      </c>
      <c r="B612" t="s">
        <v>18</v>
      </c>
      <c r="C612">
        <v>55202000</v>
      </c>
      <c r="D612">
        <v>44774000</v>
      </c>
      <c r="E612" t="str">
        <f>VLOOKUP(B612,Лист2!A:E,5,0)</f>
        <v>малые</v>
      </c>
      <c r="F612">
        <f>VLOOKUP(B612,Лист2!A:E,4,0)</f>
        <v>2.5</v>
      </c>
      <c r="G612">
        <f t="shared" si="39"/>
        <v>10428000</v>
      </c>
      <c r="H612">
        <f t="shared" si="40"/>
        <v>22080800</v>
      </c>
      <c r="I612">
        <f t="shared" si="41"/>
        <v>4171200</v>
      </c>
    </row>
    <row r="613" spans="1:9">
      <c r="A613" t="s">
        <v>14</v>
      </c>
      <c r="B613" t="s">
        <v>18</v>
      </c>
      <c r="C613">
        <v>58000</v>
      </c>
      <c r="D613">
        <v>58000</v>
      </c>
      <c r="E613" t="str">
        <f>VLOOKUP(B613,Лист2!A:E,5,0)</f>
        <v>малые</v>
      </c>
      <c r="F613">
        <f>VLOOKUP(B613,Лист2!A:E,4,0)</f>
        <v>2.5</v>
      </c>
      <c r="G613">
        <f t="shared" si="39"/>
        <v>0</v>
      </c>
      <c r="H613">
        <f t="shared" si="40"/>
        <v>23200</v>
      </c>
      <c r="I613">
        <f t="shared" si="41"/>
        <v>0</v>
      </c>
    </row>
    <row r="614" spans="1:9">
      <c r="A614" t="s">
        <v>14</v>
      </c>
      <c r="B614" t="s">
        <v>18</v>
      </c>
      <c r="C614">
        <v>534000</v>
      </c>
      <c r="D614">
        <v>581000</v>
      </c>
      <c r="E614" t="str">
        <f>VLOOKUP(B614,Лист2!A:E,5,0)</f>
        <v>малые</v>
      </c>
      <c r="F614">
        <f>VLOOKUP(B614,Лист2!A:E,4,0)</f>
        <v>2.5</v>
      </c>
      <c r="G614">
        <f t="shared" si="39"/>
        <v>-47000</v>
      </c>
      <c r="H614">
        <f t="shared" si="40"/>
        <v>213600</v>
      </c>
      <c r="I614">
        <f t="shared" si="41"/>
        <v>-18800</v>
      </c>
    </row>
    <row r="615" spans="1:9">
      <c r="A615" t="s">
        <v>14</v>
      </c>
      <c r="B615" t="s">
        <v>18</v>
      </c>
      <c r="C615">
        <v>1350000</v>
      </c>
      <c r="D615">
        <v>1959000</v>
      </c>
      <c r="E615" t="str">
        <f>VLOOKUP(B615,Лист2!A:E,5,0)</f>
        <v>малые</v>
      </c>
      <c r="F615">
        <f>VLOOKUP(B615,Лист2!A:E,4,0)</f>
        <v>2.5</v>
      </c>
      <c r="G615">
        <f t="shared" si="39"/>
        <v>-609000</v>
      </c>
      <c r="H615">
        <f t="shared" si="40"/>
        <v>540000</v>
      </c>
      <c r="I615">
        <f t="shared" si="41"/>
        <v>-243600</v>
      </c>
    </row>
    <row r="616" spans="1:9">
      <c r="A616" t="s">
        <v>14</v>
      </c>
      <c r="B616" t="s">
        <v>18</v>
      </c>
      <c r="C616">
        <v>277000</v>
      </c>
      <c r="D616">
        <v>311000</v>
      </c>
      <c r="E616" t="str">
        <f>VLOOKUP(B616,Лист2!A:E,5,0)</f>
        <v>малые</v>
      </c>
      <c r="F616">
        <f>VLOOKUP(B616,Лист2!A:E,4,0)</f>
        <v>2.5</v>
      </c>
      <c r="G616">
        <f t="shared" si="39"/>
        <v>-34000</v>
      </c>
      <c r="H616">
        <f t="shared" si="40"/>
        <v>110800</v>
      </c>
      <c r="I616">
        <f t="shared" si="41"/>
        <v>-13600</v>
      </c>
    </row>
    <row r="617" spans="1:9">
      <c r="A617" t="s">
        <v>14</v>
      </c>
      <c r="B617" t="s">
        <v>18</v>
      </c>
      <c r="C617">
        <v>20000</v>
      </c>
      <c r="D617">
        <v>33000</v>
      </c>
      <c r="E617" t="str">
        <f>VLOOKUP(B617,Лист2!A:E,5,0)</f>
        <v>малые</v>
      </c>
      <c r="F617">
        <f>VLOOKUP(B617,Лист2!A:E,4,0)</f>
        <v>2.5</v>
      </c>
      <c r="G617">
        <f t="shared" si="39"/>
        <v>-13000</v>
      </c>
      <c r="H617">
        <f t="shared" si="40"/>
        <v>8000</v>
      </c>
      <c r="I617">
        <f t="shared" si="41"/>
        <v>-5200</v>
      </c>
    </row>
    <row r="618" spans="1:9">
      <c r="A618" t="s">
        <v>14</v>
      </c>
      <c r="B618" t="s">
        <v>18</v>
      </c>
      <c r="C618">
        <v>2458000</v>
      </c>
      <c r="D618">
        <v>4937000</v>
      </c>
      <c r="E618" t="str">
        <f>VLOOKUP(B618,Лист2!A:E,5,0)</f>
        <v>малые</v>
      </c>
      <c r="F618">
        <f>VLOOKUP(B618,Лист2!A:E,4,0)</f>
        <v>2.5</v>
      </c>
      <c r="G618">
        <f t="shared" si="39"/>
        <v>-2479000</v>
      </c>
      <c r="H618">
        <f t="shared" si="40"/>
        <v>983200</v>
      </c>
      <c r="I618">
        <f t="shared" si="41"/>
        <v>-991600</v>
      </c>
    </row>
    <row r="619" spans="1:9">
      <c r="A619" t="s">
        <v>14</v>
      </c>
      <c r="B619" t="s">
        <v>18</v>
      </c>
      <c r="C619">
        <v>15359000</v>
      </c>
      <c r="D619">
        <v>17273000</v>
      </c>
      <c r="E619" t="str">
        <f>VLOOKUP(B619,Лист2!A:E,5,0)</f>
        <v>малые</v>
      </c>
      <c r="F619">
        <f>VLOOKUP(B619,Лист2!A:E,4,0)</f>
        <v>2.5</v>
      </c>
      <c r="G619">
        <f t="shared" si="39"/>
        <v>-1914000</v>
      </c>
      <c r="H619">
        <f t="shared" si="40"/>
        <v>6143600</v>
      </c>
      <c r="I619">
        <f t="shared" si="41"/>
        <v>-765600</v>
      </c>
    </row>
    <row r="620" spans="1:9">
      <c r="A620" t="s">
        <v>14</v>
      </c>
      <c r="B620" t="s">
        <v>18</v>
      </c>
      <c r="C620">
        <v>288000</v>
      </c>
      <c r="D620">
        <v>267000</v>
      </c>
      <c r="E620" t="str">
        <f>VLOOKUP(B620,Лист2!A:E,5,0)</f>
        <v>малые</v>
      </c>
      <c r="F620">
        <f>VLOOKUP(B620,Лист2!A:E,4,0)</f>
        <v>2.5</v>
      </c>
      <c r="G620">
        <f t="shared" si="39"/>
        <v>21000</v>
      </c>
      <c r="H620">
        <f t="shared" si="40"/>
        <v>115200</v>
      </c>
      <c r="I620">
        <f t="shared" si="41"/>
        <v>8400</v>
      </c>
    </row>
    <row r="621" spans="1:9">
      <c r="A621" t="s">
        <v>14</v>
      </c>
      <c r="B621" t="s">
        <v>18</v>
      </c>
      <c r="C621">
        <v>2288000</v>
      </c>
      <c r="D621">
        <v>2230000</v>
      </c>
      <c r="E621" t="str">
        <f>VLOOKUP(B621,Лист2!A:E,5,0)</f>
        <v>малые</v>
      </c>
      <c r="F621">
        <f>VLOOKUP(B621,Лист2!A:E,4,0)</f>
        <v>2.5</v>
      </c>
      <c r="G621">
        <f t="shared" si="39"/>
        <v>58000</v>
      </c>
      <c r="H621">
        <f t="shared" si="40"/>
        <v>915200</v>
      </c>
      <c r="I621">
        <f t="shared" si="41"/>
        <v>23200</v>
      </c>
    </row>
    <row r="622" spans="1:9">
      <c r="A622" t="s">
        <v>14</v>
      </c>
      <c r="B622" t="s">
        <v>18</v>
      </c>
      <c r="C622">
        <v>957000</v>
      </c>
      <c r="D622">
        <v>957000</v>
      </c>
      <c r="E622" t="str">
        <f>VLOOKUP(B622,Лист2!A:E,5,0)</f>
        <v>малые</v>
      </c>
      <c r="F622">
        <f>VLOOKUP(B622,Лист2!A:E,4,0)</f>
        <v>2.5</v>
      </c>
      <c r="G622">
        <f t="shared" si="39"/>
        <v>0</v>
      </c>
      <c r="H622">
        <f t="shared" si="40"/>
        <v>382800</v>
      </c>
      <c r="I622">
        <f t="shared" si="41"/>
        <v>0</v>
      </c>
    </row>
    <row r="623" spans="1:9">
      <c r="A623" t="s">
        <v>14</v>
      </c>
      <c r="B623" t="s">
        <v>18</v>
      </c>
      <c r="C623">
        <v>583000</v>
      </c>
      <c r="D623">
        <v>404000</v>
      </c>
      <c r="E623" t="str">
        <f>VLOOKUP(B623,Лист2!A:E,5,0)</f>
        <v>малые</v>
      </c>
      <c r="F623">
        <f>VLOOKUP(B623,Лист2!A:E,4,0)</f>
        <v>2.5</v>
      </c>
      <c r="G623">
        <f t="shared" si="39"/>
        <v>179000</v>
      </c>
      <c r="H623">
        <f t="shared" si="40"/>
        <v>233200</v>
      </c>
      <c r="I623">
        <f t="shared" si="41"/>
        <v>71600</v>
      </c>
    </row>
    <row r="624" spans="1:9">
      <c r="A624" t="s">
        <v>14</v>
      </c>
      <c r="B624" t="s">
        <v>18</v>
      </c>
      <c r="C624">
        <v>45222000</v>
      </c>
      <c r="D624">
        <v>14013000</v>
      </c>
      <c r="E624" t="str">
        <f>VLOOKUP(B624,Лист2!A:E,5,0)</f>
        <v>малые</v>
      </c>
      <c r="F624">
        <f>VLOOKUP(B624,Лист2!A:E,4,0)</f>
        <v>2.5</v>
      </c>
      <c r="G624">
        <f t="shared" si="39"/>
        <v>31209000</v>
      </c>
      <c r="H624">
        <f t="shared" si="40"/>
        <v>18088800</v>
      </c>
      <c r="I624">
        <f t="shared" si="41"/>
        <v>12483600</v>
      </c>
    </row>
    <row r="625" spans="1:9">
      <c r="A625" t="s">
        <v>14</v>
      </c>
      <c r="B625" t="s">
        <v>18</v>
      </c>
      <c r="C625">
        <v>5158000</v>
      </c>
      <c r="D625">
        <v>3029000</v>
      </c>
      <c r="E625" t="str">
        <f>VLOOKUP(B625,Лист2!A:E,5,0)</f>
        <v>малые</v>
      </c>
      <c r="F625">
        <f>VLOOKUP(B625,Лист2!A:E,4,0)</f>
        <v>2.5</v>
      </c>
      <c r="G625">
        <f t="shared" si="39"/>
        <v>2129000</v>
      </c>
      <c r="H625">
        <f t="shared" si="40"/>
        <v>2063200</v>
      </c>
      <c r="I625">
        <f t="shared" si="41"/>
        <v>851600</v>
      </c>
    </row>
    <row r="626" spans="1:9">
      <c r="A626" t="s">
        <v>14</v>
      </c>
      <c r="B626" t="s">
        <v>18</v>
      </c>
      <c r="C626">
        <v>328000</v>
      </c>
      <c r="D626">
        <v>328000</v>
      </c>
      <c r="E626" t="str">
        <f>VLOOKUP(B626,Лист2!A:E,5,0)</f>
        <v>малые</v>
      </c>
      <c r="F626">
        <f>VLOOKUP(B626,Лист2!A:E,4,0)</f>
        <v>2.5</v>
      </c>
      <c r="G626">
        <f t="shared" ref="G626:G659" si="42">C626-D626</f>
        <v>0</v>
      </c>
      <c r="H626">
        <f t="shared" ref="H626:H659" si="43">C626/F626</f>
        <v>131200</v>
      </c>
      <c r="I626">
        <f t="shared" ref="I626:I659" si="44">G626/F626</f>
        <v>0</v>
      </c>
    </row>
    <row r="627" spans="1:9">
      <c r="A627" t="s">
        <v>14</v>
      </c>
      <c r="B627" t="s">
        <v>77</v>
      </c>
      <c r="C627">
        <v>4475000</v>
      </c>
      <c r="D627">
        <v>3830000</v>
      </c>
      <c r="E627" t="str">
        <f>VLOOKUP(B627,Лист2!A:E,5,0)</f>
        <v>малые</v>
      </c>
      <c r="F627">
        <f>VLOOKUP(B627,Лист2!A:E,4,0)</f>
        <v>8</v>
      </c>
      <c r="G627">
        <f t="shared" si="42"/>
        <v>645000</v>
      </c>
      <c r="H627">
        <f t="shared" si="43"/>
        <v>559375</v>
      </c>
      <c r="I627">
        <f t="shared" si="44"/>
        <v>80625</v>
      </c>
    </row>
    <row r="628" spans="1:9">
      <c r="A628" t="s">
        <v>14</v>
      </c>
      <c r="B628" t="s">
        <v>18</v>
      </c>
      <c r="C628">
        <v>397000</v>
      </c>
      <c r="D628">
        <v>399000</v>
      </c>
      <c r="E628" t="str">
        <f>VLOOKUP(B628,Лист2!A:E,5,0)</f>
        <v>малые</v>
      </c>
      <c r="F628">
        <f>VLOOKUP(B628,Лист2!A:E,4,0)</f>
        <v>2.5</v>
      </c>
      <c r="G628">
        <f t="shared" si="42"/>
        <v>-2000</v>
      </c>
      <c r="H628">
        <f t="shared" si="43"/>
        <v>158800</v>
      </c>
      <c r="I628">
        <f t="shared" si="44"/>
        <v>-800</v>
      </c>
    </row>
    <row r="629" spans="1:9">
      <c r="A629" t="s">
        <v>25</v>
      </c>
      <c r="B629" t="s">
        <v>18</v>
      </c>
      <c r="C629">
        <v>2391000</v>
      </c>
      <c r="D629">
        <v>2218000</v>
      </c>
      <c r="E629" t="str">
        <f>VLOOKUP(B629,Лист2!A:E,5,0)</f>
        <v>малые</v>
      </c>
      <c r="F629">
        <f>VLOOKUP(B629,Лист2!A:E,4,0)</f>
        <v>2.5</v>
      </c>
      <c r="G629">
        <f t="shared" si="42"/>
        <v>173000</v>
      </c>
      <c r="H629">
        <f t="shared" si="43"/>
        <v>956400</v>
      </c>
      <c r="I629">
        <f t="shared" si="44"/>
        <v>69200</v>
      </c>
    </row>
    <row r="630" spans="1:9">
      <c r="A630" t="s">
        <v>25</v>
      </c>
      <c r="B630" t="s">
        <v>18</v>
      </c>
      <c r="C630">
        <v>5400000</v>
      </c>
      <c r="D630">
        <v>4779000</v>
      </c>
      <c r="E630" t="str">
        <f>VLOOKUP(B630,Лист2!A:E,5,0)</f>
        <v>малые</v>
      </c>
      <c r="F630">
        <f>VLOOKUP(B630,Лист2!A:E,4,0)</f>
        <v>2.5</v>
      </c>
      <c r="G630">
        <f t="shared" si="42"/>
        <v>621000</v>
      </c>
      <c r="H630">
        <f t="shared" si="43"/>
        <v>2160000</v>
      </c>
      <c r="I630">
        <f t="shared" si="44"/>
        <v>248400</v>
      </c>
    </row>
    <row r="631" spans="1:9">
      <c r="A631" t="s">
        <v>14</v>
      </c>
      <c r="B631" t="s">
        <v>18</v>
      </c>
      <c r="C631">
        <v>7460000</v>
      </c>
      <c r="D631">
        <v>9790000</v>
      </c>
      <c r="E631" t="str">
        <f>VLOOKUP(B631,Лист2!A:E,5,0)</f>
        <v>малые</v>
      </c>
      <c r="F631">
        <f>VLOOKUP(B631,Лист2!A:E,4,0)</f>
        <v>2.5</v>
      </c>
      <c r="G631">
        <f t="shared" si="42"/>
        <v>-2330000</v>
      </c>
      <c r="H631">
        <f t="shared" si="43"/>
        <v>2984000</v>
      </c>
      <c r="I631">
        <f t="shared" si="44"/>
        <v>-932000</v>
      </c>
    </row>
    <row r="632" spans="1:9">
      <c r="A632" t="s">
        <v>14</v>
      </c>
      <c r="B632" t="s">
        <v>18</v>
      </c>
      <c r="C632">
        <v>946000</v>
      </c>
      <c r="D632">
        <v>673000</v>
      </c>
      <c r="E632" t="str">
        <f>VLOOKUP(B632,Лист2!A:E,5,0)</f>
        <v>малые</v>
      </c>
      <c r="F632">
        <f>VLOOKUP(B632,Лист2!A:E,4,0)</f>
        <v>2.5</v>
      </c>
      <c r="G632">
        <f t="shared" si="42"/>
        <v>273000</v>
      </c>
      <c r="H632">
        <f t="shared" si="43"/>
        <v>378400</v>
      </c>
      <c r="I632">
        <f t="shared" si="44"/>
        <v>109200</v>
      </c>
    </row>
    <row r="633" spans="1:9">
      <c r="A633" t="s">
        <v>25</v>
      </c>
      <c r="B633" t="s">
        <v>77</v>
      </c>
      <c r="C633">
        <v>49236000</v>
      </c>
      <c r="D633">
        <v>48717000</v>
      </c>
      <c r="E633" t="str">
        <f>VLOOKUP(B633,Лист2!A:E,5,0)</f>
        <v>малые</v>
      </c>
      <c r="F633">
        <f>VLOOKUP(B633,Лист2!A:E,4,0)</f>
        <v>8</v>
      </c>
      <c r="G633">
        <f t="shared" si="42"/>
        <v>519000</v>
      </c>
      <c r="H633">
        <f t="shared" si="43"/>
        <v>6154500</v>
      </c>
      <c r="I633">
        <f t="shared" si="44"/>
        <v>64875</v>
      </c>
    </row>
    <row r="634" spans="1:9">
      <c r="A634" t="s">
        <v>14</v>
      </c>
      <c r="B634" t="s">
        <v>18</v>
      </c>
      <c r="C634">
        <v>19879000</v>
      </c>
      <c r="D634">
        <v>7816000</v>
      </c>
      <c r="E634" t="str">
        <f>VLOOKUP(B634,Лист2!A:E,5,0)</f>
        <v>малые</v>
      </c>
      <c r="F634">
        <f>VLOOKUP(B634,Лист2!A:E,4,0)</f>
        <v>2.5</v>
      </c>
      <c r="G634">
        <f t="shared" si="42"/>
        <v>12063000</v>
      </c>
      <c r="H634">
        <f t="shared" si="43"/>
        <v>7951600</v>
      </c>
      <c r="I634">
        <f t="shared" si="44"/>
        <v>4825200</v>
      </c>
    </row>
    <row r="635" spans="1:9">
      <c r="A635" t="s">
        <v>14</v>
      </c>
      <c r="B635" t="s">
        <v>18</v>
      </c>
      <c r="C635">
        <v>82080000</v>
      </c>
      <c r="D635">
        <v>79246000</v>
      </c>
      <c r="E635" t="str">
        <f>VLOOKUP(B635,Лист2!A:E,5,0)</f>
        <v>малые</v>
      </c>
      <c r="F635">
        <f>VLOOKUP(B635,Лист2!A:E,4,0)</f>
        <v>2.5</v>
      </c>
      <c r="G635">
        <f t="shared" si="42"/>
        <v>2834000</v>
      </c>
      <c r="H635">
        <f t="shared" si="43"/>
        <v>32832000</v>
      </c>
      <c r="I635">
        <f t="shared" si="44"/>
        <v>1133600</v>
      </c>
    </row>
    <row r="636" spans="1:9">
      <c r="A636" t="s">
        <v>14</v>
      </c>
      <c r="B636" t="s">
        <v>18</v>
      </c>
      <c r="C636">
        <v>4378000</v>
      </c>
      <c r="D636">
        <v>4272000</v>
      </c>
      <c r="E636" t="str">
        <f>VLOOKUP(B636,Лист2!A:E,5,0)</f>
        <v>малые</v>
      </c>
      <c r="F636">
        <f>VLOOKUP(B636,Лист2!A:E,4,0)</f>
        <v>2.5</v>
      </c>
      <c r="G636">
        <f t="shared" si="42"/>
        <v>106000</v>
      </c>
      <c r="H636">
        <f t="shared" si="43"/>
        <v>1751200</v>
      </c>
      <c r="I636">
        <f t="shared" si="44"/>
        <v>42400</v>
      </c>
    </row>
    <row r="637" spans="1:9">
      <c r="A637" t="s">
        <v>14</v>
      </c>
      <c r="B637" t="s">
        <v>18</v>
      </c>
      <c r="C637">
        <v>754000</v>
      </c>
      <c r="D637">
        <v>754000</v>
      </c>
      <c r="E637" t="str">
        <f>VLOOKUP(B637,Лист2!A:E,5,0)</f>
        <v>малые</v>
      </c>
      <c r="F637">
        <f>VLOOKUP(B637,Лист2!A:E,4,0)</f>
        <v>2.5</v>
      </c>
      <c r="G637">
        <f t="shared" si="42"/>
        <v>0</v>
      </c>
      <c r="H637">
        <f t="shared" si="43"/>
        <v>301600</v>
      </c>
      <c r="I637">
        <f t="shared" si="44"/>
        <v>0</v>
      </c>
    </row>
    <row r="638" spans="1:9">
      <c r="A638" t="s">
        <v>14</v>
      </c>
      <c r="B638" t="s">
        <v>18</v>
      </c>
      <c r="C638">
        <v>64000</v>
      </c>
      <c r="D638">
        <v>94000</v>
      </c>
      <c r="E638" t="str">
        <f>VLOOKUP(B638,Лист2!A:E,5,0)</f>
        <v>малые</v>
      </c>
      <c r="F638">
        <f>VLOOKUP(B638,Лист2!A:E,4,0)</f>
        <v>2.5</v>
      </c>
      <c r="G638">
        <f t="shared" si="42"/>
        <v>-30000</v>
      </c>
      <c r="H638">
        <f t="shared" si="43"/>
        <v>25600</v>
      </c>
      <c r="I638">
        <f t="shared" si="44"/>
        <v>-12000</v>
      </c>
    </row>
    <row r="639" spans="1:9">
      <c r="A639" t="s">
        <v>14</v>
      </c>
      <c r="B639" t="s">
        <v>18</v>
      </c>
      <c r="C639">
        <v>449000</v>
      </c>
      <c r="D639">
        <v>528000</v>
      </c>
      <c r="E639" t="str">
        <f>VLOOKUP(B639,Лист2!A:E,5,0)</f>
        <v>малые</v>
      </c>
      <c r="F639">
        <f>VLOOKUP(B639,Лист2!A:E,4,0)</f>
        <v>2.5</v>
      </c>
      <c r="G639">
        <f t="shared" si="42"/>
        <v>-79000</v>
      </c>
      <c r="H639">
        <f t="shared" si="43"/>
        <v>179600</v>
      </c>
      <c r="I639">
        <f t="shared" si="44"/>
        <v>-31600</v>
      </c>
    </row>
    <row r="640" spans="1:9">
      <c r="A640" t="s">
        <v>14</v>
      </c>
      <c r="B640" t="s">
        <v>18</v>
      </c>
      <c r="C640">
        <v>2672000</v>
      </c>
      <c r="D640">
        <v>2793000</v>
      </c>
      <c r="E640" t="str">
        <f>VLOOKUP(B640,Лист2!A:E,5,0)</f>
        <v>малые</v>
      </c>
      <c r="F640">
        <f>VLOOKUP(B640,Лист2!A:E,4,0)</f>
        <v>2.5</v>
      </c>
      <c r="G640">
        <f t="shared" si="42"/>
        <v>-121000</v>
      </c>
      <c r="H640">
        <f t="shared" si="43"/>
        <v>1068800</v>
      </c>
      <c r="I640">
        <f t="shared" si="44"/>
        <v>-48400</v>
      </c>
    </row>
    <row r="641" spans="1:9">
      <c r="A641" t="s">
        <v>14</v>
      </c>
      <c r="B641" t="s">
        <v>77</v>
      </c>
      <c r="C641">
        <v>23000</v>
      </c>
      <c r="D641">
        <v>223000</v>
      </c>
      <c r="E641" t="str">
        <f>VLOOKUP(B641,Лист2!A:E,5,0)</f>
        <v>малые</v>
      </c>
      <c r="F641">
        <f>VLOOKUP(B641,Лист2!A:E,4,0)</f>
        <v>8</v>
      </c>
      <c r="G641">
        <f t="shared" si="42"/>
        <v>-200000</v>
      </c>
      <c r="H641">
        <f t="shared" si="43"/>
        <v>2875</v>
      </c>
      <c r="I641">
        <f t="shared" si="44"/>
        <v>-25000</v>
      </c>
    </row>
    <row r="642" spans="1:9">
      <c r="A642" t="s">
        <v>25</v>
      </c>
      <c r="B642" t="s">
        <v>18</v>
      </c>
      <c r="C642">
        <v>2975000</v>
      </c>
      <c r="D642">
        <v>2975000</v>
      </c>
      <c r="E642" t="str">
        <f>VLOOKUP(B642,Лист2!A:E,5,0)</f>
        <v>малые</v>
      </c>
      <c r="F642">
        <f>VLOOKUP(B642,Лист2!A:E,4,0)</f>
        <v>2.5</v>
      </c>
      <c r="G642">
        <f t="shared" si="42"/>
        <v>0</v>
      </c>
      <c r="H642">
        <f t="shared" si="43"/>
        <v>1190000</v>
      </c>
      <c r="I642">
        <f t="shared" si="44"/>
        <v>0</v>
      </c>
    </row>
    <row r="643" spans="1:9">
      <c r="A643" t="s">
        <v>14</v>
      </c>
      <c r="B643" t="s">
        <v>18</v>
      </c>
      <c r="C643">
        <v>65000</v>
      </c>
      <c r="D643">
        <v>104000</v>
      </c>
      <c r="E643" t="str">
        <f>VLOOKUP(B643,Лист2!A:E,5,0)</f>
        <v>малые</v>
      </c>
      <c r="F643">
        <f>VLOOKUP(B643,Лист2!A:E,4,0)</f>
        <v>2.5</v>
      </c>
      <c r="G643">
        <f t="shared" si="42"/>
        <v>-39000</v>
      </c>
      <c r="H643">
        <f t="shared" si="43"/>
        <v>26000</v>
      </c>
      <c r="I643">
        <f t="shared" si="44"/>
        <v>-15600</v>
      </c>
    </row>
    <row r="644" spans="1:9">
      <c r="A644" t="s">
        <v>25</v>
      </c>
      <c r="B644" t="s">
        <v>18</v>
      </c>
      <c r="C644">
        <v>12116000</v>
      </c>
      <c r="D644">
        <v>12334000</v>
      </c>
      <c r="E644" t="str">
        <f>VLOOKUP(B644,Лист2!A:E,5,0)</f>
        <v>малые</v>
      </c>
      <c r="F644">
        <f>VLOOKUP(B644,Лист2!A:E,4,0)</f>
        <v>2.5</v>
      </c>
      <c r="G644">
        <f t="shared" si="42"/>
        <v>-218000</v>
      </c>
      <c r="H644">
        <f t="shared" si="43"/>
        <v>4846400</v>
      </c>
      <c r="I644">
        <f t="shared" si="44"/>
        <v>-87200</v>
      </c>
    </row>
    <row r="645" spans="1:9">
      <c r="A645" t="s">
        <v>14</v>
      </c>
      <c r="B645" t="s">
        <v>77</v>
      </c>
      <c r="C645">
        <v>5336000</v>
      </c>
      <c r="D645">
        <v>5179000</v>
      </c>
      <c r="E645" t="str">
        <f>VLOOKUP(B645,Лист2!A:E,5,0)</f>
        <v>малые</v>
      </c>
      <c r="F645">
        <f>VLOOKUP(B645,Лист2!A:E,4,0)</f>
        <v>8</v>
      </c>
      <c r="G645">
        <f t="shared" si="42"/>
        <v>157000</v>
      </c>
      <c r="H645">
        <f t="shared" si="43"/>
        <v>667000</v>
      </c>
      <c r="I645">
        <f t="shared" si="44"/>
        <v>19625</v>
      </c>
    </row>
    <row r="646" spans="1:9">
      <c r="A646" t="s">
        <v>14</v>
      </c>
      <c r="B646" t="s">
        <v>18</v>
      </c>
      <c r="C646">
        <v>110000</v>
      </c>
      <c r="D646">
        <v>111000</v>
      </c>
      <c r="E646" t="str">
        <f>VLOOKUP(B646,Лист2!A:E,5,0)</f>
        <v>малые</v>
      </c>
      <c r="F646">
        <f>VLOOKUP(B646,Лист2!A:E,4,0)</f>
        <v>2.5</v>
      </c>
      <c r="G646">
        <f t="shared" si="42"/>
        <v>-1000</v>
      </c>
      <c r="H646">
        <f t="shared" si="43"/>
        <v>44000</v>
      </c>
      <c r="I646">
        <f t="shared" si="44"/>
        <v>-400</v>
      </c>
    </row>
    <row r="647" spans="1:9">
      <c r="A647" t="s">
        <v>14</v>
      </c>
      <c r="B647" t="s">
        <v>18</v>
      </c>
      <c r="C647">
        <v>921000</v>
      </c>
      <c r="D647">
        <v>921000</v>
      </c>
      <c r="E647" t="str">
        <f>VLOOKUP(B647,Лист2!A:E,5,0)</f>
        <v>малые</v>
      </c>
      <c r="F647">
        <f>VLOOKUP(B647,Лист2!A:E,4,0)</f>
        <v>2.5</v>
      </c>
      <c r="G647">
        <f t="shared" si="42"/>
        <v>0</v>
      </c>
      <c r="H647">
        <f t="shared" si="43"/>
        <v>368400</v>
      </c>
      <c r="I647">
        <f t="shared" si="44"/>
        <v>0</v>
      </c>
    </row>
    <row r="648" spans="1:9">
      <c r="A648" t="s">
        <v>14</v>
      </c>
      <c r="B648" t="s">
        <v>18</v>
      </c>
      <c r="C648">
        <v>5000</v>
      </c>
      <c r="D648">
        <v>5000</v>
      </c>
      <c r="E648" t="str">
        <f>VLOOKUP(B648,Лист2!A:E,5,0)</f>
        <v>малые</v>
      </c>
      <c r="F648">
        <f>VLOOKUP(B648,Лист2!A:E,4,0)</f>
        <v>2.5</v>
      </c>
      <c r="G648">
        <f t="shared" si="42"/>
        <v>0</v>
      </c>
      <c r="H648">
        <f t="shared" si="43"/>
        <v>2000</v>
      </c>
      <c r="I648">
        <f t="shared" si="44"/>
        <v>0</v>
      </c>
    </row>
    <row r="649" spans="1:9">
      <c r="A649" t="s">
        <v>14</v>
      </c>
      <c r="B649" t="s">
        <v>18</v>
      </c>
      <c r="C649">
        <v>758000</v>
      </c>
      <c r="D649">
        <v>1682000</v>
      </c>
      <c r="E649" t="str">
        <f>VLOOKUP(B649,Лист2!A:E,5,0)</f>
        <v>малые</v>
      </c>
      <c r="F649">
        <f>VLOOKUP(B649,Лист2!A:E,4,0)</f>
        <v>2.5</v>
      </c>
      <c r="G649">
        <f t="shared" si="42"/>
        <v>-924000</v>
      </c>
      <c r="H649">
        <f t="shared" si="43"/>
        <v>303200</v>
      </c>
      <c r="I649">
        <f t="shared" si="44"/>
        <v>-369600</v>
      </c>
    </row>
    <row r="650" spans="1:9">
      <c r="A650" t="s">
        <v>14</v>
      </c>
      <c r="B650" t="s">
        <v>18</v>
      </c>
      <c r="C650">
        <v>3176000</v>
      </c>
      <c r="D650">
        <v>3277000</v>
      </c>
      <c r="E650" t="str">
        <f>VLOOKUP(B650,Лист2!A:E,5,0)</f>
        <v>малые</v>
      </c>
      <c r="F650">
        <f>VLOOKUP(B650,Лист2!A:E,4,0)</f>
        <v>2.5</v>
      </c>
      <c r="G650">
        <f t="shared" si="42"/>
        <v>-101000</v>
      </c>
      <c r="H650">
        <f t="shared" si="43"/>
        <v>1270400</v>
      </c>
      <c r="I650">
        <f t="shared" si="44"/>
        <v>-40400</v>
      </c>
    </row>
    <row r="651" spans="1:9">
      <c r="A651" t="s">
        <v>25</v>
      </c>
      <c r="B651" t="s">
        <v>18</v>
      </c>
      <c r="C651">
        <v>4040000</v>
      </c>
      <c r="D651">
        <v>3670000</v>
      </c>
      <c r="E651" t="str">
        <f>VLOOKUP(B651,Лист2!A:E,5,0)</f>
        <v>малые</v>
      </c>
      <c r="F651">
        <f>VLOOKUP(B651,Лист2!A:E,4,0)</f>
        <v>2.5</v>
      </c>
      <c r="G651">
        <f t="shared" si="42"/>
        <v>370000</v>
      </c>
      <c r="H651">
        <f t="shared" si="43"/>
        <v>1616000</v>
      </c>
      <c r="I651">
        <f t="shared" si="44"/>
        <v>148000</v>
      </c>
    </row>
    <row r="652" spans="1:9">
      <c r="A652" t="s">
        <v>14</v>
      </c>
      <c r="B652" t="s">
        <v>18</v>
      </c>
      <c r="C652">
        <v>3959000</v>
      </c>
      <c r="D652">
        <v>2994000</v>
      </c>
      <c r="E652" t="str">
        <f>VLOOKUP(B652,Лист2!A:E,5,0)</f>
        <v>малые</v>
      </c>
      <c r="F652">
        <f>VLOOKUP(B652,Лист2!A:E,4,0)</f>
        <v>2.5</v>
      </c>
      <c r="G652">
        <f t="shared" si="42"/>
        <v>965000</v>
      </c>
      <c r="H652">
        <f t="shared" si="43"/>
        <v>1583600</v>
      </c>
      <c r="I652">
        <f t="shared" si="44"/>
        <v>386000</v>
      </c>
    </row>
    <row r="653" spans="1:9">
      <c r="A653" t="s">
        <v>14</v>
      </c>
      <c r="B653" t="s">
        <v>18</v>
      </c>
      <c r="C653">
        <v>33000</v>
      </c>
      <c r="D653">
        <v>45000</v>
      </c>
      <c r="E653" t="str">
        <f>VLOOKUP(B653,Лист2!A:E,5,0)</f>
        <v>малые</v>
      </c>
      <c r="F653">
        <f>VLOOKUP(B653,Лист2!A:E,4,0)</f>
        <v>2.5</v>
      </c>
      <c r="G653">
        <f t="shared" si="42"/>
        <v>-12000</v>
      </c>
      <c r="H653">
        <f t="shared" si="43"/>
        <v>13200</v>
      </c>
      <c r="I653">
        <f t="shared" si="44"/>
        <v>-4800</v>
      </c>
    </row>
    <row r="654" spans="1:9">
      <c r="A654" t="s">
        <v>14</v>
      </c>
      <c r="B654" t="s">
        <v>18</v>
      </c>
      <c r="C654">
        <v>2015000</v>
      </c>
      <c r="D654">
        <v>2002000</v>
      </c>
      <c r="E654" t="str">
        <f>VLOOKUP(B654,Лист2!A:E,5,0)</f>
        <v>малые</v>
      </c>
      <c r="F654">
        <f>VLOOKUP(B654,Лист2!A:E,4,0)</f>
        <v>2.5</v>
      </c>
      <c r="G654">
        <f t="shared" si="42"/>
        <v>13000</v>
      </c>
      <c r="H654">
        <f t="shared" si="43"/>
        <v>806000</v>
      </c>
      <c r="I654">
        <f t="shared" si="44"/>
        <v>5200</v>
      </c>
    </row>
    <row r="655" spans="1:9">
      <c r="A655" t="s">
        <v>25</v>
      </c>
      <c r="B655" t="s">
        <v>22</v>
      </c>
      <c r="C655">
        <v>146677000</v>
      </c>
      <c r="D655">
        <v>152301000</v>
      </c>
      <c r="E655" t="str">
        <f>VLOOKUP(B655,Лист2!A:E,5,0)</f>
        <v>малые</v>
      </c>
      <c r="F655">
        <f>VLOOKUP(B655,Лист2!A:E,4,0)</f>
        <v>13</v>
      </c>
      <c r="G655">
        <f t="shared" si="42"/>
        <v>-5624000</v>
      </c>
      <c r="H655">
        <f t="shared" si="43"/>
        <v>11282846.153846154</v>
      </c>
      <c r="I655">
        <f t="shared" si="44"/>
        <v>-432615.38461538462</v>
      </c>
    </row>
    <row r="656" spans="1:9">
      <c r="A656" t="s">
        <v>25</v>
      </c>
      <c r="B656" t="s">
        <v>22</v>
      </c>
      <c r="C656">
        <v>83455000</v>
      </c>
      <c r="D656">
        <v>28706000</v>
      </c>
      <c r="E656" t="str">
        <f>VLOOKUP(B656,Лист2!A:E,5,0)</f>
        <v>малые</v>
      </c>
      <c r="F656">
        <f>VLOOKUP(B656,Лист2!A:E,4,0)</f>
        <v>13</v>
      </c>
      <c r="G656">
        <f t="shared" si="42"/>
        <v>54749000</v>
      </c>
      <c r="H656">
        <f t="shared" si="43"/>
        <v>6419615.384615385</v>
      </c>
      <c r="I656">
        <f t="shared" si="44"/>
        <v>4211461.538461538</v>
      </c>
    </row>
    <row r="657" spans="1:9">
      <c r="A657" t="s">
        <v>14</v>
      </c>
      <c r="B657" t="s">
        <v>18</v>
      </c>
      <c r="C657">
        <v>47338000</v>
      </c>
      <c r="D657">
        <v>40000000</v>
      </c>
      <c r="E657" t="str">
        <f>VLOOKUP(B657,Лист2!A:E,5,0)</f>
        <v>малые</v>
      </c>
      <c r="F657">
        <f>VLOOKUP(B657,Лист2!A:E,4,0)</f>
        <v>2.5</v>
      </c>
      <c r="G657">
        <f t="shared" si="42"/>
        <v>7338000</v>
      </c>
      <c r="H657">
        <f t="shared" si="43"/>
        <v>18935200</v>
      </c>
      <c r="I657">
        <f t="shared" si="44"/>
        <v>2935200</v>
      </c>
    </row>
    <row r="658" spans="1:9">
      <c r="A658" t="s">
        <v>14</v>
      </c>
      <c r="B658" t="s">
        <v>18</v>
      </c>
      <c r="C658">
        <v>499000</v>
      </c>
      <c r="D658">
        <v>220000</v>
      </c>
      <c r="E658" t="str">
        <f>VLOOKUP(B658,Лист2!A:E,5,0)</f>
        <v>малые</v>
      </c>
      <c r="F658">
        <f>VLOOKUP(B658,Лист2!A:E,4,0)</f>
        <v>2.5</v>
      </c>
      <c r="G658">
        <f t="shared" si="42"/>
        <v>279000</v>
      </c>
      <c r="H658">
        <f t="shared" si="43"/>
        <v>199600</v>
      </c>
      <c r="I658">
        <f t="shared" si="44"/>
        <v>111600</v>
      </c>
    </row>
    <row r="659" spans="1:9">
      <c r="A659" t="s">
        <v>14</v>
      </c>
      <c r="B659" t="s">
        <v>18</v>
      </c>
      <c r="C659">
        <v>3691000</v>
      </c>
      <c r="D659">
        <v>3979000</v>
      </c>
      <c r="E659" t="str">
        <f>VLOOKUP(B659,Лист2!A:E,5,0)</f>
        <v>малые</v>
      </c>
      <c r="F659">
        <f>VLOOKUP(B659,Лист2!A:E,4,0)</f>
        <v>2.5</v>
      </c>
      <c r="G659">
        <f t="shared" si="42"/>
        <v>-288000</v>
      </c>
      <c r="H659">
        <f t="shared" si="43"/>
        <v>1476400</v>
      </c>
      <c r="I659">
        <f t="shared" si="44"/>
        <v>-115200</v>
      </c>
    </row>
    <row r="660" spans="1:9">
      <c r="A660" t="s">
        <v>14</v>
      </c>
      <c r="B660" t="s">
        <v>77</v>
      </c>
      <c r="C660">
        <v>19565000</v>
      </c>
      <c r="D660">
        <v>16964000</v>
      </c>
      <c r="E660" t="str">
        <f>VLOOKUP(B660,Лист2!A:E,5,0)</f>
        <v>малые</v>
      </c>
      <c r="F660">
        <f>VLOOKUP(B660,Лист2!A:E,4,0)</f>
        <v>8</v>
      </c>
      <c r="G660">
        <f t="shared" ref="G660:G701" si="45">C660-D660</f>
        <v>2601000</v>
      </c>
      <c r="H660">
        <f t="shared" ref="H660:H701" si="46">C660/F660</f>
        <v>2445625</v>
      </c>
      <c r="I660">
        <f t="shared" ref="I660:I701" si="47">G660/F660</f>
        <v>325125</v>
      </c>
    </row>
    <row r="661" spans="1:9">
      <c r="A661" t="s">
        <v>14</v>
      </c>
      <c r="B661" t="s">
        <v>18</v>
      </c>
      <c r="C661">
        <v>729000</v>
      </c>
      <c r="D661">
        <v>678000</v>
      </c>
      <c r="E661" t="str">
        <f>VLOOKUP(B661,Лист2!A:E,5,0)</f>
        <v>малые</v>
      </c>
      <c r="F661">
        <f>VLOOKUP(B661,Лист2!A:E,4,0)</f>
        <v>2.5</v>
      </c>
      <c r="G661">
        <f t="shared" si="45"/>
        <v>51000</v>
      </c>
      <c r="H661">
        <f t="shared" si="46"/>
        <v>291600</v>
      </c>
      <c r="I661">
        <f t="shared" si="47"/>
        <v>20400</v>
      </c>
    </row>
    <row r="662" spans="1:9">
      <c r="A662" t="s">
        <v>14</v>
      </c>
      <c r="B662" t="s">
        <v>18</v>
      </c>
      <c r="C662">
        <v>1030000</v>
      </c>
      <c r="D662">
        <v>1027000</v>
      </c>
      <c r="E662" t="str">
        <f>VLOOKUP(B662,Лист2!A:E,5,0)</f>
        <v>малые</v>
      </c>
      <c r="F662">
        <f>VLOOKUP(B662,Лист2!A:E,4,0)</f>
        <v>2.5</v>
      </c>
      <c r="G662">
        <f t="shared" si="45"/>
        <v>3000</v>
      </c>
      <c r="H662">
        <f t="shared" si="46"/>
        <v>412000</v>
      </c>
      <c r="I662">
        <f t="shared" si="47"/>
        <v>1200</v>
      </c>
    </row>
    <row r="663" spans="1:9">
      <c r="A663" t="s">
        <v>14</v>
      </c>
      <c r="B663" t="s">
        <v>18</v>
      </c>
      <c r="C663">
        <v>6309000</v>
      </c>
      <c r="D663">
        <v>5563000</v>
      </c>
      <c r="E663" t="str">
        <f>VLOOKUP(B663,Лист2!A:E,5,0)</f>
        <v>малые</v>
      </c>
      <c r="F663">
        <f>VLOOKUP(B663,Лист2!A:E,4,0)</f>
        <v>2.5</v>
      </c>
      <c r="G663">
        <f t="shared" si="45"/>
        <v>746000</v>
      </c>
      <c r="H663">
        <f t="shared" si="46"/>
        <v>2523600</v>
      </c>
      <c r="I663">
        <f t="shared" si="47"/>
        <v>298400</v>
      </c>
    </row>
    <row r="664" spans="1:9">
      <c r="A664" t="s">
        <v>14</v>
      </c>
      <c r="B664" t="s">
        <v>18</v>
      </c>
      <c r="C664">
        <v>5293000</v>
      </c>
      <c r="D664">
        <v>3967000</v>
      </c>
      <c r="E664" t="str">
        <f>VLOOKUP(B664,Лист2!A:E,5,0)</f>
        <v>малые</v>
      </c>
      <c r="F664">
        <f>VLOOKUP(B664,Лист2!A:E,4,0)</f>
        <v>2.5</v>
      </c>
      <c r="G664">
        <f t="shared" si="45"/>
        <v>1326000</v>
      </c>
      <c r="H664">
        <f t="shared" si="46"/>
        <v>2117200</v>
      </c>
      <c r="I664">
        <f t="shared" si="47"/>
        <v>530400</v>
      </c>
    </row>
    <row r="665" spans="1:9">
      <c r="A665" t="s">
        <v>14</v>
      </c>
      <c r="B665" t="s">
        <v>18</v>
      </c>
      <c r="C665">
        <v>48000</v>
      </c>
      <c r="D665">
        <v>48000</v>
      </c>
      <c r="E665" t="str">
        <f>VLOOKUP(B665,Лист2!A:E,5,0)</f>
        <v>малые</v>
      </c>
      <c r="F665">
        <f>VLOOKUP(B665,Лист2!A:E,4,0)</f>
        <v>2.5</v>
      </c>
      <c r="G665">
        <f t="shared" si="45"/>
        <v>0</v>
      </c>
      <c r="H665">
        <f t="shared" si="46"/>
        <v>19200</v>
      </c>
      <c r="I665">
        <f t="shared" si="47"/>
        <v>0</v>
      </c>
    </row>
    <row r="666" spans="1:9">
      <c r="A666" t="s">
        <v>14</v>
      </c>
      <c r="B666" t="s">
        <v>18</v>
      </c>
      <c r="C666">
        <v>2911000</v>
      </c>
      <c r="D666">
        <v>4321000</v>
      </c>
      <c r="E666" t="str">
        <f>VLOOKUP(B666,Лист2!A:E,5,0)</f>
        <v>малые</v>
      </c>
      <c r="F666">
        <f>VLOOKUP(B666,Лист2!A:E,4,0)</f>
        <v>2.5</v>
      </c>
      <c r="G666">
        <f t="shared" si="45"/>
        <v>-1410000</v>
      </c>
      <c r="H666">
        <f t="shared" si="46"/>
        <v>1164400</v>
      </c>
      <c r="I666">
        <f t="shared" si="47"/>
        <v>-564000</v>
      </c>
    </row>
    <row r="667" spans="1:9">
      <c r="A667" t="s">
        <v>14</v>
      </c>
      <c r="B667" t="s">
        <v>18</v>
      </c>
      <c r="C667">
        <v>7962000</v>
      </c>
      <c r="D667">
        <v>7962000</v>
      </c>
      <c r="E667" t="str">
        <f>VLOOKUP(B667,Лист2!A:E,5,0)</f>
        <v>малые</v>
      </c>
      <c r="F667">
        <f>VLOOKUP(B667,Лист2!A:E,4,0)</f>
        <v>2.5</v>
      </c>
      <c r="G667">
        <f t="shared" si="45"/>
        <v>0</v>
      </c>
      <c r="H667">
        <f t="shared" si="46"/>
        <v>3184800</v>
      </c>
      <c r="I667">
        <f t="shared" si="47"/>
        <v>0</v>
      </c>
    </row>
    <row r="668" spans="1:9">
      <c r="A668" t="s">
        <v>14</v>
      </c>
      <c r="B668" t="s">
        <v>18</v>
      </c>
      <c r="C668">
        <v>19168000</v>
      </c>
      <c r="D668">
        <v>17272000</v>
      </c>
      <c r="E668" t="str">
        <f>VLOOKUP(B668,Лист2!A:E,5,0)</f>
        <v>малые</v>
      </c>
      <c r="F668">
        <f>VLOOKUP(B668,Лист2!A:E,4,0)</f>
        <v>2.5</v>
      </c>
      <c r="G668">
        <f t="shared" si="45"/>
        <v>1896000</v>
      </c>
      <c r="H668">
        <f t="shared" si="46"/>
        <v>7667200</v>
      </c>
      <c r="I668">
        <f t="shared" si="47"/>
        <v>758400</v>
      </c>
    </row>
    <row r="669" spans="1:9">
      <c r="A669" t="s">
        <v>14</v>
      </c>
      <c r="B669" t="s">
        <v>18</v>
      </c>
      <c r="C669">
        <v>82000</v>
      </c>
      <c r="D669">
        <v>50000</v>
      </c>
      <c r="E669" t="str">
        <f>VLOOKUP(B669,Лист2!A:E,5,0)</f>
        <v>малые</v>
      </c>
      <c r="F669">
        <f>VLOOKUP(B669,Лист2!A:E,4,0)</f>
        <v>2.5</v>
      </c>
      <c r="G669">
        <f t="shared" si="45"/>
        <v>32000</v>
      </c>
      <c r="H669">
        <f t="shared" si="46"/>
        <v>32800</v>
      </c>
      <c r="I669">
        <f t="shared" si="47"/>
        <v>12800</v>
      </c>
    </row>
    <row r="670" spans="1:9">
      <c r="A670" t="s">
        <v>25</v>
      </c>
      <c r="B670" t="s">
        <v>18</v>
      </c>
      <c r="C670">
        <v>2250000</v>
      </c>
      <c r="D670">
        <v>2336000</v>
      </c>
      <c r="E670" t="str">
        <f>VLOOKUP(B670,Лист2!A:E,5,0)</f>
        <v>малые</v>
      </c>
      <c r="F670">
        <f>VLOOKUP(B670,Лист2!A:E,4,0)</f>
        <v>2.5</v>
      </c>
      <c r="G670">
        <f t="shared" si="45"/>
        <v>-86000</v>
      </c>
      <c r="H670">
        <f t="shared" si="46"/>
        <v>900000</v>
      </c>
      <c r="I670">
        <f t="shared" si="47"/>
        <v>-34400</v>
      </c>
    </row>
    <row r="671" spans="1:9">
      <c r="A671" t="s">
        <v>14</v>
      </c>
      <c r="B671" t="s">
        <v>18</v>
      </c>
      <c r="C671">
        <v>356000</v>
      </c>
      <c r="D671">
        <v>349000</v>
      </c>
      <c r="E671" t="str">
        <f>VLOOKUP(B671,Лист2!A:E,5,0)</f>
        <v>малые</v>
      </c>
      <c r="F671">
        <f>VLOOKUP(B671,Лист2!A:E,4,0)</f>
        <v>2.5</v>
      </c>
      <c r="G671">
        <f t="shared" si="45"/>
        <v>7000</v>
      </c>
      <c r="H671">
        <f t="shared" si="46"/>
        <v>142400</v>
      </c>
      <c r="I671">
        <f t="shared" si="47"/>
        <v>2800</v>
      </c>
    </row>
    <row r="672" spans="1:9">
      <c r="A672" t="s">
        <v>14</v>
      </c>
      <c r="B672" t="s">
        <v>18</v>
      </c>
      <c r="C672">
        <v>2384000</v>
      </c>
      <c r="D672">
        <v>1808000</v>
      </c>
      <c r="E672" t="str">
        <f>VLOOKUP(B672,Лист2!A:E,5,0)</f>
        <v>малые</v>
      </c>
      <c r="F672">
        <f>VLOOKUP(B672,Лист2!A:E,4,0)</f>
        <v>2.5</v>
      </c>
      <c r="G672">
        <f t="shared" si="45"/>
        <v>576000</v>
      </c>
      <c r="H672">
        <f t="shared" si="46"/>
        <v>953600</v>
      </c>
      <c r="I672">
        <f t="shared" si="47"/>
        <v>230400</v>
      </c>
    </row>
    <row r="673" spans="1:9">
      <c r="A673" t="s">
        <v>14</v>
      </c>
      <c r="B673" t="s">
        <v>18</v>
      </c>
      <c r="C673">
        <v>1167000</v>
      </c>
      <c r="D673">
        <v>1095000</v>
      </c>
      <c r="E673" t="str">
        <f>VLOOKUP(B673,Лист2!A:E,5,0)</f>
        <v>малые</v>
      </c>
      <c r="F673">
        <f>VLOOKUP(B673,Лист2!A:E,4,0)</f>
        <v>2.5</v>
      </c>
      <c r="G673">
        <f t="shared" si="45"/>
        <v>72000</v>
      </c>
      <c r="H673">
        <f t="shared" si="46"/>
        <v>466800</v>
      </c>
      <c r="I673">
        <f t="shared" si="47"/>
        <v>28800</v>
      </c>
    </row>
    <row r="674" spans="1:9">
      <c r="A674" t="s">
        <v>14</v>
      </c>
      <c r="B674" t="s">
        <v>77</v>
      </c>
      <c r="C674">
        <v>1636000</v>
      </c>
      <c r="D674">
        <v>1549000</v>
      </c>
      <c r="E674" t="str">
        <f>VLOOKUP(B674,Лист2!A:E,5,0)</f>
        <v>малые</v>
      </c>
      <c r="F674">
        <f>VLOOKUP(B674,Лист2!A:E,4,0)</f>
        <v>8</v>
      </c>
      <c r="G674">
        <f t="shared" si="45"/>
        <v>87000</v>
      </c>
      <c r="H674">
        <f t="shared" si="46"/>
        <v>204500</v>
      </c>
      <c r="I674">
        <f t="shared" si="47"/>
        <v>10875</v>
      </c>
    </row>
    <row r="675" spans="1:9">
      <c r="A675" t="s">
        <v>14</v>
      </c>
      <c r="B675" t="s">
        <v>18</v>
      </c>
      <c r="C675">
        <v>615000</v>
      </c>
      <c r="D675">
        <v>563000</v>
      </c>
      <c r="E675" t="str">
        <f>VLOOKUP(B675,Лист2!A:E,5,0)</f>
        <v>малые</v>
      </c>
      <c r="F675">
        <f>VLOOKUP(B675,Лист2!A:E,4,0)</f>
        <v>2.5</v>
      </c>
      <c r="G675">
        <f t="shared" si="45"/>
        <v>52000</v>
      </c>
      <c r="H675">
        <f t="shared" si="46"/>
        <v>246000</v>
      </c>
      <c r="I675">
        <f t="shared" si="47"/>
        <v>20800</v>
      </c>
    </row>
    <row r="676" spans="1:9">
      <c r="A676" t="s">
        <v>14</v>
      </c>
      <c r="B676" t="s">
        <v>18</v>
      </c>
      <c r="C676">
        <v>1871000</v>
      </c>
      <c r="D676">
        <v>1840000</v>
      </c>
      <c r="E676" t="str">
        <f>VLOOKUP(B676,Лист2!A:E,5,0)</f>
        <v>малые</v>
      </c>
      <c r="F676">
        <f>VLOOKUP(B676,Лист2!A:E,4,0)</f>
        <v>2.5</v>
      </c>
      <c r="G676">
        <f t="shared" si="45"/>
        <v>31000</v>
      </c>
      <c r="H676">
        <f t="shared" si="46"/>
        <v>748400</v>
      </c>
      <c r="I676">
        <f t="shared" si="47"/>
        <v>12400</v>
      </c>
    </row>
    <row r="677" spans="1:9">
      <c r="A677" t="s">
        <v>14</v>
      </c>
      <c r="B677" t="s">
        <v>18</v>
      </c>
      <c r="C677">
        <v>627000</v>
      </c>
      <c r="D677">
        <v>647000</v>
      </c>
      <c r="E677" t="str">
        <f>VLOOKUP(B677,Лист2!A:E,5,0)</f>
        <v>малые</v>
      </c>
      <c r="F677">
        <f>VLOOKUP(B677,Лист2!A:E,4,0)</f>
        <v>2.5</v>
      </c>
      <c r="G677">
        <f t="shared" si="45"/>
        <v>-20000</v>
      </c>
      <c r="H677">
        <f t="shared" si="46"/>
        <v>250800</v>
      </c>
      <c r="I677">
        <f t="shared" si="47"/>
        <v>-8000</v>
      </c>
    </row>
    <row r="678" spans="1:9">
      <c r="A678" t="s">
        <v>14</v>
      </c>
      <c r="B678" t="s">
        <v>18</v>
      </c>
      <c r="C678">
        <v>1369000</v>
      </c>
      <c r="D678">
        <v>1571000</v>
      </c>
      <c r="E678" t="str">
        <f>VLOOKUP(B678,Лист2!A:E,5,0)</f>
        <v>малые</v>
      </c>
      <c r="F678">
        <f>VLOOKUP(B678,Лист2!A:E,4,0)</f>
        <v>2.5</v>
      </c>
      <c r="G678">
        <f t="shared" si="45"/>
        <v>-202000</v>
      </c>
      <c r="H678">
        <f t="shared" si="46"/>
        <v>547600</v>
      </c>
      <c r="I678">
        <f t="shared" si="47"/>
        <v>-80800</v>
      </c>
    </row>
    <row r="679" spans="1:9">
      <c r="A679" t="s">
        <v>14</v>
      </c>
      <c r="B679" t="s">
        <v>18</v>
      </c>
      <c r="C679">
        <v>1410000</v>
      </c>
      <c r="D679">
        <v>1396000</v>
      </c>
      <c r="E679" t="str">
        <f>VLOOKUP(B679,Лист2!A:E,5,0)</f>
        <v>малые</v>
      </c>
      <c r="F679">
        <f>VLOOKUP(B679,Лист2!A:E,4,0)</f>
        <v>2.5</v>
      </c>
      <c r="G679">
        <f t="shared" si="45"/>
        <v>14000</v>
      </c>
      <c r="H679">
        <f t="shared" si="46"/>
        <v>564000</v>
      </c>
      <c r="I679">
        <f t="shared" si="47"/>
        <v>5600</v>
      </c>
    </row>
    <row r="680" spans="1:9">
      <c r="A680" t="s">
        <v>25</v>
      </c>
      <c r="B680" t="s">
        <v>18</v>
      </c>
      <c r="C680">
        <v>3434000</v>
      </c>
      <c r="D680">
        <v>3432000</v>
      </c>
      <c r="E680" t="str">
        <f>VLOOKUP(B680,Лист2!A:E,5,0)</f>
        <v>малые</v>
      </c>
      <c r="F680">
        <f>VLOOKUP(B680,Лист2!A:E,4,0)</f>
        <v>2.5</v>
      </c>
      <c r="G680">
        <f t="shared" si="45"/>
        <v>2000</v>
      </c>
      <c r="H680">
        <f t="shared" si="46"/>
        <v>1373600</v>
      </c>
      <c r="I680">
        <f t="shared" si="47"/>
        <v>800</v>
      </c>
    </row>
    <row r="681" spans="1:9">
      <c r="A681" t="s">
        <v>14</v>
      </c>
      <c r="B681" t="s">
        <v>18</v>
      </c>
      <c r="C681">
        <v>5256000</v>
      </c>
      <c r="D681">
        <v>4883000</v>
      </c>
      <c r="E681" t="str">
        <f>VLOOKUP(B681,Лист2!A:E,5,0)</f>
        <v>малые</v>
      </c>
      <c r="F681">
        <f>VLOOKUP(B681,Лист2!A:E,4,0)</f>
        <v>2.5</v>
      </c>
      <c r="G681">
        <f t="shared" si="45"/>
        <v>373000</v>
      </c>
      <c r="H681">
        <f t="shared" si="46"/>
        <v>2102400</v>
      </c>
      <c r="I681">
        <f t="shared" si="47"/>
        <v>149200</v>
      </c>
    </row>
    <row r="682" spans="1:9">
      <c r="A682" t="s">
        <v>14</v>
      </c>
      <c r="B682" t="s">
        <v>18</v>
      </c>
      <c r="C682">
        <v>206000</v>
      </c>
      <c r="D682">
        <v>206000</v>
      </c>
      <c r="E682" t="str">
        <f>VLOOKUP(B682,Лист2!A:E,5,0)</f>
        <v>малые</v>
      </c>
      <c r="F682">
        <f>VLOOKUP(B682,Лист2!A:E,4,0)</f>
        <v>2.5</v>
      </c>
      <c r="G682">
        <f t="shared" si="45"/>
        <v>0</v>
      </c>
      <c r="H682">
        <f t="shared" si="46"/>
        <v>82400</v>
      </c>
      <c r="I682">
        <f t="shared" si="47"/>
        <v>0</v>
      </c>
    </row>
    <row r="683" spans="1:9">
      <c r="A683" t="s">
        <v>25</v>
      </c>
      <c r="B683" t="s">
        <v>18</v>
      </c>
      <c r="C683">
        <v>195000</v>
      </c>
      <c r="D683">
        <v>489000</v>
      </c>
      <c r="E683" t="str">
        <f>VLOOKUP(B683,Лист2!A:E,5,0)</f>
        <v>малые</v>
      </c>
      <c r="F683">
        <f>VLOOKUP(B683,Лист2!A:E,4,0)</f>
        <v>2.5</v>
      </c>
      <c r="G683">
        <f t="shared" si="45"/>
        <v>-294000</v>
      </c>
      <c r="H683">
        <f t="shared" si="46"/>
        <v>78000</v>
      </c>
      <c r="I683">
        <f t="shared" si="47"/>
        <v>-117600</v>
      </c>
    </row>
    <row r="684" spans="1:9">
      <c r="A684" t="s">
        <v>14</v>
      </c>
      <c r="B684" t="s">
        <v>77</v>
      </c>
      <c r="C684">
        <v>11807000</v>
      </c>
      <c r="D684">
        <v>13545000</v>
      </c>
      <c r="E684" t="str">
        <f>VLOOKUP(B684,Лист2!A:E,5,0)</f>
        <v>малые</v>
      </c>
      <c r="F684">
        <f>VLOOKUP(B684,Лист2!A:E,4,0)</f>
        <v>8</v>
      </c>
      <c r="G684">
        <f t="shared" si="45"/>
        <v>-1738000</v>
      </c>
      <c r="H684">
        <f t="shared" si="46"/>
        <v>1475875</v>
      </c>
      <c r="I684">
        <f t="shared" si="47"/>
        <v>-217250</v>
      </c>
    </row>
    <row r="685" spans="1:9">
      <c r="A685" t="s">
        <v>14</v>
      </c>
      <c r="B685" t="s">
        <v>18</v>
      </c>
      <c r="C685">
        <v>2020000</v>
      </c>
      <c r="D685">
        <v>2027000</v>
      </c>
      <c r="E685" t="str">
        <f>VLOOKUP(B685,Лист2!A:E,5,0)</f>
        <v>малые</v>
      </c>
      <c r="F685">
        <f>VLOOKUP(B685,Лист2!A:E,4,0)</f>
        <v>2.5</v>
      </c>
      <c r="G685">
        <f t="shared" si="45"/>
        <v>-7000</v>
      </c>
      <c r="H685">
        <f t="shared" si="46"/>
        <v>808000</v>
      </c>
      <c r="I685">
        <f t="shared" si="47"/>
        <v>-2800</v>
      </c>
    </row>
    <row r="686" spans="1:9">
      <c r="A686" t="s">
        <v>14</v>
      </c>
      <c r="B686" t="s">
        <v>18</v>
      </c>
      <c r="C686">
        <v>2080000</v>
      </c>
      <c r="D686">
        <v>2088000</v>
      </c>
      <c r="E686" t="str">
        <f>VLOOKUP(B686,Лист2!A:E,5,0)</f>
        <v>малые</v>
      </c>
      <c r="F686">
        <f>VLOOKUP(B686,Лист2!A:E,4,0)</f>
        <v>2.5</v>
      </c>
      <c r="G686">
        <f t="shared" si="45"/>
        <v>-8000</v>
      </c>
      <c r="H686">
        <f t="shared" si="46"/>
        <v>832000</v>
      </c>
      <c r="I686">
        <f t="shared" si="47"/>
        <v>-3200</v>
      </c>
    </row>
    <row r="687" spans="1:9">
      <c r="A687" t="s">
        <v>25</v>
      </c>
      <c r="B687" t="s">
        <v>18</v>
      </c>
      <c r="C687">
        <v>10312000</v>
      </c>
      <c r="D687">
        <v>10572000</v>
      </c>
      <c r="E687" t="str">
        <f>VLOOKUP(B687,Лист2!A:E,5,0)</f>
        <v>малые</v>
      </c>
      <c r="F687">
        <f>VLOOKUP(B687,Лист2!A:E,4,0)</f>
        <v>2.5</v>
      </c>
      <c r="G687">
        <f t="shared" si="45"/>
        <v>-260000</v>
      </c>
      <c r="H687">
        <f t="shared" si="46"/>
        <v>4124800</v>
      </c>
      <c r="I687">
        <f t="shared" si="47"/>
        <v>-104000</v>
      </c>
    </row>
    <row r="688" spans="1:9">
      <c r="A688" t="s">
        <v>14</v>
      </c>
      <c r="B688" t="s">
        <v>18</v>
      </c>
      <c r="C688">
        <v>125000</v>
      </c>
      <c r="D688">
        <v>123000</v>
      </c>
      <c r="E688" t="str">
        <f>VLOOKUP(B688,Лист2!A:E,5,0)</f>
        <v>малые</v>
      </c>
      <c r="F688">
        <f>VLOOKUP(B688,Лист2!A:E,4,0)</f>
        <v>2.5</v>
      </c>
      <c r="G688">
        <f t="shared" si="45"/>
        <v>2000</v>
      </c>
      <c r="H688">
        <f t="shared" si="46"/>
        <v>50000</v>
      </c>
      <c r="I688">
        <f t="shared" si="47"/>
        <v>800</v>
      </c>
    </row>
    <row r="689" spans="1:9">
      <c r="A689" t="s">
        <v>14</v>
      </c>
      <c r="B689" t="s">
        <v>18</v>
      </c>
      <c r="C689">
        <v>12367000</v>
      </c>
      <c r="D689">
        <v>19194000</v>
      </c>
      <c r="E689" t="str">
        <f>VLOOKUP(B689,Лист2!A:E,5,0)</f>
        <v>малые</v>
      </c>
      <c r="F689">
        <f>VLOOKUP(B689,Лист2!A:E,4,0)</f>
        <v>2.5</v>
      </c>
      <c r="G689">
        <f t="shared" si="45"/>
        <v>-6827000</v>
      </c>
      <c r="H689">
        <f t="shared" si="46"/>
        <v>4946800</v>
      </c>
      <c r="I689">
        <f t="shared" si="47"/>
        <v>-2730800</v>
      </c>
    </row>
    <row r="690" spans="1:9">
      <c r="A690" t="s">
        <v>14</v>
      </c>
      <c r="B690" t="s">
        <v>18</v>
      </c>
      <c r="C690">
        <v>1736000</v>
      </c>
      <c r="D690">
        <v>1047000</v>
      </c>
      <c r="E690" t="str">
        <f>VLOOKUP(B690,Лист2!A:E,5,0)</f>
        <v>малые</v>
      </c>
      <c r="F690">
        <f>VLOOKUP(B690,Лист2!A:E,4,0)</f>
        <v>2.5</v>
      </c>
      <c r="G690">
        <f t="shared" si="45"/>
        <v>689000</v>
      </c>
      <c r="H690">
        <f t="shared" si="46"/>
        <v>694400</v>
      </c>
      <c r="I690">
        <f t="shared" si="47"/>
        <v>275600</v>
      </c>
    </row>
    <row r="691" spans="1:9">
      <c r="A691" t="s">
        <v>14</v>
      </c>
      <c r="B691" t="s">
        <v>18</v>
      </c>
      <c r="C691">
        <v>1013000</v>
      </c>
      <c r="D691">
        <v>1550000</v>
      </c>
      <c r="E691" t="str">
        <f>VLOOKUP(B691,Лист2!A:E,5,0)</f>
        <v>малые</v>
      </c>
      <c r="F691">
        <f>VLOOKUP(B691,Лист2!A:E,4,0)</f>
        <v>2.5</v>
      </c>
      <c r="G691">
        <f t="shared" si="45"/>
        <v>-537000</v>
      </c>
      <c r="H691">
        <f t="shared" si="46"/>
        <v>405200</v>
      </c>
      <c r="I691">
        <f t="shared" si="47"/>
        <v>-214800</v>
      </c>
    </row>
    <row r="692" spans="1:9">
      <c r="A692" t="s">
        <v>14</v>
      </c>
      <c r="B692" t="s">
        <v>18</v>
      </c>
      <c r="C692">
        <v>1162000</v>
      </c>
      <c r="D692">
        <v>1210000</v>
      </c>
      <c r="E692" t="str">
        <f>VLOOKUP(B692,Лист2!A:E,5,0)</f>
        <v>малые</v>
      </c>
      <c r="F692">
        <f>VLOOKUP(B692,Лист2!A:E,4,0)</f>
        <v>2.5</v>
      </c>
      <c r="G692">
        <f t="shared" si="45"/>
        <v>-48000</v>
      </c>
      <c r="H692">
        <f t="shared" si="46"/>
        <v>464800</v>
      </c>
      <c r="I692">
        <f t="shared" si="47"/>
        <v>-19200</v>
      </c>
    </row>
    <row r="693" spans="1:9">
      <c r="A693" t="s">
        <v>14</v>
      </c>
      <c r="B693" t="s">
        <v>18</v>
      </c>
      <c r="C693">
        <v>35000</v>
      </c>
      <c r="D693">
        <v>36000</v>
      </c>
      <c r="E693" t="str">
        <f>VLOOKUP(B693,Лист2!A:E,5,0)</f>
        <v>малые</v>
      </c>
      <c r="F693">
        <f>VLOOKUP(B693,Лист2!A:E,4,0)</f>
        <v>2.5</v>
      </c>
      <c r="G693">
        <f t="shared" si="45"/>
        <v>-1000</v>
      </c>
      <c r="H693">
        <f t="shared" si="46"/>
        <v>14000</v>
      </c>
      <c r="I693">
        <f t="shared" si="47"/>
        <v>-400</v>
      </c>
    </row>
    <row r="694" spans="1:9">
      <c r="A694" t="s">
        <v>14</v>
      </c>
      <c r="B694" t="s">
        <v>18</v>
      </c>
      <c r="C694">
        <v>31000</v>
      </c>
      <c r="D694">
        <v>22000</v>
      </c>
      <c r="E694" t="str">
        <f>VLOOKUP(B694,Лист2!A:E,5,0)</f>
        <v>малые</v>
      </c>
      <c r="F694">
        <f>VLOOKUP(B694,Лист2!A:E,4,0)</f>
        <v>2.5</v>
      </c>
      <c r="G694">
        <f t="shared" si="45"/>
        <v>9000</v>
      </c>
      <c r="H694">
        <f t="shared" si="46"/>
        <v>12400</v>
      </c>
      <c r="I694">
        <f t="shared" si="47"/>
        <v>3600</v>
      </c>
    </row>
    <row r="695" spans="1:9">
      <c r="A695" t="s">
        <v>14</v>
      </c>
      <c r="B695" t="s">
        <v>18</v>
      </c>
      <c r="C695">
        <v>19479000</v>
      </c>
      <c r="D695">
        <v>18106000</v>
      </c>
      <c r="E695" t="str">
        <f>VLOOKUP(B695,Лист2!A:E,5,0)</f>
        <v>малые</v>
      </c>
      <c r="F695">
        <f>VLOOKUP(B695,Лист2!A:E,4,0)</f>
        <v>2.5</v>
      </c>
      <c r="G695">
        <f t="shared" si="45"/>
        <v>1373000</v>
      </c>
      <c r="H695">
        <f t="shared" si="46"/>
        <v>7791600</v>
      </c>
      <c r="I695">
        <f t="shared" si="47"/>
        <v>549200</v>
      </c>
    </row>
    <row r="696" spans="1:9">
      <c r="A696" t="s">
        <v>14</v>
      </c>
      <c r="B696" t="s">
        <v>22</v>
      </c>
      <c r="C696">
        <v>1346000</v>
      </c>
      <c r="D696">
        <v>1677000</v>
      </c>
      <c r="E696" t="str">
        <f>VLOOKUP(B696,Лист2!A:E,5,0)</f>
        <v>малые</v>
      </c>
      <c r="F696">
        <f>VLOOKUP(B696,Лист2!A:E,4,0)</f>
        <v>13</v>
      </c>
      <c r="G696">
        <f t="shared" si="45"/>
        <v>-331000</v>
      </c>
      <c r="H696">
        <f t="shared" si="46"/>
        <v>103538.46153846153</v>
      </c>
      <c r="I696">
        <f t="shared" si="47"/>
        <v>-25461.538461538461</v>
      </c>
    </row>
    <row r="697" spans="1:9">
      <c r="A697" t="s">
        <v>25</v>
      </c>
      <c r="B697" t="s">
        <v>18</v>
      </c>
      <c r="C697">
        <v>540000</v>
      </c>
      <c r="D697">
        <v>540000</v>
      </c>
      <c r="E697" t="str">
        <f>VLOOKUP(B697,Лист2!A:E,5,0)</f>
        <v>малые</v>
      </c>
      <c r="F697">
        <f>VLOOKUP(B697,Лист2!A:E,4,0)</f>
        <v>2.5</v>
      </c>
      <c r="G697">
        <f t="shared" si="45"/>
        <v>0</v>
      </c>
      <c r="H697">
        <f t="shared" si="46"/>
        <v>216000</v>
      </c>
      <c r="I697">
        <f t="shared" si="47"/>
        <v>0</v>
      </c>
    </row>
    <row r="698" spans="1:9">
      <c r="A698" t="s">
        <v>14</v>
      </c>
      <c r="B698" t="s">
        <v>18</v>
      </c>
      <c r="C698">
        <v>500000</v>
      </c>
      <c r="D698">
        <v>884000</v>
      </c>
      <c r="E698" t="str">
        <f>VLOOKUP(B698,Лист2!A:E,5,0)</f>
        <v>малые</v>
      </c>
      <c r="F698">
        <f>VLOOKUP(B698,Лист2!A:E,4,0)</f>
        <v>2.5</v>
      </c>
      <c r="G698">
        <f t="shared" si="45"/>
        <v>-384000</v>
      </c>
      <c r="H698">
        <f t="shared" si="46"/>
        <v>200000</v>
      </c>
      <c r="I698">
        <f t="shared" si="47"/>
        <v>-153600</v>
      </c>
    </row>
    <row r="699" spans="1:9">
      <c r="A699" t="s">
        <v>14</v>
      </c>
      <c r="B699" t="s">
        <v>18</v>
      </c>
      <c r="C699">
        <v>26508000</v>
      </c>
      <c r="D699">
        <v>26577000</v>
      </c>
      <c r="E699" t="str">
        <f>VLOOKUP(B699,Лист2!A:E,5,0)</f>
        <v>малые</v>
      </c>
      <c r="F699">
        <f>VLOOKUP(B699,Лист2!A:E,4,0)</f>
        <v>2.5</v>
      </c>
      <c r="G699">
        <f t="shared" si="45"/>
        <v>-69000</v>
      </c>
      <c r="H699">
        <f t="shared" si="46"/>
        <v>10603200</v>
      </c>
      <c r="I699">
        <f t="shared" si="47"/>
        <v>-27600</v>
      </c>
    </row>
    <row r="700" spans="1:9">
      <c r="A700" t="s">
        <v>14</v>
      </c>
      <c r="B700" t="s">
        <v>18</v>
      </c>
      <c r="C700">
        <v>1104000</v>
      </c>
      <c r="D700">
        <v>1097000</v>
      </c>
      <c r="E700" t="str">
        <f>VLOOKUP(B700,Лист2!A:E,5,0)</f>
        <v>малые</v>
      </c>
      <c r="F700">
        <f>VLOOKUP(B700,Лист2!A:E,4,0)</f>
        <v>2.5</v>
      </c>
      <c r="G700">
        <f t="shared" si="45"/>
        <v>7000</v>
      </c>
      <c r="H700">
        <f t="shared" si="46"/>
        <v>441600</v>
      </c>
      <c r="I700">
        <f t="shared" si="47"/>
        <v>2800</v>
      </c>
    </row>
    <row r="701" spans="1:9">
      <c r="A701" t="s">
        <v>14</v>
      </c>
      <c r="B701" t="s">
        <v>77</v>
      </c>
      <c r="C701">
        <v>22727000</v>
      </c>
      <c r="D701">
        <v>25299000</v>
      </c>
      <c r="E701" t="str">
        <f>VLOOKUP(B701,Лист2!A:E,5,0)</f>
        <v>малые</v>
      </c>
      <c r="F701">
        <f>VLOOKUP(B701,Лист2!A:E,4,0)</f>
        <v>8</v>
      </c>
      <c r="G701">
        <f t="shared" si="45"/>
        <v>-2572000</v>
      </c>
      <c r="H701">
        <f t="shared" si="46"/>
        <v>2840875</v>
      </c>
      <c r="I701">
        <f t="shared" si="47"/>
        <v>-321500</v>
      </c>
    </row>
    <row r="702" spans="1:9">
      <c r="A702" t="s">
        <v>14</v>
      </c>
      <c r="B702" t="s">
        <v>18</v>
      </c>
      <c r="C702">
        <v>3533000</v>
      </c>
      <c r="D702">
        <v>3559000</v>
      </c>
      <c r="E702" t="str">
        <f>VLOOKUP(B702,Лист2!A:E,5,0)</f>
        <v>малые</v>
      </c>
      <c r="F702">
        <f>VLOOKUP(B702,Лист2!A:E,4,0)</f>
        <v>2.5</v>
      </c>
      <c r="G702">
        <f t="shared" ref="G702:G748" si="48">C702-D702</f>
        <v>-26000</v>
      </c>
      <c r="H702">
        <f t="shared" ref="H702:H748" si="49">C702/F702</f>
        <v>1413200</v>
      </c>
      <c r="I702">
        <f t="shared" ref="I702:I748" si="50">G702/F702</f>
        <v>-10400</v>
      </c>
    </row>
    <row r="703" spans="1:9">
      <c r="A703" t="s">
        <v>14</v>
      </c>
      <c r="B703" t="s">
        <v>18</v>
      </c>
      <c r="C703">
        <v>1542000</v>
      </c>
      <c r="D703">
        <v>1355000</v>
      </c>
      <c r="E703" t="str">
        <f>VLOOKUP(B703,Лист2!A:E,5,0)</f>
        <v>малые</v>
      </c>
      <c r="F703">
        <f>VLOOKUP(B703,Лист2!A:E,4,0)</f>
        <v>2.5</v>
      </c>
      <c r="G703">
        <f t="shared" si="48"/>
        <v>187000</v>
      </c>
      <c r="H703">
        <f t="shared" si="49"/>
        <v>616800</v>
      </c>
      <c r="I703">
        <f t="shared" si="50"/>
        <v>74800</v>
      </c>
    </row>
    <row r="704" spans="1:9">
      <c r="A704" t="s">
        <v>14</v>
      </c>
      <c r="B704" t="s">
        <v>18</v>
      </c>
      <c r="C704">
        <v>621000</v>
      </c>
      <c r="D704">
        <v>762000</v>
      </c>
      <c r="E704" t="str">
        <f>VLOOKUP(B704,Лист2!A:E,5,0)</f>
        <v>малые</v>
      </c>
      <c r="F704">
        <f>VLOOKUP(B704,Лист2!A:E,4,0)</f>
        <v>2.5</v>
      </c>
      <c r="G704">
        <f t="shared" si="48"/>
        <v>-141000</v>
      </c>
      <c r="H704">
        <f t="shared" si="49"/>
        <v>248400</v>
      </c>
      <c r="I704">
        <f t="shared" si="50"/>
        <v>-56400</v>
      </c>
    </row>
    <row r="705" spans="1:9">
      <c r="A705" t="s">
        <v>25</v>
      </c>
      <c r="B705" t="s">
        <v>18</v>
      </c>
      <c r="C705">
        <v>296000</v>
      </c>
      <c r="D705">
        <v>296000</v>
      </c>
      <c r="E705" t="str">
        <f>VLOOKUP(B705,Лист2!A:E,5,0)</f>
        <v>малые</v>
      </c>
      <c r="F705">
        <f>VLOOKUP(B705,Лист2!A:E,4,0)</f>
        <v>2.5</v>
      </c>
      <c r="G705">
        <f t="shared" si="48"/>
        <v>0</v>
      </c>
      <c r="H705">
        <f t="shared" si="49"/>
        <v>118400</v>
      </c>
      <c r="I705">
        <f t="shared" si="50"/>
        <v>0</v>
      </c>
    </row>
    <row r="706" spans="1:9">
      <c r="A706" t="s">
        <v>14</v>
      </c>
      <c r="B706" t="s">
        <v>18</v>
      </c>
      <c r="C706">
        <v>3747000</v>
      </c>
      <c r="D706">
        <v>3287000</v>
      </c>
      <c r="E706" t="str">
        <f>VLOOKUP(B706,Лист2!A:E,5,0)</f>
        <v>малые</v>
      </c>
      <c r="F706">
        <f>VLOOKUP(B706,Лист2!A:E,4,0)</f>
        <v>2.5</v>
      </c>
      <c r="G706">
        <f t="shared" si="48"/>
        <v>460000</v>
      </c>
      <c r="H706">
        <f t="shared" si="49"/>
        <v>1498800</v>
      </c>
      <c r="I706">
        <f t="shared" si="50"/>
        <v>184000</v>
      </c>
    </row>
    <row r="707" spans="1:9">
      <c r="A707" t="s">
        <v>14</v>
      </c>
      <c r="B707" t="s">
        <v>22</v>
      </c>
      <c r="C707">
        <v>6860000</v>
      </c>
      <c r="D707">
        <v>7129000</v>
      </c>
      <c r="E707" t="str">
        <f>VLOOKUP(B707,Лист2!A:E,5,0)</f>
        <v>малые</v>
      </c>
      <c r="F707">
        <f>VLOOKUP(B707,Лист2!A:E,4,0)</f>
        <v>13</v>
      </c>
      <c r="G707">
        <f t="shared" si="48"/>
        <v>-269000</v>
      </c>
      <c r="H707">
        <f t="shared" si="49"/>
        <v>527692.30769230775</v>
      </c>
      <c r="I707">
        <f t="shared" si="50"/>
        <v>-20692.307692307691</v>
      </c>
    </row>
    <row r="708" spans="1:9">
      <c r="A708" t="s">
        <v>14</v>
      </c>
      <c r="B708" t="s">
        <v>18</v>
      </c>
      <c r="C708">
        <v>5928000</v>
      </c>
      <c r="D708">
        <v>6244000</v>
      </c>
      <c r="E708" t="str">
        <f>VLOOKUP(B708,Лист2!A:E,5,0)</f>
        <v>малые</v>
      </c>
      <c r="F708">
        <f>VLOOKUP(B708,Лист2!A:E,4,0)</f>
        <v>2.5</v>
      </c>
      <c r="G708">
        <f t="shared" si="48"/>
        <v>-316000</v>
      </c>
      <c r="H708">
        <f t="shared" si="49"/>
        <v>2371200</v>
      </c>
      <c r="I708">
        <f t="shared" si="50"/>
        <v>-126400</v>
      </c>
    </row>
    <row r="709" spans="1:9">
      <c r="A709" t="s">
        <v>14</v>
      </c>
      <c r="B709" t="s">
        <v>18</v>
      </c>
      <c r="C709">
        <v>2000</v>
      </c>
      <c r="D709">
        <v>2000</v>
      </c>
      <c r="E709" t="str">
        <f>VLOOKUP(B709,Лист2!A:E,5,0)</f>
        <v>малые</v>
      </c>
      <c r="F709">
        <f>VLOOKUP(B709,Лист2!A:E,4,0)</f>
        <v>2.5</v>
      </c>
      <c r="G709">
        <f t="shared" si="48"/>
        <v>0</v>
      </c>
      <c r="H709">
        <f t="shared" si="49"/>
        <v>800</v>
      </c>
      <c r="I709">
        <f t="shared" si="50"/>
        <v>0</v>
      </c>
    </row>
    <row r="710" spans="1:9">
      <c r="A710" t="s">
        <v>14</v>
      </c>
      <c r="B710" t="s">
        <v>18</v>
      </c>
      <c r="C710">
        <v>1254000</v>
      </c>
      <c r="D710">
        <v>1998000</v>
      </c>
      <c r="E710" t="str">
        <f>VLOOKUP(B710,Лист2!A:E,5,0)</f>
        <v>малые</v>
      </c>
      <c r="F710">
        <f>VLOOKUP(B710,Лист2!A:E,4,0)</f>
        <v>2.5</v>
      </c>
      <c r="G710">
        <f t="shared" si="48"/>
        <v>-744000</v>
      </c>
      <c r="H710">
        <f t="shared" si="49"/>
        <v>501600</v>
      </c>
      <c r="I710">
        <f t="shared" si="50"/>
        <v>-297600</v>
      </c>
    </row>
    <row r="711" spans="1:9">
      <c r="A711" t="s">
        <v>14</v>
      </c>
      <c r="B711" t="s">
        <v>18</v>
      </c>
      <c r="C711">
        <v>1092000</v>
      </c>
      <c r="D711">
        <v>1180000</v>
      </c>
      <c r="E711" t="str">
        <f>VLOOKUP(B711,Лист2!A:E,5,0)</f>
        <v>малые</v>
      </c>
      <c r="F711">
        <f>VLOOKUP(B711,Лист2!A:E,4,0)</f>
        <v>2.5</v>
      </c>
      <c r="G711">
        <f t="shared" si="48"/>
        <v>-88000</v>
      </c>
      <c r="H711">
        <f t="shared" si="49"/>
        <v>436800</v>
      </c>
      <c r="I711">
        <f t="shared" si="50"/>
        <v>-35200</v>
      </c>
    </row>
    <row r="712" spans="1:9">
      <c r="A712" t="s">
        <v>14</v>
      </c>
      <c r="B712" t="s">
        <v>22</v>
      </c>
      <c r="C712">
        <v>25085000</v>
      </c>
      <c r="D712">
        <v>21943000</v>
      </c>
      <c r="E712" t="str">
        <f>VLOOKUP(B712,Лист2!A:E,5,0)</f>
        <v>малые</v>
      </c>
      <c r="F712">
        <f>VLOOKUP(B712,Лист2!A:E,4,0)</f>
        <v>13</v>
      </c>
      <c r="G712">
        <f t="shared" si="48"/>
        <v>3142000</v>
      </c>
      <c r="H712">
        <f t="shared" si="49"/>
        <v>1929615.3846153845</v>
      </c>
      <c r="I712">
        <f t="shared" si="50"/>
        <v>241692.30769230769</v>
      </c>
    </row>
    <row r="713" spans="1:9">
      <c r="A713" t="s">
        <v>14</v>
      </c>
      <c r="B713" t="s">
        <v>77</v>
      </c>
      <c r="C713">
        <v>17813000</v>
      </c>
      <c r="D713">
        <v>17620000</v>
      </c>
      <c r="E713" t="str">
        <f>VLOOKUP(B713,Лист2!A:E,5,0)</f>
        <v>малые</v>
      </c>
      <c r="F713">
        <f>VLOOKUP(B713,Лист2!A:E,4,0)</f>
        <v>8</v>
      </c>
      <c r="G713">
        <f t="shared" si="48"/>
        <v>193000</v>
      </c>
      <c r="H713">
        <f t="shared" si="49"/>
        <v>2226625</v>
      </c>
      <c r="I713">
        <f t="shared" si="50"/>
        <v>24125</v>
      </c>
    </row>
    <row r="714" spans="1:9">
      <c r="A714" t="s">
        <v>14</v>
      </c>
      <c r="B714" t="s">
        <v>18</v>
      </c>
      <c r="C714">
        <v>928000</v>
      </c>
      <c r="D714">
        <v>928000</v>
      </c>
      <c r="E714" t="str">
        <f>VLOOKUP(B714,Лист2!A:E,5,0)</f>
        <v>малые</v>
      </c>
      <c r="F714">
        <f>VLOOKUP(B714,Лист2!A:E,4,0)</f>
        <v>2.5</v>
      </c>
      <c r="G714">
        <f t="shared" si="48"/>
        <v>0</v>
      </c>
      <c r="H714">
        <f t="shared" si="49"/>
        <v>371200</v>
      </c>
      <c r="I714">
        <f t="shared" si="50"/>
        <v>0</v>
      </c>
    </row>
    <row r="715" spans="1:9">
      <c r="A715" t="s">
        <v>14</v>
      </c>
      <c r="B715" t="s">
        <v>22</v>
      </c>
      <c r="C715">
        <v>130875000</v>
      </c>
      <c r="D715">
        <v>129010000</v>
      </c>
      <c r="E715" t="str">
        <f>VLOOKUP(B715,Лист2!A:E,5,0)</f>
        <v>малые</v>
      </c>
      <c r="F715">
        <f>VLOOKUP(B715,Лист2!A:E,4,0)</f>
        <v>13</v>
      </c>
      <c r="G715">
        <f t="shared" si="48"/>
        <v>1865000</v>
      </c>
      <c r="H715">
        <f t="shared" si="49"/>
        <v>10067307.692307692</v>
      </c>
      <c r="I715">
        <f t="shared" si="50"/>
        <v>143461.53846153847</v>
      </c>
    </row>
    <row r="716" spans="1:9">
      <c r="A716" t="s">
        <v>14</v>
      </c>
      <c r="B716" t="s">
        <v>18</v>
      </c>
      <c r="C716">
        <v>97000</v>
      </c>
      <c r="D716">
        <v>94000</v>
      </c>
      <c r="E716" t="str">
        <f>VLOOKUP(B716,Лист2!A:E,5,0)</f>
        <v>малые</v>
      </c>
      <c r="F716">
        <f>VLOOKUP(B716,Лист2!A:E,4,0)</f>
        <v>2.5</v>
      </c>
      <c r="G716">
        <f t="shared" si="48"/>
        <v>3000</v>
      </c>
      <c r="H716">
        <f t="shared" si="49"/>
        <v>38800</v>
      </c>
      <c r="I716">
        <f t="shared" si="50"/>
        <v>1200</v>
      </c>
    </row>
    <row r="717" spans="1:9">
      <c r="A717" t="s">
        <v>14</v>
      </c>
      <c r="B717" t="s">
        <v>22</v>
      </c>
      <c r="C717">
        <v>4347000</v>
      </c>
      <c r="D717">
        <v>3772000</v>
      </c>
      <c r="E717" t="str">
        <f>VLOOKUP(B717,Лист2!A:E,5,0)</f>
        <v>малые</v>
      </c>
      <c r="F717">
        <f>VLOOKUP(B717,Лист2!A:E,4,0)</f>
        <v>13</v>
      </c>
      <c r="G717">
        <f t="shared" si="48"/>
        <v>575000</v>
      </c>
      <c r="H717">
        <f t="shared" si="49"/>
        <v>334384.61538461538</v>
      </c>
      <c r="I717">
        <f t="shared" si="50"/>
        <v>44230.769230769234</v>
      </c>
    </row>
    <row r="718" spans="1:9">
      <c r="A718" t="s">
        <v>14</v>
      </c>
      <c r="B718" t="s">
        <v>18</v>
      </c>
      <c r="C718">
        <v>1308000</v>
      </c>
      <c r="D718">
        <v>1091000</v>
      </c>
      <c r="E718" t="str">
        <f>VLOOKUP(B718,Лист2!A:E,5,0)</f>
        <v>малые</v>
      </c>
      <c r="F718">
        <f>VLOOKUP(B718,Лист2!A:E,4,0)</f>
        <v>2.5</v>
      </c>
      <c r="G718">
        <f t="shared" si="48"/>
        <v>217000</v>
      </c>
      <c r="H718">
        <f t="shared" si="49"/>
        <v>523200</v>
      </c>
      <c r="I718">
        <f t="shared" si="50"/>
        <v>86800</v>
      </c>
    </row>
    <row r="719" spans="1:9">
      <c r="A719" t="s">
        <v>14</v>
      </c>
      <c r="B719" t="s">
        <v>18</v>
      </c>
      <c r="C719">
        <v>1140000</v>
      </c>
      <c r="D719">
        <v>1091000</v>
      </c>
      <c r="E719" t="str">
        <f>VLOOKUP(B719,Лист2!A:E,5,0)</f>
        <v>малые</v>
      </c>
      <c r="F719">
        <f>VLOOKUP(B719,Лист2!A:E,4,0)</f>
        <v>2.5</v>
      </c>
      <c r="G719">
        <f t="shared" si="48"/>
        <v>49000</v>
      </c>
      <c r="H719">
        <f t="shared" si="49"/>
        <v>456000</v>
      </c>
      <c r="I719">
        <f t="shared" si="50"/>
        <v>19600</v>
      </c>
    </row>
    <row r="720" spans="1:9">
      <c r="A720" t="s">
        <v>14</v>
      </c>
      <c r="B720" t="s">
        <v>18</v>
      </c>
      <c r="C720">
        <v>9429000</v>
      </c>
      <c r="D720">
        <v>5431000</v>
      </c>
      <c r="E720" t="str">
        <f>VLOOKUP(B720,Лист2!A:E,5,0)</f>
        <v>малые</v>
      </c>
      <c r="F720">
        <f>VLOOKUP(B720,Лист2!A:E,4,0)</f>
        <v>2.5</v>
      </c>
      <c r="G720">
        <f t="shared" si="48"/>
        <v>3998000</v>
      </c>
      <c r="H720">
        <f t="shared" si="49"/>
        <v>3771600</v>
      </c>
      <c r="I720">
        <f t="shared" si="50"/>
        <v>1599200</v>
      </c>
    </row>
    <row r="721" spans="1:9">
      <c r="A721" t="s">
        <v>14</v>
      </c>
      <c r="B721" t="s">
        <v>18</v>
      </c>
      <c r="C721">
        <v>679000</v>
      </c>
      <c r="D721">
        <v>599000</v>
      </c>
      <c r="E721" t="str">
        <f>VLOOKUP(B721,Лист2!A:E,5,0)</f>
        <v>малые</v>
      </c>
      <c r="F721">
        <f>VLOOKUP(B721,Лист2!A:E,4,0)</f>
        <v>2.5</v>
      </c>
      <c r="G721">
        <f t="shared" si="48"/>
        <v>80000</v>
      </c>
      <c r="H721">
        <f t="shared" si="49"/>
        <v>271600</v>
      </c>
      <c r="I721">
        <f t="shared" si="50"/>
        <v>32000</v>
      </c>
    </row>
    <row r="722" spans="1:9">
      <c r="A722" t="s">
        <v>14</v>
      </c>
      <c r="B722" t="s">
        <v>18</v>
      </c>
      <c r="C722">
        <v>20450000</v>
      </c>
      <c r="D722">
        <v>36058000</v>
      </c>
      <c r="E722" t="str">
        <f>VLOOKUP(B722,Лист2!A:E,5,0)</f>
        <v>малые</v>
      </c>
      <c r="F722">
        <f>VLOOKUP(B722,Лист2!A:E,4,0)</f>
        <v>2.5</v>
      </c>
      <c r="G722">
        <f t="shared" si="48"/>
        <v>-15608000</v>
      </c>
      <c r="H722">
        <f t="shared" si="49"/>
        <v>8180000</v>
      </c>
      <c r="I722">
        <f t="shared" si="50"/>
        <v>-6243200</v>
      </c>
    </row>
    <row r="723" spans="1:9">
      <c r="A723" t="s">
        <v>25</v>
      </c>
      <c r="B723" t="s">
        <v>18</v>
      </c>
      <c r="C723">
        <v>1928000</v>
      </c>
      <c r="D723">
        <v>1905000</v>
      </c>
      <c r="E723" t="str">
        <f>VLOOKUP(B723,Лист2!A:E,5,0)</f>
        <v>малые</v>
      </c>
      <c r="F723">
        <f>VLOOKUP(B723,Лист2!A:E,4,0)</f>
        <v>2.5</v>
      </c>
      <c r="G723">
        <f t="shared" si="48"/>
        <v>23000</v>
      </c>
      <c r="H723">
        <f t="shared" si="49"/>
        <v>771200</v>
      </c>
      <c r="I723">
        <f t="shared" si="50"/>
        <v>9200</v>
      </c>
    </row>
    <row r="724" spans="1:9">
      <c r="A724" t="s">
        <v>14</v>
      </c>
      <c r="B724" t="s">
        <v>18</v>
      </c>
      <c r="C724">
        <v>414000</v>
      </c>
      <c r="D724">
        <v>373000</v>
      </c>
      <c r="E724" t="str">
        <f>VLOOKUP(B724,Лист2!A:E,5,0)</f>
        <v>малые</v>
      </c>
      <c r="F724">
        <f>VLOOKUP(B724,Лист2!A:E,4,0)</f>
        <v>2.5</v>
      </c>
      <c r="G724">
        <f t="shared" si="48"/>
        <v>41000</v>
      </c>
      <c r="H724">
        <f t="shared" si="49"/>
        <v>165600</v>
      </c>
      <c r="I724">
        <f t="shared" si="50"/>
        <v>16400</v>
      </c>
    </row>
    <row r="725" spans="1:9">
      <c r="A725" t="s">
        <v>14</v>
      </c>
      <c r="B725" t="s">
        <v>22</v>
      </c>
      <c r="C725">
        <v>4861000</v>
      </c>
      <c r="D725">
        <v>4715000</v>
      </c>
      <c r="E725" t="str">
        <f>VLOOKUP(B725,Лист2!A:E,5,0)</f>
        <v>малые</v>
      </c>
      <c r="F725">
        <f>VLOOKUP(B725,Лист2!A:E,4,0)</f>
        <v>13</v>
      </c>
      <c r="G725">
        <f t="shared" si="48"/>
        <v>146000</v>
      </c>
      <c r="H725">
        <f t="shared" si="49"/>
        <v>373923.07692307694</v>
      </c>
      <c r="I725">
        <f t="shared" si="50"/>
        <v>11230.76923076923</v>
      </c>
    </row>
    <row r="726" spans="1:9">
      <c r="A726" t="s">
        <v>14</v>
      </c>
      <c r="B726" t="s">
        <v>18</v>
      </c>
      <c r="C726">
        <v>10376000</v>
      </c>
      <c r="D726">
        <v>11277000</v>
      </c>
      <c r="E726" t="str">
        <f>VLOOKUP(B726,Лист2!A:E,5,0)</f>
        <v>малые</v>
      </c>
      <c r="F726">
        <f>VLOOKUP(B726,Лист2!A:E,4,0)</f>
        <v>2.5</v>
      </c>
      <c r="G726">
        <f t="shared" si="48"/>
        <v>-901000</v>
      </c>
      <c r="H726">
        <f t="shared" si="49"/>
        <v>4150400</v>
      </c>
      <c r="I726">
        <f t="shared" si="50"/>
        <v>-360400</v>
      </c>
    </row>
    <row r="727" spans="1:9">
      <c r="A727" t="s">
        <v>25</v>
      </c>
      <c r="B727" t="s">
        <v>18</v>
      </c>
      <c r="C727">
        <v>344000</v>
      </c>
      <c r="D727">
        <v>344000</v>
      </c>
      <c r="E727" t="str">
        <f>VLOOKUP(B727,Лист2!A:E,5,0)</f>
        <v>малые</v>
      </c>
      <c r="F727">
        <f>VLOOKUP(B727,Лист2!A:E,4,0)</f>
        <v>2.5</v>
      </c>
      <c r="G727">
        <f t="shared" si="48"/>
        <v>0</v>
      </c>
      <c r="H727">
        <f t="shared" si="49"/>
        <v>137600</v>
      </c>
      <c r="I727">
        <f t="shared" si="50"/>
        <v>0</v>
      </c>
    </row>
    <row r="728" spans="1:9">
      <c r="A728" t="s">
        <v>14</v>
      </c>
      <c r="B728" t="s">
        <v>18</v>
      </c>
      <c r="C728">
        <v>4264000</v>
      </c>
      <c r="D728">
        <v>4287000</v>
      </c>
      <c r="E728" t="str">
        <f>VLOOKUP(B728,Лист2!A:E,5,0)</f>
        <v>малые</v>
      </c>
      <c r="F728">
        <f>VLOOKUP(B728,Лист2!A:E,4,0)</f>
        <v>2.5</v>
      </c>
      <c r="G728">
        <f t="shared" si="48"/>
        <v>-23000</v>
      </c>
      <c r="H728">
        <f t="shared" si="49"/>
        <v>1705600</v>
      </c>
      <c r="I728">
        <f t="shared" si="50"/>
        <v>-9200</v>
      </c>
    </row>
    <row r="729" spans="1:9">
      <c r="A729" t="s">
        <v>14</v>
      </c>
      <c r="B729" t="s">
        <v>18</v>
      </c>
      <c r="C729">
        <v>396000</v>
      </c>
      <c r="D729">
        <v>382000</v>
      </c>
      <c r="E729" t="str">
        <f>VLOOKUP(B729,Лист2!A:E,5,0)</f>
        <v>малые</v>
      </c>
      <c r="F729">
        <f>VLOOKUP(B729,Лист2!A:E,4,0)</f>
        <v>2.5</v>
      </c>
      <c r="G729">
        <f t="shared" si="48"/>
        <v>14000</v>
      </c>
      <c r="H729">
        <f t="shared" si="49"/>
        <v>158400</v>
      </c>
      <c r="I729">
        <f t="shared" si="50"/>
        <v>5600</v>
      </c>
    </row>
    <row r="730" spans="1:9">
      <c r="A730" t="s">
        <v>249</v>
      </c>
      <c r="B730" t="s">
        <v>18</v>
      </c>
      <c r="C730">
        <v>733000</v>
      </c>
      <c r="D730">
        <v>699000</v>
      </c>
      <c r="E730" t="str">
        <f>VLOOKUP(B730,Лист2!A:E,5,0)</f>
        <v>малые</v>
      </c>
      <c r="F730">
        <f>VLOOKUP(B730,Лист2!A:E,4,0)</f>
        <v>2.5</v>
      </c>
      <c r="G730">
        <f t="shared" si="48"/>
        <v>34000</v>
      </c>
      <c r="H730">
        <f t="shared" si="49"/>
        <v>293200</v>
      </c>
      <c r="I730">
        <f t="shared" si="50"/>
        <v>13600</v>
      </c>
    </row>
    <row r="731" spans="1:9">
      <c r="A731" t="s">
        <v>14</v>
      </c>
      <c r="B731" t="s">
        <v>18</v>
      </c>
      <c r="C731">
        <v>7215000</v>
      </c>
      <c r="D731">
        <v>7030000</v>
      </c>
      <c r="E731" t="str">
        <f>VLOOKUP(B731,Лист2!A:E,5,0)</f>
        <v>малые</v>
      </c>
      <c r="F731">
        <f>VLOOKUP(B731,Лист2!A:E,4,0)</f>
        <v>2.5</v>
      </c>
      <c r="G731">
        <f t="shared" si="48"/>
        <v>185000</v>
      </c>
      <c r="H731">
        <f t="shared" si="49"/>
        <v>2886000</v>
      </c>
      <c r="I731">
        <f t="shared" si="50"/>
        <v>74000</v>
      </c>
    </row>
    <row r="732" spans="1:9">
      <c r="A732" t="s">
        <v>14</v>
      </c>
      <c r="B732" t="s">
        <v>22</v>
      </c>
      <c r="C732">
        <v>22047000</v>
      </c>
      <c r="D732">
        <v>21313000</v>
      </c>
      <c r="E732" t="str">
        <f>VLOOKUP(B732,Лист2!A:E,5,0)</f>
        <v>малые</v>
      </c>
      <c r="F732">
        <f>VLOOKUP(B732,Лист2!A:E,4,0)</f>
        <v>13</v>
      </c>
      <c r="G732">
        <f t="shared" si="48"/>
        <v>734000</v>
      </c>
      <c r="H732">
        <f t="shared" si="49"/>
        <v>1695923.076923077</v>
      </c>
      <c r="I732">
        <f t="shared" si="50"/>
        <v>56461.538461538461</v>
      </c>
    </row>
    <row r="733" spans="1:9">
      <c r="A733" t="s">
        <v>14</v>
      </c>
      <c r="B733" t="s">
        <v>18</v>
      </c>
      <c r="C733">
        <v>828000</v>
      </c>
      <c r="D733">
        <v>820000</v>
      </c>
      <c r="E733" t="str">
        <f>VLOOKUP(B733,Лист2!A:E,5,0)</f>
        <v>малые</v>
      </c>
      <c r="F733">
        <f>VLOOKUP(B733,Лист2!A:E,4,0)</f>
        <v>2.5</v>
      </c>
      <c r="G733">
        <f t="shared" si="48"/>
        <v>8000</v>
      </c>
      <c r="H733">
        <f t="shared" si="49"/>
        <v>331200</v>
      </c>
      <c r="I733">
        <f t="shared" si="50"/>
        <v>3200</v>
      </c>
    </row>
    <row r="734" spans="1:9">
      <c r="A734" t="s">
        <v>25</v>
      </c>
      <c r="B734" t="s">
        <v>18</v>
      </c>
      <c r="C734">
        <v>2390000</v>
      </c>
      <c r="D734">
        <v>2232000</v>
      </c>
      <c r="E734" t="str">
        <f>VLOOKUP(B734,Лист2!A:E,5,0)</f>
        <v>малые</v>
      </c>
      <c r="F734">
        <f>VLOOKUP(B734,Лист2!A:E,4,0)</f>
        <v>2.5</v>
      </c>
      <c r="G734">
        <f t="shared" si="48"/>
        <v>158000</v>
      </c>
      <c r="H734">
        <f t="shared" si="49"/>
        <v>956000</v>
      </c>
      <c r="I734">
        <f t="shared" si="50"/>
        <v>63200</v>
      </c>
    </row>
    <row r="735" spans="1:9">
      <c r="A735" t="s">
        <v>14</v>
      </c>
      <c r="B735" t="s">
        <v>18</v>
      </c>
      <c r="C735">
        <v>9245000</v>
      </c>
      <c r="D735">
        <v>8916000</v>
      </c>
      <c r="E735" t="str">
        <f>VLOOKUP(B735,Лист2!A:E,5,0)</f>
        <v>малые</v>
      </c>
      <c r="F735">
        <f>VLOOKUP(B735,Лист2!A:E,4,0)</f>
        <v>2.5</v>
      </c>
      <c r="G735">
        <f t="shared" si="48"/>
        <v>329000</v>
      </c>
      <c r="H735">
        <f t="shared" si="49"/>
        <v>3698000</v>
      </c>
      <c r="I735">
        <f t="shared" si="50"/>
        <v>131600</v>
      </c>
    </row>
    <row r="736" spans="1:9">
      <c r="A736" t="s">
        <v>14</v>
      </c>
      <c r="B736" t="s">
        <v>18</v>
      </c>
      <c r="C736">
        <v>514000</v>
      </c>
      <c r="D736">
        <v>523000</v>
      </c>
      <c r="E736" t="str">
        <f>VLOOKUP(B736,Лист2!A:E,5,0)</f>
        <v>малые</v>
      </c>
      <c r="F736">
        <f>VLOOKUP(B736,Лист2!A:E,4,0)</f>
        <v>2.5</v>
      </c>
      <c r="G736">
        <f t="shared" si="48"/>
        <v>-9000</v>
      </c>
      <c r="H736">
        <f t="shared" si="49"/>
        <v>205600</v>
      </c>
      <c r="I736">
        <f t="shared" si="50"/>
        <v>-3600</v>
      </c>
    </row>
    <row r="737" spans="1:9">
      <c r="A737" t="s">
        <v>14</v>
      </c>
      <c r="B737" t="s">
        <v>18</v>
      </c>
      <c r="C737">
        <v>1541000</v>
      </c>
      <c r="D737">
        <v>1531000</v>
      </c>
      <c r="E737" t="str">
        <f>VLOOKUP(B737,Лист2!A:E,5,0)</f>
        <v>малые</v>
      </c>
      <c r="F737">
        <f>VLOOKUP(B737,Лист2!A:E,4,0)</f>
        <v>2.5</v>
      </c>
      <c r="G737">
        <f t="shared" si="48"/>
        <v>10000</v>
      </c>
      <c r="H737">
        <f t="shared" si="49"/>
        <v>616400</v>
      </c>
      <c r="I737">
        <f t="shared" si="50"/>
        <v>4000</v>
      </c>
    </row>
    <row r="738" spans="1:9">
      <c r="A738" t="s">
        <v>14</v>
      </c>
      <c r="B738" t="s">
        <v>18</v>
      </c>
      <c r="C738">
        <v>2610000</v>
      </c>
      <c r="D738">
        <v>2117000</v>
      </c>
      <c r="E738" t="str">
        <f>VLOOKUP(B738,Лист2!A:E,5,0)</f>
        <v>малые</v>
      </c>
      <c r="F738">
        <f>VLOOKUP(B738,Лист2!A:E,4,0)</f>
        <v>2.5</v>
      </c>
      <c r="G738">
        <f t="shared" si="48"/>
        <v>493000</v>
      </c>
      <c r="H738">
        <f t="shared" si="49"/>
        <v>1044000</v>
      </c>
      <c r="I738">
        <f t="shared" si="50"/>
        <v>197200</v>
      </c>
    </row>
    <row r="739" spans="1:9">
      <c r="A739" t="s">
        <v>14</v>
      </c>
      <c r="B739" t="s">
        <v>18</v>
      </c>
      <c r="C739">
        <v>2291000</v>
      </c>
      <c r="D739">
        <v>1355000</v>
      </c>
      <c r="E739" t="str">
        <f>VLOOKUP(B739,Лист2!A:E,5,0)</f>
        <v>малые</v>
      </c>
      <c r="F739">
        <f>VLOOKUP(B739,Лист2!A:E,4,0)</f>
        <v>2.5</v>
      </c>
      <c r="G739">
        <f t="shared" si="48"/>
        <v>936000</v>
      </c>
      <c r="H739">
        <f t="shared" si="49"/>
        <v>916400</v>
      </c>
      <c r="I739">
        <f t="shared" si="50"/>
        <v>374400</v>
      </c>
    </row>
    <row r="740" spans="1:9">
      <c r="A740" t="s">
        <v>14</v>
      </c>
      <c r="B740" t="s">
        <v>18</v>
      </c>
      <c r="C740">
        <v>1370000</v>
      </c>
      <c r="D740">
        <v>958000</v>
      </c>
      <c r="E740" t="str">
        <f>VLOOKUP(B740,Лист2!A:E,5,0)</f>
        <v>малые</v>
      </c>
      <c r="F740">
        <f>VLOOKUP(B740,Лист2!A:E,4,0)</f>
        <v>2.5</v>
      </c>
      <c r="G740">
        <f t="shared" si="48"/>
        <v>412000</v>
      </c>
      <c r="H740">
        <f t="shared" si="49"/>
        <v>548000</v>
      </c>
      <c r="I740">
        <f t="shared" si="50"/>
        <v>164800</v>
      </c>
    </row>
    <row r="741" spans="1:9">
      <c r="A741" t="s">
        <v>14</v>
      </c>
      <c r="B741" t="s">
        <v>18</v>
      </c>
      <c r="C741">
        <v>182000</v>
      </c>
      <c r="D741">
        <v>15000</v>
      </c>
      <c r="E741" t="str">
        <f>VLOOKUP(B741,Лист2!A:E,5,0)</f>
        <v>малые</v>
      </c>
      <c r="F741">
        <f>VLOOKUP(B741,Лист2!A:E,4,0)</f>
        <v>2.5</v>
      </c>
      <c r="G741">
        <f t="shared" si="48"/>
        <v>167000</v>
      </c>
      <c r="H741">
        <f t="shared" si="49"/>
        <v>72800</v>
      </c>
      <c r="I741">
        <f t="shared" si="50"/>
        <v>66800</v>
      </c>
    </row>
    <row r="742" spans="1:9">
      <c r="A742" t="s">
        <v>14</v>
      </c>
      <c r="B742" t="s">
        <v>18</v>
      </c>
      <c r="C742">
        <v>8824000</v>
      </c>
      <c r="D742">
        <v>7500000</v>
      </c>
      <c r="E742" t="str">
        <f>VLOOKUP(B742,Лист2!A:E,5,0)</f>
        <v>малые</v>
      </c>
      <c r="F742">
        <f>VLOOKUP(B742,Лист2!A:E,4,0)</f>
        <v>2.5</v>
      </c>
      <c r="G742">
        <f t="shared" si="48"/>
        <v>1324000</v>
      </c>
      <c r="H742">
        <f t="shared" si="49"/>
        <v>3529600</v>
      </c>
      <c r="I742">
        <f t="shared" si="50"/>
        <v>529600</v>
      </c>
    </row>
    <row r="743" spans="1:9">
      <c r="A743" t="s">
        <v>14</v>
      </c>
      <c r="B743" t="s">
        <v>18</v>
      </c>
      <c r="C743">
        <v>285000</v>
      </c>
      <c r="D743">
        <v>292000</v>
      </c>
      <c r="E743" t="str">
        <f>VLOOKUP(B743,Лист2!A:E,5,0)</f>
        <v>малые</v>
      </c>
      <c r="F743">
        <f>VLOOKUP(B743,Лист2!A:E,4,0)</f>
        <v>2.5</v>
      </c>
      <c r="G743">
        <f t="shared" si="48"/>
        <v>-7000</v>
      </c>
      <c r="H743">
        <f t="shared" si="49"/>
        <v>114000</v>
      </c>
      <c r="I743">
        <f t="shared" si="50"/>
        <v>-2800</v>
      </c>
    </row>
    <row r="744" spans="1:9">
      <c r="A744" t="s">
        <v>14</v>
      </c>
      <c r="B744" t="s">
        <v>18</v>
      </c>
      <c r="C744">
        <v>367000</v>
      </c>
      <c r="D744">
        <v>382000</v>
      </c>
      <c r="E744" t="str">
        <f>VLOOKUP(B744,Лист2!A:E,5,0)</f>
        <v>малые</v>
      </c>
      <c r="F744">
        <f>VLOOKUP(B744,Лист2!A:E,4,0)</f>
        <v>2.5</v>
      </c>
      <c r="G744">
        <f t="shared" si="48"/>
        <v>-15000</v>
      </c>
      <c r="H744">
        <f t="shared" si="49"/>
        <v>146800</v>
      </c>
      <c r="I744">
        <f t="shared" si="50"/>
        <v>-6000</v>
      </c>
    </row>
    <row r="745" spans="1:9">
      <c r="A745" t="s">
        <v>14</v>
      </c>
      <c r="B745" t="s">
        <v>18</v>
      </c>
      <c r="C745">
        <v>1588000</v>
      </c>
      <c r="D745">
        <v>2573000</v>
      </c>
      <c r="E745" t="str">
        <f>VLOOKUP(B745,Лист2!A:E,5,0)</f>
        <v>малые</v>
      </c>
      <c r="F745">
        <f>VLOOKUP(B745,Лист2!A:E,4,0)</f>
        <v>2.5</v>
      </c>
      <c r="G745">
        <f t="shared" si="48"/>
        <v>-985000</v>
      </c>
      <c r="H745">
        <f t="shared" si="49"/>
        <v>635200</v>
      </c>
      <c r="I745">
        <f t="shared" si="50"/>
        <v>-394000</v>
      </c>
    </row>
    <row r="746" spans="1:9">
      <c r="A746" t="s">
        <v>14</v>
      </c>
      <c r="B746" t="s">
        <v>18</v>
      </c>
      <c r="C746">
        <v>11000</v>
      </c>
      <c r="D746">
        <v>32000</v>
      </c>
      <c r="E746" t="str">
        <f>VLOOKUP(B746,Лист2!A:E,5,0)</f>
        <v>малые</v>
      </c>
      <c r="F746">
        <f>VLOOKUP(B746,Лист2!A:E,4,0)</f>
        <v>2.5</v>
      </c>
      <c r="G746">
        <f t="shared" si="48"/>
        <v>-21000</v>
      </c>
      <c r="H746">
        <f t="shared" si="49"/>
        <v>4400</v>
      </c>
      <c r="I746">
        <f t="shared" si="50"/>
        <v>-8400</v>
      </c>
    </row>
    <row r="747" spans="1:9">
      <c r="A747" t="s">
        <v>14</v>
      </c>
      <c r="B747" t="s">
        <v>18</v>
      </c>
      <c r="C747">
        <v>922000</v>
      </c>
      <c r="D747">
        <v>1086000</v>
      </c>
      <c r="E747" t="str">
        <f>VLOOKUP(B747,Лист2!A:E,5,0)</f>
        <v>малые</v>
      </c>
      <c r="F747">
        <f>VLOOKUP(B747,Лист2!A:E,4,0)</f>
        <v>2.5</v>
      </c>
      <c r="G747">
        <f t="shared" si="48"/>
        <v>-164000</v>
      </c>
      <c r="H747">
        <f t="shared" si="49"/>
        <v>368800</v>
      </c>
      <c r="I747">
        <f t="shared" si="50"/>
        <v>-65600</v>
      </c>
    </row>
    <row r="748" spans="1:9">
      <c r="A748" t="s">
        <v>14</v>
      </c>
      <c r="B748" t="s">
        <v>18</v>
      </c>
      <c r="C748">
        <v>485000</v>
      </c>
      <c r="D748">
        <v>387000</v>
      </c>
      <c r="E748" t="str">
        <f>VLOOKUP(B748,Лист2!A:E,5,0)</f>
        <v>малые</v>
      </c>
      <c r="F748">
        <f>VLOOKUP(B748,Лист2!A:E,4,0)</f>
        <v>2.5</v>
      </c>
      <c r="G748">
        <f t="shared" si="48"/>
        <v>98000</v>
      </c>
      <c r="H748">
        <f t="shared" si="49"/>
        <v>194000</v>
      </c>
      <c r="I748">
        <f t="shared" si="50"/>
        <v>39200</v>
      </c>
    </row>
    <row r="749" spans="1:9">
      <c r="A749" t="s">
        <v>14</v>
      </c>
      <c r="B749" t="s">
        <v>18</v>
      </c>
      <c r="C749">
        <v>16605000</v>
      </c>
      <c r="D749">
        <v>18092000</v>
      </c>
      <c r="E749" t="str">
        <f>VLOOKUP(B749,Лист2!A:E,5,0)</f>
        <v>малые</v>
      </c>
      <c r="F749">
        <f>VLOOKUP(B749,Лист2!A:E,4,0)</f>
        <v>2.5</v>
      </c>
      <c r="G749">
        <f t="shared" ref="G749:G794" si="51">C749-D749</f>
        <v>-1487000</v>
      </c>
      <c r="H749">
        <f t="shared" ref="H749:H794" si="52">C749/F749</f>
        <v>6642000</v>
      </c>
      <c r="I749">
        <f t="shared" ref="I749:I794" si="53">G749/F749</f>
        <v>-594800</v>
      </c>
    </row>
    <row r="750" spans="1:9">
      <c r="A750" t="s">
        <v>14</v>
      </c>
      <c r="B750" t="s">
        <v>18</v>
      </c>
      <c r="C750">
        <v>444000</v>
      </c>
      <c r="D750">
        <v>670000</v>
      </c>
      <c r="E750" t="str">
        <f>VLOOKUP(B750,Лист2!A:E,5,0)</f>
        <v>малые</v>
      </c>
      <c r="F750">
        <f>VLOOKUP(B750,Лист2!A:E,4,0)</f>
        <v>2.5</v>
      </c>
      <c r="G750">
        <f t="shared" si="51"/>
        <v>-226000</v>
      </c>
      <c r="H750">
        <f t="shared" si="52"/>
        <v>177600</v>
      </c>
      <c r="I750">
        <f t="shared" si="53"/>
        <v>-90400</v>
      </c>
    </row>
    <row r="751" spans="1:9">
      <c r="A751" t="s">
        <v>14</v>
      </c>
      <c r="B751" t="s">
        <v>18</v>
      </c>
      <c r="C751">
        <v>292000</v>
      </c>
      <c r="D751">
        <v>274000</v>
      </c>
      <c r="E751" t="str">
        <f>VLOOKUP(B751,Лист2!A:E,5,0)</f>
        <v>малые</v>
      </c>
      <c r="F751">
        <f>VLOOKUP(B751,Лист2!A:E,4,0)</f>
        <v>2.5</v>
      </c>
      <c r="G751">
        <f t="shared" si="51"/>
        <v>18000</v>
      </c>
      <c r="H751">
        <f t="shared" si="52"/>
        <v>116800</v>
      </c>
      <c r="I751">
        <f t="shared" si="53"/>
        <v>7200</v>
      </c>
    </row>
    <row r="752" spans="1:9">
      <c r="A752" t="s">
        <v>14</v>
      </c>
      <c r="B752" t="s">
        <v>18</v>
      </c>
      <c r="C752">
        <v>2358000</v>
      </c>
      <c r="D752">
        <v>2486000</v>
      </c>
      <c r="E752" t="str">
        <f>VLOOKUP(B752,Лист2!A:E,5,0)</f>
        <v>малые</v>
      </c>
      <c r="F752">
        <f>VLOOKUP(B752,Лист2!A:E,4,0)</f>
        <v>2.5</v>
      </c>
      <c r="G752">
        <f t="shared" si="51"/>
        <v>-128000</v>
      </c>
      <c r="H752">
        <f t="shared" si="52"/>
        <v>943200</v>
      </c>
      <c r="I752">
        <f t="shared" si="53"/>
        <v>-51200</v>
      </c>
    </row>
    <row r="753" spans="1:9">
      <c r="A753" t="s">
        <v>14</v>
      </c>
      <c r="B753" t="s">
        <v>18</v>
      </c>
      <c r="C753">
        <v>611000</v>
      </c>
      <c r="D753">
        <v>611000</v>
      </c>
      <c r="E753" t="str">
        <f>VLOOKUP(B753,Лист2!A:E,5,0)</f>
        <v>малые</v>
      </c>
      <c r="F753">
        <f>VLOOKUP(B753,Лист2!A:E,4,0)</f>
        <v>2.5</v>
      </c>
      <c r="G753">
        <f t="shared" si="51"/>
        <v>0</v>
      </c>
      <c r="H753">
        <f t="shared" si="52"/>
        <v>244400</v>
      </c>
      <c r="I753">
        <f t="shared" si="53"/>
        <v>0</v>
      </c>
    </row>
    <row r="754" spans="1:9">
      <c r="A754" t="s">
        <v>14</v>
      </c>
      <c r="B754" t="s">
        <v>18</v>
      </c>
      <c r="C754">
        <v>1294000</v>
      </c>
      <c r="D754">
        <v>1234000</v>
      </c>
      <c r="E754" t="str">
        <f>VLOOKUP(B754,Лист2!A:E,5,0)</f>
        <v>малые</v>
      </c>
      <c r="F754">
        <f>VLOOKUP(B754,Лист2!A:E,4,0)</f>
        <v>2.5</v>
      </c>
      <c r="G754">
        <f t="shared" si="51"/>
        <v>60000</v>
      </c>
      <c r="H754">
        <f t="shared" si="52"/>
        <v>517600</v>
      </c>
      <c r="I754">
        <f t="shared" si="53"/>
        <v>24000</v>
      </c>
    </row>
    <row r="755" spans="1:9">
      <c r="A755" t="s">
        <v>14</v>
      </c>
      <c r="B755" t="s">
        <v>18</v>
      </c>
      <c r="C755">
        <v>266000</v>
      </c>
      <c r="D755">
        <v>214000</v>
      </c>
      <c r="E755" t="str">
        <f>VLOOKUP(B755,Лист2!A:E,5,0)</f>
        <v>малые</v>
      </c>
      <c r="F755">
        <f>VLOOKUP(B755,Лист2!A:E,4,0)</f>
        <v>2.5</v>
      </c>
      <c r="G755">
        <f t="shared" si="51"/>
        <v>52000</v>
      </c>
      <c r="H755">
        <f t="shared" si="52"/>
        <v>106400</v>
      </c>
      <c r="I755">
        <f t="shared" si="53"/>
        <v>20800</v>
      </c>
    </row>
    <row r="756" spans="1:9">
      <c r="A756" t="s">
        <v>14</v>
      </c>
      <c r="B756" t="s">
        <v>18</v>
      </c>
      <c r="C756">
        <v>766000</v>
      </c>
      <c r="D756">
        <v>122000</v>
      </c>
      <c r="E756" t="str">
        <f>VLOOKUP(B756,Лист2!A:E,5,0)</f>
        <v>малые</v>
      </c>
      <c r="F756">
        <f>VLOOKUP(B756,Лист2!A:E,4,0)</f>
        <v>2.5</v>
      </c>
      <c r="G756">
        <f t="shared" si="51"/>
        <v>644000</v>
      </c>
      <c r="H756">
        <f t="shared" si="52"/>
        <v>306400</v>
      </c>
      <c r="I756">
        <f t="shared" si="53"/>
        <v>257600</v>
      </c>
    </row>
    <row r="757" spans="1:9">
      <c r="A757" t="s">
        <v>14</v>
      </c>
      <c r="B757" t="s">
        <v>18</v>
      </c>
      <c r="C757">
        <v>3284000</v>
      </c>
      <c r="D757">
        <v>4281000</v>
      </c>
      <c r="E757" t="str">
        <f>VLOOKUP(B757,Лист2!A:E,5,0)</f>
        <v>малые</v>
      </c>
      <c r="F757">
        <f>VLOOKUP(B757,Лист2!A:E,4,0)</f>
        <v>2.5</v>
      </c>
      <c r="G757">
        <f t="shared" si="51"/>
        <v>-997000</v>
      </c>
      <c r="H757">
        <f t="shared" si="52"/>
        <v>1313600</v>
      </c>
      <c r="I757">
        <f t="shared" si="53"/>
        <v>-398800</v>
      </c>
    </row>
    <row r="758" spans="1:9">
      <c r="A758" t="s">
        <v>14</v>
      </c>
      <c r="B758" t="s">
        <v>77</v>
      </c>
      <c r="C758">
        <v>43154000</v>
      </c>
      <c r="D758">
        <v>51871000</v>
      </c>
      <c r="E758" t="str">
        <f>VLOOKUP(B758,Лист2!A:E,5,0)</f>
        <v>малые</v>
      </c>
      <c r="F758">
        <f>VLOOKUP(B758,Лист2!A:E,4,0)</f>
        <v>8</v>
      </c>
      <c r="G758">
        <f t="shared" si="51"/>
        <v>-8717000</v>
      </c>
      <c r="H758">
        <f t="shared" si="52"/>
        <v>5394250</v>
      </c>
      <c r="I758">
        <f t="shared" si="53"/>
        <v>-1089625</v>
      </c>
    </row>
    <row r="759" spans="1:9">
      <c r="A759" t="s">
        <v>14</v>
      </c>
      <c r="B759" t="s">
        <v>18</v>
      </c>
      <c r="C759">
        <v>662000</v>
      </c>
      <c r="D759">
        <v>1110000</v>
      </c>
      <c r="E759" t="str">
        <f>VLOOKUP(B759,Лист2!A:E,5,0)</f>
        <v>малые</v>
      </c>
      <c r="F759">
        <f>VLOOKUP(B759,Лист2!A:E,4,0)</f>
        <v>2.5</v>
      </c>
      <c r="G759">
        <f t="shared" si="51"/>
        <v>-448000</v>
      </c>
      <c r="H759">
        <f t="shared" si="52"/>
        <v>264800</v>
      </c>
      <c r="I759">
        <f t="shared" si="53"/>
        <v>-179200</v>
      </c>
    </row>
    <row r="760" spans="1:9">
      <c r="A760" t="s">
        <v>14</v>
      </c>
      <c r="B760" t="s">
        <v>18</v>
      </c>
      <c r="C760">
        <v>2700000</v>
      </c>
      <c r="D760">
        <v>2699000</v>
      </c>
      <c r="E760" t="str">
        <f>VLOOKUP(B760,Лист2!A:E,5,0)</f>
        <v>малые</v>
      </c>
      <c r="F760">
        <f>VLOOKUP(B760,Лист2!A:E,4,0)</f>
        <v>2.5</v>
      </c>
      <c r="G760">
        <f t="shared" si="51"/>
        <v>1000</v>
      </c>
      <c r="H760">
        <f t="shared" si="52"/>
        <v>1080000</v>
      </c>
      <c r="I760">
        <f t="shared" si="53"/>
        <v>400</v>
      </c>
    </row>
    <row r="761" spans="1:9">
      <c r="A761" t="s">
        <v>14</v>
      </c>
      <c r="B761" t="s">
        <v>18</v>
      </c>
      <c r="C761">
        <v>647000</v>
      </c>
      <c r="D761">
        <v>567000</v>
      </c>
      <c r="E761" t="str">
        <f>VLOOKUP(B761,Лист2!A:E,5,0)</f>
        <v>малые</v>
      </c>
      <c r="F761">
        <f>VLOOKUP(B761,Лист2!A:E,4,0)</f>
        <v>2.5</v>
      </c>
      <c r="G761">
        <f t="shared" si="51"/>
        <v>80000</v>
      </c>
      <c r="H761">
        <f t="shared" si="52"/>
        <v>258800</v>
      </c>
      <c r="I761">
        <f t="shared" si="53"/>
        <v>32000</v>
      </c>
    </row>
    <row r="762" spans="1:9">
      <c r="A762" t="s">
        <v>14</v>
      </c>
      <c r="B762" t="s">
        <v>18</v>
      </c>
      <c r="C762">
        <v>5576000</v>
      </c>
      <c r="D762">
        <v>4571000</v>
      </c>
      <c r="E762" t="str">
        <f>VLOOKUP(B762,Лист2!A:E,5,0)</f>
        <v>малые</v>
      </c>
      <c r="F762">
        <f>VLOOKUP(B762,Лист2!A:E,4,0)</f>
        <v>2.5</v>
      </c>
      <c r="G762">
        <f t="shared" si="51"/>
        <v>1005000</v>
      </c>
      <c r="H762">
        <f t="shared" si="52"/>
        <v>2230400</v>
      </c>
      <c r="I762">
        <f t="shared" si="53"/>
        <v>402000</v>
      </c>
    </row>
    <row r="763" spans="1:9">
      <c r="A763" t="s">
        <v>14</v>
      </c>
      <c r="B763" t="s">
        <v>18</v>
      </c>
      <c r="C763">
        <v>3904000</v>
      </c>
      <c r="D763">
        <v>3336000</v>
      </c>
      <c r="E763" t="str">
        <f>VLOOKUP(B763,Лист2!A:E,5,0)</f>
        <v>малые</v>
      </c>
      <c r="F763">
        <f>VLOOKUP(B763,Лист2!A:E,4,0)</f>
        <v>2.5</v>
      </c>
      <c r="G763">
        <f t="shared" si="51"/>
        <v>568000</v>
      </c>
      <c r="H763">
        <f t="shared" si="52"/>
        <v>1561600</v>
      </c>
      <c r="I763">
        <f t="shared" si="53"/>
        <v>227200</v>
      </c>
    </row>
    <row r="764" spans="1:9">
      <c r="A764" t="s">
        <v>14</v>
      </c>
      <c r="B764" t="s">
        <v>18</v>
      </c>
      <c r="C764">
        <v>1122000</v>
      </c>
      <c r="D764">
        <v>1230000</v>
      </c>
      <c r="E764" t="str">
        <f>VLOOKUP(B764,Лист2!A:E,5,0)</f>
        <v>малые</v>
      </c>
      <c r="F764">
        <f>VLOOKUP(B764,Лист2!A:E,4,0)</f>
        <v>2.5</v>
      </c>
      <c r="G764">
        <f t="shared" si="51"/>
        <v>-108000</v>
      </c>
      <c r="H764">
        <f t="shared" si="52"/>
        <v>448800</v>
      </c>
      <c r="I764">
        <f t="shared" si="53"/>
        <v>-43200</v>
      </c>
    </row>
    <row r="765" spans="1:9">
      <c r="A765" t="s">
        <v>14</v>
      </c>
      <c r="B765" t="s">
        <v>18</v>
      </c>
      <c r="C765">
        <v>76000</v>
      </c>
      <c r="D765">
        <v>44000</v>
      </c>
      <c r="E765" t="str">
        <f>VLOOKUP(B765,Лист2!A:E,5,0)</f>
        <v>малые</v>
      </c>
      <c r="F765">
        <f>VLOOKUP(B765,Лист2!A:E,4,0)</f>
        <v>2.5</v>
      </c>
      <c r="G765">
        <f t="shared" si="51"/>
        <v>32000</v>
      </c>
      <c r="H765">
        <f t="shared" si="52"/>
        <v>30400</v>
      </c>
      <c r="I765">
        <f t="shared" si="53"/>
        <v>12800</v>
      </c>
    </row>
    <row r="766" spans="1:9">
      <c r="A766" t="s">
        <v>14</v>
      </c>
      <c r="B766" t="s">
        <v>18</v>
      </c>
      <c r="C766">
        <v>320000</v>
      </c>
      <c r="D766">
        <v>320000</v>
      </c>
      <c r="E766" t="str">
        <f>VLOOKUP(B766,Лист2!A:E,5,0)</f>
        <v>малые</v>
      </c>
      <c r="F766">
        <f>VLOOKUP(B766,Лист2!A:E,4,0)</f>
        <v>2.5</v>
      </c>
      <c r="G766">
        <f t="shared" si="51"/>
        <v>0</v>
      </c>
      <c r="H766">
        <f t="shared" si="52"/>
        <v>128000</v>
      </c>
      <c r="I766">
        <f t="shared" si="53"/>
        <v>0</v>
      </c>
    </row>
    <row r="767" spans="1:9">
      <c r="A767" t="s">
        <v>14</v>
      </c>
      <c r="B767" t="s">
        <v>18</v>
      </c>
      <c r="C767">
        <v>49000</v>
      </c>
      <c r="D767">
        <v>289000</v>
      </c>
      <c r="E767" t="str">
        <f>VLOOKUP(B767,Лист2!A:E,5,0)</f>
        <v>малые</v>
      </c>
      <c r="F767">
        <f>VLOOKUP(B767,Лист2!A:E,4,0)</f>
        <v>2.5</v>
      </c>
      <c r="G767">
        <f t="shared" si="51"/>
        <v>-240000</v>
      </c>
      <c r="H767">
        <f t="shared" si="52"/>
        <v>19600</v>
      </c>
      <c r="I767">
        <f t="shared" si="53"/>
        <v>-96000</v>
      </c>
    </row>
    <row r="768" spans="1:9">
      <c r="A768" t="s">
        <v>14</v>
      </c>
      <c r="B768" t="s">
        <v>18</v>
      </c>
      <c r="C768">
        <v>17457000</v>
      </c>
      <c r="D768">
        <v>15191000</v>
      </c>
      <c r="E768" t="str">
        <f>VLOOKUP(B768,Лист2!A:E,5,0)</f>
        <v>малые</v>
      </c>
      <c r="F768">
        <f>VLOOKUP(B768,Лист2!A:E,4,0)</f>
        <v>2.5</v>
      </c>
      <c r="G768">
        <f t="shared" si="51"/>
        <v>2266000</v>
      </c>
      <c r="H768">
        <f t="shared" si="52"/>
        <v>6982800</v>
      </c>
      <c r="I768">
        <f t="shared" si="53"/>
        <v>906400</v>
      </c>
    </row>
    <row r="769" spans="1:9">
      <c r="A769" t="s">
        <v>14</v>
      </c>
      <c r="B769" t="s">
        <v>18</v>
      </c>
      <c r="C769">
        <v>23000</v>
      </c>
      <c r="D769">
        <v>27000</v>
      </c>
      <c r="E769" t="str">
        <f>VLOOKUP(B769,Лист2!A:E,5,0)</f>
        <v>малые</v>
      </c>
      <c r="F769">
        <f>VLOOKUP(B769,Лист2!A:E,4,0)</f>
        <v>2.5</v>
      </c>
      <c r="G769">
        <f t="shared" si="51"/>
        <v>-4000</v>
      </c>
      <c r="H769">
        <f t="shared" si="52"/>
        <v>9200</v>
      </c>
      <c r="I769">
        <f t="shared" si="53"/>
        <v>-1600</v>
      </c>
    </row>
    <row r="770" spans="1:9">
      <c r="A770" t="s">
        <v>14</v>
      </c>
      <c r="B770" t="s">
        <v>18</v>
      </c>
      <c r="C770">
        <v>14718000</v>
      </c>
      <c r="D770">
        <v>13676000</v>
      </c>
      <c r="E770" t="str">
        <f>VLOOKUP(B770,Лист2!A:E,5,0)</f>
        <v>малые</v>
      </c>
      <c r="F770">
        <f>VLOOKUP(B770,Лист2!A:E,4,0)</f>
        <v>2.5</v>
      </c>
      <c r="G770">
        <f t="shared" si="51"/>
        <v>1042000</v>
      </c>
      <c r="H770">
        <f t="shared" si="52"/>
        <v>5887200</v>
      </c>
      <c r="I770">
        <f t="shared" si="53"/>
        <v>416800</v>
      </c>
    </row>
    <row r="771" spans="1:9">
      <c r="A771" t="s">
        <v>14</v>
      </c>
      <c r="B771" t="s">
        <v>18</v>
      </c>
      <c r="C771">
        <v>77000</v>
      </c>
      <c r="D771">
        <v>78000</v>
      </c>
      <c r="E771" t="str">
        <f>VLOOKUP(B771,Лист2!A:E,5,0)</f>
        <v>малые</v>
      </c>
      <c r="F771">
        <f>VLOOKUP(B771,Лист2!A:E,4,0)</f>
        <v>2.5</v>
      </c>
      <c r="G771">
        <f t="shared" si="51"/>
        <v>-1000</v>
      </c>
      <c r="H771">
        <f t="shared" si="52"/>
        <v>30800</v>
      </c>
      <c r="I771">
        <f t="shared" si="53"/>
        <v>-400</v>
      </c>
    </row>
    <row r="772" spans="1:9">
      <c r="A772" t="s">
        <v>14</v>
      </c>
      <c r="B772" t="s">
        <v>18</v>
      </c>
      <c r="C772">
        <v>192000</v>
      </c>
      <c r="D772">
        <v>192000</v>
      </c>
      <c r="E772" t="str">
        <f>VLOOKUP(B772,Лист2!A:E,5,0)</f>
        <v>малые</v>
      </c>
      <c r="F772">
        <f>VLOOKUP(B772,Лист2!A:E,4,0)</f>
        <v>2.5</v>
      </c>
      <c r="G772">
        <f t="shared" si="51"/>
        <v>0</v>
      </c>
      <c r="H772">
        <f t="shared" si="52"/>
        <v>76800</v>
      </c>
      <c r="I772">
        <f t="shared" si="53"/>
        <v>0</v>
      </c>
    </row>
    <row r="773" spans="1:9">
      <c r="A773" t="s">
        <v>14</v>
      </c>
      <c r="B773" t="s">
        <v>18</v>
      </c>
      <c r="C773">
        <v>1680000</v>
      </c>
      <c r="D773">
        <v>1911000</v>
      </c>
      <c r="E773" t="str">
        <f>VLOOKUP(B773,Лист2!A:E,5,0)</f>
        <v>малые</v>
      </c>
      <c r="F773">
        <f>VLOOKUP(B773,Лист2!A:E,4,0)</f>
        <v>2.5</v>
      </c>
      <c r="G773">
        <f t="shared" si="51"/>
        <v>-231000</v>
      </c>
      <c r="H773">
        <f t="shared" si="52"/>
        <v>672000</v>
      </c>
      <c r="I773">
        <f t="shared" si="53"/>
        <v>-92400</v>
      </c>
    </row>
    <row r="774" spans="1:9">
      <c r="A774" t="s">
        <v>14</v>
      </c>
      <c r="B774" t="s">
        <v>18</v>
      </c>
      <c r="C774">
        <v>800000</v>
      </c>
      <c r="D774">
        <v>804000</v>
      </c>
      <c r="E774" t="str">
        <f>VLOOKUP(B774,Лист2!A:E,5,0)</f>
        <v>малые</v>
      </c>
      <c r="F774">
        <f>VLOOKUP(B774,Лист2!A:E,4,0)</f>
        <v>2.5</v>
      </c>
      <c r="G774">
        <f t="shared" si="51"/>
        <v>-4000</v>
      </c>
      <c r="H774">
        <f t="shared" si="52"/>
        <v>320000</v>
      </c>
      <c r="I774">
        <f t="shared" si="53"/>
        <v>-1600</v>
      </c>
    </row>
    <row r="775" spans="1:9">
      <c r="A775" t="s">
        <v>14</v>
      </c>
      <c r="B775" t="s">
        <v>18</v>
      </c>
      <c r="C775">
        <v>1410000</v>
      </c>
      <c r="D775">
        <v>1420000</v>
      </c>
      <c r="E775" t="str">
        <f>VLOOKUP(B775,Лист2!A:E,5,0)</f>
        <v>малые</v>
      </c>
      <c r="F775">
        <f>VLOOKUP(B775,Лист2!A:E,4,0)</f>
        <v>2.5</v>
      </c>
      <c r="G775">
        <f t="shared" si="51"/>
        <v>-10000</v>
      </c>
      <c r="H775">
        <f t="shared" si="52"/>
        <v>564000</v>
      </c>
      <c r="I775">
        <f t="shared" si="53"/>
        <v>-4000</v>
      </c>
    </row>
    <row r="776" spans="1:9">
      <c r="A776" t="s">
        <v>14</v>
      </c>
      <c r="B776" t="s">
        <v>18</v>
      </c>
      <c r="C776">
        <v>4625000</v>
      </c>
      <c r="D776">
        <v>2946000</v>
      </c>
      <c r="E776" t="str">
        <f>VLOOKUP(B776,Лист2!A:E,5,0)</f>
        <v>малые</v>
      </c>
      <c r="F776">
        <f>VLOOKUP(B776,Лист2!A:E,4,0)</f>
        <v>2.5</v>
      </c>
      <c r="G776">
        <f t="shared" si="51"/>
        <v>1679000</v>
      </c>
      <c r="H776">
        <f t="shared" si="52"/>
        <v>1850000</v>
      </c>
      <c r="I776">
        <f t="shared" si="53"/>
        <v>671600</v>
      </c>
    </row>
    <row r="777" spans="1:9">
      <c r="A777" t="s">
        <v>14</v>
      </c>
      <c r="B777" t="s">
        <v>18</v>
      </c>
      <c r="C777">
        <v>3500000</v>
      </c>
      <c r="D777">
        <v>3571000</v>
      </c>
      <c r="E777" t="str">
        <f>VLOOKUP(B777,Лист2!A:E,5,0)</f>
        <v>малые</v>
      </c>
      <c r="F777">
        <f>VLOOKUP(B777,Лист2!A:E,4,0)</f>
        <v>2.5</v>
      </c>
      <c r="G777">
        <f t="shared" si="51"/>
        <v>-71000</v>
      </c>
      <c r="H777">
        <f t="shared" si="52"/>
        <v>1400000</v>
      </c>
      <c r="I777">
        <f t="shared" si="53"/>
        <v>-28400</v>
      </c>
    </row>
    <row r="778" spans="1:9">
      <c r="A778" t="s">
        <v>14</v>
      </c>
      <c r="B778" t="s">
        <v>807</v>
      </c>
      <c r="C778">
        <v>71350000</v>
      </c>
      <c r="D778">
        <v>71271000</v>
      </c>
      <c r="E778" t="str">
        <f>VLOOKUP(B778,Лист2!A:E,5,0)</f>
        <v>средние</v>
      </c>
      <c r="F778">
        <f>VLOOKUP(B778,Лист2!A:E,4,0)</f>
        <v>175.5</v>
      </c>
      <c r="G778">
        <f t="shared" si="51"/>
        <v>79000</v>
      </c>
      <c r="H778">
        <f t="shared" si="52"/>
        <v>406552.70655270654</v>
      </c>
      <c r="I778">
        <f t="shared" si="53"/>
        <v>450.14245014245012</v>
      </c>
    </row>
    <row r="779" spans="1:9">
      <c r="A779" t="s">
        <v>14</v>
      </c>
      <c r="B779" t="s">
        <v>18</v>
      </c>
      <c r="C779">
        <v>3983000</v>
      </c>
      <c r="D779">
        <v>3983000</v>
      </c>
      <c r="E779" t="str">
        <f>VLOOKUP(B779,Лист2!A:E,5,0)</f>
        <v>малые</v>
      </c>
      <c r="F779">
        <f>VLOOKUP(B779,Лист2!A:E,4,0)</f>
        <v>2.5</v>
      </c>
      <c r="G779">
        <f t="shared" si="51"/>
        <v>0</v>
      </c>
      <c r="H779">
        <f t="shared" si="52"/>
        <v>1593200</v>
      </c>
      <c r="I779">
        <f t="shared" si="53"/>
        <v>0</v>
      </c>
    </row>
    <row r="780" spans="1:9">
      <c r="A780" t="s">
        <v>25</v>
      </c>
      <c r="B780" t="s">
        <v>18</v>
      </c>
      <c r="C780">
        <v>2721000</v>
      </c>
      <c r="D780">
        <v>2835000</v>
      </c>
      <c r="E780" t="str">
        <f>VLOOKUP(B780,Лист2!A:E,5,0)</f>
        <v>малые</v>
      </c>
      <c r="F780">
        <f>VLOOKUP(B780,Лист2!A:E,4,0)</f>
        <v>2.5</v>
      </c>
      <c r="G780">
        <f t="shared" si="51"/>
        <v>-114000</v>
      </c>
      <c r="H780">
        <f t="shared" si="52"/>
        <v>1088400</v>
      </c>
      <c r="I780">
        <f t="shared" si="53"/>
        <v>-45600</v>
      </c>
    </row>
    <row r="781" spans="1:9">
      <c r="A781" t="s">
        <v>14</v>
      </c>
      <c r="B781" t="s">
        <v>18</v>
      </c>
      <c r="C781">
        <v>7647000</v>
      </c>
      <c r="D781">
        <v>7152000</v>
      </c>
      <c r="E781" t="str">
        <f>VLOOKUP(B781,Лист2!A:E,5,0)</f>
        <v>малые</v>
      </c>
      <c r="F781">
        <f>VLOOKUP(B781,Лист2!A:E,4,0)</f>
        <v>2.5</v>
      </c>
      <c r="G781">
        <f t="shared" si="51"/>
        <v>495000</v>
      </c>
      <c r="H781">
        <f t="shared" si="52"/>
        <v>3058800</v>
      </c>
      <c r="I781">
        <f t="shared" si="53"/>
        <v>198000</v>
      </c>
    </row>
    <row r="782" spans="1:9">
      <c r="A782" t="s">
        <v>14</v>
      </c>
      <c r="B782" t="s">
        <v>18</v>
      </c>
      <c r="C782">
        <v>120228000</v>
      </c>
      <c r="D782">
        <v>16390000</v>
      </c>
      <c r="E782" t="str">
        <f>VLOOKUP(B782,Лист2!A:E,5,0)</f>
        <v>малые</v>
      </c>
      <c r="F782">
        <f>VLOOKUP(B782,Лист2!A:E,4,0)</f>
        <v>2.5</v>
      </c>
      <c r="G782">
        <f t="shared" si="51"/>
        <v>103838000</v>
      </c>
      <c r="H782">
        <f t="shared" si="52"/>
        <v>48091200</v>
      </c>
      <c r="I782">
        <f t="shared" si="53"/>
        <v>41535200</v>
      </c>
    </row>
    <row r="783" spans="1:9">
      <c r="A783" t="s">
        <v>14</v>
      </c>
      <c r="B783" t="s">
        <v>18</v>
      </c>
      <c r="C783">
        <v>190000</v>
      </c>
      <c r="D783">
        <v>91000</v>
      </c>
      <c r="E783" t="str">
        <f>VLOOKUP(B783,Лист2!A:E,5,0)</f>
        <v>малые</v>
      </c>
      <c r="F783">
        <f>VLOOKUP(B783,Лист2!A:E,4,0)</f>
        <v>2.5</v>
      </c>
      <c r="G783">
        <f t="shared" si="51"/>
        <v>99000</v>
      </c>
      <c r="H783">
        <f t="shared" si="52"/>
        <v>76000</v>
      </c>
      <c r="I783">
        <f t="shared" si="53"/>
        <v>39600</v>
      </c>
    </row>
    <row r="784" spans="1:9">
      <c r="A784" t="s">
        <v>14</v>
      </c>
      <c r="B784" t="s">
        <v>18</v>
      </c>
      <c r="C784">
        <v>1100000</v>
      </c>
      <c r="D784">
        <v>1111000</v>
      </c>
      <c r="E784" t="str">
        <f>VLOOKUP(B784,Лист2!A:E,5,0)</f>
        <v>малые</v>
      </c>
      <c r="F784">
        <f>VLOOKUP(B784,Лист2!A:E,4,0)</f>
        <v>2.5</v>
      </c>
      <c r="G784">
        <f t="shared" si="51"/>
        <v>-11000</v>
      </c>
      <c r="H784">
        <f t="shared" si="52"/>
        <v>440000</v>
      </c>
      <c r="I784">
        <f t="shared" si="53"/>
        <v>-4400</v>
      </c>
    </row>
    <row r="785" spans="1:9">
      <c r="A785" t="s">
        <v>14</v>
      </c>
      <c r="B785" t="s">
        <v>18</v>
      </c>
      <c r="C785">
        <v>4612000</v>
      </c>
      <c r="D785">
        <v>5016000</v>
      </c>
      <c r="E785" t="str">
        <f>VLOOKUP(B785,Лист2!A:E,5,0)</f>
        <v>малые</v>
      </c>
      <c r="F785">
        <f>VLOOKUP(B785,Лист2!A:E,4,0)</f>
        <v>2.5</v>
      </c>
      <c r="G785">
        <f t="shared" si="51"/>
        <v>-404000</v>
      </c>
      <c r="H785">
        <f t="shared" si="52"/>
        <v>1844800</v>
      </c>
      <c r="I785">
        <f t="shared" si="53"/>
        <v>-161600</v>
      </c>
    </row>
    <row r="786" spans="1:9">
      <c r="A786" t="s">
        <v>14</v>
      </c>
      <c r="B786" t="s">
        <v>22</v>
      </c>
      <c r="C786">
        <v>62765000</v>
      </c>
      <c r="D786">
        <v>73680000</v>
      </c>
      <c r="E786" t="str">
        <f>VLOOKUP(B786,Лист2!A:E,5,0)</f>
        <v>малые</v>
      </c>
      <c r="F786">
        <f>VLOOKUP(B786,Лист2!A:E,4,0)</f>
        <v>13</v>
      </c>
      <c r="G786">
        <f t="shared" si="51"/>
        <v>-10915000</v>
      </c>
      <c r="H786">
        <f t="shared" si="52"/>
        <v>4828076.923076923</v>
      </c>
      <c r="I786">
        <f t="shared" si="53"/>
        <v>-839615.38461538462</v>
      </c>
    </row>
    <row r="787" spans="1:9">
      <c r="A787" t="s">
        <v>14</v>
      </c>
      <c r="B787" t="s">
        <v>18</v>
      </c>
      <c r="C787">
        <v>2500000</v>
      </c>
      <c r="D787">
        <v>2512000</v>
      </c>
      <c r="E787" t="str">
        <f>VLOOKUP(B787,Лист2!A:E,5,0)</f>
        <v>малые</v>
      </c>
      <c r="F787">
        <f>VLOOKUP(B787,Лист2!A:E,4,0)</f>
        <v>2.5</v>
      </c>
      <c r="G787">
        <f t="shared" si="51"/>
        <v>-12000</v>
      </c>
      <c r="H787">
        <f t="shared" si="52"/>
        <v>1000000</v>
      </c>
      <c r="I787">
        <f t="shared" si="53"/>
        <v>-4800</v>
      </c>
    </row>
    <row r="788" spans="1:9">
      <c r="A788" t="s">
        <v>14</v>
      </c>
      <c r="B788" t="s">
        <v>18</v>
      </c>
      <c r="C788">
        <v>1027000</v>
      </c>
      <c r="D788">
        <v>1035000</v>
      </c>
      <c r="E788" t="str">
        <f>VLOOKUP(B788,Лист2!A:E,5,0)</f>
        <v>малые</v>
      </c>
      <c r="F788">
        <f>VLOOKUP(B788,Лист2!A:E,4,0)</f>
        <v>2.5</v>
      </c>
      <c r="G788">
        <f t="shared" si="51"/>
        <v>-8000</v>
      </c>
      <c r="H788">
        <f t="shared" si="52"/>
        <v>410800</v>
      </c>
      <c r="I788">
        <f t="shared" si="53"/>
        <v>-3200</v>
      </c>
    </row>
    <row r="789" spans="1:9">
      <c r="A789" t="s">
        <v>14</v>
      </c>
      <c r="B789" t="s">
        <v>18</v>
      </c>
      <c r="C789">
        <v>75000</v>
      </c>
      <c r="D789">
        <v>71000</v>
      </c>
      <c r="E789" t="str">
        <f>VLOOKUP(B789,Лист2!A:E,5,0)</f>
        <v>малые</v>
      </c>
      <c r="F789">
        <f>VLOOKUP(B789,Лист2!A:E,4,0)</f>
        <v>2.5</v>
      </c>
      <c r="G789">
        <f t="shared" si="51"/>
        <v>4000</v>
      </c>
      <c r="H789">
        <f t="shared" si="52"/>
        <v>30000</v>
      </c>
      <c r="I789">
        <f t="shared" si="53"/>
        <v>1600</v>
      </c>
    </row>
    <row r="790" spans="1:9">
      <c r="A790" t="s">
        <v>14</v>
      </c>
      <c r="B790" t="s">
        <v>18</v>
      </c>
      <c r="C790">
        <v>28346000</v>
      </c>
      <c r="D790">
        <v>24187000</v>
      </c>
      <c r="E790" t="str">
        <f>VLOOKUP(B790,Лист2!A:E,5,0)</f>
        <v>малые</v>
      </c>
      <c r="F790">
        <f>VLOOKUP(B790,Лист2!A:E,4,0)</f>
        <v>2.5</v>
      </c>
      <c r="G790">
        <f t="shared" si="51"/>
        <v>4159000</v>
      </c>
      <c r="H790">
        <f t="shared" si="52"/>
        <v>11338400</v>
      </c>
      <c r="I790">
        <f t="shared" si="53"/>
        <v>1663600</v>
      </c>
    </row>
    <row r="791" spans="1:9">
      <c r="A791" t="s">
        <v>25</v>
      </c>
      <c r="B791" t="s">
        <v>18</v>
      </c>
      <c r="C791">
        <v>5415000</v>
      </c>
      <c r="D791">
        <v>4818000</v>
      </c>
      <c r="E791" t="str">
        <f>VLOOKUP(B791,Лист2!A:E,5,0)</f>
        <v>малые</v>
      </c>
      <c r="F791">
        <f>VLOOKUP(B791,Лист2!A:E,4,0)</f>
        <v>2.5</v>
      </c>
      <c r="G791">
        <f t="shared" si="51"/>
        <v>597000</v>
      </c>
      <c r="H791">
        <f t="shared" si="52"/>
        <v>2166000</v>
      </c>
      <c r="I791">
        <f t="shared" si="53"/>
        <v>238800</v>
      </c>
    </row>
    <row r="792" spans="1:9">
      <c r="A792" t="s">
        <v>14</v>
      </c>
      <c r="B792" t="s">
        <v>18</v>
      </c>
      <c r="C792">
        <v>5311000</v>
      </c>
      <c r="D792">
        <v>5144000</v>
      </c>
      <c r="E792" t="str">
        <f>VLOOKUP(B792,Лист2!A:E,5,0)</f>
        <v>малые</v>
      </c>
      <c r="F792">
        <f>VLOOKUP(B792,Лист2!A:E,4,0)</f>
        <v>2.5</v>
      </c>
      <c r="G792">
        <f t="shared" si="51"/>
        <v>167000</v>
      </c>
      <c r="H792">
        <f t="shared" si="52"/>
        <v>2124400</v>
      </c>
      <c r="I792">
        <f t="shared" si="53"/>
        <v>66800</v>
      </c>
    </row>
    <row r="793" spans="1:9">
      <c r="A793" t="s">
        <v>14</v>
      </c>
      <c r="B793" t="s">
        <v>18</v>
      </c>
      <c r="C793">
        <v>38000</v>
      </c>
      <c r="D793">
        <v>44000</v>
      </c>
      <c r="E793" t="str">
        <f>VLOOKUP(B793,Лист2!A:E,5,0)</f>
        <v>малые</v>
      </c>
      <c r="F793">
        <f>VLOOKUP(B793,Лист2!A:E,4,0)</f>
        <v>2.5</v>
      </c>
      <c r="G793">
        <f t="shared" si="51"/>
        <v>-6000</v>
      </c>
      <c r="H793">
        <f t="shared" si="52"/>
        <v>15200</v>
      </c>
      <c r="I793">
        <f t="shared" si="53"/>
        <v>-2400</v>
      </c>
    </row>
    <row r="794" spans="1:9">
      <c r="A794" t="s">
        <v>14</v>
      </c>
      <c r="B794" t="s">
        <v>18</v>
      </c>
      <c r="C794">
        <v>3103000</v>
      </c>
      <c r="D794">
        <v>2867000</v>
      </c>
      <c r="E794" t="str">
        <f>VLOOKUP(B794,Лист2!A:E,5,0)</f>
        <v>малые</v>
      </c>
      <c r="F794">
        <f>VLOOKUP(B794,Лист2!A:E,4,0)</f>
        <v>2.5</v>
      </c>
      <c r="G794">
        <f t="shared" si="51"/>
        <v>236000</v>
      </c>
      <c r="H794">
        <f t="shared" si="52"/>
        <v>1241200</v>
      </c>
      <c r="I794">
        <f t="shared" si="53"/>
        <v>94400</v>
      </c>
    </row>
    <row r="795" spans="1:9">
      <c r="A795" t="s">
        <v>14</v>
      </c>
      <c r="B795" t="s">
        <v>18</v>
      </c>
      <c r="C795">
        <v>595000</v>
      </c>
      <c r="D795">
        <v>159000</v>
      </c>
      <c r="E795" t="str">
        <f>VLOOKUP(B795,Лист2!A:E,5,0)</f>
        <v>малые</v>
      </c>
      <c r="F795">
        <f>VLOOKUP(B795,Лист2!A:E,4,0)</f>
        <v>2.5</v>
      </c>
      <c r="G795">
        <f t="shared" ref="G795:G828" si="54">C795-D795</f>
        <v>436000</v>
      </c>
      <c r="H795">
        <f t="shared" ref="H795:H828" si="55">C795/F795</f>
        <v>238000</v>
      </c>
      <c r="I795">
        <f t="shared" ref="I795:I828" si="56">G795/F795</f>
        <v>174400</v>
      </c>
    </row>
    <row r="796" spans="1:9">
      <c r="A796" t="s">
        <v>14</v>
      </c>
      <c r="B796" t="s">
        <v>18</v>
      </c>
      <c r="C796">
        <v>109000</v>
      </c>
      <c r="D796">
        <v>113000</v>
      </c>
      <c r="E796" t="str">
        <f>VLOOKUP(B796,Лист2!A:E,5,0)</f>
        <v>малые</v>
      </c>
      <c r="F796">
        <f>VLOOKUP(B796,Лист2!A:E,4,0)</f>
        <v>2.5</v>
      </c>
      <c r="G796">
        <f t="shared" si="54"/>
        <v>-4000</v>
      </c>
      <c r="H796">
        <f t="shared" si="55"/>
        <v>43600</v>
      </c>
      <c r="I796">
        <f t="shared" si="56"/>
        <v>-1600</v>
      </c>
    </row>
    <row r="797" spans="1:9">
      <c r="A797" t="s">
        <v>14</v>
      </c>
      <c r="B797" t="s">
        <v>23</v>
      </c>
      <c r="C797">
        <v>39620000</v>
      </c>
      <c r="D797">
        <v>40134000</v>
      </c>
      <c r="E797" t="str">
        <f>VLOOKUP(B797,Лист2!A:E,5,0)</f>
        <v>средние</v>
      </c>
      <c r="F797">
        <f>VLOOKUP(B797,Лист2!A:E,4,0)</f>
        <v>75.5</v>
      </c>
      <c r="G797">
        <f t="shared" si="54"/>
        <v>-514000</v>
      </c>
      <c r="H797">
        <f t="shared" si="55"/>
        <v>524768.21192052984</v>
      </c>
      <c r="I797">
        <f t="shared" si="56"/>
        <v>-6807.9470198675499</v>
      </c>
    </row>
    <row r="798" spans="1:9">
      <c r="A798" t="s">
        <v>14</v>
      </c>
      <c r="B798" t="s">
        <v>18</v>
      </c>
      <c r="C798">
        <v>1685000</v>
      </c>
      <c r="D798">
        <v>1663000</v>
      </c>
      <c r="E798" t="str">
        <f>VLOOKUP(B798,Лист2!A:E,5,0)</f>
        <v>малые</v>
      </c>
      <c r="F798">
        <f>VLOOKUP(B798,Лист2!A:E,4,0)</f>
        <v>2.5</v>
      </c>
      <c r="G798">
        <f t="shared" si="54"/>
        <v>22000</v>
      </c>
      <c r="H798">
        <f t="shared" si="55"/>
        <v>674000</v>
      </c>
      <c r="I798">
        <f t="shared" si="56"/>
        <v>8800</v>
      </c>
    </row>
    <row r="799" spans="1:9">
      <c r="A799" t="s">
        <v>14</v>
      </c>
      <c r="B799" t="s">
        <v>18</v>
      </c>
      <c r="C799">
        <v>768000</v>
      </c>
      <c r="D799">
        <v>802000</v>
      </c>
      <c r="E799" t="str">
        <f>VLOOKUP(B799,Лист2!A:E,5,0)</f>
        <v>малые</v>
      </c>
      <c r="F799">
        <f>VLOOKUP(B799,Лист2!A:E,4,0)</f>
        <v>2.5</v>
      </c>
      <c r="G799">
        <f t="shared" si="54"/>
        <v>-34000</v>
      </c>
      <c r="H799">
        <f t="shared" si="55"/>
        <v>307200</v>
      </c>
      <c r="I799">
        <f t="shared" si="56"/>
        <v>-13600</v>
      </c>
    </row>
    <row r="800" spans="1:9">
      <c r="A800" t="s">
        <v>14</v>
      </c>
      <c r="B800" t="s">
        <v>77</v>
      </c>
      <c r="C800">
        <v>1369000</v>
      </c>
      <c r="D800">
        <v>1661000</v>
      </c>
      <c r="E800" t="str">
        <f>VLOOKUP(B800,Лист2!A:E,5,0)</f>
        <v>малые</v>
      </c>
      <c r="F800">
        <f>VLOOKUP(B800,Лист2!A:E,4,0)</f>
        <v>8</v>
      </c>
      <c r="G800">
        <f t="shared" si="54"/>
        <v>-292000</v>
      </c>
      <c r="H800">
        <f t="shared" si="55"/>
        <v>171125</v>
      </c>
      <c r="I800">
        <f t="shared" si="56"/>
        <v>-36500</v>
      </c>
    </row>
    <row r="801" spans="1:9">
      <c r="A801" t="s">
        <v>14</v>
      </c>
      <c r="B801" t="s">
        <v>18</v>
      </c>
      <c r="C801">
        <v>90000</v>
      </c>
      <c r="D801">
        <v>90000</v>
      </c>
      <c r="E801" t="str">
        <f>VLOOKUP(B801,Лист2!A:E,5,0)</f>
        <v>малые</v>
      </c>
      <c r="F801">
        <f>VLOOKUP(B801,Лист2!A:E,4,0)</f>
        <v>2.5</v>
      </c>
      <c r="G801">
        <f t="shared" si="54"/>
        <v>0</v>
      </c>
      <c r="H801">
        <f t="shared" si="55"/>
        <v>36000</v>
      </c>
      <c r="I801">
        <f t="shared" si="56"/>
        <v>0</v>
      </c>
    </row>
    <row r="802" spans="1:9">
      <c r="A802" t="s">
        <v>14</v>
      </c>
      <c r="B802" t="s">
        <v>18</v>
      </c>
      <c r="C802">
        <v>425000</v>
      </c>
      <c r="D802">
        <v>372000</v>
      </c>
      <c r="E802" t="str">
        <f>VLOOKUP(B802,Лист2!A:E,5,0)</f>
        <v>малые</v>
      </c>
      <c r="F802">
        <f>VLOOKUP(B802,Лист2!A:E,4,0)</f>
        <v>2.5</v>
      </c>
      <c r="G802">
        <f t="shared" si="54"/>
        <v>53000</v>
      </c>
      <c r="H802">
        <f t="shared" si="55"/>
        <v>170000</v>
      </c>
      <c r="I802">
        <f t="shared" si="56"/>
        <v>21200</v>
      </c>
    </row>
    <row r="803" spans="1:9">
      <c r="A803" t="s">
        <v>14</v>
      </c>
      <c r="B803" t="s">
        <v>18</v>
      </c>
      <c r="C803">
        <v>16570000</v>
      </c>
      <c r="D803">
        <v>14303000</v>
      </c>
      <c r="E803" t="str">
        <f>VLOOKUP(B803,Лист2!A:E,5,0)</f>
        <v>малые</v>
      </c>
      <c r="F803">
        <f>VLOOKUP(B803,Лист2!A:E,4,0)</f>
        <v>2.5</v>
      </c>
      <c r="G803">
        <f t="shared" si="54"/>
        <v>2267000</v>
      </c>
      <c r="H803">
        <f t="shared" si="55"/>
        <v>6628000</v>
      </c>
      <c r="I803">
        <f t="shared" si="56"/>
        <v>906800</v>
      </c>
    </row>
    <row r="804" spans="1:9">
      <c r="A804" t="s">
        <v>25</v>
      </c>
      <c r="B804" t="s">
        <v>18</v>
      </c>
      <c r="C804">
        <v>20000000</v>
      </c>
      <c r="D804">
        <v>20000000</v>
      </c>
      <c r="E804" t="str">
        <f>VLOOKUP(B804,Лист2!A:E,5,0)</f>
        <v>малые</v>
      </c>
      <c r="F804">
        <f>VLOOKUP(B804,Лист2!A:E,4,0)</f>
        <v>2.5</v>
      </c>
      <c r="G804">
        <f t="shared" si="54"/>
        <v>0</v>
      </c>
      <c r="H804">
        <f t="shared" si="55"/>
        <v>8000000</v>
      </c>
      <c r="I804">
        <f t="shared" si="56"/>
        <v>0</v>
      </c>
    </row>
    <row r="805" spans="1:9">
      <c r="A805" t="s">
        <v>25</v>
      </c>
      <c r="B805" t="s">
        <v>18</v>
      </c>
      <c r="C805">
        <v>499000</v>
      </c>
      <c r="D805">
        <v>201000</v>
      </c>
      <c r="E805" t="str">
        <f>VLOOKUP(B805,Лист2!A:E,5,0)</f>
        <v>малые</v>
      </c>
      <c r="F805">
        <f>VLOOKUP(B805,Лист2!A:E,4,0)</f>
        <v>2.5</v>
      </c>
      <c r="G805">
        <f t="shared" si="54"/>
        <v>298000</v>
      </c>
      <c r="H805">
        <f t="shared" si="55"/>
        <v>199600</v>
      </c>
      <c r="I805">
        <f t="shared" si="56"/>
        <v>119200</v>
      </c>
    </row>
    <row r="806" spans="1:9">
      <c r="A806" t="s">
        <v>14</v>
      </c>
      <c r="B806" t="s">
        <v>18</v>
      </c>
      <c r="C806">
        <v>4179000</v>
      </c>
      <c r="D806">
        <v>4172000</v>
      </c>
      <c r="E806" t="str">
        <f>VLOOKUP(B806,Лист2!A:E,5,0)</f>
        <v>малые</v>
      </c>
      <c r="F806">
        <f>VLOOKUP(B806,Лист2!A:E,4,0)</f>
        <v>2.5</v>
      </c>
      <c r="G806">
        <f t="shared" si="54"/>
        <v>7000</v>
      </c>
      <c r="H806">
        <f t="shared" si="55"/>
        <v>1671600</v>
      </c>
      <c r="I806">
        <f t="shared" si="56"/>
        <v>2800</v>
      </c>
    </row>
    <row r="807" spans="1:9">
      <c r="A807" t="s">
        <v>14</v>
      </c>
      <c r="B807" t="s">
        <v>18</v>
      </c>
      <c r="C807">
        <v>6714000</v>
      </c>
      <c r="D807">
        <v>7733000</v>
      </c>
      <c r="E807" t="str">
        <f>VLOOKUP(B807,Лист2!A:E,5,0)</f>
        <v>малые</v>
      </c>
      <c r="F807">
        <f>VLOOKUP(B807,Лист2!A:E,4,0)</f>
        <v>2.5</v>
      </c>
      <c r="G807">
        <f t="shared" si="54"/>
        <v>-1019000</v>
      </c>
      <c r="H807">
        <f t="shared" si="55"/>
        <v>2685600</v>
      </c>
      <c r="I807">
        <f t="shared" si="56"/>
        <v>-407600</v>
      </c>
    </row>
    <row r="808" spans="1:9">
      <c r="A808" t="s">
        <v>14</v>
      </c>
      <c r="B808" t="s">
        <v>18</v>
      </c>
      <c r="C808">
        <v>301000</v>
      </c>
      <c r="D808">
        <v>301000</v>
      </c>
      <c r="E808" t="str">
        <f>VLOOKUP(B808,Лист2!A:E,5,0)</f>
        <v>малые</v>
      </c>
      <c r="F808">
        <f>VLOOKUP(B808,Лист2!A:E,4,0)</f>
        <v>2.5</v>
      </c>
      <c r="G808">
        <f t="shared" si="54"/>
        <v>0</v>
      </c>
      <c r="H808">
        <f t="shared" si="55"/>
        <v>120400</v>
      </c>
      <c r="I808">
        <f t="shared" si="56"/>
        <v>0</v>
      </c>
    </row>
    <row r="809" spans="1:9">
      <c r="A809" t="s">
        <v>14</v>
      </c>
      <c r="B809" t="s">
        <v>18</v>
      </c>
      <c r="C809">
        <v>2500000</v>
      </c>
      <c r="D809">
        <v>2482000</v>
      </c>
      <c r="E809" t="str">
        <f>VLOOKUP(B809,Лист2!A:E,5,0)</f>
        <v>малые</v>
      </c>
      <c r="F809">
        <f>VLOOKUP(B809,Лист2!A:E,4,0)</f>
        <v>2.5</v>
      </c>
      <c r="G809">
        <f t="shared" si="54"/>
        <v>18000</v>
      </c>
      <c r="H809">
        <f t="shared" si="55"/>
        <v>1000000</v>
      </c>
      <c r="I809">
        <f t="shared" si="56"/>
        <v>7200</v>
      </c>
    </row>
    <row r="810" spans="1:9">
      <c r="A810" t="s">
        <v>14</v>
      </c>
      <c r="B810" t="s">
        <v>18</v>
      </c>
      <c r="C810">
        <v>492000</v>
      </c>
      <c r="D810">
        <v>487000</v>
      </c>
      <c r="E810" t="str">
        <f>VLOOKUP(B810,Лист2!A:E,5,0)</f>
        <v>малые</v>
      </c>
      <c r="F810">
        <f>VLOOKUP(B810,Лист2!A:E,4,0)</f>
        <v>2.5</v>
      </c>
      <c r="G810">
        <f t="shared" si="54"/>
        <v>5000</v>
      </c>
      <c r="H810">
        <f t="shared" si="55"/>
        <v>196800</v>
      </c>
      <c r="I810">
        <f t="shared" si="56"/>
        <v>2000</v>
      </c>
    </row>
    <row r="811" spans="1:9">
      <c r="A811" t="s">
        <v>14</v>
      </c>
      <c r="B811" t="s">
        <v>18</v>
      </c>
      <c r="C811">
        <v>9023000</v>
      </c>
      <c r="D811">
        <v>9628000</v>
      </c>
      <c r="E811" t="str">
        <f>VLOOKUP(B811,Лист2!A:E,5,0)</f>
        <v>малые</v>
      </c>
      <c r="F811">
        <f>VLOOKUP(B811,Лист2!A:E,4,0)</f>
        <v>2.5</v>
      </c>
      <c r="G811">
        <f t="shared" si="54"/>
        <v>-605000</v>
      </c>
      <c r="H811">
        <f t="shared" si="55"/>
        <v>3609200</v>
      </c>
      <c r="I811">
        <f t="shared" si="56"/>
        <v>-242000</v>
      </c>
    </row>
    <row r="812" spans="1:9">
      <c r="A812" t="s">
        <v>14</v>
      </c>
      <c r="B812" t="s">
        <v>18</v>
      </c>
      <c r="C812">
        <v>31523000</v>
      </c>
      <c r="D812">
        <v>27480000</v>
      </c>
      <c r="E812" t="str">
        <f>VLOOKUP(B812,Лист2!A:E,5,0)</f>
        <v>малые</v>
      </c>
      <c r="F812">
        <f>VLOOKUP(B812,Лист2!A:E,4,0)</f>
        <v>2.5</v>
      </c>
      <c r="G812">
        <f t="shared" si="54"/>
        <v>4043000</v>
      </c>
      <c r="H812">
        <f t="shared" si="55"/>
        <v>12609200</v>
      </c>
      <c r="I812">
        <f t="shared" si="56"/>
        <v>1617200</v>
      </c>
    </row>
    <row r="813" spans="1:9">
      <c r="A813" t="s">
        <v>14</v>
      </c>
      <c r="B813" t="s">
        <v>18</v>
      </c>
      <c r="C813">
        <v>4058000</v>
      </c>
      <c r="D813">
        <v>3634000</v>
      </c>
      <c r="E813" t="str">
        <f>VLOOKUP(B813,Лист2!A:E,5,0)</f>
        <v>малые</v>
      </c>
      <c r="F813">
        <f>VLOOKUP(B813,Лист2!A:E,4,0)</f>
        <v>2.5</v>
      </c>
      <c r="G813">
        <f t="shared" si="54"/>
        <v>424000</v>
      </c>
      <c r="H813">
        <f t="shared" si="55"/>
        <v>1623200</v>
      </c>
      <c r="I813">
        <f t="shared" si="56"/>
        <v>169600</v>
      </c>
    </row>
    <row r="814" spans="1:9">
      <c r="A814" t="s">
        <v>14</v>
      </c>
      <c r="B814" t="s">
        <v>18</v>
      </c>
      <c r="C814">
        <v>1154000</v>
      </c>
      <c r="D814">
        <v>1011000</v>
      </c>
      <c r="E814" t="str">
        <f>VLOOKUP(B814,Лист2!A:E,5,0)</f>
        <v>малые</v>
      </c>
      <c r="F814">
        <f>VLOOKUP(B814,Лист2!A:E,4,0)</f>
        <v>2.5</v>
      </c>
      <c r="G814">
        <f t="shared" si="54"/>
        <v>143000</v>
      </c>
      <c r="H814">
        <f t="shared" si="55"/>
        <v>461600</v>
      </c>
      <c r="I814">
        <f t="shared" si="56"/>
        <v>57200</v>
      </c>
    </row>
    <row r="815" spans="1:9">
      <c r="A815" t="s">
        <v>14</v>
      </c>
      <c r="B815" t="s">
        <v>18</v>
      </c>
      <c r="C815">
        <v>5090000</v>
      </c>
      <c r="D815">
        <v>4771000</v>
      </c>
      <c r="E815" t="str">
        <f>VLOOKUP(B815,Лист2!A:E,5,0)</f>
        <v>малые</v>
      </c>
      <c r="F815">
        <f>VLOOKUP(B815,Лист2!A:E,4,0)</f>
        <v>2.5</v>
      </c>
      <c r="G815">
        <f t="shared" si="54"/>
        <v>319000</v>
      </c>
      <c r="H815">
        <f t="shared" si="55"/>
        <v>2036000</v>
      </c>
      <c r="I815">
        <f t="shared" si="56"/>
        <v>127600</v>
      </c>
    </row>
    <row r="816" spans="1:9">
      <c r="A816" t="s">
        <v>14</v>
      </c>
      <c r="B816" t="s">
        <v>18</v>
      </c>
      <c r="C816">
        <v>2331000</v>
      </c>
      <c r="D816">
        <v>2465000</v>
      </c>
      <c r="E816" t="str">
        <f>VLOOKUP(B816,Лист2!A:E,5,0)</f>
        <v>малые</v>
      </c>
      <c r="F816">
        <f>VLOOKUP(B816,Лист2!A:E,4,0)</f>
        <v>2.5</v>
      </c>
      <c r="G816">
        <f t="shared" si="54"/>
        <v>-134000</v>
      </c>
      <c r="H816">
        <f t="shared" si="55"/>
        <v>932400</v>
      </c>
      <c r="I816">
        <f t="shared" si="56"/>
        <v>-53600</v>
      </c>
    </row>
    <row r="817" spans="1:9">
      <c r="A817" t="s">
        <v>14</v>
      </c>
      <c r="B817" t="s">
        <v>18</v>
      </c>
      <c r="C817">
        <v>6467000</v>
      </c>
      <c r="D817">
        <v>6467000</v>
      </c>
      <c r="E817" t="str">
        <f>VLOOKUP(B817,Лист2!A:E,5,0)</f>
        <v>малые</v>
      </c>
      <c r="F817">
        <f>VLOOKUP(B817,Лист2!A:E,4,0)</f>
        <v>2.5</v>
      </c>
      <c r="G817">
        <f t="shared" si="54"/>
        <v>0</v>
      </c>
      <c r="H817">
        <f t="shared" si="55"/>
        <v>2586800</v>
      </c>
      <c r="I817">
        <f t="shared" si="56"/>
        <v>0</v>
      </c>
    </row>
    <row r="818" spans="1:9">
      <c r="A818" t="s">
        <v>14</v>
      </c>
      <c r="B818" t="s">
        <v>18</v>
      </c>
      <c r="C818">
        <v>1441000</v>
      </c>
      <c r="D818">
        <v>1052000</v>
      </c>
      <c r="E818" t="str">
        <f>VLOOKUP(B818,Лист2!A:E,5,0)</f>
        <v>малые</v>
      </c>
      <c r="F818">
        <f>VLOOKUP(B818,Лист2!A:E,4,0)</f>
        <v>2.5</v>
      </c>
      <c r="G818">
        <f t="shared" si="54"/>
        <v>389000</v>
      </c>
      <c r="H818">
        <f t="shared" si="55"/>
        <v>576400</v>
      </c>
      <c r="I818">
        <f t="shared" si="56"/>
        <v>155600</v>
      </c>
    </row>
    <row r="819" spans="1:9">
      <c r="A819" t="s">
        <v>14</v>
      </c>
      <c r="B819" t="s">
        <v>18</v>
      </c>
      <c r="C819">
        <v>500000</v>
      </c>
      <c r="D819">
        <v>969000</v>
      </c>
      <c r="E819" t="str">
        <f>VLOOKUP(B819,Лист2!A:E,5,0)</f>
        <v>малые</v>
      </c>
      <c r="F819">
        <f>VLOOKUP(B819,Лист2!A:E,4,0)</f>
        <v>2.5</v>
      </c>
      <c r="G819">
        <f t="shared" si="54"/>
        <v>-469000</v>
      </c>
      <c r="H819">
        <f t="shared" si="55"/>
        <v>200000</v>
      </c>
      <c r="I819">
        <f t="shared" si="56"/>
        <v>-187600</v>
      </c>
    </row>
    <row r="820" spans="1:9">
      <c r="A820" t="s">
        <v>14</v>
      </c>
      <c r="B820" t="s">
        <v>18</v>
      </c>
      <c r="C820">
        <v>19619000</v>
      </c>
      <c r="D820">
        <v>18865000</v>
      </c>
      <c r="E820" t="str">
        <f>VLOOKUP(B820,Лист2!A:E,5,0)</f>
        <v>малые</v>
      </c>
      <c r="F820">
        <f>VLOOKUP(B820,Лист2!A:E,4,0)</f>
        <v>2.5</v>
      </c>
      <c r="G820">
        <f t="shared" si="54"/>
        <v>754000</v>
      </c>
      <c r="H820">
        <f t="shared" si="55"/>
        <v>7847600</v>
      </c>
      <c r="I820">
        <f t="shared" si="56"/>
        <v>301600</v>
      </c>
    </row>
    <row r="821" spans="1:9">
      <c r="A821" t="s">
        <v>25</v>
      </c>
      <c r="B821" t="s">
        <v>18</v>
      </c>
      <c r="C821">
        <v>43000</v>
      </c>
      <c r="D821">
        <v>50000</v>
      </c>
      <c r="E821" t="str">
        <f>VLOOKUP(B821,Лист2!A:E,5,0)</f>
        <v>малые</v>
      </c>
      <c r="F821">
        <f>VLOOKUP(B821,Лист2!A:E,4,0)</f>
        <v>2.5</v>
      </c>
      <c r="G821">
        <f t="shared" si="54"/>
        <v>-7000</v>
      </c>
      <c r="H821">
        <f t="shared" si="55"/>
        <v>17200</v>
      </c>
      <c r="I821">
        <f t="shared" si="56"/>
        <v>-2800</v>
      </c>
    </row>
    <row r="822" spans="1:9">
      <c r="A822" t="s">
        <v>14</v>
      </c>
      <c r="B822" t="s">
        <v>18</v>
      </c>
      <c r="C822">
        <v>35196000</v>
      </c>
      <c r="D822">
        <v>30806000</v>
      </c>
      <c r="E822" t="str">
        <f>VLOOKUP(B822,Лист2!A:E,5,0)</f>
        <v>малые</v>
      </c>
      <c r="F822">
        <f>VLOOKUP(B822,Лист2!A:E,4,0)</f>
        <v>2.5</v>
      </c>
      <c r="G822">
        <f t="shared" si="54"/>
        <v>4390000</v>
      </c>
      <c r="H822">
        <f t="shared" si="55"/>
        <v>14078400</v>
      </c>
      <c r="I822">
        <f t="shared" si="56"/>
        <v>1756000</v>
      </c>
    </row>
    <row r="823" spans="1:9">
      <c r="A823" t="s">
        <v>14</v>
      </c>
      <c r="B823" t="s">
        <v>22</v>
      </c>
      <c r="C823">
        <v>11668000</v>
      </c>
      <c r="D823">
        <v>12344000</v>
      </c>
      <c r="E823" t="str">
        <f>VLOOKUP(B823,Лист2!A:E,5,0)</f>
        <v>малые</v>
      </c>
      <c r="F823">
        <f>VLOOKUP(B823,Лист2!A:E,4,0)</f>
        <v>13</v>
      </c>
      <c r="G823">
        <f t="shared" si="54"/>
        <v>-676000</v>
      </c>
      <c r="H823">
        <f t="shared" si="55"/>
        <v>897538.4615384615</v>
      </c>
      <c r="I823">
        <f t="shared" si="56"/>
        <v>-52000</v>
      </c>
    </row>
    <row r="824" spans="1:9">
      <c r="A824" t="s">
        <v>14</v>
      </c>
      <c r="B824" t="s">
        <v>18</v>
      </c>
      <c r="C824">
        <v>1353000</v>
      </c>
      <c r="D824">
        <v>1233000</v>
      </c>
      <c r="E824" t="str">
        <f>VLOOKUP(B824,Лист2!A:E,5,0)</f>
        <v>малые</v>
      </c>
      <c r="F824">
        <f>VLOOKUP(B824,Лист2!A:E,4,0)</f>
        <v>2.5</v>
      </c>
      <c r="G824">
        <f t="shared" si="54"/>
        <v>120000</v>
      </c>
      <c r="H824">
        <f t="shared" si="55"/>
        <v>541200</v>
      </c>
      <c r="I824">
        <f t="shared" si="56"/>
        <v>48000</v>
      </c>
    </row>
    <row r="825" spans="1:9">
      <c r="A825" t="s">
        <v>14</v>
      </c>
      <c r="B825" t="s">
        <v>77</v>
      </c>
      <c r="C825">
        <v>32403000</v>
      </c>
      <c r="D825">
        <v>32730000</v>
      </c>
      <c r="E825" t="str">
        <f>VLOOKUP(B825,Лист2!A:E,5,0)</f>
        <v>малые</v>
      </c>
      <c r="F825">
        <f>VLOOKUP(B825,Лист2!A:E,4,0)</f>
        <v>8</v>
      </c>
      <c r="G825">
        <f t="shared" si="54"/>
        <v>-327000</v>
      </c>
      <c r="H825">
        <f t="shared" si="55"/>
        <v>4050375</v>
      </c>
      <c r="I825">
        <f t="shared" si="56"/>
        <v>-40875</v>
      </c>
    </row>
    <row r="826" spans="1:9">
      <c r="A826" t="s">
        <v>25</v>
      </c>
      <c r="B826" t="s">
        <v>18</v>
      </c>
      <c r="C826">
        <v>263000</v>
      </c>
      <c r="D826">
        <v>258000</v>
      </c>
      <c r="E826" t="str">
        <f>VLOOKUP(B826,Лист2!A:E,5,0)</f>
        <v>малые</v>
      </c>
      <c r="F826">
        <f>VLOOKUP(B826,Лист2!A:E,4,0)</f>
        <v>2.5</v>
      </c>
      <c r="G826">
        <f t="shared" si="54"/>
        <v>5000</v>
      </c>
      <c r="H826">
        <f t="shared" si="55"/>
        <v>105200</v>
      </c>
      <c r="I826">
        <f t="shared" si="56"/>
        <v>2000</v>
      </c>
    </row>
    <row r="827" spans="1:9">
      <c r="A827" t="s">
        <v>14</v>
      </c>
      <c r="B827" t="s">
        <v>18</v>
      </c>
      <c r="C827">
        <v>38688000</v>
      </c>
      <c r="D827">
        <v>25334000</v>
      </c>
      <c r="E827" t="str">
        <f>VLOOKUP(B827,Лист2!A:E,5,0)</f>
        <v>малые</v>
      </c>
      <c r="F827">
        <f>VLOOKUP(B827,Лист2!A:E,4,0)</f>
        <v>2.5</v>
      </c>
      <c r="G827">
        <f t="shared" si="54"/>
        <v>13354000</v>
      </c>
      <c r="H827">
        <f t="shared" si="55"/>
        <v>15475200</v>
      </c>
      <c r="I827">
        <f t="shared" si="56"/>
        <v>5341600</v>
      </c>
    </row>
    <row r="828" spans="1:9">
      <c r="A828" t="s">
        <v>14</v>
      </c>
      <c r="B828" t="s">
        <v>18</v>
      </c>
      <c r="C828">
        <v>1564000</v>
      </c>
      <c r="D828">
        <v>1421000</v>
      </c>
      <c r="E828" t="str">
        <f>VLOOKUP(B828,Лист2!A:E,5,0)</f>
        <v>малые</v>
      </c>
      <c r="F828">
        <f>VLOOKUP(B828,Лист2!A:E,4,0)</f>
        <v>2.5</v>
      </c>
      <c r="G828">
        <f t="shared" si="54"/>
        <v>143000</v>
      </c>
      <c r="H828">
        <f t="shared" si="55"/>
        <v>625600</v>
      </c>
      <c r="I828">
        <f t="shared" si="56"/>
        <v>57200</v>
      </c>
    </row>
    <row r="829" spans="1:9">
      <c r="A829" t="s">
        <v>14</v>
      </c>
      <c r="B829" t="s">
        <v>18</v>
      </c>
      <c r="C829">
        <v>3000</v>
      </c>
      <c r="D829">
        <v>6000</v>
      </c>
      <c r="E829" t="str">
        <f>VLOOKUP(B829,Лист2!A:E,5,0)</f>
        <v>малые</v>
      </c>
      <c r="F829">
        <f>VLOOKUP(B829,Лист2!A:E,4,0)</f>
        <v>2.5</v>
      </c>
      <c r="G829">
        <f t="shared" ref="G829:G865" si="57">C829-D829</f>
        <v>-3000</v>
      </c>
      <c r="H829">
        <f t="shared" ref="H829:H865" si="58">C829/F829</f>
        <v>1200</v>
      </c>
      <c r="I829">
        <f t="shared" ref="I829:I865" si="59">G829/F829</f>
        <v>-1200</v>
      </c>
    </row>
    <row r="830" spans="1:9">
      <c r="A830" t="s">
        <v>25</v>
      </c>
      <c r="B830" t="s">
        <v>18</v>
      </c>
      <c r="C830">
        <v>642000</v>
      </c>
      <c r="D830">
        <v>642000</v>
      </c>
      <c r="E830" t="str">
        <f>VLOOKUP(B830,Лист2!A:E,5,0)</f>
        <v>малые</v>
      </c>
      <c r="F830">
        <f>VLOOKUP(B830,Лист2!A:E,4,0)</f>
        <v>2.5</v>
      </c>
      <c r="G830">
        <f t="shared" si="57"/>
        <v>0</v>
      </c>
      <c r="H830">
        <f t="shared" si="58"/>
        <v>256800</v>
      </c>
      <c r="I830">
        <f t="shared" si="59"/>
        <v>0</v>
      </c>
    </row>
    <row r="831" spans="1:9">
      <c r="A831" t="s">
        <v>14</v>
      </c>
      <c r="B831" t="s">
        <v>18</v>
      </c>
      <c r="C831">
        <v>38981000</v>
      </c>
      <c r="D831">
        <v>39707000</v>
      </c>
      <c r="E831" t="str">
        <f>VLOOKUP(B831,Лист2!A:E,5,0)</f>
        <v>малые</v>
      </c>
      <c r="F831">
        <f>VLOOKUP(B831,Лист2!A:E,4,0)</f>
        <v>2.5</v>
      </c>
      <c r="G831">
        <f t="shared" si="57"/>
        <v>-726000</v>
      </c>
      <c r="H831">
        <f t="shared" si="58"/>
        <v>15592400</v>
      </c>
      <c r="I831">
        <f t="shared" si="59"/>
        <v>-290400</v>
      </c>
    </row>
    <row r="832" spans="1:9">
      <c r="A832" t="s">
        <v>14</v>
      </c>
      <c r="B832" t="s">
        <v>18</v>
      </c>
      <c r="C832">
        <v>963000</v>
      </c>
      <c r="D832">
        <v>1021000</v>
      </c>
      <c r="E832" t="str">
        <f>VLOOKUP(B832,Лист2!A:E,5,0)</f>
        <v>малые</v>
      </c>
      <c r="F832">
        <f>VLOOKUP(B832,Лист2!A:E,4,0)</f>
        <v>2.5</v>
      </c>
      <c r="G832">
        <f t="shared" si="57"/>
        <v>-58000</v>
      </c>
      <c r="H832">
        <f t="shared" si="58"/>
        <v>385200</v>
      </c>
      <c r="I832">
        <f t="shared" si="59"/>
        <v>-23200</v>
      </c>
    </row>
    <row r="833" spans="1:9">
      <c r="A833" t="s">
        <v>14</v>
      </c>
      <c r="B833" t="s">
        <v>18</v>
      </c>
      <c r="C833">
        <v>2827000</v>
      </c>
      <c r="D833">
        <v>2540000</v>
      </c>
      <c r="E833" t="str">
        <f>VLOOKUP(B833,Лист2!A:E,5,0)</f>
        <v>малые</v>
      </c>
      <c r="F833">
        <f>VLOOKUP(B833,Лист2!A:E,4,0)</f>
        <v>2.5</v>
      </c>
      <c r="G833">
        <f t="shared" si="57"/>
        <v>287000</v>
      </c>
      <c r="H833">
        <f t="shared" si="58"/>
        <v>1130800</v>
      </c>
      <c r="I833">
        <f t="shared" si="59"/>
        <v>114800</v>
      </c>
    </row>
    <row r="834" spans="1:9">
      <c r="A834" t="s">
        <v>14</v>
      </c>
      <c r="B834" t="s">
        <v>18</v>
      </c>
      <c r="C834">
        <v>23000</v>
      </c>
      <c r="D834">
        <v>62000</v>
      </c>
      <c r="E834" t="str">
        <f>VLOOKUP(B834,Лист2!A:E,5,0)</f>
        <v>малые</v>
      </c>
      <c r="F834">
        <f>VLOOKUP(B834,Лист2!A:E,4,0)</f>
        <v>2.5</v>
      </c>
      <c r="G834">
        <f t="shared" si="57"/>
        <v>-39000</v>
      </c>
      <c r="H834">
        <f t="shared" si="58"/>
        <v>9200</v>
      </c>
      <c r="I834">
        <f t="shared" si="59"/>
        <v>-15600</v>
      </c>
    </row>
    <row r="835" spans="1:9">
      <c r="A835" t="s">
        <v>14</v>
      </c>
      <c r="B835" t="s">
        <v>18</v>
      </c>
      <c r="C835">
        <v>7537000</v>
      </c>
      <c r="D835">
        <v>6875000</v>
      </c>
      <c r="E835" t="str">
        <f>VLOOKUP(B835,Лист2!A:E,5,0)</f>
        <v>малые</v>
      </c>
      <c r="F835">
        <f>VLOOKUP(B835,Лист2!A:E,4,0)</f>
        <v>2.5</v>
      </c>
      <c r="G835">
        <f t="shared" si="57"/>
        <v>662000</v>
      </c>
      <c r="H835">
        <f t="shared" si="58"/>
        <v>3014800</v>
      </c>
      <c r="I835">
        <f t="shared" si="59"/>
        <v>264800</v>
      </c>
    </row>
    <row r="836" spans="1:9">
      <c r="A836" t="s">
        <v>249</v>
      </c>
      <c r="B836" t="s">
        <v>18</v>
      </c>
      <c r="C836">
        <v>202000</v>
      </c>
      <c r="D836">
        <v>187000</v>
      </c>
      <c r="E836" t="str">
        <f>VLOOKUP(B836,Лист2!A:E,5,0)</f>
        <v>малые</v>
      </c>
      <c r="F836">
        <f>VLOOKUP(B836,Лист2!A:E,4,0)</f>
        <v>2.5</v>
      </c>
      <c r="G836">
        <f t="shared" si="57"/>
        <v>15000</v>
      </c>
      <c r="H836">
        <f t="shared" si="58"/>
        <v>80800</v>
      </c>
      <c r="I836">
        <f t="shared" si="59"/>
        <v>6000</v>
      </c>
    </row>
    <row r="837" spans="1:9">
      <c r="A837" t="s">
        <v>14</v>
      </c>
      <c r="B837" t="s">
        <v>18</v>
      </c>
      <c r="C837">
        <v>69000</v>
      </c>
      <c r="D837">
        <v>54000</v>
      </c>
      <c r="E837" t="str">
        <f>VLOOKUP(B837,Лист2!A:E,5,0)</f>
        <v>малые</v>
      </c>
      <c r="F837">
        <f>VLOOKUP(B837,Лист2!A:E,4,0)</f>
        <v>2.5</v>
      </c>
      <c r="G837">
        <f t="shared" si="57"/>
        <v>15000</v>
      </c>
      <c r="H837">
        <f t="shared" si="58"/>
        <v>27600</v>
      </c>
      <c r="I837">
        <f t="shared" si="59"/>
        <v>6000</v>
      </c>
    </row>
    <row r="838" spans="1:9">
      <c r="A838" t="s">
        <v>249</v>
      </c>
      <c r="B838" t="s">
        <v>18</v>
      </c>
      <c r="C838">
        <v>15000</v>
      </c>
      <c r="D838">
        <v>15000</v>
      </c>
      <c r="E838" t="str">
        <f>VLOOKUP(B838,Лист2!A:E,5,0)</f>
        <v>малые</v>
      </c>
      <c r="F838">
        <f>VLOOKUP(B838,Лист2!A:E,4,0)</f>
        <v>2.5</v>
      </c>
      <c r="G838">
        <f t="shared" si="57"/>
        <v>0</v>
      </c>
      <c r="H838">
        <f t="shared" si="58"/>
        <v>6000</v>
      </c>
      <c r="I838">
        <f t="shared" si="59"/>
        <v>0</v>
      </c>
    </row>
    <row r="839" spans="1:9">
      <c r="A839" t="s">
        <v>14</v>
      </c>
      <c r="B839" t="s">
        <v>22</v>
      </c>
      <c r="C839">
        <v>1102000</v>
      </c>
      <c r="D839">
        <v>251000</v>
      </c>
      <c r="E839" t="str">
        <f>VLOOKUP(B839,Лист2!A:E,5,0)</f>
        <v>малые</v>
      </c>
      <c r="F839">
        <f>VLOOKUP(B839,Лист2!A:E,4,0)</f>
        <v>13</v>
      </c>
      <c r="G839">
        <f t="shared" si="57"/>
        <v>851000</v>
      </c>
      <c r="H839">
        <f t="shared" si="58"/>
        <v>84769.230769230766</v>
      </c>
      <c r="I839">
        <f t="shared" si="59"/>
        <v>65461.538461538461</v>
      </c>
    </row>
    <row r="840" spans="1:9">
      <c r="A840" t="s">
        <v>14</v>
      </c>
      <c r="B840" t="s">
        <v>18</v>
      </c>
      <c r="C840">
        <v>2280000</v>
      </c>
      <c r="D840">
        <v>2807000</v>
      </c>
      <c r="E840" t="str">
        <f>VLOOKUP(B840,Лист2!A:E,5,0)</f>
        <v>малые</v>
      </c>
      <c r="F840">
        <f>VLOOKUP(B840,Лист2!A:E,4,0)</f>
        <v>2.5</v>
      </c>
      <c r="G840">
        <f t="shared" si="57"/>
        <v>-527000</v>
      </c>
      <c r="H840">
        <f t="shared" si="58"/>
        <v>912000</v>
      </c>
      <c r="I840">
        <f t="shared" si="59"/>
        <v>-210800</v>
      </c>
    </row>
    <row r="841" spans="1:9">
      <c r="A841" t="s">
        <v>14</v>
      </c>
      <c r="B841" t="s">
        <v>18</v>
      </c>
      <c r="C841">
        <v>4000</v>
      </c>
      <c r="D841">
        <v>5000</v>
      </c>
      <c r="E841" t="str">
        <f>VLOOKUP(B841,Лист2!A:E,5,0)</f>
        <v>малые</v>
      </c>
      <c r="F841">
        <f>VLOOKUP(B841,Лист2!A:E,4,0)</f>
        <v>2.5</v>
      </c>
      <c r="G841">
        <f t="shared" si="57"/>
        <v>-1000</v>
      </c>
      <c r="H841">
        <f t="shared" si="58"/>
        <v>1600</v>
      </c>
      <c r="I841">
        <f t="shared" si="59"/>
        <v>-400</v>
      </c>
    </row>
    <row r="842" spans="1:9">
      <c r="A842" t="s">
        <v>25</v>
      </c>
      <c r="B842" t="s">
        <v>18</v>
      </c>
      <c r="C842">
        <v>143000</v>
      </c>
      <c r="D842">
        <v>144000</v>
      </c>
      <c r="E842" t="str">
        <f>VLOOKUP(B842,Лист2!A:E,5,0)</f>
        <v>малые</v>
      </c>
      <c r="F842">
        <f>VLOOKUP(B842,Лист2!A:E,4,0)</f>
        <v>2.5</v>
      </c>
      <c r="G842">
        <f t="shared" si="57"/>
        <v>-1000</v>
      </c>
      <c r="H842">
        <f t="shared" si="58"/>
        <v>57200</v>
      </c>
      <c r="I842">
        <f t="shared" si="59"/>
        <v>-400</v>
      </c>
    </row>
    <row r="843" spans="1:9">
      <c r="A843" t="s">
        <v>14</v>
      </c>
      <c r="B843" t="s">
        <v>18</v>
      </c>
      <c r="C843">
        <v>1459000</v>
      </c>
      <c r="D843">
        <v>1518000</v>
      </c>
      <c r="E843" t="str">
        <f>VLOOKUP(B843,Лист2!A:E,5,0)</f>
        <v>малые</v>
      </c>
      <c r="F843">
        <f>VLOOKUP(B843,Лист2!A:E,4,0)</f>
        <v>2.5</v>
      </c>
      <c r="G843">
        <f t="shared" si="57"/>
        <v>-59000</v>
      </c>
      <c r="H843">
        <f t="shared" si="58"/>
        <v>583600</v>
      </c>
      <c r="I843">
        <f t="shared" si="59"/>
        <v>-23600</v>
      </c>
    </row>
    <row r="844" spans="1:9">
      <c r="A844" t="s">
        <v>14</v>
      </c>
      <c r="B844" t="s">
        <v>18</v>
      </c>
      <c r="C844">
        <v>4968000</v>
      </c>
      <c r="D844">
        <v>4887000</v>
      </c>
      <c r="E844" t="str">
        <f>VLOOKUP(B844,Лист2!A:E,5,0)</f>
        <v>малые</v>
      </c>
      <c r="F844">
        <f>VLOOKUP(B844,Лист2!A:E,4,0)</f>
        <v>2.5</v>
      </c>
      <c r="G844">
        <f t="shared" si="57"/>
        <v>81000</v>
      </c>
      <c r="H844">
        <f t="shared" si="58"/>
        <v>1987200</v>
      </c>
      <c r="I844">
        <f t="shared" si="59"/>
        <v>32400</v>
      </c>
    </row>
    <row r="845" spans="1:9">
      <c r="A845" t="s">
        <v>14</v>
      </c>
      <c r="B845" t="s">
        <v>18</v>
      </c>
      <c r="C845">
        <v>3048000</v>
      </c>
      <c r="D845">
        <v>2847000</v>
      </c>
      <c r="E845" t="str">
        <f>VLOOKUP(B845,Лист2!A:E,5,0)</f>
        <v>малые</v>
      </c>
      <c r="F845">
        <f>VLOOKUP(B845,Лист2!A:E,4,0)</f>
        <v>2.5</v>
      </c>
      <c r="G845">
        <f t="shared" si="57"/>
        <v>201000</v>
      </c>
      <c r="H845">
        <f t="shared" si="58"/>
        <v>1219200</v>
      </c>
      <c r="I845">
        <f t="shared" si="59"/>
        <v>80400</v>
      </c>
    </row>
    <row r="846" spans="1:9">
      <c r="A846" t="s">
        <v>14</v>
      </c>
      <c r="B846" t="s">
        <v>18</v>
      </c>
      <c r="C846">
        <v>461000</v>
      </c>
      <c r="D846">
        <v>461000</v>
      </c>
      <c r="E846" t="str">
        <f>VLOOKUP(B846,Лист2!A:E,5,0)</f>
        <v>малые</v>
      </c>
      <c r="F846">
        <f>VLOOKUP(B846,Лист2!A:E,4,0)</f>
        <v>2.5</v>
      </c>
      <c r="G846">
        <f t="shared" si="57"/>
        <v>0</v>
      </c>
      <c r="H846">
        <f t="shared" si="58"/>
        <v>184400</v>
      </c>
      <c r="I846">
        <f t="shared" si="59"/>
        <v>0</v>
      </c>
    </row>
    <row r="847" spans="1:9">
      <c r="A847" t="s">
        <v>14</v>
      </c>
      <c r="B847" t="s">
        <v>18</v>
      </c>
      <c r="C847">
        <v>5094000</v>
      </c>
      <c r="D847">
        <v>5109000</v>
      </c>
      <c r="E847" t="str">
        <f>VLOOKUP(B847,Лист2!A:E,5,0)</f>
        <v>малые</v>
      </c>
      <c r="F847">
        <f>VLOOKUP(B847,Лист2!A:E,4,0)</f>
        <v>2.5</v>
      </c>
      <c r="G847">
        <f t="shared" si="57"/>
        <v>-15000</v>
      </c>
      <c r="H847">
        <f t="shared" si="58"/>
        <v>2037600</v>
      </c>
      <c r="I847">
        <f t="shared" si="59"/>
        <v>-6000</v>
      </c>
    </row>
    <row r="848" spans="1:9">
      <c r="A848" t="s">
        <v>25</v>
      </c>
      <c r="B848" t="s">
        <v>18</v>
      </c>
      <c r="C848">
        <v>25000</v>
      </c>
      <c r="D848">
        <v>25000</v>
      </c>
      <c r="E848" t="str">
        <f>VLOOKUP(B848,Лист2!A:E,5,0)</f>
        <v>малые</v>
      </c>
      <c r="F848">
        <f>VLOOKUP(B848,Лист2!A:E,4,0)</f>
        <v>2.5</v>
      </c>
      <c r="G848">
        <f t="shared" si="57"/>
        <v>0</v>
      </c>
      <c r="H848">
        <f t="shared" si="58"/>
        <v>10000</v>
      </c>
      <c r="I848">
        <f t="shared" si="59"/>
        <v>0</v>
      </c>
    </row>
    <row r="849" spans="1:9">
      <c r="A849" t="s">
        <v>14</v>
      </c>
      <c r="B849" t="s">
        <v>18</v>
      </c>
      <c r="C849">
        <v>192000</v>
      </c>
      <c r="D849">
        <v>232000</v>
      </c>
      <c r="E849" t="str">
        <f>VLOOKUP(B849,Лист2!A:E,5,0)</f>
        <v>малые</v>
      </c>
      <c r="F849">
        <f>VLOOKUP(B849,Лист2!A:E,4,0)</f>
        <v>2.5</v>
      </c>
      <c r="G849">
        <f t="shared" si="57"/>
        <v>-40000</v>
      </c>
      <c r="H849">
        <f t="shared" si="58"/>
        <v>76800</v>
      </c>
      <c r="I849">
        <f t="shared" si="59"/>
        <v>-16000</v>
      </c>
    </row>
    <row r="850" spans="1:9">
      <c r="A850" t="s">
        <v>14</v>
      </c>
      <c r="B850" t="s">
        <v>18</v>
      </c>
      <c r="C850">
        <v>29000</v>
      </c>
      <c r="D850">
        <v>38000</v>
      </c>
      <c r="E850" t="str">
        <f>VLOOKUP(B850,Лист2!A:E,5,0)</f>
        <v>малые</v>
      </c>
      <c r="F850">
        <f>VLOOKUP(B850,Лист2!A:E,4,0)</f>
        <v>2.5</v>
      </c>
      <c r="G850">
        <f t="shared" si="57"/>
        <v>-9000</v>
      </c>
      <c r="H850">
        <f t="shared" si="58"/>
        <v>11600</v>
      </c>
      <c r="I850">
        <f t="shared" si="59"/>
        <v>-3600</v>
      </c>
    </row>
    <row r="851" spans="1:9">
      <c r="A851" t="s">
        <v>14</v>
      </c>
      <c r="B851" t="s">
        <v>18</v>
      </c>
      <c r="C851">
        <v>409578000</v>
      </c>
      <c r="D851">
        <v>418186000</v>
      </c>
      <c r="E851" t="str">
        <f>VLOOKUP(B851,Лист2!A:E,5,0)</f>
        <v>малые</v>
      </c>
      <c r="F851">
        <f>VLOOKUP(B851,Лист2!A:E,4,0)</f>
        <v>2.5</v>
      </c>
      <c r="G851">
        <f t="shared" si="57"/>
        <v>-8608000</v>
      </c>
      <c r="H851">
        <f t="shared" si="58"/>
        <v>163831200</v>
      </c>
      <c r="I851">
        <f t="shared" si="59"/>
        <v>-3443200</v>
      </c>
    </row>
    <row r="852" spans="1:9">
      <c r="A852" t="s">
        <v>14</v>
      </c>
      <c r="B852" t="s">
        <v>18</v>
      </c>
      <c r="C852">
        <v>671000</v>
      </c>
      <c r="D852">
        <v>751000</v>
      </c>
      <c r="E852" t="str">
        <f>VLOOKUP(B852,Лист2!A:E,5,0)</f>
        <v>малые</v>
      </c>
      <c r="F852">
        <f>VLOOKUP(B852,Лист2!A:E,4,0)</f>
        <v>2.5</v>
      </c>
      <c r="G852">
        <f t="shared" si="57"/>
        <v>-80000</v>
      </c>
      <c r="H852">
        <f t="shared" si="58"/>
        <v>268400</v>
      </c>
      <c r="I852">
        <f t="shared" si="59"/>
        <v>-32000</v>
      </c>
    </row>
    <row r="853" spans="1:9">
      <c r="A853" t="s">
        <v>14</v>
      </c>
      <c r="B853" t="s">
        <v>18</v>
      </c>
      <c r="C853">
        <v>4842000</v>
      </c>
      <c r="D853">
        <v>4934000</v>
      </c>
      <c r="E853" t="str">
        <f>VLOOKUP(B853,Лист2!A:E,5,0)</f>
        <v>малые</v>
      </c>
      <c r="F853">
        <f>VLOOKUP(B853,Лист2!A:E,4,0)</f>
        <v>2.5</v>
      </c>
      <c r="G853">
        <f t="shared" si="57"/>
        <v>-92000</v>
      </c>
      <c r="H853">
        <f t="shared" si="58"/>
        <v>1936800</v>
      </c>
      <c r="I853">
        <f t="shared" si="59"/>
        <v>-36800</v>
      </c>
    </row>
    <row r="854" spans="1:9">
      <c r="A854" t="s">
        <v>14</v>
      </c>
      <c r="B854" t="s">
        <v>18</v>
      </c>
      <c r="C854">
        <v>27604000</v>
      </c>
      <c r="D854">
        <v>28159000</v>
      </c>
      <c r="E854" t="str">
        <f>VLOOKUP(B854,Лист2!A:E,5,0)</f>
        <v>малые</v>
      </c>
      <c r="F854">
        <f>VLOOKUP(B854,Лист2!A:E,4,0)</f>
        <v>2.5</v>
      </c>
      <c r="G854">
        <f t="shared" si="57"/>
        <v>-555000</v>
      </c>
      <c r="H854">
        <f t="shared" si="58"/>
        <v>11041600</v>
      </c>
      <c r="I854">
        <f t="shared" si="59"/>
        <v>-222000</v>
      </c>
    </row>
    <row r="855" spans="1:9">
      <c r="A855" t="s">
        <v>25</v>
      </c>
      <c r="B855" t="s">
        <v>18</v>
      </c>
      <c r="C855">
        <v>798270000</v>
      </c>
      <c r="D855">
        <v>790904000</v>
      </c>
      <c r="E855" t="str">
        <f>VLOOKUP(B855,Лист2!A:E,5,0)</f>
        <v>малые</v>
      </c>
      <c r="F855">
        <f>VLOOKUP(B855,Лист2!A:E,4,0)</f>
        <v>2.5</v>
      </c>
      <c r="G855">
        <f t="shared" si="57"/>
        <v>7366000</v>
      </c>
      <c r="H855">
        <f t="shared" si="58"/>
        <v>319308000</v>
      </c>
      <c r="I855">
        <f t="shared" si="59"/>
        <v>2946400</v>
      </c>
    </row>
    <row r="856" spans="1:9">
      <c r="A856" t="s">
        <v>14</v>
      </c>
      <c r="B856" t="s">
        <v>18</v>
      </c>
      <c r="C856">
        <v>200000</v>
      </c>
      <c r="D856">
        <v>5000</v>
      </c>
      <c r="E856" t="str">
        <f>VLOOKUP(B856,Лист2!A:E,5,0)</f>
        <v>малые</v>
      </c>
      <c r="F856">
        <f>VLOOKUP(B856,Лист2!A:E,4,0)</f>
        <v>2.5</v>
      </c>
      <c r="G856">
        <f t="shared" si="57"/>
        <v>195000</v>
      </c>
      <c r="H856">
        <f t="shared" si="58"/>
        <v>80000</v>
      </c>
      <c r="I856">
        <f t="shared" si="59"/>
        <v>78000</v>
      </c>
    </row>
    <row r="857" spans="1:9">
      <c r="A857" t="s">
        <v>14</v>
      </c>
      <c r="B857" t="s">
        <v>18</v>
      </c>
      <c r="C857">
        <v>326000</v>
      </c>
      <c r="D857">
        <v>347000</v>
      </c>
      <c r="E857" t="str">
        <f>VLOOKUP(B857,Лист2!A:E,5,0)</f>
        <v>малые</v>
      </c>
      <c r="F857">
        <f>VLOOKUP(B857,Лист2!A:E,4,0)</f>
        <v>2.5</v>
      </c>
      <c r="G857">
        <f t="shared" si="57"/>
        <v>-21000</v>
      </c>
      <c r="H857">
        <f t="shared" si="58"/>
        <v>130400</v>
      </c>
      <c r="I857">
        <f t="shared" si="59"/>
        <v>-8400</v>
      </c>
    </row>
    <row r="858" spans="1:9">
      <c r="A858" t="s">
        <v>14</v>
      </c>
      <c r="B858" t="s">
        <v>18</v>
      </c>
      <c r="C858">
        <v>6788000</v>
      </c>
      <c r="D858">
        <v>6813000</v>
      </c>
      <c r="E858" t="str">
        <f>VLOOKUP(B858,Лист2!A:E,5,0)</f>
        <v>малые</v>
      </c>
      <c r="F858">
        <f>VLOOKUP(B858,Лист2!A:E,4,0)</f>
        <v>2.5</v>
      </c>
      <c r="G858">
        <f t="shared" si="57"/>
        <v>-25000</v>
      </c>
      <c r="H858">
        <f t="shared" si="58"/>
        <v>2715200</v>
      </c>
      <c r="I858">
        <f t="shared" si="59"/>
        <v>-10000</v>
      </c>
    </row>
    <row r="859" spans="1:9">
      <c r="A859" t="s">
        <v>14</v>
      </c>
      <c r="B859" t="s">
        <v>18</v>
      </c>
      <c r="C859">
        <v>19555000</v>
      </c>
      <c r="D859">
        <v>19578000</v>
      </c>
      <c r="E859" t="str">
        <f>VLOOKUP(B859,Лист2!A:E,5,0)</f>
        <v>малые</v>
      </c>
      <c r="F859">
        <f>VLOOKUP(B859,Лист2!A:E,4,0)</f>
        <v>2.5</v>
      </c>
      <c r="G859">
        <f t="shared" si="57"/>
        <v>-23000</v>
      </c>
      <c r="H859">
        <f t="shared" si="58"/>
        <v>7822000</v>
      </c>
      <c r="I859">
        <f t="shared" si="59"/>
        <v>-9200</v>
      </c>
    </row>
    <row r="860" spans="1:9">
      <c r="A860" t="s">
        <v>14</v>
      </c>
      <c r="B860" t="s">
        <v>18</v>
      </c>
      <c r="C860">
        <v>2398000</v>
      </c>
      <c r="D860">
        <v>2820000</v>
      </c>
      <c r="E860" t="str">
        <f>VLOOKUP(B860,Лист2!A:E,5,0)</f>
        <v>малые</v>
      </c>
      <c r="F860">
        <f>VLOOKUP(B860,Лист2!A:E,4,0)</f>
        <v>2.5</v>
      </c>
      <c r="G860">
        <f t="shared" si="57"/>
        <v>-422000</v>
      </c>
      <c r="H860">
        <f t="shared" si="58"/>
        <v>959200</v>
      </c>
      <c r="I860">
        <f t="shared" si="59"/>
        <v>-168800</v>
      </c>
    </row>
    <row r="861" spans="1:9">
      <c r="A861" t="s">
        <v>25</v>
      </c>
      <c r="B861" t="s">
        <v>18</v>
      </c>
      <c r="C861">
        <v>393000</v>
      </c>
      <c r="D861">
        <v>466000</v>
      </c>
      <c r="E861" t="str">
        <f>VLOOKUP(B861,Лист2!A:E,5,0)</f>
        <v>малые</v>
      </c>
      <c r="F861">
        <f>VLOOKUP(B861,Лист2!A:E,4,0)</f>
        <v>2.5</v>
      </c>
      <c r="G861">
        <f t="shared" si="57"/>
        <v>-73000</v>
      </c>
      <c r="H861">
        <f t="shared" si="58"/>
        <v>157200</v>
      </c>
      <c r="I861">
        <f t="shared" si="59"/>
        <v>-29200</v>
      </c>
    </row>
    <row r="862" spans="1:9">
      <c r="A862" t="s">
        <v>14</v>
      </c>
      <c r="B862" t="s">
        <v>18</v>
      </c>
      <c r="C862">
        <v>359000</v>
      </c>
      <c r="D862">
        <v>594000</v>
      </c>
      <c r="E862" t="str">
        <f>VLOOKUP(B862,Лист2!A:E,5,0)</f>
        <v>малые</v>
      </c>
      <c r="F862">
        <f>VLOOKUP(B862,Лист2!A:E,4,0)</f>
        <v>2.5</v>
      </c>
      <c r="G862">
        <f t="shared" si="57"/>
        <v>-235000</v>
      </c>
      <c r="H862">
        <f t="shared" si="58"/>
        <v>143600</v>
      </c>
      <c r="I862">
        <f t="shared" si="59"/>
        <v>-94000</v>
      </c>
    </row>
    <row r="863" spans="1:9">
      <c r="A863" t="s">
        <v>14</v>
      </c>
      <c r="B863" t="s">
        <v>18</v>
      </c>
      <c r="C863">
        <v>1313000</v>
      </c>
      <c r="D863">
        <v>1313000</v>
      </c>
      <c r="E863" t="str">
        <f>VLOOKUP(B863,Лист2!A:E,5,0)</f>
        <v>малые</v>
      </c>
      <c r="F863">
        <f>VLOOKUP(B863,Лист2!A:E,4,0)</f>
        <v>2.5</v>
      </c>
      <c r="G863">
        <f t="shared" si="57"/>
        <v>0</v>
      </c>
      <c r="H863">
        <f t="shared" si="58"/>
        <v>525200</v>
      </c>
      <c r="I863">
        <f t="shared" si="59"/>
        <v>0</v>
      </c>
    </row>
    <row r="864" spans="1:9">
      <c r="A864" t="s">
        <v>14</v>
      </c>
      <c r="B864" t="s">
        <v>18</v>
      </c>
      <c r="C864">
        <v>947000</v>
      </c>
      <c r="D864">
        <v>1105000</v>
      </c>
      <c r="E864" t="str">
        <f>VLOOKUP(B864,Лист2!A:E,5,0)</f>
        <v>малые</v>
      </c>
      <c r="F864">
        <f>VLOOKUP(B864,Лист2!A:E,4,0)</f>
        <v>2.5</v>
      </c>
      <c r="G864">
        <f t="shared" si="57"/>
        <v>-158000</v>
      </c>
      <c r="H864">
        <f t="shared" si="58"/>
        <v>378800</v>
      </c>
      <c r="I864">
        <f t="shared" si="59"/>
        <v>-63200</v>
      </c>
    </row>
    <row r="865" spans="1:9">
      <c r="A865" t="s">
        <v>14</v>
      </c>
      <c r="B865" t="s">
        <v>22</v>
      </c>
      <c r="C865">
        <v>8036000</v>
      </c>
      <c r="D865">
        <v>8036000</v>
      </c>
      <c r="E865" t="str">
        <f>VLOOKUP(B865,Лист2!A:E,5,0)</f>
        <v>малые</v>
      </c>
      <c r="F865">
        <f>VLOOKUP(B865,Лист2!A:E,4,0)</f>
        <v>13</v>
      </c>
      <c r="G865">
        <f t="shared" si="57"/>
        <v>0</v>
      </c>
      <c r="H865">
        <f t="shared" si="58"/>
        <v>618153.84615384613</v>
      </c>
      <c r="I865">
        <f t="shared" si="59"/>
        <v>0</v>
      </c>
    </row>
    <row r="866" spans="1:9">
      <c r="A866" t="s">
        <v>14</v>
      </c>
      <c r="B866" t="s">
        <v>18</v>
      </c>
      <c r="C866">
        <v>2640000</v>
      </c>
      <c r="D866">
        <v>2425000</v>
      </c>
      <c r="E866" t="str">
        <f>VLOOKUP(B866,Лист2!A:E,5,0)</f>
        <v>малые</v>
      </c>
      <c r="F866">
        <f>VLOOKUP(B866,Лист2!A:E,4,0)</f>
        <v>2.5</v>
      </c>
      <c r="G866">
        <f t="shared" ref="G866:G910" si="60">C866-D866</f>
        <v>215000</v>
      </c>
      <c r="H866">
        <f t="shared" ref="H866:H910" si="61">C866/F866</f>
        <v>1056000</v>
      </c>
      <c r="I866">
        <f t="shared" ref="I866:I910" si="62">G866/F866</f>
        <v>86000</v>
      </c>
    </row>
    <row r="867" spans="1:9">
      <c r="A867" t="s">
        <v>14</v>
      </c>
      <c r="B867" t="s">
        <v>77</v>
      </c>
      <c r="C867">
        <v>4913000</v>
      </c>
      <c r="D867">
        <v>3785000</v>
      </c>
      <c r="E867" t="str">
        <f>VLOOKUP(B867,Лист2!A:E,5,0)</f>
        <v>малые</v>
      </c>
      <c r="F867">
        <f>VLOOKUP(B867,Лист2!A:E,4,0)</f>
        <v>8</v>
      </c>
      <c r="G867">
        <f t="shared" si="60"/>
        <v>1128000</v>
      </c>
      <c r="H867">
        <f t="shared" si="61"/>
        <v>614125</v>
      </c>
      <c r="I867">
        <f t="shared" si="62"/>
        <v>141000</v>
      </c>
    </row>
    <row r="868" spans="1:9">
      <c r="A868" t="s">
        <v>25</v>
      </c>
      <c r="B868" t="s">
        <v>18</v>
      </c>
      <c r="C868">
        <v>624000</v>
      </c>
      <c r="D868">
        <v>8672000</v>
      </c>
      <c r="E868" t="str">
        <f>VLOOKUP(B868,Лист2!A:E,5,0)</f>
        <v>малые</v>
      </c>
      <c r="F868">
        <f>VLOOKUP(B868,Лист2!A:E,4,0)</f>
        <v>2.5</v>
      </c>
      <c r="G868">
        <f t="shared" si="60"/>
        <v>-8048000</v>
      </c>
      <c r="H868">
        <f t="shared" si="61"/>
        <v>249600</v>
      </c>
      <c r="I868">
        <f t="shared" si="62"/>
        <v>-3219200</v>
      </c>
    </row>
    <row r="869" spans="1:9">
      <c r="A869" t="s">
        <v>14</v>
      </c>
      <c r="B869" t="s">
        <v>18</v>
      </c>
      <c r="C869">
        <v>1534000</v>
      </c>
      <c r="D869">
        <v>2039000</v>
      </c>
      <c r="E869" t="str">
        <f>VLOOKUP(B869,Лист2!A:E,5,0)</f>
        <v>малые</v>
      </c>
      <c r="F869">
        <f>VLOOKUP(B869,Лист2!A:E,4,0)</f>
        <v>2.5</v>
      </c>
      <c r="G869">
        <f t="shared" si="60"/>
        <v>-505000</v>
      </c>
      <c r="H869">
        <f t="shared" si="61"/>
        <v>613600</v>
      </c>
      <c r="I869">
        <f t="shared" si="62"/>
        <v>-202000</v>
      </c>
    </row>
    <row r="870" spans="1:9">
      <c r="A870" t="s">
        <v>14</v>
      </c>
      <c r="B870" t="s">
        <v>18</v>
      </c>
      <c r="C870">
        <v>169000</v>
      </c>
      <c r="D870">
        <v>158000</v>
      </c>
      <c r="E870" t="str">
        <f>VLOOKUP(B870,Лист2!A:E,5,0)</f>
        <v>малые</v>
      </c>
      <c r="F870">
        <f>VLOOKUP(B870,Лист2!A:E,4,0)</f>
        <v>2.5</v>
      </c>
      <c r="G870">
        <f t="shared" si="60"/>
        <v>11000</v>
      </c>
      <c r="H870">
        <f t="shared" si="61"/>
        <v>67600</v>
      </c>
      <c r="I870">
        <f t="shared" si="62"/>
        <v>4400</v>
      </c>
    </row>
    <row r="871" spans="1:9">
      <c r="A871" t="s">
        <v>14</v>
      </c>
      <c r="B871" t="s">
        <v>18</v>
      </c>
      <c r="C871">
        <v>871000</v>
      </c>
      <c r="D871">
        <v>1027000</v>
      </c>
      <c r="E871" t="str">
        <f>VLOOKUP(B871,Лист2!A:E,5,0)</f>
        <v>малые</v>
      </c>
      <c r="F871">
        <f>VLOOKUP(B871,Лист2!A:E,4,0)</f>
        <v>2.5</v>
      </c>
      <c r="G871">
        <f t="shared" si="60"/>
        <v>-156000</v>
      </c>
      <c r="H871">
        <f t="shared" si="61"/>
        <v>348400</v>
      </c>
      <c r="I871">
        <f t="shared" si="62"/>
        <v>-62400</v>
      </c>
    </row>
    <row r="872" spans="1:9">
      <c r="A872" t="s">
        <v>25</v>
      </c>
      <c r="B872" t="s">
        <v>18</v>
      </c>
      <c r="C872">
        <v>670000</v>
      </c>
      <c r="D872">
        <v>564000</v>
      </c>
      <c r="E872" t="str">
        <f>VLOOKUP(B872,Лист2!A:E,5,0)</f>
        <v>малые</v>
      </c>
      <c r="F872">
        <f>VLOOKUP(B872,Лист2!A:E,4,0)</f>
        <v>2.5</v>
      </c>
      <c r="G872">
        <f t="shared" si="60"/>
        <v>106000</v>
      </c>
      <c r="H872">
        <f t="shared" si="61"/>
        <v>268000</v>
      </c>
      <c r="I872">
        <f t="shared" si="62"/>
        <v>42400</v>
      </c>
    </row>
    <row r="873" spans="1:9">
      <c r="A873" t="s">
        <v>14</v>
      </c>
      <c r="B873" t="s">
        <v>18</v>
      </c>
      <c r="C873">
        <v>904000</v>
      </c>
      <c r="D873">
        <v>1265000</v>
      </c>
      <c r="E873" t="str">
        <f>VLOOKUP(B873,Лист2!A:E,5,0)</f>
        <v>малые</v>
      </c>
      <c r="F873">
        <f>VLOOKUP(B873,Лист2!A:E,4,0)</f>
        <v>2.5</v>
      </c>
      <c r="G873">
        <f t="shared" si="60"/>
        <v>-361000</v>
      </c>
      <c r="H873">
        <f t="shared" si="61"/>
        <v>361600</v>
      </c>
      <c r="I873">
        <f t="shared" si="62"/>
        <v>-144400</v>
      </c>
    </row>
    <row r="874" spans="1:9">
      <c r="A874" t="s">
        <v>25</v>
      </c>
      <c r="B874" t="s">
        <v>77</v>
      </c>
      <c r="C874">
        <v>12400000</v>
      </c>
      <c r="D874">
        <v>11183000</v>
      </c>
      <c r="E874" t="str">
        <f>VLOOKUP(B874,Лист2!A:E,5,0)</f>
        <v>малые</v>
      </c>
      <c r="F874">
        <f>VLOOKUP(B874,Лист2!A:E,4,0)</f>
        <v>8</v>
      </c>
      <c r="G874">
        <f t="shared" si="60"/>
        <v>1217000</v>
      </c>
      <c r="H874">
        <f t="shared" si="61"/>
        <v>1550000</v>
      </c>
      <c r="I874">
        <f t="shared" si="62"/>
        <v>152125</v>
      </c>
    </row>
    <row r="875" spans="1:9">
      <c r="A875" t="s">
        <v>14</v>
      </c>
      <c r="B875" t="s">
        <v>77</v>
      </c>
      <c r="C875">
        <v>900000</v>
      </c>
      <c r="D875">
        <v>1257000</v>
      </c>
      <c r="E875" t="str">
        <f>VLOOKUP(B875,Лист2!A:E,5,0)</f>
        <v>малые</v>
      </c>
      <c r="F875">
        <f>VLOOKUP(B875,Лист2!A:E,4,0)</f>
        <v>8</v>
      </c>
      <c r="G875">
        <f t="shared" si="60"/>
        <v>-357000</v>
      </c>
      <c r="H875">
        <f t="shared" si="61"/>
        <v>112500</v>
      </c>
      <c r="I875">
        <f t="shared" si="62"/>
        <v>-44625</v>
      </c>
    </row>
    <row r="876" spans="1:9">
      <c r="A876" t="s">
        <v>25</v>
      </c>
      <c r="B876" t="s">
        <v>18</v>
      </c>
      <c r="C876">
        <v>345000</v>
      </c>
      <c r="D876">
        <v>345000</v>
      </c>
      <c r="E876" t="str">
        <f>VLOOKUP(B876,Лист2!A:E,5,0)</f>
        <v>малые</v>
      </c>
      <c r="F876">
        <f>VLOOKUP(B876,Лист2!A:E,4,0)</f>
        <v>2.5</v>
      </c>
      <c r="G876">
        <f t="shared" si="60"/>
        <v>0</v>
      </c>
      <c r="H876">
        <f t="shared" si="61"/>
        <v>138000</v>
      </c>
      <c r="I876">
        <f t="shared" si="62"/>
        <v>0</v>
      </c>
    </row>
    <row r="877" spans="1:9">
      <c r="A877" t="s">
        <v>14</v>
      </c>
      <c r="B877" t="s">
        <v>77</v>
      </c>
      <c r="C877">
        <v>37020000</v>
      </c>
      <c r="D877">
        <v>37016000</v>
      </c>
      <c r="E877" t="str">
        <f>VLOOKUP(B877,Лист2!A:E,5,0)</f>
        <v>малые</v>
      </c>
      <c r="F877">
        <f>VLOOKUP(B877,Лист2!A:E,4,0)</f>
        <v>8</v>
      </c>
      <c r="G877">
        <f t="shared" si="60"/>
        <v>4000</v>
      </c>
      <c r="H877">
        <f t="shared" si="61"/>
        <v>4627500</v>
      </c>
      <c r="I877">
        <f t="shared" si="62"/>
        <v>500</v>
      </c>
    </row>
    <row r="878" spans="1:9">
      <c r="A878" t="s">
        <v>25</v>
      </c>
      <c r="B878" t="s">
        <v>18</v>
      </c>
      <c r="C878">
        <v>478000</v>
      </c>
      <c r="D878">
        <v>541000</v>
      </c>
      <c r="E878" t="str">
        <f>VLOOKUP(B878,Лист2!A:E,5,0)</f>
        <v>малые</v>
      </c>
      <c r="F878">
        <f>VLOOKUP(B878,Лист2!A:E,4,0)</f>
        <v>2.5</v>
      </c>
      <c r="G878">
        <f t="shared" si="60"/>
        <v>-63000</v>
      </c>
      <c r="H878">
        <f t="shared" si="61"/>
        <v>191200</v>
      </c>
      <c r="I878">
        <f t="shared" si="62"/>
        <v>-25200</v>
      </c>
    </row>
    <row r="879" spans="1:9">
      <c r="A879" t="s">
        <v>14</v>
      </c>
      <c r="B879" t="s">
        <v>18</v>
      </c>
      <c r="C879">
        <v>3452000</v>
      </c>
      <c r="D879">
        <v>3449000</v>
      </c>
      <c r="E879" t="str">
        <f>VLOOKUP(B879,Лист2!A:E,5,0)</f>
        <v>малые</v>
      </c>
      <c r="F879">
        <f>VLOOKUP(B879,Лист2!A:E,4,0)</f>
        <v>2.5</v>
      </c>
      <c r="G879">
        <f t="shared" si="60"/>
        <v>3000</v>
      </c>
      <c r="H879">
        <f t="shared" si="61"/>
        <v>1380800</v>
      </c>
      <c r="I879">
        <f t="shared" si="62"/>
        <v>1200</v>
      </c>
    </row>
    <row r="880" spans="1:9">
      <c r="A880" t="s">
        <v>14</v>
      </c>
      <c r="B880" t="s">
        <v>22</v>
      </c>
      <c r="C880">
        <v>9470000</v>
      </c>
      <c r="D880">
        <v>9304000</v>
      </c>
      <c r="E880" t="str">
        <f>VLOOKUP(B880,Лист2!A:E,5,0)</f>
        <v>малые</v>
      </c>
      <c r="F880">
        <f>VLOOKUP(B880,Лист2!A:E,4,0)</f>
        <v>13</v>
      </c>
      <c r="G880">
        <f t="shared" si="60"/>
        <v>166000</v>
      </c>
      <c r="H880">
        <f t="shared" si="61"/>
        <v>728461.5384615385</v>
      </c>
      <c r="I880">
        <f t="shared" si="62"/>
        <v>12769.23076923077</v>
      </c>
    </row>
    <row r="881" spans="1:9">
      <c r="A881" t="s">
        <v>14</v>
      </c>
      <c r="B881" t="s">
        <v>18</v>
      </c>
      <c r="C881">
        <v>90000</v>
      </c>
      <c r="D881">
        <v>90000</v>
      </c>
      <c r="E881" t="str">
        <f>VLOOKUP(B881,Лист2!A:E,5,0)</f>
        <v>малые</v>
      </c>
      <c r="F881">
        <f>VLOOKUP(B881,Лист2!A:E,4,0)</f>
        <v>2.5</v>
      </c>
      <c r="G881">
        <f t="shared" si="60"/>
        <v>0</v>
      </c>
      <c r="H881">
        <f t="shared" si="61"/>
        <v>36000</v>
      </c>
      <c r="I881">
        <f t="shared" si="62"/>
        <v>0</v>
      </c>
    </row>
    <row r="882" spans="1:9">
      <c r="A882" t="s">
        <v>14</v>
      </c>
      <c r="B882" t="s">
        <v>18</v>
      </c>
      <c r="C882">
        <v>115108000</v>
      </c>
      <c r="D882">
        <v>89695000</v>
      </c>
      <c r="E882" t="str">
        <f>VLOOKUP(B882,Лист2!A:E,5,0)</f>
        <v>малые</v>
      </c>
      <c r="F882">
        <f>VLOOKUP(B882,Лист2!A:E,4,0)</f>
        <v>2.5</v>
      </c>
      <c r="G882">
        <f t="shared" si="60"/>
        <v>25413000</v>
      </c>
      <c r="H882">
        <f t="shared" si="61"/>
        <v>46043200</v>
      </c>
      <c r="I882">
        <f t="shared" si="62"/>
        <v>10165200</v>
      </c>
    </row>
    <row r="883" spans="1:9">
      <c r="A883" t="s">
        <v>14</v>
      </c>
      <c r="B883" t="s">
        <v>18</v>
      </c>
      <c r="C883">
        <v>4494000</v>
      </c>
      <c r="D883">
        <v>2542000</v>
      </c>
      <c r="E883" t="str">
        <f>VLOOKUP(B883,Лист2!A:E,5,0)</f>
        <v>малые</v>
      </c>
      <c r="F883">
        <f>VLOOKUP(B883,Лист2!A:E,4,0)</f>
        <v>2.5</v>
      </c>
      <c r="G883">
        <f t="shared" si="60"/>
        <v>1952000</v>
      </c>
      <c r="H883">
        <f t="shared" si="61"/>
        <v>1797600</v>
      </c>
      <c r="I883">
        <f t="shared" si="62"/>
        <v>780800</v>
      </c>
    </row>
    <row r="884" spans="1:9">
      <c r="A884" t="s">
        <v>14</v>
      </c>
      <c r="B884" t="s">
        <v>18</v>
      </c>
      <c r="C884">
        <v>4798000</v>
      </c>
      <c r="D884">
        <v>4766000</v>
      </c>
      <c r="E884" t="str">
        <f>VLOOKUP(B884,Лист2!A:E,5,0)</f>
        <v>малые</v>
      </c>
      <c r="F884">
        <f>VLOOKUP(B884,Лист2!A:E,4,0)</f>
        <v>2.5</v>
      </c>
      <c r="G884">
        <f t="shared" si="60"/>
        <v>32000</v>
      </c>
      <c r="H884">
        <f t="shared" si="61"/>
        <v>1919200</v>
      </c>
      <c r="I884">
        <f t="shared" si="62"/>
        <v>12800</v>
      </c>
    </row>
    <row r="885" spans="1:9">
      <c r="A885" t="s">
        <v>14</v>
      </c>
      <c r="B885" t="s">
        <v>18</v>
      </c>
      <c r="C885">
        <v>1286585000</v>
      </c>
      <c r="D885">
        <v>1336140000</v>
      </c>
      <c r="E885" t="str">
        <f>VLOOKUP(B885,Лист2!A:E,5,0)</f>
        <v>малые</v>
      </c>
      <c r="F885">
        <f>VLOOKUP(B885,Лист2!A:E,4,0)</f>
        <v>2.5</v>
      </c>
      <c r="G885">
        <f t="shared" si="60"/>
        <v>-49555000</v>
      </c>
      <c r="H885">
        <f t="shared" si="61"/>
        <v>514634000</v>
      </c>
      <c r="I885">
        <f t="shared" si="62"/>
        <v>-19822000</v>
      </c>
    </row>
    <row r="886" spans="1:9">
      <c r="A886" t="s">
        <v>14</v>
      </c>
      <c r="B886" t="s">
        <v>18</v>
      </c>
      <c r="C886">
        <v>5300000</v>
      </c>
      <c r="D886">
        <v>5977000</v>
      </c>
      <c r="E886" t="str">
        <f>VLOOKUP(B886,Лист2!A:E,5,0)</f>
        <v>малые</v>
      </c>
      <c r="F886">
        <f>VLOOKUP(B886,Лист2!A:E,4,0)</f>
        <v>2.5</v>
      </c>
      <c r="G886">
        <f t="shared" si="60"/>
        <v>-677000</v>
      </c>
      <c r="H886">
        <f t="shared" si="61"/>
        <v>2120000</v>
      </c>
      <c r="I886">
        <f t="shared" si="62"/>
        <v>-270800</v>
      </c>
    </row>
    <row r="887" spans="1:9">
      <c r="A887" t="s">
        <v>14</v>
      </c>
      <c r="B887" t="s">
        <v>18</v>
      </c>
      <c r="C887">
        <v>1686000</v>
      </c>
      <c r="D887">
        <v>1252000</v>
      </c>
      <c r="E887" t="str">
        <f>VLOOKUP(B887,Лист2!A:E,5,0)</f>
        <v>малые</v>
      </c>
      <c r="F887">
        <f>VLOOKUP(B887,Лист2!A:E,4,0)</f>
        <v>2.5</v>
      </c>
      <c r="G887">
        <f t="shared" si="60"/>
        <v>434000</v>
      </c>
      <c r="H887">
        <f t="shared" si="61"/>
        <v>674400</v>
      </c>
      <c r="I887">
        <f t="shared" si="62"/>
        <v>173600</v>
      </c>
    </row>
    <row r="888" spans="1:9">
      <c r="A888" t="s">
        <v>14</v>
      </c>
      <c r="B888" t="s">
        <v>18</v>
      </c>
      <c r="C888">
        <v>271000</v>
      </c>
      <c r="D888">
        <v>733000</v>
      </c>
      <c r="E888" t="str">
        <f>VLOOKUP(B888,Лист2!A:E,5,0)</f>
        <v>малые</v>
      </c>
      <c r="F888">
        <f>VLOOKUP(B888,Лист2!A:E,4,0)</f>
        <v>2.5</v>
      </c>
      <c r="G888">
        <f t="shared" si="60"/>
        <v>-462000</v>
      </c>
      <c r="H888">
        <f t="shared" si="61"/>
        <v>108400</v>
      </c>
      <c r="I888">
        <f t="shared" si="62"/>
        <v>-184800</v>
      </c>
    </row>
    <row r="889" spans="1:9">
      <c r="A889" t="s">
        <v>14</v>
      </c>
      <c r="B889" t="s">
        <v>18</v>
      </c>
      <c r="C889">
        <v>10006000</v>
      </c>
      <c r="D889">
        <v>10159000</v>
      </c>
      <c r="E889" t="str">
        <f>VLOOKUP(B889,Лист2!A:E,5,0)</f>
        <v>малые</v>
      </c>
      <c r="F889">
        <f>VLOOKUP(B889,Лист2!A:E,4,0)</f>
        <v>2.5</v>
      </c>
      <c r="G889">
        <f t="shared" si="60"/>
        <v>-153000</v>
      </c>
      <c r="H889">
        <f t="shared" si="61"/>
        <v>4002400</v>
      </c>
      <c r="I889">
        <f t="shared" si="62"/>
        <v>-61200</v>
      </c>
    </row>
    <row r="890" spans="1:9">
      <c r="A890" t="s">
        <v>14</v>
      </c>
      <c r="B890" t="s">
        <v>77</v>
      </c>
      <c r="C890">
        <v>19750000</v>
      </c>
      <c r="D890">
        <v>91155000</v>
      </c>
      <c r="E890" t="str">
        <f>VLOOKUP(B890,Лист2!A:E,5,0)</f>
        <v>малые</v>
      </c>
      <c r="F890">
        <f>VLOOKUP(B890,Лист2!A:E,4,0)</f>
        <v>8</v>
      </c>
      <c r="G890">
        <f t="shared" si="60"/>
        <v>-71405000</v>
      </c>
      <c r="H890">
        <f t="shared" si="61"/>
        <v>2468750</v>
      </c>
      <c r="I890">
        <f t="shared" si="62"/>
        <v>-8925625</v>
      </c>
    </row>
    <row r="891" spans="1:9">
      <c r="A891" t="s">
        <v>14</v>
      </c>
      <c r="B891" t="s">
        <v>18</v>
      </c>
      <c r="C891">
        <v>1015000</v>
      </c>
      <c r="D891">
        <v>845000</v>
      </c>
      <c r="E891" t="str">
        <f>VLOOKUP(B891,Лист2!A:E,5,0)</f>
        <v>малые</v>
      </c>
      <c r="F891">
        <f>VLOOKUP(B891,Лист2!A:E,4,0)</f>
        <v>2.5</v>
      </c>
      <c r="G891">
        <f t="shared" si="60"/>
        <v>170000</v>
      </c>
      <c r="H891">
        <f t="shared" si="61"/>
        <v>406000</v>
      </c>
      <c r="I891">
        <f t="shared" si="62"/>
        <v>68000</v>
      </c>
    </row>
    <row r="892" spans="1:9">
      <c r="A892" t="s">
        <v>14</v>
      </c>
      <c r="B892" t="s">
        <v>18</v>
      </c>
      <c r="C892">
        <v>48581000</v>
      </c>
      <c r="D892">
        <v>48725000</v>
      </c>
      <c r="E892" t="str">
        <f>VLOOKUP(B892,Лист2!A:E,5,0)</f>
        <v>малые</v>
      </c>
      <c r="F892">
        <f>VLOOKUP(B892,Лист2!A:E,4,0)</f>
        <v>2.5</v>
      </c>
      <c r="G892">
        <f t="shared" si="60"/>
        <v>-144000</v>
      </c>
      <c r="H892">
        <f t="shared" si="61"/>
        <v>19432400</v>
      </c>
      <c r="I892">
        <f t="shared" si="62"/>
        <v>-57600</v>
      </c>
    </row>
    <row r="893" spans="1:9">
      <c r="A893" t="s">
        <v>14</v>
      </c>
      <c r="B893" t="s">
        <v>18</v>
      </c>
      <c r="C893">
        <v>2003000</v>
      </c>
      <c r="D893">
        <v>1860000</v>
      </c>
      <c r="E893" t="str">
        <f>VLOOKUP(B893,Лист2!A:E,5,0)</f>
        <v>малые</v>
      </c>
      <c r="F893">
        <f>VLOOKUP(B893,Лист2!A:E,4,0)</f>
        <v>2.5</v>
      </c>
      <c r="G893">
        <f t="shared" si="60"/>
        <v>143000</v>
      </c>
      <c r="H893">
        <f t="shared" si="61"/>
        <v>801200</v>
      </c>
      <c r="I893">
        <f t="shared" si="62"/>
        <v>57200</v>
      </c>
    </row>
    <row r="894" spans="1:9">
      <c r="A894" t="s">
        <v>25</v>
      </c>
      <c r="B894" t="s">
        <v>18</v>
      </c>
      <c r="C894">
        <v>603000</v>
      </c>
      <c r="D894">
        <v>640000</v>
      </c>
      <c r="E894" t="str">
        <f>VLOOKUP(B894,Лист2!A:E,5,0)</f>
        <v>малые</v>
      </c>
      <c r="F894">
        <f>VLOOKUP(B894,Лист2!A:E,4,0)</f>
        <v>2.5</v>
      </c>
      <c r="G894">
        <f t="shared" si="60"/>
        <v>-37000</v>
      </c>
      <c r="H894">
        <f t="shared" si="61"/>
        <v>241200</v>
      </c>
      <c r="I894">
        <f t="shared" si="62"/>
        <v>-14800</v>
      </c>
    </row>
    <row r="895" spans="1:9">
      <c r="A895" t="s">
        <v>14</v>
      </c>
      <c r="B895" t="s">
        <v>18</v>
      </c>
      <c r="C895">
        <v>2908000</v>
      </c>
      <c r="D895">
        <v>2907000</v>
      </c>
      <c r="E895" t="str">
        <f>VLOOKUP(B895,Лист2!A:E,5,0)</f>
        <v>малые</v>
      </c>
      <c r="F895">
        <f>VLOOKUP(B895,Лист2!A:E,4,0)</f>
        <v>2.5</v>
      </c>
      <c r="G895">
        <f t="shared" si="60"/>
        <v>1000</v>
      </c>
      <c r="H895">
        <f t="shared" si="61"/>
        <v>1163200</v>
      </c>
      <c r="I895">
        <f t="shared" si="62"/>
        <v>400</v>
      </c>
    </row>
    <row r="896" spans="1:9">
      <c r="A896" t="s">
        <v>14</v>
      </c>
      <c r="B896" t="s">
        <v>18</v>
      </c>
      <c r="C896">
        <v>1812000</v>
      </c>
      <c r="D896">
        <v>1601000</v>
      </c>
      <c r="E896" t="str">
        <f>VLOOKUP(B896,Лист2!A:E,5,0)</f>
        <v>малые</v>
      </c>
      <c r="F896">
        <f>VLOOKUP(B896,Лист2!A:E,4,0)</f>
        <v>2.5</v>
      </c>
      <c r="G896">
        <f t="shared" si="60"/>
        <v>211000</v>
      </c>
      <c r="H896">
        <f t="shared" si="61"/>
        <v>724800</v>
      </c>
      <c r="I896">
        <f t="shared" si="62"/>
        <v>84400</v>
      </c>
    </row>
    <row r="897" spans="1:9">
      <c r="A897" t="s">
        <v>14</v>
      </c>
      <c r="B897" t="s">
        <v>18</v>
      </c>
      <c r="C897">
        <v>2528000</v>
      </c>
      <c r="D897">
        <v>4761000</v>
      </c>
      <c r="E897" t="str">
        <f>VLOOKUP(B897,Лист2!A:E,5,0)</f>
        <v>малые</v>
      </c>
      <c r="F897">
        <f>VLOOKUP(B897,Лист2!A:E,4,0)</f>
        <v>2.5</v>
      </c>
      <c r="G897">
        <f t="shared" si="60"/>
        <v>-2233000</v>
      </c>
      <c r="H897">
        <f t="shared" si="61"/>
        <v>1011200</v>
      </c>
      <c r="I897">
        <f t="shared" si="62"/>
        <v>-893200</v>
      </c>
    </row>
    <row r="898" spans="1:9">
      <c r="A898" t="s">
        <v>14</v>
      </c>
      <c r="B898" t="s">
        <v>18</v>
      </c>
      <c r="C898">
        <v>100000</v>
      </c>
      <c r="D898">
        <v>100000</v>
      </c>
      <c r="E898" t="str">
        <f>VLOOKUP(B898,Лист2!A:E,5,0)</f>
        <v>малые</v>
      </c>
      <c r="F898">
        <f>VLOOKUP(B898,Лист2!A:E,4,0)</f>
        <v>2.5</v>
      </c>
      <c r="G898">
        <f t="shared" si="60"/>
        <v>0</v>
      </c>
      <c r="H898">
        <f t="shared" si="61"/>
        <v>40000</v>
      </c>
      <c r="I898">
        <f t="shared" si="62"/>
        <v>0</v>
      </c>
    </row>
    <row r="899" spans="1:9">
      <c r="A899" t="s">
        <v>14</v>
      </c>
      <c r="B899" t="s">
        <v>18</v>
      </c>
      <c r="C899">
        <v>890000</v>
      </c>
      <c r="D899">
        <v>970000</v>
      </c>
      <c r="E899" t="str">
        <f>VLOOKUP(B899,Лист2!A:E,5,0)</f>
        <v>малые</v>
      </c>
      <c r="F899">
        <f>VLOOKUP(B899,Лист2!A:E,4,0)</f>
        <v>2.5</v>
      </c>
      <c r="G899">
        <f t="shared" si="60"/>
        <v>-80000</v>
      </c>
      <c r="H899">
        <f t="shared" si="61"/>
        <v>356000</v>
      </c>
      <c r="I899">
        <f t="shared" si="62"/>
        <v>-32000</v>
      </c>
    </row>
    <row r="900" spans="1:9">
      <c r="A900" t="s">
        <v>14</v>
      </c>
      <c r="B900" t="s">
        <v>22</v>
      </c>
      <c r="C900">
        <v>57865000</v>
      </c>
      <c r="D900">
        <v>46818000</v>
      </c>
      <c r="E900" t="str">
        <f>VLOOKUP(B900,Лист2!A:E,5,0)</f>
        <v>малые</v>
      </c>
      <c r="F900">
        <f>VLOOKUP(B900,Лист2!A:E,4,0)</f>
        <v>13</v>
      </c>
      <c r="G900">
        <f t="shared" si="60"/>
        <v>11047000</v>
      </c>
      <c r="H900">
        <f t="shared" si="61"/>
        <v>4451153.846153846</v>
      </c>
      <c r="I900">
        <f t="shared" si="62"/>
        <v>849769.23076923075</v>
      </c>
    </row>
    <row r="901" spans="1:9">
      <c r="A901" t="s">
        <v>14</v>
      </c>
      <c r="B901" t="s">
        <v>18</v>
      </c>
      <c r="C901">
        <v>3000</v>
      </c>
      <c r="D901">
        <v>49000</v>
      </c>
      <c r="E901" t="str">
        <f>VLOOKUP(B901,Лист2!A:E,5,0)</f>
        <v>малые</v>
      </c>
      <c r="F901">
        <f>VLOOKUP(B901,Лист2!A:E,4,0)</f>
        <v>2.5</v>
      </c>
      <c r="G901">
        <f t="shared" si="60"/>
        <v>-46000</v>
      </c>
      <c r="H901">
        <f t="shared" si="61"/>
        <v>1200</v>
      </c>
      <c r="I901">
        <f t="shared" si="62"/>
        <v>-18400</v>
      </c>
    </row>
    <row r="902" spans="1:9">
      <c r="A902" t="s">
        <v>14</v>
      </c>
      <c r="B902" t="s">
        <v>18</v>
      </c>
      <c r="C902">
        <v>3288000</v>
      </c>
      <c r="D902">
        <v>3639000</v>
      </c>
      <c r="E902" t="str">
        <f>VLOOKUP(B902,Лист2!A:E,5,0)</f>
        <v>малые</v>
      </c>
      <c r="F902">
        <f>VLOOKUP(B902,Лист2!A:E,4,0)</f>
        <v>2.5</v>
      </c>
      <c r="G902">
        <f t="shared" si="60"/>
        <v>-351000</v>
      </c>
      <c r="H902">
        <f t="shared" si="61"/>
        <v>1315200</v>
      </c>
      <c r="I902">
        <f t="shared" si="62"/>
        <v>-140400</v>
      </c>
    </row>
    <row r="903" spans="1:9">
      <c r="A903" t="s">
        <v>25</v>
      </c>
      <c r="B903" t="s">
        <v>18</v>
      </c>
      <c r="C903">
        <v>302000</v>
      </c>
      <c r="D903">
        <v>302000</v>
      </c>
      <c r="E903" t="str">
        <f>VLOOKUP(B903,Лист2!A:E,5,0)</f>
        <v>малые</v>
      </c>
      <c r="F903">
        <f>VLOOKUP(B903,Лист2!A:E,4,0)</f>
        <v>2.5</v>
      </c>
      <c r="G903">
        <f t="shared" si="60"/>
        <v>0</v>
      </c>
      <c r="H903">
        <f t="shared" si="61"/>
        <v>120800</v>
      </c>
      <c r="I903">
        <f t="shared" si="62"/>
        <v>0</v>
      </c>
    </row>
    <row r="904" spans="1:9">
      <c r="A904" t="s">
        <v>14</v>
      </c>
      <c r="B904" t="s">
        <v>18</v>
      </c>
      <c r="C904">
        <v>166000</v>
      </c>
      <c r="D904">
        <v>177000</v>
      </c>
      <c r="E904" t="str">
        <f>VLOOKUP(B904,Лист2!A:E,5,0)</f>
        <v>малые</v>
      </c>
      <c r="F904">
        <f>VLOOKUP(B904,Лист2!A:E,4,0)</f>
        <v>2.5</v>
      </c>
      <c r="G904">
        <f t="shared" si="60"/>
        <v>-11000</v>
      </c>
      <c r="H904">
        <f t="shared" si="61"/>
        <v>66400</v>
      </c>
      <c r="I904">
        <f t="shared" si="62"/>
        <v>-4400</v>
      </c>
    </row>
    <row r="905" spans="1:9">
      <c r="A905" t="s">
        <v>25</v>
      </c>
      <c r="B905" t="s">
        <v>18</v>
      </c>
      <c r="C905">
        <v>2056000</v>
      </c>
      <c r="D905">
        <v>2054000</v>
      </c>
      <c r="E905" t="str">
        <f>VLOOKUP(B905,Лист2!A:E,5,0)</f>
        <v>малые</v>
      </c>
      <c r="F905">
        <f>VLOOKUP(B905,Лист2!A:E,4,0)</f>
        <v>2.5</v>
      </c>
      <c r="G905">
        <f t="shared" si="60"/>
        <v>2000</v>
      </c>
      <c r="H905">
        <f t="shared" si="61"/>
        <v>822400</v>
      </c>
      <c r="I905">
        <f t="shared" si="62"/>
        <v>800</v>
      </c>
    </row>
    <row r="906" spans="1:9">
      <c r="A906" t="s">
        <v>14</v>
      </c>
      <c r="B906" t="s">
        <v>77</v>
      </c>
      <c r="C906">
        <v>10406000</v>
      </c>
      <c r="D906">
        <v>10152000</v>
      </c>
      <c r="E906" t="str">
        <f>VLOOKUP(B906,Лист2!A:E,5,0)</f>
        <v>малые</v>
      </c>
      <c r="F906">
        <f>VLOOKUP(B906,Лист2!A:E,4,0)</f>
        <v>8</v>
      </c>
      <c r="G906">
        <f t="shared" si="60"/>
        <v>254000</v>
      </c>
      <c r="H906">
        <f t="shared" si="61"/>
        <v>1300750</v>
      </c>
      <c r="I906">
        <f t="shared" si="62"/>
        <v>31750</v>
      </c>
    </row>
    <row r="907" spans="1:9">
      <c r="A907" t="s">
        <v>14</v>
      </c>
      <c r="B907" t="s">
        <v>18</v>
      </c>
      <c r="C907">
        <v>568000</v>
      </c>
      <c r="D907">
        <v>552000</v>
      </c>
      <c r="E907" t="str">
        <f>VLOOKUP(B907,Лист2!A:E,5,0)</f>
        <v>малые</v>
      </c>
      <c r="F907">
        <f>VLOOKUP(B907,Лист2!A:E,4,0)</f>
        <v>2.5</v>
      </c>
      <c r="G907">
        <f t="shared" si="60"/>
        <v>16000</v>
      </c>
      <c r="H907">
        <f t="shared" si="61"/>
        <v>227200</v>
      </c>
      <c r="I907">
        <f t="shared" si="62"/>
        <v>6400</v>
      </c>
    </row>
    <row r="908" spans="1:9">
      <c r="A908" t="s">
        <v>14</v>
      </c>
      <c r="B908" t="s">
        <v>302</v>
      </c>
      <c r="C908">
        <v>417697000</v>
      </c>
      <c r="D908">
        <v>420553000</v>
      </c>
      <c r="E908" t="str">
        <f>VLOOKUP(B908,Лист2!A:E,5,0)</f>
        <v>средние</v>
      </c>
      <c r="F908">
        <f>VLOOKUP(B908,Лист2!A:E,4,0)</f>
        <v>125.5</v>
      </c>
      <c r="G908">
        <f t="shared" si="60"/>
        <v>-2856000</v>
      </c>
      <c r="H908">
        <f t="shared" si="61"/>
        <v>3328262.9482071712</v>
      </c>
      <c r="I908">
        <f t="shared" si="62"/>
        <v>-22756.972111553783</v>
      </c>
    </row>
    <row r="909" spans="1:9">
      <c r="A909" t="s">
        <v>14</v>
      </c>
      <c r="B909" t="s">
        <v>18</v>
      </c>
      <c r="C909">
        <v>4054000</v>
      </c>
      <c r="D909">
        <v>2939000</v>
      </c>
      <c r="E909" t="str">
        <f>VLOOKUP(B909,Лист2!A:E,5,0)</f>
        <v>малые</v>
      </c>
      <c r="F909">
        <f>VLOOKUP(B909,Лист2!A:E,4,0)</f>
        <v>2.5</v>
      </c>
      <c r="G909">
        <f t="shared" si="60"/>
        <v>1115000</v>
      </c>
      <c r="H909">
        <f t="shared" si="61"/>
        <v>1621600</v>
      </c>
      <c r="I909">
        <f t="shared" si="62"/>
        <v>446000</v>
      </c>
    </row>
    <row r="910" spans="1:9">
      <c r="A910" t="s">
        <v>25</v>
      </c>
      <c r="B910" t="s">
        <v>18</v>
      </c>
      <c r="C910">
        <v>178000</v>
      </c>
      <c r="D910">
        <v>178000</v>
      </c>
      <c r="E910" t="str">
        <f>VLOOKUP(B910,Лист2!A:E,5,0)</f>
        <v>малые</v>
      </c>
      <c r="F910">
        <f>VLOOKUP(B910,Лист2!A:E,4,0)</f>
        <v>2.5</v>
      </c>
      <c r="G910">
        <f t="shared" si="60"/>
        <v>0</v>
      </c>
      <c r="H910">
        <f t="shared" si="61"/>
        <v>71200</v>
      </c>
      <c r="I910">
        <f t="shared" si="62"/>
        <v>0</v>
      </c>
    </row>
    <row r="911" spans="1:9">
      <c r="A911" t="s">
        <v>25</v>
      </c>
      <c r="B911" t="s">
        <v>18</v>
      </c>
      <c r="C911">
        <v>813000</v>
      </c>
      <c r="D911">
        <v>854000</v>
      </c>
      <c r="E911" t="str">
        <f>VLOOKUP(B911,Лист2!A:E,5,0)</f>
        <v>малые</v>
      </c>
      <c r="F911">
        <f>VLOOKUP(B911,Лист2!A:E,4,0)</f>
        <v>2.5</v>
      </c>
      <c r="G911">
        <f t="shared" ref="G911:G950" si="63">C911-D911</f>
        <v>-41000</v>
      </c>
      <c r="H911">
        <f t="shared" ref="H911:H950" si="64">C911/F911</f>
        <v>325200</v>
      </c>
      <c r="I911">
        <f t="shared" ref="I911:I950" si="65">G911/F911</f>
        <v>-16400</v>
      </c>
    </row>
    <row r="912" spans="1:9">
      <c r="A912" t="s">
        <v>14</v>
      </c>
      <c r="B912" t="s">
        <v>18</v>
      </c>
      <c r="C912">
        <v>8932000</v>
      </c>
      <c r="D912">
        <v>9229000</v>
      </c>
      <c r="E912" t="str">
        <f>VLOOKUP(B912,Лист2!A:E,5,0)</f>
        <v>малые</v>
      </c>
      <c r="F912">
        <f>VLOOKUP(B912,Лист2!A:E,4,0)</f>
        <v>2.5</v>
      </c>
      <c r="G912">
        <f t="shared" si="63"/>
        <v>-297000</v>
      </c>
      <c r="H912">
        <f t="shared" si="64"/>
        <v>3572800</v>
      </c>
      <c r="I912">
        <f t="shared" si="65"/>
        <v>-118800</v>
      </c>
    </row>
    <row r="913" spans="1:9">
      <c r="A913" t="s">
        <v>14</v>
      </c>
      <c r="B913" t="s">
        <v>18</v>
      </c>
      <c r="C913">
        <v>200000</v>
      </c>
      <c r="D913">
        <v>200000</v>
      </c>
      <c r="E913" t="str">
        <f>VLOOKUP(B913,Лист2!A:E,5,0)</f>
        <v>малые</v>
      </c>
      <c r="F913">
        <f>VLOOKUP(B913,Лист2!A:E,4,0)</f>
        <v>2.5</v>
      </c>
      <c r="G913">
        <f t="shared" si="63"/>
        <v>0</v>
      </c>
      <c r="H913">
        <f t="shared" si="64"/>
        <v>80000</v>
      </c>
      <c r="I913">
        <f t="shared" si="65"/>
        <v>0</v>
      </c>
    </row>
    <row r="914" spans="1:9">
      <c r="A914" t="s">
        <v>25</v>
      </c>
      <c r="B914" t="s">
        <v>18</v>
      </c>
      <c r="C914">
        <v>3756000</v>
      </c>
      <c r="D914">
        <v>2104000</v>
      </c>
      <c r="E914" t="str">
        <f>VLOOKUP(B914,Лист2!A:E,5,0)</f>
        <v>малые</v>
      </c>
      <c r="F914">
        <f>VLOOKUP(B914,Лист2!A:E,4,0)</f>
        <v>2.5</v>
      </c>
      <c r="G914">
        <f t="shared" si="63"/>
        <v>1652000</v>
      </c>
      <c r="H914">
        <f t="shared" si="64"/>
        <v>1502400</v>
      </c>
      <c r="I914">
        <f t="shared" si="65"/>
        <v>660800</v>
      </c>
    </row>
    <row r="915" spans="1:9">
      <c r="A915" t="s">
        <v>25</v>
      </c>
      <c r="B915" t="s">
        <v>18</v>
      </c>
      <c r="C915">
        <v>3072000</v>
      </c>
      <c r="D915">
        <v>3083000</v>
      </c>
      <c r="E915" t="str">
        <f>VLOOKUP(B915,Лист2!A:E,5,0)</f>
        <v>малые</v>
      </c>
      <c r="F915">
        <f>VLOOKUP(B915,Лист2!A:E,4,0)</f>
        <v>2.5</v>
      </c>
      <c r="G915">
        <f t="shared" si="63"/>
        <v>-11000</v>
      </c>
      <c r="H915">
        <f t="shared" si="64"/>
        <v>1228800</v>
      </c>
      <c r="I915">
        <f t="shared" si="65"/>
        <v>-4400</v>
      </c>
    </row>
    <row r="916" spans="1:9">
      <c r="A916" t="s">
        <v>14</v>
      </c>
      <c r="B916" t="s">
        <v>18</v>
      </c>
      <c r="C916">
        <v>163000</v>
      </c>
      <c r="D916">
        <v>45000</v>
      </c>
      <c r="E916" t="str">
        <f>VLOOKUP(B916,Лист2!A:E,5,0)</f>
        <v>малые</v>
      </c>
      <c r="F916">
        <f>VLOOKUP(B916,Лист2!A:E,4,0)</f>
        <v>2.5</v>
      </c>
      <c r="G916">
        <f t="shared" si="63"/>
        <v>118000</v>
      </c>
      <c r="H916">
        <f t="shared" si="64"/>
        <v>65200</v>
      </c>
      <c r="I916">
        <f t="shared" si="65"/>
        <v>47200</v>
      </c>
    </row>
    <row r="917" spans="1:9">
      <c r="A917" t="s">
        <v>25</v>
      </c>
      <c r="B917" t="s">
        <v>22</v>
      </c>
      <c r="C917">
        <v>6115000</v>
      </c>
      <c r="D917">
        <v>6443000</v>
      </c>
      <c r="E917" t="str">
        <f>VLOOKUP(B917,Лист2!A:E,5,0)</f>
        <v>малые</v>
      </c>
      <c r="F917">
        <f>VLOOKUP(B917,Лист2!A:E,4,0)</f>
        <v>13</v>
      </c>
      <c r="G917">
        <f t="shared" si="63"/>
        <v>-328000</v>
      </c>
      <c r="H917">
        <f t="shared" si="64"/>
        <v>470384.61538461538</v>
      </c>
      <c r="I917">
        <f t="shared" si="65"/>
        <v>-25230.76923076923</v>
      </c>
    </row>
    <row r="918" spans="1:9">
      <c r="A918" t="s">
        <v>25</v>
      </c>
      <c r="B918" t="s">
        <v>18</v>
      </c>
      <c r="C918">
        <v>173000</v>
      </c>
      <c r="D918">
        <v>194000</v>
      </c>
      <c r="E918" t="str">
        <f>VLOOKUP(B918,Лист2!A:E,5,0)</f>
        <v>малые</v>
      </c>
      <c r="F918">
        <f>VLOOKUP(B918,Лист2!A:E,4,0)</f>
        <v>2.5</v>
      </c>
      <c r="G918">
        <f t="shared" si="63"/>
        <v>-21000</v>
      </c>
      <c r="H918">
        <f t="shared" si="64"/>
        <v>69200</v>
      </c>
      <c r="I918">
        <f t="shared" si="65"/>
        <v>-8400</v>
      </c>
    </row>
    <row r="919" spans="1:9">
      <c r="A919" t="s">
        <v>14</v>
      </c>
      <c r="B919" t="s">
        <v>18</v>
      </c>
      <c r="C919">
        <v>992000</v>
      </c>
      <c r="D919">
        <v>974000</v>
      </c>
      <c r="E919" t="str">
        <f>VLOOKUP(B919,Лист2!A:E,5,0)</f>
        <v>малые</v>
      </c>
      <c r="F919">
        <f>VLOOKUP(B919,Лист2!A:E,4,0)</f>
        <v>2.5</v>
      </c>
      <c r="G919">
        <f t="shared" si="63"/>
        <v>18000</v>
      </c>
      <c r="H919">
        <f t="shared" si="64"/>
        <v>396800</v>
      </c>
      <c r="I919">
        <f t="shared" si="65"/>
        <v>7200</v>
      </c>
    </row>
    <row r="920" spans="1:9">
      <c r="A920" t="s">
        <v>25</v>
      </c>
      <c r="B920" t="s">
        <v>18</v>
      </c>
      <c r="C920">
        <v>20000</v>
      </c>
      <c r="D920">
        <v>20000</v>
      </c>
      <c r="E920" t="str">
        <f>VLOOKUP(B920,Лист2!A:E,5,0)</f>
        <v>малые</v>
      </c>
      <c r="F920">
        <f>VLOOKUP(B920,Лист2!A:E,4,0)</f>
        <v>2.5</v>
      </c>
      <c r="G920">
        <f t="shared" si="63"/>
        <v>0</v>
      </c>
      <c r="H920">
        <f t="shared" si="64"/>
        <v>8000</v>
      </c>
      <c r="I920">
        <f t="shared" si="65"/>
        <v>0</v>
      </c>
    </row>
    <row r="921" spans="1:9">
      <c r="A921" t="s">
        <v>14</v>
      </c>
      <c r="B921" t="s">
        <v>18</v>
      </c>
      <c r="C921">
        <v>499000</v>
      </c>
      <c r="D921">
        <v>743000</v>
      </c>
      <c r="E921" t="str">
        <f>VLOOKUP(B921,Лист2!A:E,5,0)</f>
        <v>малые</v>
      </c>
      <c r="F921">
        <f>VLOOKUP(B921,Лист2!A:E,4,0)</f>
        <v>2.5</v>
      </c>
      <c r="G921">
        <f t="shared" si="63"/>
        <v>-244000</v>
      </c>
      <c r="H921">
        <f t="shared" si="64"/>
        <v>199600</v>
      </c>
      <c r="I921">
        <f t="shared" si="65"/>
        <v>-97600</v>
      </c>
    </row>
    <row r="922" spans="1:9">
      <c r="A922" t="s">
        <v>14</v>
      </c>
      <c r="B922" t="s">
        <v>18</v>
      </c>
      <c r="C922">
        <v>280000</v>
      </c>
      <c r="D922">
        <v>324000</v>
      </c>
      <c r="E922" t="str">
        <f>VLOOKUP(B922,Лист2!A:E,5,0)</f>
        <v>малые</v>
      </c>
      <c r="F922">
        <f>VLOOKUP(B922,Лист2!A:E,4,0)</f>
        <v>2.5</v>
      </c>
      <c r="G922">
        <f t="shared" si="63"/>
        <v>-44000</v>
      </c>
      <c r="H922">
        <f t="shared" si="64"/>
        <v>112000</v>
      </c>
      <c r="I922">
        <f t="shared" si="65"/>
        <v>-17600</v>
      </c>
    </row>
    <row r="923" spans="1:9">
      <c r="A923" t="s">
        <v>14</v>
      </c>
      <c r="B923" t="s">
        <v>18</v>
      </c>
      <c r="C923">
        <v>5119000</v>
      </c>
      <c r="D923">
        <v>4400000</v>
      </c>
      <c r="E923" t="str">
        <f>VLOOKUP(B923,Лист2!A:E,5,0)</f>
        <v>малые</v>
      </c>
      <c r="F923">
        <f>VLOOKUP(B923,Лист2!A:E,4,0)</f>
        <v>2.5</v>
      </c>
      <c r="G923">
        <f t="shared" si="63"/>
        <v>719000</v>
      </c>
      <c r="H923">
        <f t="shared" si="64"/>
        <v>2047600</v>
      </c>
      <c r="I923">
        <f t="shared" si="65"/>
        <v>287600</v>
      </c>
    </row>
    <row r="924" spans="1:9">
      <c r="A924" t="s">
        <v>14</v>
      </c>
      <c r="B924" t="s">
        <v>18</v>
      </c>
      <c r="C924">
        <v>538000</v>
      </c>
      <c r="D924">
        <v>646000</v>
      </c>
      <c r="E924" t="str">
        <f>VLOOKUP(B924,Лист2!A:E,5,0)</f>
        <v>малые</v>
      </c>
      <c r="F924">
        <f>VLOOKUP(B924,Лист2!A:E,4,0)</f>
        <v>2.5</v>
      </c>
      <c r="G924">
        <f t="shared" si="63"/>
        <v>-108000</v>
      </c>
      <c r="H924">
        <f t="shared" si="64"/>
        <v>215200</v>
      </c>
      <c r="I924">
        <f t="shared" si="65"/>
        <v>-43200</v>
      </c>
    </row>
    <row r="925" spans="1:9">
      <c r="A925" t="s">
        <v>14</v>
      </c>
      <c r="B925" t="s">
        <v>18</v>
      </c>
      <c r="C925">
        <v>2363000</v>
      </c>
      <c r="D925">
        <v>2448000</v>
      </c>
      <c r="E925" t="str">
        <f>VLOOKUP(B925,Лист2!A:E,5,0)</f>
        <v>малые</v>
      </c>
      <c r="F925">
        <f>VLOOKUP(B925,Лист2!A:E,4,0)</f>
        <v>2.5</v>
      </c>
      <c r="G925">
        <f t="shared" si="63"/>
        <v>-85000</v>
      </c>
      <c r="H925">
        <f t="shared" si="64"/>
        <v>945200</v>
      </c>
      <c r="I925">
        <f t="shared" si="65"/>
        <v>-34000</v>
      </c>
    </row>
    <row r="926" spans="1:9">
      <c r="A926" t="s">
        <v>14</v>
      </c>
      <c r="B926" t="s">
        <v>18</v>
      </c>
      <c r="C926">
        <v>17983000</v>
      </c>
      <c r="D926">
        <v>18054000</v>
      </c>
      <c r="E926" t="str">
        <f>VLOOKUP(B926,Лист2!A:E,5,0)</f>
        <v>малые</v>
      </c>
      <c r="F926">
        <f>VLOOKUP(B926,Лист2!A:E,4,0)</f>
        <v>2.5</v>
      </c>
      <c r="G926">
        <f t="shared" si="63"/>
        <v>-71000</v>
      </c>
      <c r="H926">
        <f t="shared" si="64"/>
        <v>7193200</v>
      </c>
      <c r="I926">
        <f t="shared" si="65"/>
        <v>-28400</v>
      </c>
    </row>
    <row r="927" spans="1:9">
      <c r="A927" t="s">
        <v>14</v>
      </c>
      <c r="B927" t="s">
        <v>18</v>
      </c>
      <c r="C927">
        <v>738000</v>
      </c>
      <c r="D927">
        <v>448000</v>
      </c>
      <c r="E927" t="str">
        <f>VLOOKUP(B927,Лист2!A:E,5,0)</f>
        <v>малые</v>
      </c>
      <c r="F927">
        <f>VLOOKUP(B927,Лист2!A:E,4,0)</f>
        <v>2.5</v>
      </c>
      <c r="G927">
        <f t="shared" si="63"/>
        <v>290000</v>
      </c>
      <c r="H927">
        <f t="shared" si="64"/>
        <v>295200</v>
      </c>
      <c r="I927">
        <f t="shared" si="65"/>
        <v>116000</v>
      </c>
    </row>
    <row r="928" spans="1:9">
      <c r="A928" t="s">
        <v>14</v>
      </c>
      <c r="B928" t="s">
        <v>18</v>
      </c>
      <c r="C928">
        <v>12000</v>
      </c>
      <c r="D928">
        <v>12000</v>
      </c>
      <c r="E928" t="str">
        <f>VLOOKUP(B928,Лист2!A:E,5,0)</f>
        <v>малые</v>
      </c>
      <c r="F928">
        <f>VLOOKUP(B928,Лист2!A:E,4,0)</f>
        <v>2.5</v>
      </c>
      <c r="G928">
        <f t="shared" si="63"/>
        <v>0</v>
      </c>
      <c r="H928">
        <f t="shared" si="64"/>
        <v>4800</v>
      </c>
      <c r="I928">
        <f t="shared" si="65"/>
        <v>0</v>
      </c>
    </row>
    <row r="929" spans="1:9">
      <c r="A929" t="s">
        <v>14</v>
      </c>
      <c r="B929" t="s">
        <v>18</v>
      </c>
      <c r="C929">
        <v>25277000</v>
      </c>
      <c r="D929">
        <v>25244000</v>
      </c>
      <c r="E929" t="str">
        <f>VLOOKUP(B929,Лист2!A:E,5,0)</f>
        <v>малые</v>
      </c>
      <c r="F929">
        <f>VLOOKUP(B929,Лист2!A:E,4,0)</f>
        <v>2.5</v>
      </c>
      <c r="G929">
        <f t="shared" si="63"/>
        <v>33000</v>
      </c>
      <c r="H929">
        <f t="shared" si="64"/>
        <v>10110800</v>
      </c>
      <c r="I929">
        <f t="shared" si="65"/>
        <v>13200</v>
      </c>
    </row>
    <row r="930" spans="1:9">
      <c r="A930" t="s">
        <v>25</v>
      </c>
      <c r="B930" t="s">
        <v>18</v>
      </c>
      <c r="C930">
        <v>1030000</v>
      </c>
      <c r="D930">
        <v>924000</v>
      </c>
      <c r="E930" t="str">
        <f>VLOOKUP(B930,Лист2!A:E,5,0)</f>
        <v>малые</v>
      </c>
      <c r="F930">
        <f>VLOOKUP(B930,Лист2!A:E,4,0)</f>
        <v>2.5</v>
      </c>
      <c r="G930">
        <f t="shared" si="63"/>
        <v>106000</v>
      </c>
      <c r="H930">
        <f t="shared" si="64"/>
        <v>412000</v>
      </c>
      <c r="I930">
        <f t="shared" si="65"/>
        <v>42400</v>
      </c>
    </row>
    <row r="931" spans="1:9">
      <c r="A931" t="s">
        <v>14</v>
      </c>
      <c r="B931" t="s">
        <v>18</v>
      </c>
      <c r="C931">
        <v>538000</v>
      </c>
      <c r="D931">
        <v>534000</v>
      </c>
      <c r="E931" t="str">
        <f>VLOOKUP(B931,Лист2!A:E,5,0)</f>
        <v>малые</v>
      </c>
      <c r="F931">
        <f>VLOOKUP(B931,Лист2!A:E,4,0)</f>
        <v>2.5</v>
      </c>
      <c r="G931">
        <f t="shared" si="63"/>
        <v>4000</v>
      </c>
      <c r="H931">
        <f t="shared" si="64"/>
        <v>215200</v>
      </c>
      <c r="I931">
        <f t="shared" si="65"/>
        <v>1600</v>
      </c>
    </row>
    <row r="932" spans="1:9">
      <c r="A932" t="s">
        <v>14</v>
      </c>
      <c r="B932" t="s">
        <v>18</v>
      </c>
      <c r="C932">
        <v>518000</v>
      </c>
      <c r="D932">
        <v>518000</v>
      </c>
      <c r="E932" t="str">
        <f>VLOOKUP(B932,Лист2!A:E,5,0)</f>
        <v>малые</v>
      </c>
      <c r="F932">
        <f>VLOOKUP(B932,Лист2!A:E,4,0)</f>
        <v>2.5</v>
      </c>
      <c r="G932">
        <f t="shared" si="63"/>
        <v>0</v>
      </c>
      <c r="H932">
        <f t="shared" si="64"/>
        <v>207200</v>
      </c>
      <c r="I932">
        <f t="shared" si="65"/>
        <v>0</v>
      </c>
    </row>
    <row r="933" spans="1:9">
      <c r="A933" t="s">
        <v>25</v>
      </c>
      <c r="B933" t="s">
        <v>18</v>
      </c>
      <c r="C933">
        <v>2286000</v>
      </c>
      <c r="D933">
        <v>2326000</v>
      </c>
      <c r="E933" t="str">
        <f>VLOOKUP(B933,Лист2!A:E,5,0)</f>
        <v>малые</v>
      </c>
      <c r="F933">
        <f>VLOOKUP(B933,Лист2!A:E,4,0)</f>
        <v>2.5</v>
      </c>
      <c r="G933">
        <f t="shared" si="63"/>
        <v>-40000</v>
      </c>
      <c r="H933">
        <f t="shared" si="64"/>
        <v>914400</v>
      </c>
      <c r="I933">
        <f t="shared" si="65"/>
        <v>-16000</v>
      </c>
    </row>
    <row r="934" spans="1:9">
      <c r="A934" t="s">
        <v>25</v>
      </c>
      <c r="B934" t="s">
        <v>18</v>
      </c>
      <c r="C934">
        <v>2189000</v>
      </c>
      <c r="D934">
        <v>1601000</v>
      </c>
      <c r="E934" t="str">
        <f>VLOOKUP(B934,Лист2!A:E,5,0)</f>
        <v>малые</v>
      </c>
      <c r="F934">
        <f>VLOOKUP(B934,Лист2!A:E,4,0)</f>
        <v>2.5</v>
      </c>
      <c r="G934">
        <f t="shared" si="63"/>
        <v>588000</v>
      </c>
      <c r="H934">
        <f t="shared" si="64"/>
        <v>875600</v>
      </c>
      <c r="I934">
        <f t="shared" si="65"/>
        <v>235200</v>
      </c>
    </row>
    <row r="935" spans="1:9">
      <c r="A935" t="s">
        <v>14</v>
      </c>
      <c r="B935" t="s">
        <v>18</v>
      </c>
      <c r="C935">
        <v>4998000</v>
      </c>
      <c r="D935">
        <v>4990000</v>
      </c>
      <c r="E935" t="str">
        <f>VLOOKUP(B935,Лист2!A:E,5,0)</f>
        <v>малые</v>
      </c>
      <c r="F935">
        <f>VLOOKUP(B935,Лист2!A:E,4,0)</f>
        <v>2.5</v>
      </c>
      <c r="G935">
        <f t="shared" si="63"/>
        <v>8000</v>
      </c>
      <c r="H935">
        <f t="shared" si="64"/>
        <v>1999200</v>
      </c>
      <c r="I935">
        <f t="shared" si="65"/>
        <v>3200</v>
      </c>
    </row>
    <row r="936" spans="1:9">
      <c r="A936" t="s">
        <v>14</v>
      </c>
      <c r="B936" t="s">
        <v>18</v>
      </c>
      <c r="C936">
        <v>482000</v>
      </c>
      <c r="D936">
        <v>477000</v>
      </c>
      <c r="E936" t="str">
        <f>VLOOKUP(B936,Лист2!A:E,5,0)</f>
        <v>малые</v>
      </c>
      <c r="F936">
        <f>VLOOKUP(B936,Лист2!A:E,4,0)</f>
        <v>2.5</v>
      </c>
      <c r="G936">
        <f t="shared" si="63"/>
        <v>5000</v>
      </c>
      <c r="H936">
        <f t="shared" si="64"/>
        <v>192800</v>
      </c>
      <c r="I936">
        <f t="shared" si="65"/>
        <v>2000</v>
      </c>
    </row>
    <row r="937" spans="1:9">
      <c r="A937" t="s">
        <v>14</v>
      </c>
      <c r="B937" t="s">
        <v>18</v>
      </c>
      <c r="C937">
        <v>895000</v>
      </c>
      <c r="D937">
        <v>1171000</v>
      </c>
      <c r="E937" t="str">
        <f>VLOOKUP(B937,Лист2!A:E,5,0)</f>
        <v>малые</v>
      </c>
      <c r="F937">
        <f>VLOOKUP(B937,Лист2!A:E,4,0)</f>
        <v>2.5</v>
      </c>
      <c r="G937">
        <f t="shared" si="63"/>
        <v>-276000</v>
      </c>
      <c r="H937">
        <f t="shared" si="64"/>
        <v>358000</v>
      </c>
      <c r="I937">
        <f t="shared" si="65"/>
        <v>-110400</v>
      </c>
    </row>
    <row r="938" spans="1:9">
      <c r="A938" t="s">
        <v>14</v>
      </c>
      <c r="B938" t="s">
        <v>18</v>
      </c>
      <c r="C938">
        <v>5427000</v>
      </c>
      <c r="D938">
        <v>7271000</v>
      </c>
      <c r="E938" t="str">
        <f>VLOOKUP(B938,Лист2!A:E,5,0)</f>
        <v>малые</v>
      </c>
      <c r="F938">
        <f>VLOOKUP(B938,Лист2!A:E,4,0)</f>
        <v>2.5</v>
      </c>
      <c r="G938">
        <f t="shared" si="63"/>
        <v>-1844000</v>
      </c>
      <c r="H938">
        <f t="shared" si="64"/>
        <v>2170800</v>
      </c>
      <c r="I938">
        <f t="shared" si="65"/>
        <v>-737600</v>
      </c>
    </row>
    <row r="939" spans="1:9">
      <c r="A939" t="s">
        <v>14</v>
      </c>
      <c r="B939" t="s">
        <v>18</v>
      </c>
      <c r="C939">
        <v>9438000</v>
      </c>
      <c r="D939">
        <v>7838000</v>
      </c>
      <c r="E939" t="str">
        <f>VLOOKUP(B939,Лист2!A:E,5,0)</f>
        <v>малые</v>
      </c>
      <c r="F939">
        <f>VLOOKUP(B939,Лист2!A:E,4,0)</f>
        <v>2.5</v>
      </c>
      <c r="G939">
        <f t="shared" si="63"/>
        <v>1600000</v>
      </c>
      <c r="H939">
        <f t="shared" si="64"/>
        <v>3775200</v>
      </c>
      <c r="I939">
        <f t="shared" si="65"/>
        <v>640000</v>
      </c>
    </row>
    <row r="940" spans="1:9">
      <c r="A940" t="s">
        <v>14</v>
      </c>
      <c r="B940" t="s">
        <v>18</v>
      </c>
      <c r="C940">
        <v>315000</v>
      </c>
      <c r="D940">
        <v>314000</v>
      </c>
      <c r="E940" t="str">
        <f>VLOOKUP(B940,Лист2!A:E,5,0)</f>
        <v>малые</v>
      </c>
      <c r="F940">
        <f>VLOOKUP(B940,Лист2!A:E,4,0)</f>
        <v>2.5</v>
      </c>
      <c r="G940">
        <f t="shared" si="63"/>
        <v>1000</v>
      </c>
      <c r="H940">
        <f t="shared" si="64"/>
        <v>126000</v>
      </c>
      <c r="I940">
        <f t="shared" si="65"/>
        <v>400</v>
      </c>
    </row>
    <row r="941" spans="1:9">
      <c r="A941" t="s">
        <v>25</v>
      </c>
      <c r="B941" t="s">
        <v>18</v>
      </c>
      <c r="C941">
        <v>186000</v>
      </c>
      <c r="D941">
        <v>154000</v>
      </c>
      <c r="E941" t="str">
        <f>VLOOKUP(B941,Лист2!A:E,5,0)</f>
        <v>малые</v>
      </c>
      <c r="F941">
        <f>VLOOKUP(B941,Лист2!A:E,4,0)</f>
        <v>2.5</v>
      </c>
      <c r="G941">
        <f t="shared" si="63"/>
        <v>32000</v>
      </c>
      <c r="H941">
        <f t="shared" si="64"/>
        <v>74400</v>
      </c>
      <c r="I941">
        <f t="shared" si="65"/>
        <v>12800</v>
      </c>
    </row>
    <row r="942" spans="1:9">
      <c r="A942" t="s">
        <v>14</v>
      </c>
      <c r="B942" t="s">
        <v>18</v>
      </c>
      <c r="C942">
        <v>103466000</v>
      </c>
      <c r="D942">
        <v>103426000</v>
      </c>
      <c r="E942" t="str">
        <f>VLOOKUP(B942,Лист2!A:E,5,0)</f>
        <v>малые</v>
      </c>
      <c r="F942">
        <f>VLOOKUP(B942,Лист2!A:E,4,0)</f>
        <v>2.5</v>
      </c>
      <c r="G942">
        <f t="shared" si="63"/>
        <v>40000</v>
      </c>
      <c r="H942">
        <f t="shared" si="64"/>
        <v>41386400</v>
      </c>
      <c r="I942">
        <f t="shared" si="65"/>
        <v>16000</v>
      </c>
    </row>
    <row r="943" spans="1:9">
      <c r="A943" t="s">
        <v>14</v>
      </c>
      <c r="B943" t="s">
        <v>18</v>
      </c>
      <c r="C943">
        <v>6854000</v>
      </c>
      <c r="D943">
        <v>6809000</v>
      </c>
      <c r="E943" t="str">
        <f>VLOOKUP(B943,Лист2!A:E,5,0)</f>
        <v>малые</v>
      </c>
      <c r="F943">
        <f>VLOOKUP(B943,Лист2!A:E,4,0)</f>
        <v>2.5</v>
      </c>
      <c r="G943">
        <f t="shared" si="63"/>
        <v>45000</v>
      </c>
      <c r="H943">
        <f t="shared" si="64"/>
        <v>2741600</v>
      </c>
      <c r="I943">
        <f t="shared" si="65"/>
        <v>18000</v>
      </c>
    </row>
    <row r="944" spans="1:9">
      <c r="A944" t="s">
        <v>14</v>
      </c>
      <c r="B944" t="s">
        <v>18</v>
      </c>
      <c r="C944">
        <v>1875000</v>
      </c>
      <c r="D944">
        <v>1891000</v>
      </c>
      <c r="E944" t="str">
        <f>VLOOKUP(B944,Лист2!A:E,5,0)</f>
        <v>малые</v>
      </c>
      <c r="F944">
        <f>VLOOKUP(B944,Лист2!A:E,4,0)</f>
        <v>2.5</v>
      </c>
      <c r="G944">
        <f t="shared" si="63"/>
        <v>-16000</v>
      </c>
      <c r="H944">
        <f t="shared" si="64"/>
        <v>750000</v>
      </c>
      <c r="I944">
        <f t="shared" si="65"/>
        <v>-6400</v>
      </c>
    </row>
    <row r="945" spans="1:9">
      <c r="A945" t="s">
        <v>25</v>
      </c>
      <c r="B945" t="s">
        <v>18</v>
      </c>
      <c r="C945">
        <v>4191000</v>
      </c>
      <c r="D945">
        <v>4121000</v>
      </c>
      <c r="E945" t="str">
        <f>VLOOKUP(B945,Лист2!A:E,5,0)</f>
        <v>малые</v>
      </c>
      <c r="F945">
        <f>VLOOKUP(B945,Лист2!A:E,4,0)</f>
        <v>2.5</v>
      </c>
      <c r="G945">
        <f t="shared" si="63"/>
        <v>70000</v>
      </c>
      <c r="H945">
        <f t="shared" si="64"/>
        <v>1676400</v>
      </c>
      <c r="I945">
        <f t="shared" si="65"/>
        <v>28000</v>
      </c>
    </row>
    <row r="946" spans="1:9">
      <c r="A946" t="s">
        <v>25</v>
      </c>
      <c r="B946" t="s">
        <v>18</v>
      </c>
      <c r="C946">
        <v>383000</v>
      </c>
      <c r="D946">
        <v>384000</v>
      </c>
      <c r="E946" t="str">
        <f>VLOOKUP(B946,Лист2!A:E,5,0)</f>
        <v>малые</v>
      </c>
      <c r="F946">
        <f>VLOOKUP(B946,Лист2!A:E,4,0)</f>
        <v>2.5</v>
      </c>
      <c r="G946">
        <f t="shared" si="63"/>
        <v>-1000</v>
      </c>
      <c r="H946">
        <f t="shared" si="64"/>
        <v>153200</v>
      </c>
      <c r="I946">
        <f t="shared" si="65"/>
        <v>-400</v>
      </c>
    </row>
    <row r="947" spans="1:9">
      <c r="A947" t="s">
        <v>14</v>
      </c>
      <c r="B947" t="s">
        <v>18</v>
      </c>
      <c r="C947">
        <v>678000</v>
      </c>
      <c r="D947">
        <v>728000</v>
      </c>
      <c r="E947" t="str">
        <f>VLOOKUP(B947,Лист2!A:E,5,0)</f>
        <v>малые</v>
      </c>
      <c r="F947">
        <f>VLOOKUP(B947,Лист2!A:E,4,0)</f>
        <v>2.5</v>
      </c>
      <c r="G947">
        <f t="shared" si="63"/>
        <v>-50000</v>
      </c>
      <c r="H947">
        <f t="shared" si="64"/>
        <v>271200</v>
      </c>
      <c r="I947">
        <f t="shared" si="65"/>
        <v>-20000</v>
      </c>
    </row>
    <row r="948" spans="1:9">
      <c r="A948" t="s">
        <v>14</v>
      </c>
      <c r="B948" t="s">
        <v>18</v>
      </c>
      <c r="C948">
        <v>91000</v>
      </c>
      <c r="D948">
        <v>91000</v>
      </c>
      <c r="E948" t="str">
        <f>VLOOKUP(B948,Лист2!A:E,5,0)</f>
        <v>малые</v>
      </c>
      <c r="F948">
        <f>VLOOKUP(B948,Лист2!A:E,4,0)</f>
        <v>2.5</v>
      </c>
      <c r="G948">
        <f t="shared" si="63"/>
        <v>0</v>
      </c>
      <c r="H948">
        <f t="shared" si="64"/>
        <v>36400</v>
      </c>
      <c r="I948">
        <f t="shared" si="65"/>
        <v>0</v>
      </c>
    </row>
    <row r="949" spans="1:9">
      <c r="A949" t="s">
        <v>14</v>
      </c>
      <c r="B949" t="s">
        <v>18</v>
      </c>
      <c r="C949">
        <v>341000</v>
      </c>
      <c r="D949">
        <v>342000</v>
      </c>
      <c r="E949" t="str">
        <f>VLOOKUP(B949,Лист2!A:E,5,0)</f>
        <v>малые</v>
      </c>
      <c r="F949">
        <f>VLOOKUP(B949,Лист2!A:E,4,0)</f>
        <v>2.5</v>
      </c>
      <c r="G949">
        <f t="shared" si="63"/>
        <v>-1000</v>
      </c>
      <c r="H949">
        <f t="shared" si="64"/>
        <v>136400</v>
      </c>
      <c r="I949">
        <f t="shared" si="65"/>
        <v>-400</v>
      </c>
    </row>
    <row r="950" spans="1:9">
      <c r="A950" t="s">
        <v>14</v>
      </c>
      <c r="B950" t="s">
        <v>18</v>
      </c>
      <c r="C950">
        <v>100000</v>
      </c>
      <c r="D950">
        <v>100000</v>
      </c>
      <c r="E950" t="str">
        <f>VLOOKUP(B950,Лист2!A:E,5,0)</f>
        <v>малые</v>
      </c>
      <c r="F950">
        <f>VLOOKUP(B950,Лист2!A:E,4,0)</f>
        <v>2.5</v>
      </c>
      <c r="G950">
        <f t="shared" si="63"/>
        <v>0</v>
      </c>
      <c r="H950">
        <f t="shared" si="64"/>
        <v>40000</v>
      </c>
      <c r="I950">
        <f t="shared" si="65"/>
        <v>0</v>
      </c>
    </row>
    <row r="951" spans="1:9">
      <c r="A951" t="s">
        <v>14</v>
      </c>
      <c r="B951" t="s">
        <v>18</v>
      </c>
      <c r="C951">
        <v>234000</v>
      </c>
      <c r="D951">
        <v>155000</v>
      </c>
      <c r="E951" t="str">
        <f>VLOOKUP(B951,Лист2!A:E,5,0)</f>
        <v>малые</v>
      </c>
      <c r="F951">
        <f>VLOOKUP(B951,Лист2!A:E,4,0)</f>
        <v>2.5</v>
      </c>
      <c r="G951">
        <f t="shared" ref="G951:G987" si="66">C951-D951</f>
        <v>79000</v>
      </c>
      <c r="H951">
        <f t="shared" ref="H951:H987" si="67">C951/F951</f>
        <v>93600</v>
      </c>
      <c r="I951">
        <f t="shared" ref="I951:I987" si="68">G951/F951</f>
        <v>31600</v>
      </c>
    </row>
    <row r="952" spans="1:9">
      <c r="A952" t="s">
        <v>14</v>
      </c>
      <c r="B952" t="s">
        <v>18</v>
      </c>
      <c r="C952">
        <v>209000</v>
      </c>
      <c r="D952">
        <v>206000</v>
      </c>
      <c r="E952" t="str">
        <f>VLOOKUP(B952,Лист2!A:E,5,0)</f>
        <v>малые</v>
      </c>
      <c r="F952">
        <f>VLOOKUP(B952,Лист2!A:E,4,0)</f>
        <v>2.5</v>
      </c>
      <c r="G952">
        <f t="shared" si="66"/>
        <v>3000</v>
      </c>
      <c r="H952">
        <f t="shared" si="67"/>
        <v>83600</v>
      </c>
      <c r="I952">
        <f t="shared" si="68"/>
        <v>1200</v>
      </c>
    </row>
    <row r="953" spans="1:9">
      <c r="A953" t="s">
        <v>25</v>
      </c>
      <c r="B953" t="s">
        <v>18</v>
      </c>
      <c r="C953">
        <v>2824000</v>
      </c>
      <c r="D953">
        <v>2847000</v>
      </c>
      <c r="E953" t="str">
        <f>VLOOKUP(B953,Лист2!A:E,5,0)</f>
        <v>малые</v>
      </c>
      <c r="F953">
        <f>VLOOKUP(B953,Лист2!A:E,4,0)</f>
        <v>2.5</v>
      </c>
      <c r="G953">
        <f t="shared" si="66"/>
        <v>-23000</v>
      </c>
      <c r="H953">
        <f t="shared" si="67"/>
        <v>1129600</v>
      </c>
      <c r="I953">
        <f t="shared" si="68"/>
        <v>-9200</v>
      </c>
    </row>
    <row r="954" spans="1:9">
      <c r="A954" t="s">
        <v>14</v>
      </c>
      <c r="B954" t="s">
        <v>18</v>
      </c>
      <c r="C954">
        <v>189009000</v>
      </c>
      <c r="D954">
        <v>599000</v>
      </c>
      <c r="E954" t="str">
        <f>VLOOKUP(B954,Лист2!A:E,5,0)</f>
        <v>малые</v>
      </c>
      <c r="F954">
        <f>VLOOKUP(B954,Лист2!A:E,4,0)</f>
        <v>2.5</v>
      </c>
      <c r="G954">
        <f t="shared" si="66"/>
        <v>188410000</v>
      </c>
      <c r="H954">
        <f t="shared" si="67"/>
        <v>75603600</v>
      </c>
      <c r="I954">
        <f t="shared" si="68"/>
        <v>75364000</v>
      </c>
    </row>
    <row r="955" spans="1:9">
      <c r="A955" t="s">
        <v>14</v>
      </c>
      <c r="B955" t="s">
        <v>18</v>
      </c>
      <c r="C955">
        <v>201000</v>
      </c>
      <c r="D955">
        <v>203000</v>
      </c>
      <c r="E955" t="str">
        <f>VLOOKUP(B955,Лист2!A:E,5,0)</f>
        <v>малые</v>
      </c>
      <c r="F955">
        <f>VLOOKUP(B955,Лист2!A:E,4,0)</f>
        <v>2.5</v>
      </c>
      <c r="G955">
        <f t="shared" si="66"/>
        <v>-2000</v>
      </c>
      <c r="H955">
        <f t="shared" si="67"/>
        <v>80400</v>
      </c>
      <c r="I955">
        <f t="shared" si="68"/>
        <v>-800</v>
      </c>
    </row>
    <row r="956" spans="1:9">
      <c r="A956" t="s">
        <v>14</v>
      </c>
      <c r="B956" t="s">
        <v>18</v>
      </c>
      <c r="C956">
        <v>1062000</v>
      </c>
      <c r="D956">
        <v>1098000</v>
      </c>
      <c r="E956" t="str">
        <f>VLOOKUP(B956,Лист2!A:E,5,0)</f>
        <v>малые</v>
      </c>
      <c r="F956">
        <f>VLOOKUP(B956,Лист2!A:E,4,0)</f>
        <v>2.5</v>
      </c>
      <c r="G956">
        <f t="shared" si="66"/>
        <v>-36000</v>
      </c>
      <c r="H956">
        <f t="shared" si="67"/>
        <v>424800</v>
      </c>
      <c r="I956">
        <f t="shared" si="68"/>
        <v>-14400</v>
      </c>
    </row>
    <row r="957" spans="1:9">
      <c r="A957" t="s">
        <v>14</v>
      </c>
      <c r="B957" t="s">
        <v>18</v>
      </c>
      <c r="C957">
        <v>327000</v>
      </c>
      <c r="D957">
        <v>375000</v>
      </c>
      <c r="E957" t="str">
        <f>VLOOKUP(B957,Лист2!A:E,5,0)</f>
        <v>малые</v>
      </c>
      <c r="F957">
        <f>VLOOKUP(B957,Лист2!A:E,4,0)</f>
        <v>2.5</v>
      </c>
      <c r="G957">
        <f t="shared" si="66"/>
        <v>-48000</v>
      </c>
      <c r="H957">
        <f t="shared" si="67"/>
        <v>130800</v>
      </c>
      <c r="I957">
        <f t="shared" si="68"/>
        <v>-19200</v>
      </c>
    </row>
    <row r="958" spans="1:9">
      <c r="A958" t="s">
        <v>14</v>
      </c>
      <c r="B958" t="s">
        <v>18</v>
      </c>
      <c r="C958">
        <v>2013000</v>
      </c>
      <c r="D958">
        <v>2125000</v>
      </c>
      <c r="E958" t="str">
        <f>VLOOKUP(B958,Лист2!A:E,5,0)</f>
        <v>малые</v>
      </c>
      <c r="F958">
        <f>VLOOKUP(B958,Лист2!A:E,4,0)</f>
        <v>2.5</v>
      </c>
      <c r="G958">
        <f t="shared" si="66"/>
        <v>-112000</v>
      </c>
      <c r="H958">
        <f t="shared" si="67"/>
        <v>805200</v>
      </c>
      <c r="I958">
        <f t="shared" si="68"/>
        <v>-44800</v>
      </c>
    </row>
    <row r="959" spans="1:9">
      <c r="A959" t="s">
        <v>14</v>
      </c>
      <c r="B959" t="s">
        <v>18</v>
      </c>
      <c r="C959">
        <v>8550000</v>
      </c>
      <c r="D959">
        <v>8114000</v>
      </c>
      <c r="E959" t="str">
        <f>VLOOKUP(B959,Лист2!A:E,5,0)</f>
        <v>малые</v>
      </c>
      <c r="F959">
        <f>VLOOKUP(B959,Лист2!A:E,4,0)</f>
        <v>2.5</v>
      </c>
      <c r="G959">
        <f t="shared" si="66"/>
        <v>436000</v>
      </c>
      <c r="H959">
        <f t="shared" si="67"/>
        <v>3420000</v>
      </c>
      <c r="I959">
        <f t="shared" si="68"/>
        <v>174400</v>
      </c>
    </row>
    <row r="960" spans="1:9">
      <c r="A960" t="s">
        <v>14</v>
      </c>
      <c r="B960" t="s">
        <v>18</v>
      </c>
      <c r="C960">
        <v>21000000</v>
      </c>
      <c r="D960">
        <v>9026000</v>
      </c>
      <c r="E960" t="str">
        <f>VLOOKUP(B960,Лист2!A:E,5,0)</f>
        <v>малые</v>
      </c>
      <c r="F960">
        <f>VLOOKUP(B960,Лист2!A:E,4,0)</f>
        <v>2.5</v>
      </c>
      <c r="G960">
        <f t="shared" si="66"/>
        <v>11974000</v>
      </c>
      <c r="H960">
        <f t="shared" si="67"/>
        <v>8400000</v>
      </c>
      <c r="I960">
        <f t="shared" si="68"/>
        <v>4789600</v>
      </c>
    </row>
    <row r="961" spans="1:9">
      <c r="A961" t="s">
        <v>14</v>
      </c>
      <c r="B961" t="s">
        <v>22</v>
      </c>
      <c r="C961">
        <v>22696000</v>
      </c>
      <c r="D961">
        <v>32828000</v>
      </c>
      <c r="E961" t="str">
        <f>VLOOKUP(B961,Лист2!A:E,5,0)</f>
        <v>малые</v>
      </c>
      <c r="F961">
        <f>VLOOKUP(B961,Лист2!A:E,4,0)</f>
        <v>13</v>
      </c>
      <c r="G961">
        <f t="shared" si="66"/>
        <v>-10132000</v>
      </c>
      <c r="H961">
        <f t="shared" si="67"/>
        <v>1745846.1538461538</v>
      </c>
      <c r="I961">
        <f t="shared" si="68"/>
        <v>-779384.61538461538</v>
      </c>
    </row>
    <row r="962" spans="1:9">
      <c r="A962" t="s">
        <v>14</v>
      </c>
      <c r="B962" t="s">
        <v>18</v>
      </c>
      <c r="C962">
        <v>2072000</v>
      </c>
      <c r="D962">
        <v>2050000</v>
      </c>
      <c r="E962" t="str">
        <f>VLOOKUP(B962,Лист2!A:E,5,0)</f>
        <v>малые</v>
      </c>
      <c r="F962">
        <f>VLOOKUP(B962,Лист2!A:E,4,0)</f>
        <v>2.5</v>
      </c>
      <c r="G962">
        <f t="shared" si="66"/>
        <v>22000</v>
      </c>
      <c r="H962">
        <f t="shared" si="67"/>
        <v>828800</v>
      </c>
      <c r="I962">
        <f t="shared" si="68"/>
        <v>8800</v>
      </c>
    </row>
    <row r="963" spans="1:9">
      <c r="A963" t="s">
        <v>25</v>
      </c>
      <c r="B963" t="s">
        <v>18</v>
      </c>
      <c r="C963">
        <v>115000</v>
      </c>
      <c r="D963">
        <v>73000</v>
      </c>
      <c r="E963" t="str">
        <f>VLOOKUP(B963,Лист2!A:E,5,0)</f>
        <v>малые</v>
      </c>
      <c r="F963">
        <f>VLOOKUP(B963,Лист2!A:E,4,0)</f>
        <v>2.5</v>
      </c>
      <c r="G963">
        <f t="shared" si="66"/>
        <v>42000</v>
      </c>
      <c r="H963">
        <f t="shared" si="67"/>
        <v>46000</v>
      </c>
      <c r="I963">
        <f t="shared" si="68"/>
        <v>16800</v>
      </c>
    </row>
    <row r="964" spans="1:9">
      <c r="A964" t="s">
        <v>25</v>
      </c>
      <c r="B964" t="s">
        <v>18</v>
      </c>
      <c r="C964">
        <v>2697000</v>
      </c>
      <c r="D964">
        <v>2697000</v>
      </c>
      <c r="E964" t="str">
        <f>VLOOKUP(B964,Лист2!A:E,5,0)</f>
        <v>малые</v>
      </c>
      <c r="F964">
        <f>VLOOKUP(B964,Лист2!A:E,4,0)</f>
        <v>2.5</v>
      </c>
      <c r="G964">
        <f t="shared" si="66"/>
        <v>0</v>
      </c>
      <c r="H964">
        <f t="shared" si="67"/>
        <v>1078800</v>
      </c>
      <c r="I964">
        <f t="shared" si="68"/>
        <v>0</v>
      </c>
    </row>
    <row r="965" spans="1:9">
      <c r="A965" t="s">
        <v>25</v>
      </c>
      <c r="B965" t="s">
        <v>18</v>
      </c>
      <c r="C965">
        <v>2091000</v>
      </c>
      <c r="D965">
        <v>2091000</v>
      </c>
      <c r="E965" t="str">
        <f>VLOOKUP(B965,Лист2!A:E,5,0)</f>
        <v>малые</v>
      </c>
      <c r="F965">
        <f>VLOOKUP(B965,Лист2!A:E,4,0)</f>
        <v>2.5</v>
      </c>
      <c r="G965">
        <f t="shared" si="66"/>
        <v>0</v>
      </c>
      <c r="H965">
        <f t="shared" si="67"/>
        <v>836400</v>
      </c>
      <c r="I965">
        <f t="shared" si="68"/>
        <v>0</v>
      </c>
    </row>
    <row r="966" spans="1:9">
      <c r="A966" t="s">
        <v>14</v>
      </c>
      <c r="B966" t="s">
        <v>18</v>
      </c>
      <c r="C966">
        <v>6347000</v>
      </c>
      <c r="D966">
        <v>6708000</v>
      </c>
      <c r="E966" t="str">
        <f>VLOOKUP(B966,Лист2!A:E,5,0)</f>
        <v>малые</v>
      </c>
      <c r="F966">
        <f>VLOOKUP(B966,Лист2!A:E,4,0)</f>
        <v>2.5</v>
      </c>
      <c r="G966">
        <f t="shared" si="66"/>
        <v>-361000</v>
      </c>
      <c r="H966">
        <f t="shared" si="67"/>
        <v>2538800</v>
      </c>
      <c r="I966">
        <f t="shared" si="68"/>
        <v>-144400</v>
      </c>
    </row>
    <row r="967" spans="1:9">
      <c r="A967" t="s">
        <v>25</v>
      </c>
      <c r="B967" t="s">
        <v>18</v>
      </c>
      <c r="C967">
        <v>230000</v>
      </c>
      <c r="D967">
        <v>232000</v>
      </c>
      <c r="E967" t="str">
        <f>VLOOKUP(B967,Лист2!A:E,5,0)</f>
        <v>малые</v>
      </c>
      <c r="F967">
        <f>VLOOKUP(B967,Лист2!A:E,4,0)</f>
        <v>2.5</v>
      </c>
      <c r="G967">
        <f t="shared" si="66"/>
        <v>-2000</v>
      </c>
      <c r="H967">
        <f t="shared" si="67"/>
        <v>92000</v>
      </c>
      <c r="I967">
        <f t="shared" si="68"/>
        <v>-800</v>
      </c>
    </row>
    <row r="968" spans="1:9">
      <c r="A968" t="s">
        <v>14</v>
      </c>
      <c r="B968" t="s">
        <v>22</v>
      </c>
      <c r="C968">
        <v>22575000</v>
      </c>
      <c r="D968">
        <v>18246000</v>
      </c>
      <c r="E968" t="str">
        <f>VLOOKUP(B968,Лист2!A:E,5,0)</f>
        <v>малые</v>
      </c>
      <c r="F968">
        <f>VLOOKUP(B968,Лист2!A:E,4,0)</f>
        <v>13</v>
      </c>
      <c r="G968">
        <f t="shared" si="66"/>
        <v>4329000</v>
      </c>
      <c r="H968">
        <f t="shared" si="67"/>
        <v>1736538.4615384615</v>
      </c>
      <c r="I968">
        <f t="shared" si="68"/>
        <v>333000</v>
      </c>
    </row>
    <row r="969" spans="1:9">
      <c r="A969" t="s">
        <v>14</v>
      </c>
      <c r="B969" t="s">
        <v>22</v>
      </c>
      <c r="C969">
        <v>648499000</v>
      </c>
      <c r="D969">
        <v>652563000</v>
      </c>
      <c r="E969" t="str">
        <f>VLOOKUP(B969,Лист2!A:E,5,0)</f>
        <v>малые</v>
      </c>
      <c r="F969">
        <f>VLOOKUP(B969,Лист2!A:E,4,0)</f>
        <v>13</v>
      </c>
      <c r="G969">
        <f t="shared" si="66"/>
        <v>-4064000</v>
      </c>
      <c r="H969">
        <f t="shared" si="67"/>
        <v>49884538.461538464</v>
      </c>
      <c r="I969">
        <f t="shared" si="68"/>
        <v>-312615.38461538462</v>
      </c>
    </row>
    <row r="970" spans="1:9">
      <c r="A970" t="s">
        <v>14</v>
      </c>
      <c r="B970" t="s">
        <v>18</v>
      </c>
      <c r="C970">
        <v>2943000</v>
      </c>
      <c r="D970">
        <v>3043000</v>
      </c>
      <c r="E970" t="str">
        <f>VLOOKUP(B970,Лист2!A:E,5,0)</f>
        <v>малые</v>
      </c>
      <c r="F970">
        <f>VLOOKUP(B970,Лист2!A:E,4,0)</f>
        <v>2.5</v>
      </c>
      <c r="G970">
        <f t="shared" si="66"/>
        <v>-100000</v>
      </c>
      <c r="H970">
        <f t="shared" si="67"/>
        <v>1177200</v>
      </c>
      <c r="I970">
        <f t="shared" si="68"/>
        <v>-40000</v>
      </c>
    </row>
    <row r="971" spans="1:9">
      <c r="A971" t="s">
        <v>14</v>
      </c>
      <c r="B971" t="s">
        <v>18</v>
      </c>
      <c r="C971">
        <v>10420000</v>
      </c>
      <c r="D971">
        <v>10594000</v>
      </c>
      <c r="E971" t="str">
        <f>VLOOKUP(B971,Лист2!A:E,5,0)</f>
        <v>малые</v>
      </c>
      <c r="F971">
        <f>VLOOKUP(B971,Лист2!A:E,4,0)</f>
        <v>2.5</v>
      </c>
      <c r="G971">
        <f t="shared" si="66"/>
        <v>-174000</v>
      </c>
      <c r="H971">
        <f t="shared" si="67"/>
        <v>4168000</v>
      </c>
      <c r="I971">
        <f t="shared" si="68"/>
        <v>-69600</v>
      </c>
    </row>
    <row r="972" spans="1:9">
      <c r="A972" t="s">
        <v>14</v>
      </c>
      <c r="B972" t="s">
        <v>18</v>
      </c>
      <c r="C972">
        <v>284000</v>
      </c>
      <c r="D972">
        <v>264000</v>
      </c>
      <c r="E972" t="str">
        <f>VLOOKUP(B972,Лист2!A:E,5,0)</f>
        <v>малые</v>
      </c>
      <c r="F972">
        <f>VLOOKUP(B972,Лист2!A:E,4,0)</f>
        <v>2.5</v>
      </c>
      <c r="G972">
        <f t="shared" si="66"/>
        <v>20000</v>
      </c>
      <c r="H972">
        <f t="shared" si="67"/>
        <v>113600</v>
      </c>
      <c r="I972">
        <f t="shared" si="68"/>
        <v>8000</v>
      </c>
    </row>
    <row r="973" spans="1:9">
      <c r="A973" t="s">
        <v>14</v>
      </c>
      <c r="B973" t="s">
        <v>18</v>
      </c>
      <c r="C973">
        <v>10000</v>
      </c>
      <c r="D973">
        <v>10000</v>
      </c>
      <c r="E973" t="str">
        <f>VLOOKUP(B973,Лист2!A:E,5,0)</f>
        <v>малые</v>
      </c>
      <c r="F973">
        <f>VLOOKUP(B973,Лист2!A:E,4,0)</f>
        <v>2.5</v>
      </c>
      <c r="G973">
        <f t="shared" si="66"/>
        <v>0</v>
      </c>
      <c r="H973">
        <f t="shared" si="67"/>
        <v>4000</v>
      </c>
      <c r="I973">
        <f t="shared" si="68"/>
        <v>0</v>
      </c>
    </row>
    <row r="974" spans="1:9">
      <c r="A974" t="s">
        <v>14</v>
      </c>
      <c r="B974" t="s">
        <v>18</v>
      </c>
      <c r="C974">
        <v>11292000</v>
      </c>
      <c r="D974">
        <v>11280000</v>
      </c>
      <c r="E974" t="str">
        <f>VLOOKUP(B974,Лист2!A:E,5,0)</f>
        <v>малые</v>
      </c>
      <c r="F974">
        <f>VLOOKUP(B974,Лист2!A:E,4,0)</f>
        <v>2.5</v>
      </c>
      <c r="G974">
        <f t="shared" si="66"/>
        <v>12000</v>
      </c>
      <c r="H974">
        <f t="shared" si="67"/>
        <v>4516800</v>
      </c>
      <c r="I974">
        <f t="shared" si="68"/>
        <v>4800</v>
      </c>
    </row>
    <row r="975" spans="1:9">
      <c r="A975" t="s">
        <v>14</v>
      </c>
      <c r="B975" t="s">
        <v>18</v>
      </c>
      <c r="C975">
        <v>7389000</v>
      </c>
      <c r="D975">
        <v>7309000</v>
      </c>
      <c r="E975" t="str">
        <f>VLOOKUP(B975,Лист2!A:E,5,0)</f>
        <v>малые</v>
      </c>
      <c r="F975">
        <f>VLOOKUP(B975,Лист2!A:E,4,0)</f>
        <v>2.5</v>
      </c>
      <c r="G975">
        <f t="shared" si="66"/>
        <v>80000</v>
      </c>
      <c r="H975">
        <f t="shared" si="67"/>
        <v>2955600</v>
      </c>
      <c r="I975">
        <f t="shared" si="68"/>
        <v>32000</v>
      </c>
    </row>
    <row r="976" spans="1:9">
      <c r="A976" t="s">
        <v>14</v>
      </c>
      <c r="B976" t="s">
        <v>18</v>
      </c>
      <c r="C976">
        <v>1378000</v>
      </c>
      <c r="D976">
        <v>1651000</v>
      </c>
      <c r="E976" t="str">
        <f>VLOOKUP(B976,Лист2!A:E,5,0)</f>
        <v>малые</v>
      </c>
      <c r="F976">
        <f>VLOOKUP(B976,Лист2!A:E,4,0)</f>
        <v>2.5</v>
      </c>
      <c r="G976">
        <f t="shared" si="66"/>
        <v>-273000</v>
      </c>
      <c r="H976">
        <f t="shared" si="67"/>
        <v>551200</v>
      </c>
      <c r="I976">
        <f t="shared" si="68"/>
        <v>-109200</v>
      </c>
    </row>
    <row r="977" spans="1:9">
      <c r="A977" t="s">
        <v>14</v>
      </c>
      <c r="B977" t="s">
        <v>18</v>
      </c>
      <c r="C977">
        <v>6234000</v>
      </c>
      <c r="D977">
        <v>6132000</v>
      </c>
      <c r="E977" t="str">
        <f>VLOOKUP(B977,Лист2!A:E,5,0)</f>
        <v>малые</v>
      </c>
      <c r="F977">
        <f>VLOOKUP(B977,Лист2!A:E,4,0)</f>
        <v>2.5</v>
      </c>
      <c r="G977">
        <f t="shared" si="66"/>
        <v>102000</v>
      </c>
      <c r="H977">
        <f t="shared" si="67"/>
        <v>2493600</v>
      </c>
      <c r="I977">
        <f t="shared" si="68"/>
        <v>40800</v>
      </c>
    </row>
    <row r="978" spans="1:9">
      <c r="A978" t="s">
        <v>14</v>
      </c>
      <c r="B978" t="s">
        <v>18</v>
      </c>
      <c r="C978">
        <v>195450000</v>
      </c>
      <c r="D978">
        <v>178368000</v>
      </c>
      <c r="E978" t="str">
        <f>VLOOKUP(B978,Лист2!A:E,5,0)</f>
        <v>малые</v>
      </c>
      <c r="F978">
        <f>VLOOKUP(B978,Лист2!A:E,4,0)</f>
        <v>2.5</v>
      </c>
      <c r="G978">
        <f t="shared" si="66"/>
        <v>17082000</v>
      </c>
      <c r="H978">
        <f t="shared" si="67"/>
        <v>78180000</v>
      </c>
      <c r="I978">
        <f t="shared" si="68"/>
        <v>6832800</v>
      </c>
    </row>
    <row r="979" spans="1:9">
      <c r="A979" t="s">
        <v>14</v>
      </c>
      <c r="B979" t="s">
        <v>18</v>
      </c>
      <c r="C979">
        <v>1325000</v>
      </c>
      <c r="D979">
        <v>783000</v>
      </c>
      <c r="E979" t="str">
        <f>VLOOKUP(B979,Лист2!A:E,5,0)</f>
        <v>малые</v>
      </c>
      <c r="F979">
        <f>VLOOKUP(B979,Лист2!A:E,4,0)</f>
        <v>2.5</v>
      </c>
      <c r="G979">
        <f t="shared" si="66"/>
        <v>542000</v>
      </c>
      <c r="H979">
        <f t="shared" si="67"/>
        <v>530000</v>
      </c>
      <c r="I979">
        <f t="shared" si="68"/>
        <v>216800</v>
      </c>
    </row>
    <row r="980" spans="1:9">
      <c r="A980" t="s">
        <v>14</v>
      </c>
      <c r="B980" t="s">
        <v>18</v>
      </c>
      <c r="C980">
        <v>2695000</v>
      </c>
      <c r="D980">
        <v>2213000</v>
      </c>
      <c r="E980" t="str">
        <f>VLOOKUP(B980,Лист2!A:E,5,0)</f>
        <v>малые</v>
      </c>
      <c r="F980">
        <f>VLOOKUP(B980,Лист2!A:E,4,0)</f>
        <v>2.5</v>
      </c>
      <c r="G980">
        <f t="shared" si="66"/>
        <v>482000</v>
      </c>
      <c r="H980">
        <f t="shared" si="67"/>
        <v>1078000</v>
      </c>
      <c r="I980">
        <f t="shared" si="68"/>
        <v>192800</v>
      </c>
    </row>
    <row r="981" spans="1:9">
      <c r="A981" t="s">
        <v>14</v>
      </c>
      <c r="B981" t="s">
        <v>18</v>
      </c>
      <c r="C981">
        <v>2583000</v>
      </c>
      <c r="D981">
        <v>2530000</v>
      </c>
      <c r="E981" t="str">
        <f>VLOOKUP(B981,Лист2!A:E,5,0)</f>
        <v>малые</v>
      </c>
      <c r="F981">
        <f>VLOOKUP(B981,Лист2!A:E,4,0)</f>
        <v>2.5</v>
      </c>
      <c r="G981">
        <f t="shared" si="66"/>
        <v>53000</v>
      </c>
      <c r="H981">
        <f t="shared" si="67"/>
        <v>1033200</v>
      </c>
      <c r="I981">
        <f t="shared" si="68"/>
        <v>21200</v>
      </c>
    </row>
    <row r="982" spans="1:9">
      <c r="A982" t="s">
        <v>14</v>
      </c>
      <c r="B982" t="s">
        <v>18</v>
      </c>
      <c r="C982">
        <v>20851000</v>
      </c>
      <c r="D982">
        <v>20824000</v>
      </c>
      <c r="E982" t="str">
        <f>VLOOKUP(B982,Лист2!A:E,5,0)</f>
        <v>малые</v>
      </c>
      <c r="F982">
        <f>VLOOKUP(B982,Лист2!A:E,4,0)</f>
        <v>2.5</v>
      </c>
      <c r="G982">
        <f t="shared" si="66"/>
        <v>27000</v>
      </c>
      <c r="H982">
        <f t="shared" si="67"/>
        <v>8340400</v>
      </c>
      <c r="I982">
        <f t="shared" si="68"/>
        <v>10800</v>
      </c>
    </row>
    <row r="983" spans="1:9">
      <c r="A983" t="s">
        <v>14</v>
      </c>
      <c r="B983" t="s">
        <v>18</v>
      </c>
      <c r="C983">
        <v>226000</v>
      </c>
      <c r="D983">
        <v>222000</v>
      </c>
      <c r="E983" t="str">
        <f>VLOOKUP(B983,Лист2!A:E,5,0)</f>
        <v>малые</v>
      </c>
      <c r="F983">
        <f>VLOOKUP(B983,Лист2!A:E,4,0)</f>
        <v>2.5</v>
      </c>
      <c r="G983">
        <f t="shared" si="66"/>
        <v>4000</v>
      </c>
      <c r="H983">
        <f t="shared" si="67"/>
        <v>90400</v>
      </c>
      <c r="I983">
        <f t="shared" si="68"/>
        <v>1600</v>
      </c>
    </row>
    <row r="984" spans="1:9">
      <c r="A984" t="s">
        <v>14</v>
      </c>
      <c r="B984" t="s">
        <v>18</v>
      </c>
      <c r="C984">
        <v>239143000</v>
      </c>
      <c r="D984">
        <v>260688000</v>
      </c>
      <c r="E984" t="str">
        <f>VLOOKUP(B984,Лист2!A:E,5,0)</f>
        <v>малые</v>
      </c>
      <c r="F984">
        <f>VLOOKUP(B984,Лист2!A:E,4,0)</f>
        <v>2.5</v>
      </c>
      <c r="G984">
        <f t="shared" si="66"/>
        <v>-21545000</v>
      </c>
      <c r="H984">
        <f t="shared" si="67"/>
        <v>95657200</v>
      </c>
      <c r="I984">
        <f t="shared" si="68"/>
        <v>-8618000</v>
      </c>
    </row>
    <row r="985" spans="1:9">
      <c r="A985" t="s">
        <v>14</v>
      </c>
      <c r="B985" t="s">
        <v>18</v>
      </c>
      <c r="C985">
        <v>1664000</v>
      </c>
      <c r="D985">
        <v>1661000</v>
      </c>
      <c r="E985" t="str">
        <f>VLOOKUP(B985,Лист2!A:E,5,0)</f>
        <v>малые</v>
      </c>
      <c r="F985">
        <f>VLOOKUP(B985,Лист2!A:E,4,0)</f>
        <v>2.5</v>
      </c>
      <c r="G985">
        <f t="shared" si="66"/>
        <v>3000</v>
      </c>
      <c r="H985">
        <f t="shared" si="67"/>
        <v>665600</v>
      </c>
      <c r="I985">
        <f t="shared" si="68"/>
        <v>1200</v>
      </c>
    </row>
    <row r="986" spans="1:9">
      <c r="A986" t="s">
        <v>25</v>
      </c>
      <c r="B986" t="s">
        <v>18</v>
      </c>
      <c r="C986">
        <v>3480000</v>
      </c>
      <c r="D986">
        <v>4041000</v>
      </c>
      <c r="E986" t="str">
        <f>VLOOKUP(B986,Лист2!A:E,5,0)</f>
        <v>малые</v>
      </c>
      <c r="F986">
        <f>VLOOKUP(B986,Лист2!A:E,4,0)</f>
        <v>2.5</v>
      </c>
      <c r="G986">
        <f t="shared" si="66"/>
        <v>-561000</v>
      </c>
      <c r="H986">
        <f t="shared" si="67"/>
        <v>1392000</v>
      </c>
      <c r="I986">
        <f t="shared" si="68"/>
        <v>-224400</v>
      </c>
    </row>
    <row r="987" spans="1:9">
      <c r="A987" t="s">
        <v>14</v>
      </c>
      <c r="B987" t="s">
        <v>18</v>
      </c>
      <c r="C987">
        <v>23500000</v>
      </c>
      <c r="D987">
        <v>23315000</v>
      </c>
      <c r="E987" t="str">
        <f>VLOOKUP(B987,Лист2!A:E,5,0)</f>
        <v>малые</v>
      </c>
      <c r="F987">
        <f>VLOOKUP(B987,Лист2!A:E,4,0)</f>
        <v>2.5</v>
      </c>
      <c r="G987">
        <f t="shared" si="66"/>
        <v>185000</v>
      </c>
      <c r="H987">
        <f t="shared" si="67"/>
        <v>9400000</v>
      </c>
      <c r="I987">
        <f t="shared" si="68"/>
        <v>74000</v>
      </c>
    </row>
    <row r="988" spans="1:9">
      <c r="A988" t="s">
        <v>14</v>
      </c>
      <c r="B988" t="s">
        <v>18</v>
      </c>
      <c r="C988">
        <v>107000</v>
      </c>
      <c r="D988">
        <v>116000</v>
      </c>
      <c r="E988" t="str">
        <f>VLOOKUP(B988,Лист2!A:E,5,0)</f>
        <v>малые</v>
      </c>
      <c r="F988">
        <f>VLOOKUP(B988,Лист2!A:E,4,0)</f>
        <v>2.5</v>
      </c>
      <c r="G988">
        <f t="shared" ref="G988:G1024" si="69">C988-D988</f>
        <v>-9000</v>
      </c>
      <c r="H988">
        <f t="shared" ref="H988:H1024" si="70">C988/F988</f>
        <v>42800</v>
      </c>
      <c r="I988">
        <f t="shared" ref="I988:I1024" si="71">G988/F988</f>
        <v>-3600</v>
      </c>
    </row>
    <row r="989" spans="1:9">
      <c r="A989" t="s">
        <v>14</v>
      </c>
      <c r="B989" t="s">
        <v>77</v>
      </c>
      <c r="C989">
        <v>17848000</v>
      </c>
      <c r="D989">
        <v>14538000</v>
      </c>
      <c r="E989" t="str">
        <f>VLOOKUP(B989,Лист2!A:E,5,0)</f>
        <v>малые</v>
      </c>
      <c r="F989">
        <f>VLOOKUP(B989,Лист2!A:E,4,0)</f>
        <v>8</v>
      </c>
      <c r="G989">
        <f t="shared" si="69"/>
        <v>3310000</v>
      </c>
      <c r="H989">
        <f t="shared" si="70"/>
        <v>2231000</v>
      </c>
      <c r="I989">
        <f t="shared" si="71"/>
        <v>413750</v>
      </c>
    </row>
    <row r="990" spans="1:9">
      <c r="A990" t="s">
        <v>25</v>
      </c>
      <c r="B990" t="s">
        <v>18</v>
      </c>
      <c r="C990">
        <v>290000</v>
      </c>
      <c r="D990">
        <v>269000</v>
      </c>
      <c r="E990" t="str">
        <f>VLOOKUP(B990,Лист2!A:E,5,0)</f>
        <v>малые</v>
      </c>
      <c r="F990">
        <f>VLOOKUP(B990,Лист2!A:E,4,0)</f>
        <v>2.5</v>
      </c>
      <c r="G990">
        <f t="shared" si="69"/>
        <v>21000</v>
      </c>
      <c r="H990">
        <f t="shared" si="70"/>
        <v>116000</v>
      </c>
      <c r="I990">
        <f t="shared" si="71"/>
        <v>8400</v>
      </c>
    </row>
    <row r="991" spans="1:9">
      <c r="A991" t="s">
        <v>14</v>
      </c>
      <c r="B991" t="s">
        <v>18</v>
      </c>
      <c r="C991">
        <v>168000</v>
      </c>
      <c r="D991">
        <v>166000</v>
      </c>
      <c r="E991" t="str">
        <f>VLOOKUP(B991,Лист2!A:E,5,0)</f>
        <v>малые</v>
      </c>
      <c r="F991">
        <f>VLOOKUP(B991,Лист2!A:E,4,0)</f>
        <v>2.5</v>
      </c>
      <c r="G991">
        <f t="shared" si="69"/>
        <v>2000</v>
      </c>
      <c r="H991">
        <f t="shared" si="70"/>
        <v>67200</v>
      </c>
      <c r="I991">
        <f t="shared" si="71"/>
        <v>800</v>
      </c>
    </row>
    <row r="992" spans="1:9">
      <c r="A992" t="s">
        <v>25</v>
      </c>
      <c r="B992" t="s">
        <v>18</v>
      </c>
      <c r="C992">
        <v>480000</v>
      </c>
      <c r="D992">
        <v>1114000</v>
      </c>
      <c r="E992" t="str">
        <f>VLOOKUP(B992,Лист2!A:E,5,0)</f>
        <v>малые</v>
      </c>
      <c r="F992">
        <f>VLOOKUP(B992,Лист2!A:E,4,0)</f>
        <v>2.5</v>
      </c>
      <c r="G992">
        <f t="shared" si="69"/>
        <v>-634000</v>
      </c>
      <c r="H992">
        <f t="shared" si="70"/>
        <v>192000</v>
      </c>
      <c r="I992">
        <f t="shared" si="71"/>
        <v>-253600</v>
      </c>
    </row>
    <row r="993" spans="1:9">
      <c r="A993" t="s">
        <v>14</v>
      </c>
      <c r="B993" t="s">
        <v>18</v>
      </c>
      <c r="C993">
        <v>8580000</v>
      </c>
      <c r="D993">
        <v>8622000</v>
      </c>
      <c r="E993" t="str">
        <f>VLOOKUP(B993,Лист2!A:E,5,0)</f>
        <v>малые</v>
      </c>
      <c r="F993">
        <f>VLOOKUP(B993,Лист2!A:E,4,0)</f>
        <v>2.5</v>
      </c>
      <c r="G993">
        <f t="shared" si="69"/>
        <v>-42000</v>
      </c>
      <c r="H993">
        <f t="shared" si="70"/>
        <v>3432000</v>
      </c>
      <c r="I993">
        <f t="shared" si="71"/>
        <v>-16800</v>
      </c>
    </row>
    <row r="994" spans="1:9">
      <c r="A994" t="s">
        <v>24</v>
      </c>
      <c r="B994" t="s">
        <v>22</v>
      </c>
      <c r="C994">
        <v>836770000</v>
      </c>
      <c r="D994">
        <v>701581000</v>
      </c>
      <c r="E994" t="str">
        <f>VLOOKUP(B994,Лист2!A:E,5,0)</f>
        <v>малые</v>
      </c>
      <c r="F994">
        <f>VLOOKUP(B994,Лист2!A:E,4,0)</f>
        <v>13</v>
      </c>
      <c r="G994">
        <f t="shared" si="69"/>
        <v>135189000</v>
      </c>
      <c r="H994">
        <f t="shared" si="70"/>
        <v>64366923.07692308</v>
      </c>
      <c r="I994">
        <f t="shared" si="71"/>
        <v>10399153.846153846</v>
      </c>
    </row>
    <row r="995" spans="1:9">
      <c r="A995" t="s">
        <v>25</v>
      </c>
      <c r="B995" t="s">
        <v>18</v>
      </c>
      <c r="C995">
        <v>75000</v>
      </c>
      <c r="D995">
        <v>75000</v>
      </c>
      <c r="E995" t="str">
        <f>VLOOKUP(B995,Лист2!A:E,5,0)</f>
        <v>малые</v>
      </c>
      <c r="F995">
        <f>VLOOKUP(B995,Лист2!A:E,4,0)</f>
        <v>2.5</v>
      </c>
      <c r="G995">
        <f t="shared" si="69"/>
        <v>0</v>
      </c>
      <c r="H995">
        <f t="shared" si="70"/>
        <v>30000</v>
      </c>
      <c r="I995">
        <f t="shared" si="71"/>
        <v>0</v>
      </c>
    </row>
    <row r="996" spans="1:9">
      <c r="A996" t="s">
        <v>25</v>
      </c>
      <c r="B996" t="s">
        <v>77</v>
      </c>
      <c r="C996">
        <v>2973000</v>
      </c>
      <c r="D996">
        <v>2681000</v>
      </c>
      <c r="E996" t="str">
        <f>VLOOKUP(B996,Лист2!A:E,5,0)</f>
        <v>малые</v>
      </c>
      <c r="F996">
        <f>VLOOKUP(B996,Лист2!A:E,4,0)</f>
        <v>8</v>
      </c>
      <c r="G996">
        <f t="shared" si="69"/>
        <v>292000</v>
      </c>
      <c r="H996">
        <f t="shared" si="70"/>
        <v>371625</v>
      </c>
      <c r="I996">
        <f t="shared" si="71"/>
        <v>36500</v>
      </c>
    </row>
    <row r="997" spans="1:9">
      <c r="A997" t="s">
        <v>25</v>
      </c>
      <c r="B997" t="s">
        <v>18</v>
      </c>
      <c r="C997">
        <v>3579000</v>
      </c>
      <c r="D997">
        <v>4850000</v>
      </c>
      <c r="E997" t="str">
        <f>VLOOKUP(B997,Лист2!A:E,5,0)</f>
        <v>малые</v>
      </c>
      <c r="F997">
        <f>VLOOKUP(B997,Лист2!A:E,4,0)</f>
        <v>2.5</v>
      </c>
      <c r="G997">
        <f t="shared" si="69"/>
        <v>-1271000</v>
      </c>
      <c r="H997">
        <f t="shared" si="70"/>
        <v>1431600</v>
      </c>
      <c r="I997">
        <f t="shared" si="71"/>
        <v>-508400</v>
      </c>
    </row>
    <row r="998" spans="1:9">
      <c r="A998" t="s">
        <v>25</v>
      </c>
      <c r="B998" t="s">
        <v>18</v>
      </c>
      <c r="C998">
        <v>745000</v>
      </c>
      <c r="D998">
        <v>11000</v>
      </c>
      <c r="E998" t="str">
        <f>VLOOKUP(B998,Лист2!A:E,5,0)</f>
        <v>малые</v>
      </c>
      <c r="F998">
        <f>VLOOKUP(B998,Лист2!A:E,4,0)</f>
        <v>2.5</v>
      </c>
      <c r="G998">
        <f t="shared" si="69"/>
        <v>734000</v>
      </c>
      <c r="H998">
        <f t="shared" si="70"/>
        <v>298000</v>
      </c>
      <c r="I998">
        <f t="shared" si="71"/>
        <v>293600</v>
      </c>
    </row>
    <row r="999" spans="1:9">
      <c r="A999" t="s">
        <v>25</v>
      </c>
      <c r="B999" t="s">
        <v>18</v>
      </c>
      <c r="C999">
        <v>9044000</v>
      </c>
      <c r="D999">
        <v>8954000</v>
      </c>
      <c r="E999" t="str">
        <f>VLOOKUP(B999,Лист2!A:E,5,0)</f>
        <v>малые</v>
      </c>
      <c r="F999">
        <f>VLOOKUP(B999,Лист2!A:E,4,0)</f>
        <v>2.5</v>
      </c>
      <c r="G999">
        <f t="shared" si="69"/>
        <v>90000</v>
      </c>
      <c r="H999">
        <f t="shared" si="70"/>
        <v>3617600</v>
      </c>
      <c r="I999">
        <f t="shared" si="71"/>
        <v>36000</v>
      </c>
    </row>
    <row r="1000" spans="1:9">
      <c r="A1000" t="s">
        <v>14</v>
      </c>
      <c r="B1000" t="s">
        <v>18</v>
      </c>
      <c r="C1000">
        <v>5000</v>
      </c>
      <c r="D1000">
        <v>5000</v>
      </c>
      <c r="E1000" t="str">
        <f>VLOOKUP(B1000,Лист2!A:E,5,0)</f>
        <v>малые</v>
      </c>
      <c r="F1000">
        <f>VLOOKUP(B1000,Лист2!A:E,4,0)</f>
        <v>2.5</v>
      </c>
      <c r="G1000">
        <f t="shared" si="69"/>
        <v>0</v>
      </c>
      <c r="H1000">
        <f t="shared" si="70"/>
        <v>2000</v>
      </c>
      <c r="I1000">
        <f t="shared" si="71"/>
        <v>0</v>
      </c>
    </row>
    <row r="1001" spans="1:9">
      <c r="A1001" t="s">
        <v>14</v>
      </c>
      <c r="B1001" t="s">
        <v>18</v>
      </c>
      <c r="C1001">
        <v>290000</v>
      </c>
      <c r="D1001">
        <v>260000</v>
      </c>
      <c r="E1001" t="str">
        <f>VLOOKUP(B1001,Лист2!A:E,5,0)</f>
        <v>малые</v>
      </c>
      <c r="F1001">
        <f>VLOOKUP(B1001,Лист2!A:E,4,0)</f>
        <v>2.5</v>
      </c>
      <c r="G1001">
        <f t="shared" si="69"/>
        <v>30000</v>
      </c>
      <c r="H1001">
        <f t="shared" si="70"/>
        <v>116000</v>
      </c>
      <c r="I1001">
        <f t="shared" si="71"/>
        <v>12000</v>
      </c>
    </row>
    <row r="1002" spans="1:9">
      <c r="A1002" t="s">
        <v>14</v>
      </c>
      <c r="B1002" t="s">
        <v>18</v>
      </c>
      <c r="C1002">
        <v>1414000</v>
      </c>
      <c r="D1002">
        <v>1378000</v>
      </c>
      <c r="E1002" t="str">
        <f>VLOOKUP(B1002,Лист2!A:E,5,0)</f>
        <v>малые</v>
      </c>
      <c r="F1002">
        <f>VLOOKUP(B1002,Лист2!A:E,4,0)</f>
        <v>2.5</v>
      </c>
      <c r="G1002">
        <f t="shared" si="69"/>
        <v>36000</v>
      </c>
      <c r="H1002">
        <f t="shared" si="70"/>
        <v>565600</v>
      </c>
      <c r="I1002">
        <f t="shared" si="71"/>
        <v>14400</v>
      </c>
    </row>
    <row r="1003" spans="1:9">
      <c r="A1003" t="s">
        <v>25</v>
      </c>
      <c r="B1003" t="s">
        <v>18</v>
      </c>
      <c r="C1003">
        <v>46000</v>
      </c>
      <c r="D1003">
        <v>46000</v>
      </c>
      <c r="E1003" t="str">
        <f>VLOOKUP(B1003,Лист2!A:E,5,0)</f>
        <v>малые</v>
      </c>
      <c r="F1003">
        <f>VLOOKUP(B1003,Лист2!A:E,4,0)</f>
        <v>2.5</v>
      </c>
      <c r="G1003">
        <f t="shared" si="69"/>
        <v>0</v>
      </c>
      <c r="H1003">
        <f t="shared" si="70"/>
        <v>18400</v>
      </c>
      <c r="I1003">
        <f t="shared" si="71"/>
        <v>0</v>
      </c>
    </row>
    <row r="1004" spans="1:9">
      <c r="A1004" t="s">
        <v>14</v>
      </c>
      <c r="B1004" t="s">
        <v>18</v>
      </c>
      <c r="C1004">
        <v>1467000</v>
      </c>
      <c r="D1004">
        <v>1399000</v>
      </c>
      <c r="E1004" t="str">
        <f>VLOOKUP(B1004,Лист2!A:E,5,0)</f>
        <v>малые</v>
      </c>
      <c r="F1004">
        <f>VLOOKUP(B1004,Лист2!A:E,4,0)</f>
        <v>2.5</v>
      </c>
      <c r="G1004">
        <f t="shared" si="69"/>
        <v>68000</v>
      </c>
      <c r="H1004">
        <f t="shared" si="70"/>
        <v>586800</v>
      </c>
      <c r="I1004">
        <f t="shared" si="71"/>
        <v>27200</v>
      </c>
    </row>
    <row r="1005" spans="1:9">
      <c r="A1005" t="s">
        <v>14</v>
      </c>
      <c r="B1005" t="s">
        <v>18</v>
      </c>
      <c r="C1005">
        <v>200000</v>
      </c>
      <c r="D1005">
        <v>239000</v>
      </c>
      <c r="E1005" t="str">
        <f>VLOOKUP(B1005,Лист2!A:E,5,0)</f>
        <v>малые</v>
      </c>
      <c r="F1005">
        <f>VLOOKUP(B1005,Лист2!A:E,4,0)</f>
        <v>2.5</v>
      </c>
      <c r="G1005">
        <f t="shared" si="69"/>
        <v>-39000</v>
      </c>
      <c r="H1005">
        <f t="shared" si="70"/>
        <v>80000</v>
      </c>
      <c r="I1005">
        <f t="shared" si="71"/>
        <v>-15600</v>
      </c>
    </row>
    <row r="1006" spans="1:9">
      <c r="A1006" t="s">
        <v>25</v>
      </c>
      <c r="B1006" t="s">
        <v>18</v>
      </c>
      <c r="C1006">
        <v>898000</v>
      </c>
      <c r="D1006">
        <v>967000</v>
      </c>
      <c r="E1006" t="str">
        <f>VLOOKUP(B1006,Лист2!A:E,5,0)</f>
        <v>малые</v>
      </c>
      <c r="F1006">
        <f>VLOOKUP(B1006,Лист2!A:E,4,0)</f>
        <v>2.5</v>
      </c>
      <c r="G1006">
        <f t="shared" si="69"/>
        <v>-69000</v>
      </c>
      <c r="H1006">
        <f t="shared" si="70"/>
        <v>359200</v>
      </c>
      <c r="I1006">
        <f t="shared" si="71"/>
        <v>-27600</v>
      </c>
    </row>
    <row r="1007" spans="1:9">
      <c r="A1007" t="s">
        <v>14</v>
      </c>
      <c r="B1007" t="s">
        <v>18</v>
      </c>
      <c r="C1007">
        <v>800000</v>
      </c>
      <c r="D1007">
        <v>899000</v>
      </c>
      <c r="E1007" t="str">
        <f>VLOOKUP(B1007,Лист2!A:E,5,0)</f>
        <v>малые</v>
      </c>
      <c r="F1007">
        <f>VLOOKUP(B1007,Лист2!A:E,4,0)</f>
        <v>2.5</v>
      </c>
      <c r="G1007">
        <f t="shared" si="69"/>
        <v>-99000</v>
      </c>
      <c r="H1007">
        <f t="shared" si="70"/>
        <v>320000</v>
      </c>
      <c r="I1007">
        <f t="shared" si="71"/>
        <v>-39600</v>
      </c>
    </row>
    <row r="1008" spans="1:9">
      <c r="A1008" t="s">
        <v>25</v>
      </c>
      <c r="B1008" t="s">
        <v>18</v>
      </c>
      <c r="C1008">
        <v>14377000</v>
      </c>
      <c r="D1008">
        <v>13691000</v>
      </c>
      <c r="E1008" t="str">
        <f>VLOOKUP(B1008,Лист2!A:E,5,0)</f>
        <v>малые</v>
      </c>
      <c r="F1008">
        <f>VLOOKUP(B1008,Лист2!A:E,4,0)</f>
        <v>2.5</v>
      </c>
      <c r="G1008">
        <f t="shared" si="69"/>
        <v>686000</v>
      </c>
      <c r="H1008">
        <f t="shared" si="70"/>
        <v>5750800</v>
      </c>
      <c r="I1008">
        <f t="shared" si="71"/>
        <v>274400</v>
      </c>
    </row>
    <row r="1009" spans="1:9">
      <c r="A1009" t="s">
        <v>25</v>
      </c>
      <c r="B1009" t="s">
        <v>23</v>
      </c>
      <c r="C1009">
        <v>90832000</v>
      </c>
      <c r="D1009">
        <v>98283000</v>
      </c>
      <c r="E1009" t="str">
        <f>VLOOKUP(B1009,Лист2!A:E,5,0)</f>
        <v>средние</v>
      </c>
      <c r="F1009">
        <f>VLOOKUP(B1009,Лист2!A:E,4,0)</f>
        <v>75.5</v>
      </c>
      <c r="G1009">
        <f t="shared" si="69"/>
        <v>-7451000</v>
      </c>
      <c r="H1009">
        <f t="shared" si="70"/>
        <v>1203072.8476821191</v>
      </c>
      <c r="I1009">
        <f t="shared" si="71"/>
        <v>-98688.741721854298</v>
      </c>
    </row>
    <row r="1010" spans="1:9">
      <c r="A1010" t="s">
        <v>25</v>
      </c>
      <c r="B1010" t="s">
        <v>18</v>
      </c>
      <c r="C1010">
        <v>588000</v>
      </c>
      <c r="D1010">
        <v>630000</v>
      </c>
      <c r="E1010" t="str">
        <f>VLOOKUP(B1010,Лист2!A:E,5,0)</f>
        <v>малые</v>
      </c>
      <c r="F1010">
        <f>VLOOKUP(B1010,Лист2!A:E,4,0)</f>
        <v>2.5</v>
      </c>
      <c r="G1010">
        <f t="shared" si="69"/>
        <v>-42000</v>
      </c>
      <c r="H1010">
        <f t="shared" si="70"/>
        <v>235200</v>
      </c>
      <c r="I1010">
        <f t="shared" si="71"/>
        <v>-16800</v>
      </c>
    </row>
    <row r="1011" spans="1:9">
      <c r="A1011" t="s">
        <v>14</v>
      </c>
      <c r="B1011" t="s">
        <v>18</v>
      </c>
      <c r="C1011">
        <v>1284000</v>
      </c>
      <c r="D1011">
        <v>1319000</v>
      </c>
      <c r="E1011" t="str">
        <f>VLOOKUP(B1011,Лист2!A:E,5,0)</f>
        <v>малые</v>
      </c>
      <c r="F1011">
        <f>VLOOKUP(B1011,Лист2!A:E,4,0)</f>
        <v>2.5</v>
      </c>
      <c r="G1011">
        <f t="shared" si="69"/>
        <v>-35000</v>
      </c>
      <c r="H1011">
        <f t="shared" si="70"/>
        <v>513600</v>
      </c>
      <c r="I1011">
        <f t="shared" si="71"/>
        <v>-14000</v>
      </c>
    </row>
    <row r="1012" spans="1:9">
      <c r="A1012" t="s">
        <v>14</v>
      </c>
      <c r="B1012" t="s">
        <v>18</v>
      </c>
      <c r="C1012">
        <v>831000</v>
      </c>
      <c r="D1012">
        <v>442000</v>
      </c>
      <c r="E1012" t="str">
        <f>VLOOKUP(B1012,Лист2!A:E,5,0)</f>
        <v>малые</v>
      </c>
      <c r="F1012">
        <f>VLOOKUP(B1012,Лист2!A:E,4,0)</f>
        <v>2.5</v>
      </c>
      <c r="G1012">
        <f t="shared" si="69"/>
        <v>389000</v>
      </c>
      <c r="H1012">
        <f t="shared" si="70"/>
        <v>332400</v>
      </c>
      <c r="I1012">
        <f t="shared" si="71"/>
        <v>155600</v>
      </c>
    </row>
    <row r="1013" spans="1:9">
      <c r="A1013" t="s">
        <v>14</v>
      </c>
      <c r="B1013" t="s">
        <v>18</v>
      </c>
      <c r="C1013">
        <v>38855000</v>
      </c>
      <c r="D1013">
        <v>32486000</v>
      </c>
      <c r="E1013" t="str">
        <f>VLOOKUP(B1013,Лист2!A:E,5,0)</f>
        <v>малые</v>
      </c>
      <c r="F1013">
        <f>VLOOKUP(B1013,Лист2!A:E,4,0)</f>
        <v>2.5</v>
      </c>
      <c r="G1013">
        <f t="shared" si="69"/>
        <v>6369000</v>
      </c>
      <c r="H1013">
        <f t="shared" si="70"/>
        <v>15542000</v>
      </c>
      <c r="I1013">
        <f t="shared" si="71"/>
        <v>2547600</v>
      </c>
    </row>
    <row r="1014" spans="1:9">
      <c r="A1014" t="s">
        <v>14</v>
      </c>
      <c r="B1014" t="s">
        <v>18</v>
      </c>
      <c r="C1014">
        <v>1258000</v>
      </c>
      <c r="D1014">
        <v>917000</v>
      </c>
      <c r="E1014" t="str">
        <f>VLOOKUP(B1014,Лист2!A:E,5,0)</f>
        <v>малые</v>
      </c>
      <c r="F1014">
        <f>VLOOKUP(B1014,Лист2!A:E,4,0)</f>
        <v>2.5</v>
      </c>
      <c r="G1014">
        <f t="shared" si="69"/>
        <v>341000</v>
      </c>
      <c r="H1014">
        <f t="shared" si="70"/>
        <v>503200</v>
      </c>
      <c r="I1014">
        <f t="shared" si="71"/>
        <v>136400</v>
      </c>
    </row>
    <row r="1015" spans="1:9">
      <c r="A1015" t="s">
        <v>14</v>
      </c>
      <c r="B1015" t="s">
        <v>77</v>
      </c>
      <c r="C1015">
        <v>10927000</v>
      </c>
      <c r="D1015">
        <v>12422000</v>
      </c>
      <c r="E1015" t="str">
        <f>VLOOKUP(B1015,Лист2!A:E,5,0)</f>
        <v>малые</v>
      </c>
      <c r="F1015">
        <f>VLOOKUP(B1015,Лист2!A:E,4,0)</f>
        <v>8</v>
      </c>
      <c r="G1015">
        <f t="shared" si="69"/>
        <v>-1495000</v>
      </c>
      <c r="H1015">
        <f t="shared" si="70"/>
        <v>1365875</v>
      </c>
      <c r="I1015">
        <f t="shared" si="71"/>
        <v>-186875</v>
      </c>
    </row>
    <row r="1016" spans="1:9">
      <c r="A1016" t="s">
        <v>25</v>
      </c>
      <c r="B1016" t="s">
        <v>18</v>
      </c>
      <c r="C1016">
        <v>5657000</v>
      </c>
      <c r="D1016">
        <v>5666000</v>
      </c>
      <c r="E1016" t="str">
        <f>VLOOKUP(B1016,Лист2!A:E,5,0)</f>
        <v>малые</v>
      </c>
      <c r="F1016">
        <f>VLOOKUP(B1016,Лист2!A:E,4,0)</f>
        <v>2.5</v>
      </c>
      <c r="G1016">
        <f t="shared" si="69"/>
        <v>-9000</v>
      </c>
      <c r="H1016">
        <f t="shared" si="70"/>
        <v>2262800</v>
      </c>
      <c r="I1016">
        <f t="shared" si="71"/>
        <v>-3600</v>
      </c>
    </row>
    <row r="1017" spans="1:9">
      <c r="A1017" t="s">
        <v>14</v>
      </c>
      <c r="B1017" t="s">
        <v>18</v>
      </c>
      <c r="C1017">
        <v>3862000</v>
      </c>
      <c r="D1017">
        <v>4425000</v>
      </c>
      <c r="E1017" t="str">
        <f>VLOOKUP(B1017,Лист2!A:E,5,0)</f>
        <v>малые</v>
      </c>
      <c r="F1017">
        <f>VLOOKUP(B1017,Лист2!A:E,4,0)</f>
        <v>2.5</v>
      </c>
      <c r="G1017">
        <f t="shared" si="69"/>
        <v>-563000</v>
      </c>
      <c r="H1017">
        <f t="shared" si="70"/>
        <v>1544800</v>
      </c>
      <c r="I1017">
        <f t="shared" si="71"/>
        <v>-225200</v>
      </c>
    </row>
    <row r="1018" spans="1:9">
      <c r="A1018" t="s">
        <v>14</v>
      </c>
      <c r="B1018" t="s">
        <v>18</v>
      </c>
      <c r="C1018">
        <v>564000</v>
      </c>
      <c r="D1018">
        <v>803000</v>
      </c>
      <c r="E1018" t="str">
        <f>VLOOKUP(B1018,Лист2!A:E,5,0)</f>
        <v>малые</v>
      </c>
      <c r="F1018">
        <f>VLOOKUP(B1018,Лист2!A:E,4,0)</f>
        <v>2.5</v>
      </c>
      <c r="G1018">
        <f t="shared" si="69"/>
        <v>-239000</v>
      </c>
      <c r="H1018">
        <f t="shared" si="70"/>
        <v>225600</v>
      </c>
      <c r="I1018">
        <f t="shared" si="71"/>
        <v>-95600</v>
      </c>
    </row>
    <row r="1019" spans="1:9">
      <c r="A1019" t="s">
        <v>25</v>
      </c>
      <c r="B1019" t="s">
        <v>18</v>
      </c>
      <c r="C1019">
        <v>787000</v>
      </c>
      <c r="D1019">
        <v>787000</v>
      </c>
      <c r="E1019" t="str">
        <f>VLOOKUP(B1019,Лист2!A:E,5,0)</f>
        <v>малые</v>
      </c>
      <c r="F1019">
        <f>VLOOKUP(B1019,Лист2!A:E,4,0)</f>
        <v>2.5</v>
      </c>
      <c r="G1019">
        <f t="shared" si="69"/>
        <v>0</v>
      </c>
      <c r="H1019">
        <f t="shared" si="70"/>
        <v>314800</v>
      </c>
      <c r="I1019">
        <f t="shared" si="71"/>
        <v>0</v>
      </c>
    </row>
    <row r="1020" spans="1:9">
      <c r="A1020" t="s">
        <v>14</v>
      </c>
      <c r="B1020" t="s">
        <v>18</v>
      </c>
      <c r="C1020">
        <v>43287000</v>
      </c>
      <c r="D1020">
        <v>45202000</v>
      </c>
      <c r="E1020" t="str">
        <f>VLOOKUP(B1020,Лист2!A:E,5,0)</f>
        <v>малые</v>
      </c>
      <c r="F1020">
        <f>VLOOKUP(B1020,Лист2!A:E,4,0)</f>
        <v>2.5</v>
      </c>
      <c r="G1020">
        <f t="shared" si="69"/>
        <v>-1915000</v>
      </c>
      <c r="H1020">
        <f t="shared" si="70"/>
        <v>17314800</v>
      </c>
      <c r="I1020">
        <f t="shared" si="71"/>
        <v>-766000</v>
      </c>
    </row>
    <row r="1021" spans="1:9">
      <c r="A1021" t="s">
        <v>14</v>
      </c>
      <c r="B1021" t="s">
        <v>23</v>
      </c>
      <c r="C1021">
        <v>4216000</v>
      </c>
      <c r="D1021">
        <v>4486000</v>
      </c>
      <c r="E1021" t="str">
        <f>VLOOKUP(B1021,Лист2!A:E,5,0)</f>
        <v>средние</v>
      </c>
      <c r="F1021">
        <f>VLOOKUP(B1021,Лист2!A:E,4,0)</f>
        <v>75.5</v>
      </c>
      <c r="G1021">
        <f t="shared" si="69"/>
        <v>-270000</v>
      </c>
      <c r="H1021">
        <f t="shared" si="70"/>
        <v>55841.059602649009</v>
      </c>
      <c r="I1021">
        <f t="shared" si="71"/>
        <v>-3576.1589403973512</v>
      </c>
    </row>
    <row r="1022" spans="1:9">
      <c r="A1022" t="s">
        <v>14</v>
      </c>
      <c r="B1022" t="s">
        <v>18</v>
      </c>
      <c r="C1022">
        <v>2113000</v>
      </c>
      <c r="D1022">
        <v>2113000</v>
      </c>
      <c r="E1022" t="str">
        <f>VLOOKUP(B1022,Лист2!A:E,5,0)</f>
        <v>малые</v>
      </c>
      <c r="F1022">
        <f>VLOOKUP(B1022,Лист2!A:E,4,0)</f>
        <v>2.5</v>
      </c>
      <c r="G1022">
        <f t="shared" si="69"/>
        <v>0</v>
      </c>
      <c r="H1022">
        <f t="shared" si="70"/>
        <v>845200</v>
      </c>
      <c r="I1022">
        <f t="shared" si="71"/>
        <v>0</v>
      </c>
    </row>
    <row r="1023" spans="1:9">
      <c r="A1023" t="s">
        <v>14</v>
      </c>
      <c r="B1023" t="s">
        <v>18</v>
      </c>
      <c r="C1023">
        <v>207000</v>
      </c>
      <c r="D1023">
        <v>207000</v>
      </c>
      <c r="E1023" t="str">
        <f>VLOOKUP(B1023,Лист2!A:E,5,0)</f>
        <v>малые</v>
      </c>
      <c r="F1023">
        <f>VLOOKUP(B1023,Лист2!A:E,4,0)</f>
        <v>2.5</v>
      </c>
      <c r="G1023">
        <f t="shared" si="69"/>
        <v>0</v>
      </c>
      <c r="H1023">
        <f t="shared" si="70"/>
        <v>82800</v>
      </c>
      <c r="I1023">
        <f t="shared" si="71"/>
        <v>0</v>
      </c>
    </row>
    <row r="1024" spans="1:9">
      <c r="A1024" t="s">
        <v>14</v>
      </c>
      <c r="B1024" t="s">
        <v>18</v>
      </c>
      <c r="C1024">
        <v>3172000</v>
      </c>
      <c r="D1024">
        <v>3491000</v>
      </c>
      <c r="E1024" t="str">
        <f>VLOOKUP(B1024,Лист2!A:E,5,0)</f>
        <v>малые</v>
      </c>
      <c r="F1024">
        <f>VLOOKUP(B1024,Лист2!A:E,4,0)</f>
        <v>2.5</v>
      </c>
      <c r="G1024">
        <f t="shared" si="69"/>
        <v>-319000</v>
      </c>
      <c r="H1024">
        <f t="shared" si="70"/>
        <v>1268800</v>
      </c>
      <c r="I1024">
        <f t="shared" si="71"/>
        <v>-127600</v>
      </c>
    </row>
    <row r="1025" spans="1:9">
      <c r="A1025" t="s">
        <v>14</v>
      </c>
      <c r="B1025" t="s">
        <v>18</v>
      </c>
      <c r="C1025">
        <v>9993000</v>
      </c>
      <c r="D1025">
        <v>9645000</v>
      </c>
      <c r="E1025" t="str">
        <f>VLOOKUP(B1025,Лист2!A:E,5,0)</f>
        <v>малые</v>
      </c>
      <c r="F1025">
        <f>VLOOKUP(B1025,Лист2!A:E,4,0)</f>
        <v>2.5</v>
      </c>
      <c r="G1025">
        <f t="shared" ref="G1025:G1066" si="72">C1025-D1025</f>
        <v>348000</v>
      </c>
      <c r="H1025">
        <f t="shared" ref="H1025:H1066" si="73">C1025/F1025</f>
        <v>3997200</v>
      </c>
      <c r="I1025">
        <f t="shared" ref="I1025:I1066" si="74">G1025/F1025</f>
        <v>139200</v>
      </c>
    </row>
    <row r="1026" spans="1:9">
      <c r="A1026" t="s">
        <v>14</v>
      </c>
      <c r="B1026" t="s">
        <v>22</v>
      </c>
      <c r="C1026">
        <v>23522000</v>
      </c>
      <c r="D1026">
        <v>23765000</v>
      </c>
      <c r="E1026" t="str">
        <f>VLOOKUP(B1026,Лист2!A:E,5,0)</f>
        <v>малые</v>
      </c>
      <c r="F1026">
        <f>VLOOKUP(B1026,Лист2!A:E,4,0)</f>
        <v>13</v>
      </c>
      <c r="G1026">
        <f t="shared" si="72"/>
        <v>-243000</v>
      </c>
      <c r="H1026">
        <f t="shared" si="73"/>
        <v>1809384.6153846155</v>
      </c>
      <c r="I1026">
        <f t="shared" si="74"/>
        <v>-18692.307692307691</v>
      </c>
    </row>
    <row r="1027" spans="1:9">
      <c r="A1027" t="s">
        <v>14</v>
      </c>
      <c r="B1027" t="s">
        <v>18</v>
      </c>
      <c r="C1027">
        <v>1885000</v>
      </c>
      <c r="D1027">
        <v>2006000</v>
      </c>
      <c r="E1027" t="str">
        <f>VLOOKUP(B1027,Лист2!A:E,5,0)</f>
        <v>малые</v>
      </c>
      <c r="F1027">
        <f>VLOOKUP(B1027,Лист2!A:E,4,0)</f>
        <v>2.5</v>
      </c>
      <c r="G1027">
        <f t="shared" si="72"/>
        <v>-121000</v>
      </c>
      <c r="H1027">
        <f t="shared" si="73"/>
        <v>754000</v>
      </c>
      <c r="I1027">
        <f t="shared" si="74"/>
        <v>-48400</v>
      </c>
    </row>
    <row r="1028" spans="1:9">
      <c r="A1028" t="s">
        <v>14</v>
      </c>
      <c r="B1028" t="s">
        <v>18</v>
      </c>
      <c r="C1028">
        <v>930000</v>
      </c>
      <c r="D1028">
        <v>1014000</v>
      </c>
      <c r="E1028" t="str">
        <f>VLOOKUP(B1028,Лист2!A:E,5,0)</f>
        <v>малые</v>
      </c>
      <c r="F1028">
        <f>VLOOKUP(B1028,Лист2!A:E,4,0)</f>
        <v>2.5</v>
      </c>
      <c r="G1028">
        <f t="shared" si="72"/>
        <v>-84000</v>
      </c>
      <c r="H1028">
        <f t="shared" si="73"/>
        <v>372000</v>
      </c>
      <c r="I1028">
        <f t="shared" si="74"/>
        <v>-33600</v>
      </c>
    </row>
    <row r="1029" spans="1:9">
      <c r="A1029" t="s">
        <v>14</v>
      </c>
      <c r="B1029" t="s">
        <v>18</v>
      </c>
      <c r="C1029">
        <v>344639000</v>
      </c>
      <c r="D1029">
        <v>304329000</v>
      </c>
      <c r="E1029" t="str">
        <f>VLOOKUP(B1029,Лист2!A:E,5,0)</f>
        <v>малые</v>
      </c>
      <c r="F1029">
        <f>VLOOKUP(B1029,Лист2!A:E,4,0)</f>
        <v>2.5</v>
      </c>
      <c r="G1029">
        <f t="shared" si="72"/>
        <v>40310000</v>
      </c>
      <c r="H1029">
        <f t="shared" si="73"/>
        <v>137855600</v>
      </c>
      <c r="I1029">
        <f t="shared" si="74"/>
        <v>16124000</v>
      </c>
    </row>
    <row r="1030" spans="1:9">
      <c r="A1030" t="s">
        <v>14</v>
      </c>
      <c r="B1030" t="s">
        <v>18</v>
      </c>
      <c r="C1030">
        <v>1015000</v>
      </c>
      <c r="D1030">
        <v>1023000</v>
      </c>
      <c r="E1030" t="str">
        <f>VLOOKUP(B1030,Лист2!A:E,5,0)</f>
        <v>малые</v>
      </c>
      <c r="F1030">
        <f>VLOOKUP(B1030,Лист2!A:E,4,0)</f>
        <v>2.5</v>
      </c>
      <c r="G1030">
        <f t="shared" si="72"/>
        <v>-8000</v>
      </c>
      <c r="H1030">
        <f t="shared" si="73"/>
        <v>406000</v>
      </c>
      <c r="I1030">
        <f t="shared" si="74"/>
        <v>-3200</v>
      </c>
    </row>
    <row r="1031" spans="1:9">
      <c r="A1031" t="s">
        <v>14</v>
      </c>
      <c r="B1031" t="s">
        <v>18</v>
      </c>
      <c r="C1031">
        <v>219000</v>
      </c>
      <c r="D1031">
        <v>173000</v>
      </c>
      <c r="E1031" t="str">
        <f>VLOOKUP(B1031,Лист2!A:E,5,0)</f>
        <v>малые</v>
      </c>
      <c r="F1031">
        <f>VLOOKUP(B1031,Лист2!A:E,4,0)</f>
        <v>2.5</v>
      </c>
      <c r="G1031">
        <f t="shared" si="72"/>
        <v>46000</v>
      </c>
      <c r="H1031">
        <f t="shared" si="73"/>
        <v>87600</v>
      </c>
      <c r="I1031">
        <f t="shared" si="74"/>
        <v>18400</v>
      </c>
    </row>
    <row r="1032" spans="1:9">
      <c r="A1032" t="s">
        <v>14</v>
      </c>
      <c r="B1032" t="s">
        <v>18</v>
      </c>
      <c r="C1032">
        <v>15898000</v>
      </c>
      <c r="D1032">
        <v>15236000</v>
      </c>
      <c r="E1032" t="str">
        <f>VLOOKUP(B1032,Лист2!A:E,5,0)</f>
        <v>малые</v>
      </c>
      <c r="F1032">
        <f>VLOOKUP(B1032,Лист2!A:E,4,0)</f>
        <v>2.5</v>
      </c>
      <c r="G1032">
        <f t="shared" si="72"/>
        <v>662000</v>
      </c>
      <c r="H1032">
        <f t="shared" si="73"/>
        <v>6359200</v>
      </c>
      <c r="I1032">
        <f t="shared" si="74"/>
        <v>264800</v>
      </c>
    </row>
    <row r="1033" spans="1:9">
      <c r="A1033" t="s">
        <v>14</v>
      </c>
      <c r="B1033" t="s">
        <v>18</v>
      </c>
      <c r="C1033">
        <v>1980000</v>
      </c>
      <c r="D1033">
        <v>2093000</v>
      </c>
      <c r="E1033" t="str">
        <f>VLOOKUP(B1033,Лист2!A:E,5,0)</f>
        <v>малые</v>
      </c>
      <c r="F1033">
        <f>VLOOKUP(B1033,Лист2!A:E,4,0)</f>
        <v>2.5</v>
      </c>
      <c r="G1033">
        <f t="shared" si="72"/>
        <v>-113000</v>
      </c>
      <c r="H1033">
        <f t="shared" si="73"/>
        <v>792000</v>
      </c>
      <c r="I1033">
        <f t="shared" si="74"/>
        <v>-45200</v>
      </c>
    </row>
    <row r="1034" spans="1:9">
      <c r="A1034" t="s">
        <v>14</v>
      </c>
      <c r="B1034" t="s">
        <v>18</v>
      </c>
      <c r="C1034">
        <v>4664000</v>
      </c>
      <c r="D1034">
        <v>4487000</v>
      </c>
      <c r="E1034" t="str">
        <f>VLOOKUP(B1034,Лист2!A:E,5,0)</f>
        <v>малые</v>
      </c>
      <c r="F1034">
        <f>VLOOKUP(B1034,Лист2!A:E,4,0)</f>
        <v>2.5</v>
      </c>
      <c r="G1034">
        <f t="shared" si="72"/>
        <v>177000</v>
      </c>
      <c r="H1034">
        <f t="shared" si="73"/>
        <v>1865600</v>
      </c>
      <c r="I1034">
        <f t="shared" si="74"/>
        <v>70800</v>
      </c>
    </row>
    <row r="1035" spans="1:9">
      <c r="A1035" t="s">
        <v>14</v>
      </c>
      <c r="B1035" t="s">
        <v>18</v>
      </c>
      <c r="C1035">
        <v>43000</v>
      </c>
      <c r="D1035">
        <v>43000</v>
      </c>
      <c r="E1035" t="str">
        <f>VLOOKUP(B1035,Лист2!A:E,5,0)</f>
        <v>малые</v>
      </c>
      <c r="F1035">
        <f>VLOOKUP(B1035,Лист2!A:E,4,0)</f>
        <v>2.5</v>
      </c>
      <c r="G1035">
        <f t="shared" si="72"/>
        <v>0</v>
      </c>
      <c r="H1035">
        <f t="shared" si="73"/>
        <v>17200</v>
      </c>
      <c r="I1035">
        <f t="shared" si="74"/>
        <v>0</v>
      </c>
    </row>
    <row r="1036" spans="1:9">
      <c r="A1036" t="s">
        <v>14</v>
      </c>
      <c r="B1036" t="s">
        <v>18</v>
      </c>
      <c r="C1036">
        <v>36401000</v>
      </c>
      <c r="D1036">
        <v>1053000</v>
      </c>
      <c r="E1036" t="str">
        <f>VLOOKUP(B1036,Лист2!A:E,5,0)</f>
        <v>малые</v>
      </c>
      <c r="F1036">
        <f>VLOOKUP(B1036,Лист2!A:E,4,0)</f>
        <v>2.5</v>
      </c>
      <c r="G1036">
        <f t="shared" si="72"/>
        <v>35348000</v>
      </c>
      <c r="H1036">
        <f t="shared" si="73"/>
        <v>14560400</v>
      </c>
      <c r="I1036">
        <f t="shared" si="74"/>
        <v>14139200</v>
      </c>
    </row>
    <row r="1037" spans="1:9">
      <c r="A1037" t="s">
        <v>14</v>
      </c>
      <c r="B1037" t="s">
        <v>22</v>
      </c>
      <c r="C1037">
        <v>10652000</v>
      </c>
      <c r="D1037">
        <v>13090000</v>
      </c>
      <c r="E1037" t="str">
        <f>VLOOKUP(B1037,Лист2!A:E,5,0)</f>
        <v>малые</v>
      </c>
      <c r="F1037">
        <f>VLOOKUP(B1037,Лист2!A:E,4,0)</f>
        <v>13</v>
      </c>
      <c r="G1037">
        <f t="shared" si="72"/>
        <v>-2438000</v>
      </c>
      <c r="H1037">
        <f t="shared" si="73"/>
        <v>819384.61538461538</v>
      </c>
      <c r="I1037">
        <f t="shared" si="74"/>
        <v>-187538.46153846153</v>
      </c>
    </row>
    <row r="1038" spans="1:9">
      <c r="A1038" t="s">
        <v>25</v>
      </c>
      <c r="B1038" t="s">
        <v>18</v>
      </c>
      <c r="C1038">
        <v>504000</v>
      </c>
      <c r="D1038">
        <v>564000</v>
      </c>
      <c r="E1038" t="str">
        <f>VLOOKUP(B1038,Лист2!A:E,5,0)</f>
        <v>малые</v>
      </c>
      <c r="F1038">
        <f>VLOOKUP(B1038,Лист2!A:E,4,0)</f>
        <v>2.5</v>
      </c>
      <c r="G1038">
        <f t="shared" si="72"/>
        <v>-60000</v>
      </c>
      <c r="H1038">
        <f t="shared" si="73"/>
        <v>201600</v>
      </c>
      <c r="I1038">
        <f t="shared" si="74"/>
        <v>-24000</v>
      </c>
    </row>
    <row r="1039" spans="1:9">
      <c r="A1039" t="s">
        <v>25</v>
      </c>
      <c r="B1039" t="s">
        <v>18</v>
      </c>
      <c r="C1039">
        <v>4182000</v>
      </c>
      <c r="D1039">
        <v>2748000</v>
      </c>
      <c r="E1039" t="str">
        <f>VLOOKUP(B1039,Лист2!A:E,5,0)</f>
        <v>малые</v>
      </c>
      <c r="F1039">
        <f>VLOOKUP(B1039,Лист2!A:E,4,0)</f>
        <v>2.5</v>
      </c>
      <c r="G1039">
        <f t="shared" si="72"/>
        <v>1434000</v>
      </c>
      <c r="H1039">
        <f t="shared" si="73"/>
        <v>1672800</v>
      </c>
      <c r="I1039">
        <f t="shared" si="74"/>
        <v>573600</v>
      </c>
    </row>
    <row r="1040" spans="1:9">
      <c r="A1040" t="s">
        <v>25</v>
      </c>
      <c r="B1040" t="s">
        <v>18</v>
      </c>
      <c r="C1040">
        <v>579000</v>
      </c>
      <c r="D1040">
        <v>564000</v>
      </c>
      <c r="E1040" t="str">
        <f>VLOOKUP(B1040,Лист2!A:E,5,0)</f>
        <v>малые</v>
      </c>
      <c r="F1040">
        <f>VLOOKUP(B1040,Лист2!A:E,4,0)</f>
        <v>2.5</v>
      </c>
      <c r="G1040">
        <f t="shared" si="72"/>
        <v>15000</v>
      </c>
      <c r="H1040">
        <f t="shared" si="73"/>
        <v>231600</v>
      </c>
      <c r="I1040">
        <f t="shared" si="74"/>
        <v>6000</v>
      </c>
    </row>
    <row r="1041" spans="1:9">
      <c r="A1041" t="s">
        <v>14</v>
      </c>
      <c r="B1041" t="s">
        <v>18</v>
      </c>
      <c r="C1041">
        <v>5171000</v>
      </c>
      <c r="D1041">
        <v>5300000</v>
      </c>
      <c r="E1041" t="str">
        <f>VLOOKUP(B1041,Лист2!A:E,5,0)</f>
        <v>малые</v>
      </c>
      <c r="F1041">
        <f>VLOOKUP(B1041,Лист2!A:E,4,0)</f>
        <v>2.5</v>
      </c>
      <c r="G1041">
        <f t="shared" si="72"/>
        <v>-129000</v>
      </c>
      <c r="H1041">
        <f t="shared" si="73"/>
        <v>2068400</v>
      </c>
      <c r="I1041">
        <f t="shared" si="74"/>
        <v>-51600</v>
      </c>
    </row>
    <row r="1042" spans="1:9">
      <c r="A1042" t="s">
        <v>14</v>
      </c>
      <c r="B1042" t="s">
        <v>18</v>
      </c>
      <c r="C1042">
        <v>50000</v>
      </c>
      <c r="D1042">
        <v>87000</v>
      </c>
      <c r="E1042" t="str">
        <f>VLOOKUP(B1042,Лист2!A:E,5,0)</f>
        <v>малые</v>
      </c>
      <c r="F1042">
        <f>VLOOKUP(B1042,Лист2!A:E,4,0)</f>
        <v>2.5</v>
      </c>
      <c r="G1042">
        <f t="shared" si="72"/>
        <v>-37000</v>
      </c>
      <c r="H1042">
        <f t="shared" si="73"/>
        <v>20000</v>
      </c>
      <c r="I1042">
        <f t="shared" si="74"/>
        <v>-14800</v>
      </c>
    </row>
    <row r="1043" spans="1:9">
      <c r="A1043" t="s">
        <v>14</v>
      </c>
      <c r="B1043" t="s">
        <v>18</v>
      </c>
      <c r="C1043">
        <v>102000</v>
      </c>
      <c r="D1043">
        <v>102000</v>
      </c>
      <c r="E1043" t="str">
        <f>VLOOKUP(B1043,Лист2!A:E,5,0)</f>
        <v>малые</v>
      </c>
      <c r="F1043">
        <f>VLOOKUP(B1043,Лист2!A:E,4,0)</f>
        <v>2.5</v>
      </c>
      <c r="G1043">
        <f t="shared" si="72"/>
        <v>0</v>
      </c>
      <c r="H1043">
        <f t="shared" si="73"/>
        <v>40800</v>
      </c>
      <c r="I1043">
        <f t="shared" si="74"/>
        <v>0</v>
      </c>
    </row>
    <row r="1044" spans="1:9">
      <c r="A1044" t="s">
        <v>14</v>
      </c>
      <c r="B1044" t="s">
        <v>18</v>
      </c>
      <c r="C1044">
        <v>4920000</v>
      </c>
      <c r="D1044">
        <v>17519000</v>
      </c>
      <c r="E1044" t="str">
        <f>VLOOKUP(B1044,Лист2!A:E,5,0)</f>
        <v>малые</v>
      </c>
      <c r="F1044">
        <f>VLOOKUP(B1044,Лист2!A:E,4,0)</f>
        <v>2.5</v>
      </c>
      <c r="G1044">
        <f t="shared" si="72"/>
        <v>-12599000</v>
      </c>
      <c r="H1044">
        <f t="shared" si="73"/>
        <v>1968000</v>
      </c>
      <c r="I1044">
        <f t="shared" si="74"/>
        <v>-5039600</v>
      </c>
    </row>
    <row r="1045" spans="1:9">
      <c r="A1045" t="s">
        <v>14</v>
      </c>
      <c r="B1045" t="s">
        <v>18</v>
      </c>
      <c r="C1045">
        <v>2809000</v>
      </c>
      <c r="D1045">
        <v>2755000</v>
      </c>
      <c r="E1045" t="str">
        <f>VLOOKUP(B1045,Лист2!A:E,5,0)</f>
        <v>малые</v>
      </c>
      <c r="F1045">
        <f>VLOOKUP(B1045,Лист2!A:E,4,0)</f>
        <v>2.5</v>
      </c>
      <c r="G1045">
        <f t="shared" si="72"/>
        <v>54000</v>
      </c>
      <c r="H1045">
        <f t="shared" si="73"/>
        <v>1123600</v>
      </c>
      <c r="I1045">
        <f t="shared" si="74"/>
        <v>21600</v>
      </c>
    </row>
    <row r="1046" spans="1:9">
      <c r="A1046" t="s">
        <v>14</v>
      </c>
      <c r="B1046" t="s">
        <v>18</v>
      </c>
      <c r="C1046">
        <v>3805000</v>
      </c>
      <c r="D1046">
        <v>3099000</v>
      </c>
      <c r="E1046" t="str">
        <f>VLOOKUP(B1046,Лист2!A:E,5,0)</f>
        <v>малые</v>
      </c>
      <c r="F1046">
        <f>VLOOKUP(B1046,Лист2!A:E,4,0)</f>
        <v>2.5</v>
      </c>
      <c r="G1046">
        <f t="shared" si="72"/>
        <v>706000</v>
      </c>
      <c r="H1046">
        <f t="shared" si="73"/>
        <v>1522000</v>
      </c>
      <c r="I1046">
        <f t="shared" si="74"/>
        <v>282400</v>
      </c>
    </row>
    <row r="1047" spans="1:9">
      <c r="A1047" t="s">
        <v>14</v>
      </c>
      <c r="B1047" t="s">
        <v>18</v>
      </c>
      <c r="C1047">
        <v>3957000</v>
      </c>
      <c r="D1047">
        <v>4383000</v>
      </c>
      <c r="E1047" t="str">
        <f>VLOOKUP(B1047,Лист2!A:E,5,0)</f>
        <v>малые</v>
      </c>
      <c r="F1047">
        <f>VLOOKUP(B1047,Лист2!A:E,4,0)</f>
        <v>2.5</v>
      </c>
      <c r="G1047">
        <f t="shared" si="72"/>
        <v>-426000</v>
      </c>
      <c r="H1047">
        <f t="shared" si="73"/>
        <v>1582800</v>
      </c>
      <c r="I1047">
        <f t="shared" si="74"/>
        <v>-170400</v>
      </c>
    </row>
    <row r="1048" spans="1:9">
      <c r="A1048" t="s">
        <v>14</v>
      </c>
      <c r="B1048" t="s">
        <v>18</v>
      </c>
      <c r="C1048">
        <v>2890000</v>
      </c>
      <c r="D1048">
        <v>3837000</v>
      </c>
      <c r="E1048" t="str">
        <f>VLOOKUP(B1048,Лист2!A:E,5,0)</f>
        <v>малые</v>
      </c>
      <c r="F1048">
        <f>VLOOKUP(B1048,Лист2!A:E,4,0)</f>
        <v>2.5</v>
      </c>
      <c r="G1048">
        <f t="shared" si="72"/>
        <v>-947000</v>
      </c>
      <c r="H1048">
        <f t="shared" si="73"/>
        <v>1156000</v>
      </c>
      <c r="I1048">
        <f t="shared" si="74"/>
        <v>-378800</v>
      </c>
    </row>
    <row r="1049" spans="1:9">
      <c r="A1049" t="s">
        <v>14</v>
      </c>
      <c r="B1049" t="s">
        <v>18</v>
      </c>
      <c r="C1049">
        <v>2585000</v>
      </c>
      <c r="D1049">
        <v>1805000</v>
      </c>
      <c r="E1049" t="str">
        <f>VLOOKUP(B1049,Лист2!A:E,5,0)</f>
        <v>малые</v>
      </c>
      <c r="F1049">
        <f>VLOOKUP(B1049,Лист2!A:E,4,0)</f>
        <v>2.5</v>
      </c>
      <c r="G1049">
        <f t="shared" si="72"/>
        <v>780000</v>
      </c>
      <c r="H1049">
        <f t="shared" si="73"/>
        <v>1034000</v>
      </c>
      <c r="I1049">
        <f t="shared" si="74"/>
        <v>312000</v>
      </c>
    </row>
    <row r="1050" spans="1:9">
      <c r="A1050" t="s">
        <v>14</v>
      </c>
      <c r="B1050" t="s">
        <v>18</v>
      </c>
      <c r="C1050">
        <v>95000</v>
      </c>
      <c r="D1050">
        <v>163000</v>
      </c>
      <c r="E1050" t="str">
        <f>VLOOKUP(B1050,Лист2!A:E,5,0)</f>
        <v>малые</v>
      </c>
      <c r="F1050">
        <f>VLOOKUP(B1050,Лист2!A:E,4,0)</f>
        <v>2.5</v>
      </c>
      <c r="G1050">
        <f t="shared" si="72"/>
        <v>-68000</v>
      </c>
      <c r="H1050">
        <f t="shared" si="73"/>
        <v>38000</v>
      </c>
      <c r="I1050">
        <f t="shared" si="74"/>
        <v>-27200</v>
      </c>
    </row>
    <row r="1051" spans="1:9">
      <c r="A1051" t="s">
        <v>14</v>
      </c>
      <c r="B1051" t="s">
        <v>18</v>
      </c>
      <c r="C1051">
        <v>2001000</v>
      </c>
      <c r="D1051">
        <v>2148000</v>
      </c>
      <c r="E1051" t="str">
        <f>VLOOKUP(B1051,Лист2!A:E,5,0)</f>
        <v>малые</v>
      </c>
      <c r="F1051">
        <f>VLOOKUP(B1051,Лист2!A:E,4,0)</f>
        <v>2.5</v>
      </c>
      <c r="G1051">
        <f t="shared" si="72"/>
        <v>-147000</v>
      </c>
      <c r="H1051">
        <f t="shared" si="73"/>
        <v>800400</v>
      </c>
      <c r="I1051">
        <f t="shared" si="74"/>
        <v>-58800</v>
      </c>
    </row>
    <row r="1052" spans="1:9">
      <c r="A1052" t="s">
        <v>14</v>
      </c>
      <c r="B1052" t="s">
        <v>18</v>
      </c>
      <c r="C1052">
        <v>967000</v>
      </c>
      <c r="D1052">
        <v>1336000</v>
      </c>
      <c r="E1052" t="str">
        <f>VLOOKUP(B1052,Лист2!A:E,5,0)</f>
        <v>малые</v>
      </c>
      <c r="F1052">
        <f>VLOOKUP(B1052,Лист2!A:E,4,0)</f>
        <v>2.5</v>
      </c>
      <c r="G1052">
        <f t="shared" si="72"/>
        <v>-369000</v>
      </c>
      <c r="H1052">
        <f t="shared" si="73"/>
        <v>386800</v>
      </c>
      <c r="I1052">
        <f t="shared" si="74"/>
        <v>-147600</v>
      </c>
    </row>
    <row r="1053" spans="1:9">
      <c r="A1053" t="s">
        <v>14</v>
      </c>
      <c r="B1053" t="s">
        <v>18</v>
      </c>
      <c r="C1053">
        <v>600000</v>
      </c>
      <c r="D1053">
        <v>628000</v>
      </c>
      <c r="E1053" t="str">
        <f>VLOOKUP(B1053,Лист2!A:E,5,0)</f>
        <v>малые</v>
      </c>
      <c r="F1053">
        <f>VLOOKUP(B1053,Лист2!A:E,4,0)</f>
        <v>2.5</v>
      </c>
      <c r="G1053">
        <f t="shared" si="72"/>
        <v>-28000</v>
      </c>
      <c r="H1053">
        <f t="shared" si="73"/>
        <v>240000</v>
      </c>
      <c r="I1053">
        <f t="shared" si="74"/>
        <v>-11200</v>
      </c>
    </row>
    <row r="1054" spans="1:9">
      <c r="A1054" t="s">
        <v>14</v>
      </c>
      <c r="B1054" t="s">
        <v>18</v>
      </c>
      <c r="C1054">
        <v>6312000</v>
      </c>
      <c r="D1054">
        <v>6809000</v>
      </c>
      <c r="E1054" t="str">
        <f>VLOOKUP(B1054,Лист2!A:E,5,0)</f>
        <v>малые</v>
      </c>
      <c r="F1054">
        <f>VLOOKUP(B1054,Лист2!A:E,4,0)</f>
        <v>2.5</v>
      </c>
      <c r="G1054">
        <f t="shared" si="72"/>
        <v>-497000</v>
      </c>
      <c r="H1054">
        <f t="shared" si="73"/>
        <v>2524800</v>
      </c>
      <c r="I1054">
        <f t="shared" si="74"/>
        <v>-198800</v>
      </c>
    </row>
    <row r="1055" spans="1:9">
      <c r="A1055" t="s">
        <v>14</v>
      </c>
      <c r="B1055" t="s">
        <v>18</v>
      </c>
      <c r="C1055">
        <v>43000</v>
      </c>
      <c r="D1055">
        <v>214000</v>
      </c>
      <c r="E1055" t="str">
        <f>VLOOKUP(B1055,Лист2!A:E,5,0)</f>
        <v>малые</v>
      </c>
      <c r="F1055">
        <f>VLOOKUP(B1055,Лист2!A:E,4,0)</f>
        <v>2.5</v>
      </c>
      <c r="G1055">
        <f t="shared" si="72"/>
        <v>-171000</v>
      </c>
      <c r="H1055">
        <f t="shared" si="73"/>
        <v>17200</v>
      </c>
      <c r="I1055">
        <f t="shared" si="74"/>
        <v>-68400</v>
      </c>
    </row>
    <row r="1056" spans="1:9">
      <c r="A1056" t="s">
        <v>14</v>
      </c>
      <c r="B1056" t="s">
        <v>18</v>
      </c>
      <c r="C1056">
        <v>431000</v>
      </c>
      <c r="D1056">
        <v>609000</v>
      </c>
      <c r="E1056" t="str">
        <f>VLOOKUP(B1056,Лист2!A:E,5,0)</f>
        <v>малые</v>
      </c>
      <c r="F1056">
        <f>VLOOKUP(B1056,Лист2!A:E,4,0)</f>
        <v>2.5</v>
      </c>
      <c r="G1056">
        <f t="shared" si="72"/>
        <v>-178000</v>
      </c>
      <c r="H1056">
        <f t="shared" si="73"/>
        <v>172400</v>
      </c>
      <c r="I1056">
        <f t="shared" si="74"/>
        <v>-71200</v>
      </c>
    </row>
    <row r="1057" spans="1:9">
      <c r="A1057" t="s">
        <v>14</v>
      </c>
      <c r="B1057" t="s">
        <v>18</v>
      </c>
      <c r="C1057">
        <v>1500000</v>
      </c>
      <c r="D1057">
        <v>1758000</v>
      </c>
      <c r="E1057" t="str">
        <f>VLOOKUP(B1057,Лист2!A:E,5,0)</f>
        <v>малые</v>
      </c>
      <c r="F1057">
        <f>VLOOKUP(B1057,Лист2!A:E,4,0)</f>
        <v>2.5</v>
      </c>
      <c r="G1057">
        <f t="shared" si="72"/>
        <v>-258000</v>
      </c>
      <c r="H1057">
        <f t="shared" si="73"/>
        <v>600000</v>
      </c>
      <c r="I1057">
        <f t="shared" si="74"/>
        <v>-103200</v>
      </c>
    </row>
    <row r="1058" spans="1:9">
      <c r="A1058" t="s">
        <v>14</v>
      </c>
      <c r="B1058" t="s">
        <v>18</v>
      </c>
      <c r="C1058">
        <v>2118000</v>
      </c>
      <c r="D1058">
        <v>2118000</v>
      </c>
      <c r="E1058" t="str">
        <f>VLOOKUP(B1058,Лист2!A:E,5,0)</f>
        <v>малые</v>
      </c>
      <c r="F1058">
        <f>VLOOKUP(B1058,Лист2!A:E,4,0)</f>
        <v>2.5</v>
      </c>
      <c r="G1058">
        <f t="shared" si="72"/>
        <v>0</v>
      </c>
      <c r="H1058">
        <f t="shared" si="73"/>
        <v>847200</v>
      </c>
      <c r="I1058">
        <f t="shared" si="74"/>
        <v>0</v>
      </c>
    </row>
    <row r="1059" spans="1:9">
      <c r="A1059" t="s">
        <v>14</v>
      </c>
      <c r="B1059" t="s">
        <v>18</v>
      </c>
      <c r="C1059">
        <v>3098000</v>
      </c>
      <c r="D1059">
        <v>3332000</v>
      </c>
      <c r="E1059" t="str">
        <f>VLOOKUP(B1059,Лист2!A:E,5,0)</f>
        <v>малые</v>
      </c>
      <c r="F1059">
        <f>VLOOKUP(B1059,Лист2!A:E,4,0)</f>
        <v>2.5</v>
      </c>
      <c r="G1059">
        <f t="shared" si="72"/>
        <v>-234000</v>
      </c>
      <c r="H1059">
        <f t="shared" si="73"/>
        <v>1239200</v>
      </c>
      <c r="I1059">
        <f t="shared" si="74"/>
        <v>-93600</v>
      </c>
    </row>
    <row r="1060" spans="1:9">
      <c r="A1060" t="s">
        <v>14</v>
      </c>
      <c r="B1060" t="s">
        <v>18</v>
      </c>
      <c r="C1060">
        <v>120000</v>
      </c>
      <c r="D1060">
        <v>19000</v>
      </c>
      <c r="E1060" t="str">
        <f>VLOOKUP(B1060,Лист2!A:E,5,0)</f>
        <v>малые</v>
      </c>
      <c r="F1060">
        <f>VLOOKUP(B1060,Лист2!A:E,4,0)</f>
        <v>2.5</v>
      </c>
      <c r="G1060">
        <f t="shared" si="72"/>
        <v>101000</v>
      </c>
      <c r="H1060">
        <f t="shared" si="73"/>
        <v>48000</v>
      </c>
      <c r="I1060">
        <f t="shared" si="74"/>
        <v>40400</v>
      </c>
    </row>
    <row r="1061" spans="1:9">
      <c r="A1061" t="s">
        <v>14</v>
      </c>
      <c r="B1061" t="s">
        <v>18</v>
      </c>
      <c r="C1061">
        <v>6929000</v>
      </c>
      <c r="D1061">
        <v>6833000</v>
      </c>
      <c r="E1061" t="str">
        <f>VLOOKUP(B1061,Лист2!A:E,5,0)</f>
        <v>малые</v>
      </c>
      <c r="F1061">
        <f>VLOOKUP(B1061,Лист2!A:E,4,0)</f>
        <v>2.5</v>
      </c>
      <c r="G1061">
        <f t="shared" si="72"/>
        <v>96000</v>
      </c>
      <c r="H1061">
        <f t="shared" si="73"/>
        <v>2771600</v>
      </c>
      <c r="I1061">
        <f t="shared" si="74"/>
        <v>38400</v>
      </c>
    </row>
    <row r="1062" spans="1:9">
      <c r="A1062" t="s">
        <v>14</v>
      </c>
      <c r="B1062" t="s">
        <v>18</v>
      </c>
      <c r="C1062">
        <v>2954000</v>
      </c>
      <c r="D1062">
        <v>340000</v>
      </c>
      <c r="E1062" t="str">
        <f>VLOOKUP(B1062,Лист2!A:E,5,0)</f>
        <v>малые</v>
      </c>
      <c r="F1062">
        <f>VLOOKUP(B1062,Лист2!A:E,4,0)</f>
        <v>2.5</v>
      </c>
      <c r="G1062">
        <f t="shared" si="72"/>
        <v>2614000</v>
      </c>
      <c r="H1062">
        <f t="shared" si="73"/>
        <v>1181600</v>
      </c>
      <c r="I1062">
        <f t="shared" si="74"/>
        <v>1045600</v>
      </c>
    </row>
    <row r="1063" spans="1:9">
      <c r="A1063" t="s">
        <v>14</v>
      </c>
      <c r="B1063" t="s">
        <v>18</v>
      </c>
      <c r="C1063">
        <v>18521000</v>
      </c>
      <c r="D1063">
        <v>73705000</v>
      </c>
      <c r="E1063" t="str">
        <f>VLOOKUP(B1063,Лист2!A:E,5,0)</f>
        <v>малые</v>
      </c>
      <c r="F1063">
        <f>VLOOKUP(B1063,Лист2!A:E,4,0)</f>
        <v>2.5</v>
      </c>
      <c r="G1063">
        <f t="shared" si="72"/>
        <v>-55184000</v>
      </c>
      <c r="H1063">
        <f t="shared" si="73"/>
        <v>7408400</v>
      </c>
      <c r="I1063">
        <f t="shared" si="74"/>
        <v>-22073600</v>
      </c>
    </row>
    <row r="1064" spans="1:9">
      <c r="A1064" t="s">
        <v>14</v>
      </c>
      <c r="B1064" t="s">
        <v>18</v>
      </c>
      <c r="C1064">
        <v>57000</v>
      </c>
      <c r="D1064">
        <v>52000</v>
      </c>
      <c r="E1064" t="str">
        <f>VLOOKUP(B1064,Лист2!A:E,5,0)</f>
        <v>малые</v>
      </c>
      <c r="F1064">
        <f>VLOOKUP(B1064,Лист2!A:E,4,0)</f>
        <v>2.5</v>
      </c>
      <c r="G1064">
        <f t="shared" si="72"/>
        <v>5000</v>
      </c>
      <c r="H1064">
        <f t="shared" si="73"/>
        <v>22800</v>
      </c>
      <c r="I1064">
        <f t="shared" si="74"/>
        <v>2000</v>
      </c>
    </row>
    <row r="1065" spans="1:9">
      <c r="A1065" t="s">
        <v>14</v>
      </c>
      <c r="B1065" t="s">
        <v>18</v>
      </c>
      <c r="C1065">
        <v>2013000</v>
      </c>
      <c r="D1065">
        <v>2194000</v>
      </c>
      <c r="E1065" t="str">
        <f>VLOOKUP(B1065,Лист2!A:E,5,0)</f>
        <v>малые</v>
      </c>
      <c r="F1065">
        <f>VLOOKUP(B1065,Лист2!A:E,4,0)</f>
        <v>2.5</v>
      </c>
      <c r="G1065">
        <f t="shared" si="72"/>
        <v>-181000</v>
      </c>
      <c r="H1065">
        <f t="shared" si="73"/>
        <v>805200</v>
      </c>
      <c r="I1065">
        <f t="shared" si="74"/>
        <v>-72400</v>
      </c>
    </row>
    <row r="1066" spans="1:9">
      <c r="A1066" t="s">
        <v>14</v>
      </c>
      <c r="B1066" t="s">
        <v>18</v>
      </c>
      <c r="C1066">
        <v>2743000</v>
      </c>
      <c r="D1066">
        <v>2685000</v>
      </c>
      <c r="E1066" t="str">
        <f>VLOOKUP(B1066,Лист2!A:E,5,0)</f>
        <v>малые</v>
      </c>
      <c r="F1066">
        <f>VLOOKUP(B1066,Лист2!A:E,4,0)</f>
        <v>2.5</v>
      </c>
      <c r="G1066">
        <f t="shared" si="72"/>
        <v>58000</v>
      </c>
      <c r="H1066">
        <f t="shared" si="73"/>
        <v>1097200</v>
      </c>
      <c r="I1066">
        <f t="shared" si="74"/>
        <v>23200</v>
      </c>
    </row>
    <row r="1067" spans="1:9">
      <c r="A1067" t="s">
        <v>14</v>
      </c>
      <c r="B1067" t="s">
        <v>18</v>
      </c>
      <c r="C1067">
        <v>4159000</v>
      </c>
      <c r="D1067">
        <v>3919000</v>
      </c>
      <c r="E1067" t="str">
        <f>VLOOKUP(B1067,Лист2!A:E,5,0)</f>
        <v>малые</v>
      </c>
      <c r="F1067">
        <f>VLOOKUP(B1067,Лист2!A:E,4,0)</f>
        <v>2.5</v>
      </c>
      <c r="G1067">
        <f t="shared" ref="G1067:G1107" si="75">C1067-D1067</f>
        <v>240000</v>
      </c>
      <c r="H1067">
        <f t="shared" ref="H1067:H1107" si="76">C1067/F1067</f>
        <v>1663600</v>
      </c>
      <c r="I1067">
        <f t="shared" ref="I1067:I1107" si="77">G1067/F1067</f>
        <v>96000</v>
      </c>
    </row>
    <row r="1068" spans="1:9">
      <c r="A1068" t="s">
        <v>14</v>
      </c>
      <c r="B1068" t="s">
        <v>18</v>
      </c>
      <c r="C1068">
        <v>94000</v>
      </c>
      <c r="D1068">
        <v>100000</v>
      </c>
      <c r="E1068" t="str">
        <f>VLOOKUP(B1068,Лист2!A:E,5,0)</f>
        <v>малые</v>
      </c>
      <c r="F1068">
        <f>VLOOKUP(B1068,Лист2!A:E,4,0)</f>
        <v>2.5</v>
      </c>
      <c r="G1068">
        <f t="shared" si="75"/>
        <v>-6000</v>
      </c>
      <c r="H1068">
        <f t="shared" si="76"/>
        <v>37600</v>
      </c>
      <c r="I1068">
        <f t="shared" si="77"/>
        <v>-2400</v>
      </c>
    </row>
    <row r="1069" spans="1:9">
      <c r="A1069" t="s">
        <v>14</v>
      </c>
      <c r="B1069" t="s">
        <v>18</v>
      </c>
      <c r="C1069">
        <v>774000</v>
      </c>
      <c r="D1069">
        <v>557000</v>
      </c>
      <c r="E1069" t="str">
        <f>VLOOKUP(B1069,Лист2!A:E,5,0)</f>
        <v>малые</v>
      </c>
      <c r="F1069">
        <f>VLOOKUP(B1069,Лист2!A:E,4,0)</f>
        <v>2.5</v>
      </c>
      <c r="G1069">
        <f t="shared" si="75"/>
        <v>217000</v>
      </c>
      <c r="H1069">
        <f t="shared" si="76"/>
        <v>309600</v>
      </c>
      <c r="I1069">
        <f t="shared" si="77"/>
        <v>86800</v>
      </c>
    </row>
    <row r="1070" spans="1:9">
      <c r="A1070" t="s">
        <v>14</v>
      </c>
      <c r="B1070" t="s">
        <v>18</v>
      </c>
      <c r="C1070">
        <v>506000</v>
      </c>
      <c r="D1070">
        <v>467000</v>
      </c>
      <c r="E1070" t="str">
        <f>VLOOKUP(B1070,Лист2!A:E,5,0)</f>
        <v>малые</v>
      </c>
      <c r="F1070">
        <f>VLOOKUP(B1070,Лист2!A:E,4,0)</f>
        <v>2.5</v>
      </c>
      <c r="G1070">
        <f t="shared" si="75"/>
        <v>39000</v>
      </c>
      <c r="H1070">
        <f t="shared" si="76"/>
        <v>202400</v>
      </c>
      <c r="I1070">
        <f t="shared" si="77"/>
        <v>15600</v>
      </c>
    </row>
    <row r="1071" spans="1:9">
      <c r="A1071" t="s">
        <v>14</v>
      </c>
      <c r="B1071" t="s">
        <v>22</v>
      </c>
      <c r="C1071">
        <v>8329000</v>
      </c>
      <c r="D1071">
        <v>6900000</v>
      </c>
      <c r="E1071" t="str">
        <f>VLOOKUP(B1071,Лист2!A:E,5,0)</f>
        <v>малые</v>
      </c>
      <c r="F1071">
        <f>VLOOKUP(B1071,Лист2!A:E,4,0)</f>
        <v>13</v>
      </c>
      <c r="G1071">
        <f t="shared" si="75"/>
        <v>1429000</v>
      </c>
      <c r="H1071">
        <f t="shared" si="76"/>
        <v>640692.30769230775</v>
      </c>
      <c r="I1071">
        <f t="shared" si="77"/>
        <v>109923.07692307692</v>
      </c>
    </row>
    <row r="1072" spans="1:9">
      <c r="A1072" t="s">
        <v>14</v>
      </c>
      <c r="B1072" t="s">
        <v>18</v>
      </c>
      <c r="C1072">
        <v>127000</v>
      </c>
      <c r="D1072">
        <v>127000</v>
      </c>
      <c r="E1072" t="str">
        <f>VLOOKUP(B1072,Лист2!A:E,5,0)</f>
        <v>малые</v>
      </c>
      <c r="F1072">
        <f>VLOOKUP(B1072,Лист2!A:E,4,0)</f>
        <v>2.5</v>
      </c>
      <c r="G1072">
        <f t="shared" si="75"/>
        <v>0</v>
      </c>
      <c r="H1072">
        <f t="shared" si="76"/>
        <v>50800</v>
      </c>
      <c r="I1072">
        <f t="shared" si="77"/>
        <v>0</v>
      </c>
    </row>
    <row r="1073" spans="1:9">
      <c r="A1073" t="s">
        <v>14</v>
      </c>
      <c r="B1073" t="s">
        <v>18</v>
      </c>
      <c r="C1073">
        <v>3233000</v>
      </c>
      <c r="D1073">
        <v>3024000</v>
      </c>
      <c r="E1073" t="str">
        <f>VLOOKUP(B1073,Лист2!A:E,5,0)</f>
        <v>малые</v>
      </c>
      <c r="F1073">
        <f>VLOOKUP(B1073,Лист2!A:E,4,0)</f>
        <v>2.5</v>
      </c>
      <c r="G1073">
        <f t="shared" si="75"/>
        <v>209000</v>
      </c>
      <c r="H1073">
        <f t="shared" si="76"/>
        <v>1293200</v>
      </c>
      <c r="I1073">
        <f t="shared" si="77"/>
        <v>83600</v>
      </c>
    </row>
    <row r="1074" spans="1:9">
      <c r="A1074" t="s">
        <v>14</v>
      </c>
      <c r="B1074" t="s">
        <v>18</v>
      </c>
      <c r="C1074">
        <v>8000</v>
      </c>
      <c r="D1074">
        <v>12000</v>
      </c>
      <c r="E1074" t="str">
        <f>VLOOKUP(B1074,Лист2!A:E,5,0)</f>
        <v>малые</v>
      </c>
      <c r="F1074">
        <f>VLOOKUP(B1074,Лист2!A:E,4,0)</f>
        <v>2.5</v>
      </c>
      <c r="G1074">
        <f t="shared" si="75"/>
        <v>-4000</v>
      </c>
      <c r="H1074">
        <f t="shared" si="76"/>
        <v>3200</v>
      </c>
      <c r="I1074">
        <f t="shared" si="77"/>
        <v>-1600</v>
      </c>
    </row>
    <row r="1075" spans="1:9">
      <c r="A1075" t="s">
        <v>14</v>
      </c>
      <c r="B1075" t="s">
        <v>18</v>
      </c>
      <c r="C1075">
        <v>3275000</v>
      </c>
      <c r="D1075">
        <v>3122000</v>
      </c>
      <c r="E1075" t="str">
        <f>VLOOKUP(B1075,Лист2!A:E,5,0)</f>
        <v>малые</v>
      </c>
      <c r="F1075">
        <f>VLOOKUP(B1075,Лист2!A:E,4,0)</f>
        <v>2.5</v>
      </c>
      <c r="G1075">
        <f t="shared" si="75"/>
        <v>153000</v>
      </c>
      <c r="H1075">
        <f t="shared" si="76"/>
        <v>1310000</v>
      </c>
      <c r="I1075">
        <f t="shared" si="77"/>
        <v>61200</v>
      </c>
    </row>
    <row r="1076" spans="1:9">
      <c r="A1076" t="s">
        <v>14</v>
      </c>
      <c r="B1076" t="s">
        <v>18</v>
      </c>
      <c r="C1076">
        <v>563000</v>
      </c>
      <c r="D1076">
        <v>575000</v>
      </c>
      <c r="E1076" t="str">
        <f>VLOOKUP(B1076,Лист2!A:E,5,0)</f>
        <v>малые</v>
      </c>
      <c r="F1076">
        <f>VLOOKUP(B1076,Лист2!A:E,4,0)</f>
        <v>2.5</v>
      </c>
      <c r="G1076">
        <f t="shared" si="75"/>
        <v>-12000</v>
      </c>
      <c r="H1076">
        <f t="shared" si="76"/>
        <v>225200</v>
      </c>
      <c r="I1076">
        <f t="shared" si="77"/>
        <v>-4800</v>
      </c>
    </row>
    <row r="1077" spans="1:9">
      <c r="A1077" t="s">
        <v>14</v>
      </c>
      <c r="B1077" t="s">
        <v>18</v>
      </c>
      <c r="C1077">
        <v>358000</v>
      </c>
      <c r="D1077">
        <v>292000</v>
      </c>
      <c r="E1077" t="str">
        <f>VLOOKUP(B1077,Лист2!A:E,5,0)</f>
        <v>малые</v>
      </c>
      <c r="F1077">
        <f>VLOOKUP(B1077,Лист2!A:E,4,0)</f>
        <v>2.5</v>
      </c>
      <c r="G1077">
        <f t="shared" si="75"/>
        <v>66000</v>
      </c>
      <c r="H1077">
        <f t="shared" si="76"/>
        <v>143200</v>
      </c>
      <c r="I1077">
        <f t="shared" si="77"/>
        <v>26400</v>
      </c>
    </row>
    <row r="1078" spans="1:9">
      <c r="A1078" t="s">
        <v>14</v>
      </c>
      <c r="B1078" t="s">
        <v>77</v>
      </c>
      <c r="C1078">
        <v>29425000</v>
      </c>
      <c r="D1078">
        <v>34396000</v>
      </c>
      <c r="E1078" t="str">
        <f>VLOOKUP(B1078,Лист2!A:E,5,0)</f>
        <v>малые</v>
      </c>
      <c r="F1078">
        <f>VLOOKUP(B1078,Лист2!A:E,4,0)</f>
        <v>8</v>
      </c>
      <c r="G1078">
        <f t="shared" si="75"/>
        <v>-4971000</v>
      </c>
      <c r="H1078">
        <f t="shared" si="76"/>
        <v>3678125</v>
      </c>
      <c r="I1078">
        <f t="shared" si="77"/>
        <v>-621375</v>
      </c>
    </row>
    <row r="1079" spans="1:9">
      <c r="A1079" t="s">
        <v>14</v>
      </c>
      <c r="B1079" t="s">
        <v>18</v>
      </c>
      <c r="C1079">
        <v>4307000</v>
      </c>
      <c r="D1079">
        <v>4304000</v>
      </c>
      <c r="E1079" t="str">
        <f>VLOOKUP(B1079,Лист2!A:E,5,0)</f>
        <v>малые</v>
      </c>
      <c r="F1079">
        <f>VLOOKUP(B1079,Лист2!A:E,4,0)</f>
        <v>2.5</v>
      </c>
      <c r="G1079">
        <f t="shared" si="75"/>
        <v>3000</v>
      </c>
      <c r="H1079">
        <f t="shared" si="76"/>
        <v>1722800</v>
      </c>
      <c r="I1079">
        <f t="shared" si="77"/>
        <v>1200</v>
      </c>
    </row>
    <row r="1080" spans="1:9">
      <c r="A1080" t="s">
        <v>14</v>
      </c>
      <c r="B1080" t="s">
        <v>18</v>
      </c>
      <c r="C1080">
        <v>58000</v>
      </c>
      <c r="D1080">
        <v>56000</v>
      </c>
      <c r="E1080" t="str">
        <f>VLOOKUP(B1080,Лист2!A:E,5,0)</f>
        <v>малые</v>
      </c>
      <c r="F1080">
        <f>VLOOKUP(B1080,Лист2!A:E,4,0)</f>
        <v>2.5</v>
      </c>
      <c r="G1080">
        <f t="shared" si="75"/>
        <v>2000</v>
      </c>
      <c r="H1080">
        <f t="shared" si="76"/>
        <v>23200</v>
      </c>
      <c r="I1080">
        <f t="shared" si="77"/>
        <v>800</v>
      </c>
    </row>
    <row r="1081" spans="1:9">
      <c r="A1081" t="s">
        <v>14</v>
      </c>
      <c r="B1081" t="s">
        <v>18</v>
      </c>
      <c r="C1081">
        <v>3120000</v>
      </c>
      <c r="D1081">
        <v>13335000</v>
      </c>
      <c r="E1081" t="str">
        <f>VLOOKUP(B1081,Лист2!A:E,5,0)</f>
        <v>малые</v>
      </c>
      <c r="F1081">
        <f>VLOOKUP(B1081,Лист2!A:E,4,0)</f>
        <v>2.5</v>
      </c>
      <c r="G1081">
        <f t="shared" si="75"/>
        <v>-10215000</v>
      </c>
      <c r="H1081">
        <f t="shared" si="76"/>
        <v>1248000</v>
      </c>
      <c r="I1081">
        <f t="shared" si="77"/>
        <v>-4086000</v>
      </c>
    </row>
    <row r="1082" spans="1:9">
      <c r="A1082" t="s">
        <v>14</v>
      </c>
      <c r="B1082" t="s">
        <v>18</v>
      </c>
      <c r="C1082">
        <v>13588000</v>
      </c>
      <c r="D1082">
        <v>12768000</v>
      </c>
      <c r="E1082" t="str">
        <f>VLOOKUP(B1082,Лист2!A:E,5,0)</f>
        <v>малые</v>
      </c>
      <c r="F1082">
        <f>VLOOKUP(B1082,Лист2!A:E,4,0)</f>
        <v>2.5</v>
      </c>
      <c r="G1082">
        <f t="shared" si="75"/>
        <v>820000</v>
      </c>
      <c r="H1082">
        <f t="shared" si="76"/>
        <v>5435200</v>
      </c>
      <c r="I1082">
        <f t="shared" si="77"/>
        <v>328000</v>
      </c>
    </row>
    <row r="1083" spans="1:9">
      <c r="A1083" t="s">
        <v>14</v>
      </c>
      <c r="B1083" t="s">
        <v>18</v>
      </c>
      <c r="C1083">
        <v>422000</v>
      </c>
      <c r="D1083">
        <v>455000</v>
      </c>
      <c r="E1083" t="str">
        <f>VLOOKUP(B1083,Лист2!A:E,5,0)</f>
        <v>малые</v>
      </c>
      <c r="F1083">
        <f>VLOOKUP(B1083,Лист2!A:E,4,0)</f>
        <v>2.5</v>
      </c>
      <c r="G1083">
        <f t="shared" si="75"/>
        <v>-33000</v>
      </c>
      <c r="H1083">
        <f t="shared" si="76"/>
        <v>168800</v>
      </c>
      <c r="I1083">
        <f t="shared" si="77"/>
        <v>-13200</v>
      </c>
    </row>
    <row r="1084" spans="1:9">
      <c r="A1084" t="s">
        <v>14</v>
      </c>
      <c r="B1084" t="s">
        <v>18</v>
      </c>
      <c r="C1084">
        <v>36875000</v>
      </c>
      <c r="D1084">
        <v>36471000</v>
      </c>
      <c r="E1084" t="str">
        <f>VLOOKUP(B1084,Лист2!A:E,5,0)</f>
        <v>малые</v>
      </c>
      <c r="F1084">
        <f>VLOOKUP(B1084,Лист2!A:E,4,0)</f>
        <v>2.5</v>
      </c>
      <c r="G1084">
        <f t="shared" si="75"/>
        <v>404000</v>
      </c>
      <c r="H1084">
        <f t="shared" si="76"/>
        <v>14750000</v>
      </c>
      <c r="I1084">
        <f t="shared" si="77"/>
        <v>161600</v>
      </c>
    </row>
    <row r="1085" spans="1:9">
      <c r="A1085" t="s">
        <v>14</v>
      </c>
      <c r="B1085" t="s">
        <v>18</v>
      </c>
      <c r="C1085">
        <v>973000</v>
      </c>
      <c r="D1085">
        <v>270000</v>
      </c>
      <c r="E1085" t="str">
        <f>VLOOKUP(B1085,Лист2!A:E,5,0)</f>
        <v>малые</v>
      </c>
      <c r="F1085">
        <f>VLOOKUP(B1085,Лист2!A:E,4,0)</f>
        <v>2.5</v>
      </c>
      <c r="G1085">
        <f t="shared" si="75"/>
        <v>703000</v>
      </c>
      <c r="H1085">
        <f t="shared" si="76"/>
        <v>389200</v>
      </c>
      <c r="I1085">
        <f t="shared" si="77"/>
        <v>281200</v>
      </c>
    </row>
    <row r="1086" spans="1:9">
      <c r="A1086" t="s">
        <v>25</v>
      </c>
      <c r="B1086" t="s">
        <v>18</v>
      </c>
      <c r="C1086">
        <v>187000</v>
      </c>
      <c r="D1086">
        <v>321000</v>
      </c>
      <c r="E1086" t="str">
        <f>VLOOKUP(B1086,Лист2!A:E,5,0)</f>
        <v>малые</v>
      </c>
      <c r="F1086">
        <f>VLOOKUP(B1086,Лист2!A:E,4,0)</f>
        <v>2.5</v>
      </c>
      <c r="G1086">
        <f t="shared" si="75"/>
        <v>-134000</v>
      </c>
      <c r="H1086">
        <f t="shared" si="76"/>
        <v>74800</v>
      </c>
      <c r="I1086">
        <f t="shared" si="77"/>
        <v>-53600</v>
      </c>
    </row>
    <row r="1087" spans="1:9">
      <c r="A1087" t="s">
        <v>14</v>
      </c>
      <c r="B1087" t="s">
        <v>18</v>
      </c>
      <c r="C1087">
        <v>915000</v>
      </c>
      <c r="D1087">
        <v>861000</v>
      </c>
      <c r="E1087" t="str">
        <f>VLOOKUP(B1087,Лист2!A:E,5,0)</f>
        <v>малые</v>
      </c>
      <c r="F1087">
        <f>VLOOKUP(B1087,Лист2!A:E,4,0)</f>
        <v>2.5</v>
      </c>
      <c r="G1087">
        <f t="shared" si="75"/>
        <v>54000</v>
      </c>
      <c r="H1087">
        <f t="shared" si="76"/>
        <v>366000</v>
      </c>
      <c r="I1087">
        <f t="shared" si="77"/>
        <v>21600</v>
      </c>
    </row>
    <row r="1088" spans="1:9">
      <c r="A1088" t="s">
        <v>14</v>
      </c>
      <c r="B1088" t="s">
        <v>22</v>
      </c>
      <c r="C1088">
        <v>4999000</v>
      </c>
      <c r="D1088">
        <v>11911000</v>
      </c>
      <c r="E1088" t="str">
        <f>VLOOKUP(B1088,Лист2!A:E,5,0)</f>
        <v>малые</v>
      </c>
      <c r="F1088">
        <f>VLOOKUP(B1088,Лист2!A:E,4,0)</f>
        <v>13</v>
      </c>
      <c r="G1088">
        <f t="shared" si="75"/>
        <v>-6912000</v>
      </c>
      <c r="H1088">
        <f t="shared" si="76"/>
        <v>384538.46153846156</v>
      </c>
      <c r="I1088">
        <f t="shared" si="77"/>
        <v>-531692.30769230775</v>
      </c>
    </row>
    <row r="1089" spans="1:9">
      <c r="A1089" t="s">
        <v>14</v>
      </c>
      <c r="B1089" t="s">
        <v>18</v>
      </c>
      <c r="C1089">
        <v>104000</v>
      </c>
      <c r="D1089">
        <v>106000</v>
      </c>
      <c r="E1089" t="str">
        <f>VLOOKUP(B1089,Лист2!A:E,5,0)</f>
        <v>малые</v>
      </c>
      <c r="F1089">
        <f>VLOOKUP(B1089,Лист2!A:E,4,0)</f>
        <v>2.5</v>
      </c>
      <c r="G1089">
        <f t="shared" si="75"/>
        <v>-2000</v>
      </c>
      <c r="H1089">
        <f t="shared" si="76"/>
        <v>41600</v>
      </c>
      <c r="I1089">
        <f t="shared" si="77"/>
        <v>-800</v>
      </c>
    </row>
    <row r="1090" spans="1:9">
      <c r="A1090" t="s">
        <v>14</v>
      </c>
      <c r="B1090" t="s">
        <v>18</v>
      </c>
      <c r="C1090">
        <v>5000</v>
      </c>
      <c r="D1090">
        <v>4000</v>
      </c>
      <c r="E1090" t="str">
        <f>VLOOKUP(B1090,Лист2!A:E,5,0)</f>
        <v>малые</v>
      </c>
      <c r="F1090">
        <f>VLOOKUP(B1090,Лист2!A:E,4,0)</f>
        <v>2.5</v>
      </c>
      <c r="G1090">
        <f t="shared" si="75"/>
        <v>1000</v>
      </c>
      <c r="H1090">
        <f t="shared" si="76"/>
        <v>2000</v>
      </c>
      <c r="I1090">
        <f t="shared" si="77"/>
        <v>400</v>
      </c>
    </row>
    <row r="1091" spans="1:9">
      <c r="A1091" t="s">
        <v>25</v>
      </c>
      <c r="B1091" t="s">
        <v>77</v>
      </c>
      <c r="C1091">
        <v>6422000</v>
      </c>
      <c r="D1091">
        <v>6838000</v>
      </c>
      <c r="E1091" t="str">
        <f>VLOOKUP(B1091,Лист2!A:E,5,0)</f>
        <v>малые</v>
      </c>
      <c r="F1091">
        <f>VLOOKUP(B1091,Лист2!A:E,4,0)</f>
        <v>8</v>
      </c>
      <c r="G1091">
        <f t="shared" si="75"/>
        <v>-416000</v>
      </c>
      <c r="H1091">
        <f t="shared" si="76"/>
        <v>802750</v>
      </c>
      <c r="I1091">
        <f t="shared" si="77"/>
        <v>-52000</v>
      </c>
    </row>
    <row r="1092" spans="1:9">
      <c r="A1092" t="s">
        <v>25</v>
      </c>
      <c r="B1092" t="s">
        <v>18</v>
      </c>
      <c r="C1092">
        <v>730000</v>
      </c>
      <c r="D1092">
        <v>682000</v>
      </c>
      <c r="E1092" t="str">
        <f>VLOOKUP(B1092,Лист2!A:E,5,0)</f>
        <v>малые</v>
      </c>
      <c r="F1092">
        <f>VLOOKUP(B1092,Лист2!A:E,4,0)</f>
        <v>2.5</v>
      </c>
      <c r="G1092">
        <f t="shared" si="75"/>
        <v>48000</v>
      </c>
      <c r="H1092">
        <f t="shared" si="76"/>
        <v>292000</v>
      </c>
      <c r="I1092">
        <f t="shared" si="77"/>
        <v>19200</v>
      </c>
    </row>
    <row r="1093" spans="1:9">
      <c r="A1093" t="s">
        <v>14</v>
      </c>
      <c r="B1093" t="s">
        <v>18</v>
      </c>
      <c r="C1093">
        <v>12220000</v>
      </c>
      <c r="D1093">
        <v>35258000</v>
      </c>
      <c r="E1093" t="str">
        <f>VLOOKUP(B1093,Лист2!A:E,5,0)</f>
        <v>малые</v>
      </c>
      <c r="F1093">
        <f>VLOOKUP(B1093,Лист2!A:E,4,0)</f>
        <v>2.5</v>
      </c>
      <c r="G1093">
        <f t="shared" si="75"/>
        <v>-23038000</v>
      </c>
      <c r="H1093">
        <f t="shared" si="76"/>
        <v>4888000</v>
      </c>
      <c r="I1093">
        <f t="shared" si="77"/>
        <v>-9215200</v>
      </c>
    </row>
    <row r="1094" spans="1:9">
      <c r="A1094" t="s">
        <v>14</v>
      </c>
      <c r="B1094" t="s">
        <v>18</v>
      </c>
      <c r="C1094">
        <v>14224000</v>
      </c>
      <c r="D1094">
        <v>15202000</v>
      </c>
      <c r="E1094" t="str">
        <f>VLOOKUP(B1094,Лист2!A:E,5,0)</f>
        <v>малые</v>
      </c>
      <c r="F1094">
        <f>VLOOKUP(B1094,Лист2!A:E,4,0)</f>
        <v>2.5</v>
      </c>
      <c r="G1094">
        <f t="shared" si="75"/>
        <v>-978000</v>
      </c>
      <c r="H1094">
        <f t="shared" si="76"/>
        <v>5689600</v>
      </c>
      <c r="I1094">
        <f t="shared" si="77"/>
        <v>-391200</v>
      </c>
    </row>
    <row r="1095" spans="1:9">
      <c r="A1095" t="s">
        <v>14</v>
      </c>
      <c r="B1095" t="s">
        <v>18</v>
      </c>
      <c r="C1095">
        <v>6274000</v>
      </c>
      <c r="D1095">
        <v>8735000</v>
      </c>
      <c r="E1095" t="str">
        <f>VLOOKUP(B1095,Лист2!A:E,5,0)</f>
        <v>малые</v>
      </c>
      <c r="F1095">
        <f>VLOOKUP(B1095,Лист2!A:E,4,0)</f>
        <v>2.5</v>
      </c>
      <c r="G1095">
        <f t="shared" si="75"/>
        <v>-2461000</v>
      </c>
      <c r="H1095">
        <f t="shared" si="76"/>
        <v>2509600</v>
      </c>
      <c r="I1095">
        <f t="shared" si="77"/>
        <v>-984400</v>
      </c>
    </row>
    <row r="1096" spans="1:9">
      <c r="A1096" t="s">
        <v>14</v>
      </c>
      <c r="B1096" t="s">
        <v>18</v>
      </c>
      <c r="C1096">
        <v>2394000</v>
      </c>
      <c r="D1096">
        <v>2450000</v>
      </c>
      <c r="E1096" t="str">
        <f>VLOOKUP(B1096,Лист2!A:E,5,0)</f>
        <v>малые</v>
      </c>
      <c r="F1096">
        <f>VLOOKUP(B1096,Лист2!A:E,4,0)</f>
        <v>2.5</v>
      </c>
      <c r="G1096">
        <f t="shared" si="75"/>
        <v>-56000</v>
      </c>
      <c r="H1096">
        <f t="shared" si="76"/>
        <v>957600</v>
      </c>
      <c r="I1096">
        <f t="shared" si="77"/>
        <v>-22400</v>
      </c>
    </row>
    <row r="1097" spans="1:9">
      <c r="A1097" t="s">
        <v>14</v>
      </c>
      <c r="B1097" t="s">
        <v>77</v>
      </c>
      <c r="C1097">
        <v>115000</v>
      </c>
      <c r="D1097">
        <v>96000</v>
      </c>
      <c r="E1097" t="str">
        <f>VLOOKUP(B1097,Лист2!A:E,5,0)</f>
        <v>малые</v>
      </c>
      <c r="F1097">
        <f>VLOOKUP(B1097,Лист2!A:E,4,0)</f>
        <v>8</v>
      </c>
      <c r="G1097">
        <f t="shared" si="75"/>
        <v>19000</v>
      </c>
      <c r="H1097">
        <f t="shared" si="76"/>
        <v>14375</v>
      </c>
      <c r="I1097">
        <f t="shared" si="77"/>
        <v>2375</v>
      </c>
    </row>
    <row r="1098" spans="1:9">
      <c r="A1098" t="s">
        <v>14</v>
      </c>
      <c r="B1098" t="s">
        <v>18</v>
      </c>
      <c r="C1098">
        <v>2415000</v>
      </c>
      <c r="D1098">
        <v>2846000</v>
      </c>
      <c r="E1098" t="str">
        <f>VLOOKUP(B1098,Лист2!A:E,5,0)</f>
        <v>малые</v>
      </c>
      <c r="F1098">
        <f>VLOOKUP(B1098,Лист2!A:E,4,0)</f>
        <v>2.5</v>
      </c>
      <c r="G1098">
        <f t="shared" si="75"/>
        <v>-431000</v>
      </c>
      <c r="H1098">
        <f t="shared" si="76"/>
        <v>966000</v>
      </c>
      <c r="I1098">
        <f t="shared" si="77"/>
        <v>-172400</v>
      </c>
    </row>
    <row r="1099" spans="1:9">
      <c r="A1099" t="s">
        <v>25</v>
      </c>
      <c r="B1099" t="s">
        <v>22</v>
      </c>
      <c r="C1099">
        <v>15407000</v>
      </c>
      <c r="D1099">
        <v>14014000</v>
      </c>
      <c r="E1099" t="str">
        <f>VLOOKUP(B1099,Лист2!A:E,5,0)</f>
        <v>малые</v>
      </c>
      <c r="F1099">
        <f>VLOOKUP(B1099,Лист2!A:E,4,0)</f>
        <v>13</v>
      </c>
      <c r="G1099">
        <f t="shared" si="75"/>
        <v>1393000</v>
      </c>
      <c r="H1099">
        <f t="shared" si="76"/>
        <v>1185153.8461538462</v>
      </c>
      <c r="I1099">
        <f t="shared" si="77"/>
        <v>107153.84615384616</v>
      </c>
    </row>
    <row r="1100" spans="1:9">
      <c r="A1100" t="s">
        <v>25</v>
      </c>
      <c r="B1100" t="s">
        <v>18</v>
      </c>
      <c r="C1100">
        <v>110000</v>
      </c>
      <c r="D1100">
        <v>110000</v>
      </c>
      <c r="E1100" t="str">
        <f>VLOOKUP(B1100,Лист2!A:E,5,0)</f>
        <v>малые</v>
      </c>
      <c r="F1100">
        <f>VLOOKUP(B1100,Лист2!A:E,4,0)</f>
        <v>2.5</v>
      </c>
      <c r="G1100">
        <f t="shared" si="75"/>
        <v>0</v>
      </c>
      <c r="H1100">
        <f t="shared" si="76"/>
        <v>44000</v>
      </c>
      <c r="I1100">
        <f t="shared" si="77"/>
        <v>0</v>
      </c>
    </row>
    <row r="1101" spans="1:9">
      <c r="A1101" t="s">
        <v>25</v>
      </c>
      <c r="B1101" t="s">
        <v>18</v>
      </c>
      <c r="C1101">
        <v>84320000</v>
      </c>
      <c r="D1101">
        <v>69595000</v>
      </c>
      <c r="E1101" t="str">
        <f>VLOOKUP(B1101,Лист2!A:E,5,0)</f>
        <v>малые</v>
      </c>
      <c r="F1101">
        <f>VLOOKUP(B1101,Лист2!A:E,4,0)</f>
        <v>2.5</v>
      </c>
      <c r="G1101">
        <f t="shared" si="75"/>
        <v>14725000</v>
      </c>
      <c r="H1101">
        <f t="shared" si="76"/>
        <v>33728000</v>
      </c>
      <c r="I1101">
        <f t="shared" si="77"/>
        <v>5890000</v>
      </c>
    </row>
    <row r="1102" spans="1:9">
      <c r="A1102" t="s">
        <v>14</v>
      </c>
      <c r="B1102" t="s">
        <v>18</v>
      </c>
      <c r="C1102">
        <v>820000</v>
      </c>
      <c r="D1102">
        <v>851000</v>
      </c>
      <c r="E1102" t="str">
        <f>VLOOKUP(B1102,Лист2!A:E,5,0)</f>
        <v>малые</v>
      </c>
      <c r="F1102">
        <f>VLOOKUP(B1102,Лист2!A:E,4,0)</f>
        <v>2.5</v>
      </c>
      <c r="G1102">
        <f t="shared" si="75"/>
        <v>-31000</v>
      </c>
      <c r="H1102">
        <f t="shared" si="76"/>
        <v>328000</v>
      </c>
      <c r="I1102">
        <f t="shared" si="77"/>
        <v>-12400</v>
      </c>
    </row>
    <row r="1103" spans="1:9">
      <c r="A1103" t="s">
        <v>14</v>
      </c>
      <c r="B1103" t="s">
        <v>18</v>
      </c>
      <c r="C1103">
        <v>441000</v>
      </c>
      <c r="D1103">
        <v>834000</v>
      </c>
      <c r="E1103" t="str">
        <f>VLOOKUP(B1103,Лист2!A:E,5,0)</f>
        <v>малые</v>
      </c>
      <c r="F1103">
        <f>VLOOKUP(B1103,Лист2!A:E,4,0)</f>
        <v>2.5</v>
      </c>
      <c r="G1103">
        <f t="shared" si="75"/>
        <v>-393000</v>
      </c>
      <c r="H1103">
        <f t="shared" si="76"/>
        <v>176400</v>
      </c>
      <c r="I1103">
        <f t="shared" si="77"/>
        <v>-157200</v>
      </c>
    </row>
    <row r="1104" spans="1:9">
      <c r="A1104" t="s">
        <v>14</v>
      </c>
      <c r="B1104" t="s">
        <v>22</v>
      </c>
      <c r="C1104">
        <v>26979000</v>
      </c>
      <c r="D1104">
        <v>26484000</v>
      </c>
      <c r="E1104" t="str">
        <f>VLOOKUP(B1104,Лист2!A:E,5,0)</f>
        <v>малые</v>
      </c>
      <c r="F1104">
        <f>VLOOKUP(B1104,Лист2!A:E,4,0)</f>
        <v>13</v>
      </c>
      <c r="G1104">
        <f t="shared" si="75"/>
        <v>495000</v>
      </c>
      <c r="H1104">
        <f t="shared" si="76"/>
        <v>2075307.6923076923</v>
      </c>
      <c r="I1104">
        <f t="shared" si="77"/>
        <v>38076.923076923078</v>
      </c>
    </row>
    <row r="1105" spans="1:9">
      <c r="A1105" t="s">
        <v>25</v>
      </c>
      <c r="B1105" t="s">
        <v>18</v>
      </c>
      <c r="C1105">
        <v>3445000</v>
      </c>
      <c r="D1105">
        <v>3628000</v>
      </c>
      <c r="E1105" t="str">
        <f>VLOOKUP(B1105,Лист2!A:E,5,0)</f>
        <v>малые</v>
      </c>
      <c r="F1105">
        <f>VLOOKUP(B1105,Лист2!A:E,4,0)</f>
        <v>2.5</v>
      </c>
      <c r="G1105">
        <f t="shared" si="75"/>
        <v>-183000</v>
      </c>
      <c r="H1105">
        <f t="shared" si="76"/>
        <v>1378000</v>
      </c>
      <c r="I1105">
        <f t="shared" si="77"/>
        <v>-73200</v>
      </c>
    </row>
    <row r="1106" spans="1:9">
      <c r="A1106" t="s">
        <v>14</v>
      </c>
      <c r="B1106" t="s">
        <v>18</v>
      </c>
      <c r="C1106">
        <v>859000</v>
      </c>
      <c r="D1106">
        <v>962000</v>
      </c>
      <c r="E1106" t="str">
        <f>VLOOKUP(B1106,Лист2!A:E,5,0)</f>
        <v>малые</v>
      </c>
      <c r="F1106">
        <f>VLOOKUP(B1106,Лист2!A:E,4,0)</f>
        <v>2.5</v>
      </c>
      <c r="G1106">
        <f t="shared" si="75"/>
        <v>-103000</v>
      </c>
      <c r="H1106">
        <f t="shared" si="76"/>
        <v>343600</v>
      </c>
      <c r="I1106">
        <f t="shared" si="77"/>
        <v>-41200</v>
      </c>
    </row>
    <row r="1107" spans="1:9">
      <c r="A1107" t="s">
        <v>14</v>
      </c>
      <c r="B1107" t="s">
        <v>18</v>
      </c>
      <c r="C1107">
        <v>138000</v>
      </c>
      <c r="D1107">
        <v>177000</v>
      </c>
      <c r="E1107" t="str">
        <f>VLOOKUP(B1107,Лист2!A:E,5,0)</f>
        <v>малые</v>
      </c>
      <c r="F1107">
        <f>VLOOKUP(B1107,Лист2!A:E,4,0)</f>
        <v>2.5</v>
      </c>
      <c r="G1107">
        <f t="shared" si="75"/>
        <v>-39000</v>
      </c>
      <c r="H1107">
        <f t="shared" si="76"/>
        <v>55200</v>
      </c>
      <c r="I1107">
        <f t="shared" si="77"/>
        <v>-15600</v>
      </c>
    </row>
    <row r="1108" spans="1:9">
      <c r="A1108" t="s">
        <v>14</v>
      </c>
      <c r="B1108" t="s">
        <v>18</v>
      </c>
      <c r="C1108">
        <v>219000</v>
      </c>
      <c r="D1108">
        <v>407000</v>
      </c>
      <c r="E1108" t="str">
        <f>VLOOKUP(B1108,Лист2!A:E,5,0)</f>
        <v>малые</v>
      </c>
      <c r="F1108">
        <f>VLOOKUP(B1108,Лист2!A:E,4,0)</f>
        <v>2.5</v>
      </c>
      <c r="G1108">
        <f t="shared" ref="G1108:G1150" si="78">C1108-D1108</f>
        <v>-188000</v>
      </c>
      <c r="H1108">
        <f t="shared" ref="H1108:H1150" si="79">C1108/F1108</f>
        <v>87600</v>
      </c>
      <c r="I1108">
        <f t="shared" ref="I1108:I1150" si="80">G1108/F1108</f>
        <v>-75200</v>
      </c>
    </row>
    <row r="1109" spans="1:9">
      <c r="A1109" t="s">
        <v>14</v>
      </c>
      <c r="B1109" t="s">
        <v>18</v>
      </c>
      <c r="C1109">
        <v>17000</v>
      </c>
      <c r="D1109">
        <v>8000</v>
      </c>
      <c r="E1109" t="str">
        <f>VLOOKUP(B1109,Лист2!A:E,5,0)</f>
        <v>малые</v>
      </c>
      <c r="F1109">
        <f>VLOOKUP(B1109,Лист2!A:E,4,0)</f>
        <v>2.5</v>
      </c>
      <c r="G1109">
        <f t="shared" si="78"/>
        <v>9000</v>
      </c>
      <c r="H1109">
        <f t="shared" si="79"/>
        <v>6800</v>
      </c>
      <c r="I1109">
        <f t="shared" si="80"/>
        <v>3600</v>
      </c>
    </row>
    <row r="1110" spans="1:9">
      <c r="A1110" t="s">
        <v>14</v>
      </c>
      <c r="B1110" t="s">
        <v>18</v>
      </c>
      <c r="C1110">
        <v>1980000</v>
      </c>
      <c r="D1110">
        <v>1925000</v>
      </c>
      <c r="E1110" t="str">
        <f>VLOOKUP(B1110,Лист2!A:E,5,0)</f>
        <v>малые</v>
      </c>
      <c r="F1110">
        <f>VLOOKUP(B1110,Лист2!A:E,4,0)</f>
        <v>2.5</v>
      </c>
      <c r="G1110">
        <f t="shared" si="78"/>
        <v>55000</v>
      </c>
      <c r="H1110">
        <f t="shared" si="79"/>
        <v>792000</v>
      </c>
      <c r="I1110">
        <f t="shared" si="80"/>
        <v>22000</v>
      </c>
    </row>
    <row r="1111" spans="1:9">
      <c r="A1111" t="s">
        <v>14</v>
      </c>
      <c r="B1111" t="s">
        <v>18</v>
      </c>
      <c r="C1111">
        <v>2123000</v>
      </c>
      <c r="D1111">
        <v>2020000</v>
      </c>
      <c r="E1111" t="str">
        <f>VLOOKUP(B1111,Лист2!A:E,5,0)</f>
        <v>малые</v>
      </c>
      <c r="F1111">
        <f>VLOOKUP(B1111,Лист2!A:E,4,0)</f>
        <v>2.5</v>
      </c>
      <c r="G1111">
        <f t="shared" si="78"/>
        <v>103000</v>
      </c>
      <c r="H1111">
        <f t="shared" si="79"/>
        <v>849200</v>
      </c>
      <c r="I1111">
        <f t="shared" si="80"/>
        <v>41200</v>
      </c>
    </row>
    <row r="1112" spans="1:9">
      <c r="A1112" t="s">
        <v>14</v>
      </c>
      <c r="B1112" t="s">
        <v>18</v>
      </c>
      <c r="C1112">
        <v>494000</v>
      </c>
      <c r="D1112">
        <v>492000</v>
      </c>
      <c r="E1112" t="str">
        <f>VLOOKUP(B1112,Лист2!A:E,5,0)</f>
        <v>малые</v>
      </c>
      <c r="F1112">
        <f>VLOOKUP(B1112,Лист2!A:E,4,0)</f>
        <v>2.5</v>
      </c>
      <c r="G1112">
        <f t="shared" si="78"/>
        <v>2000</v>
      </c>
      <c r="H1112">
        <f t="shared" si="79"/>
        <v>197600</v>
      </c>
      <c r="I1112">
        <f t="shared" si="80"/>
        <v>800</v>
      </c>
    </row>
    <row r="1113" spans="1:9">
      <c r="A1113" t="s">
        <v>25</v>
      </c>
      <c r="B1113" t="s">
        <v>18</v>
      </c>
      <c r="C1113">
        <v>443000</v>
      </c>
      <c r="D1113">
        <v>379000</v>
      </c>
      <c r="E1113" t="str">
        <f>VLOOKUP(B1113,Лист2!A:E,5,0)</f>
        <v>малые</v>
      </c>
      <c r="F1113">
        <f>VLOOKUP(B1113,Лист2!A:E,4,0)</f>
        <v>2.5</v>
      </c>
      <c r="G1113">
        <f t="shared" si="78"/>
        <v>64000</v>
      </c>
      <c r="H1113">
        <f t="shared" si="79"/>
        <v>177200</v>
      </c>
      <c r="I1113">
        <f t="shared" si="80"/>
        <v>25600</v>
      </c>
    </row>
    <row r="1114" spans="1:9">
      <c r="A1114" t="s">
        <v>25</v>
      </c>
      <c r="B1114" t="s">
        <v>18</v>
      </c>
      <c r="C1114">
        <v>686000</v>
      </c>
      <c r="D1114">
        <v>663000</v>
      </c>
      <c r="E1114" t="str">
        <f>VLOOKUP(B1114,Лист2!A:E,5,0)</f>
        <v>малые</v>
      </c>
      <c r="F1114">
        <f>VLOOKUP(B1114,Лист2!A:E,4,0)</f>
        <v>2.5</v>
      </c>
      <c r="G1114">
        <f t="shared" si="78"/>
        <v>23000</v>
      </c>
      <c r="H1114">
        <f t="shared" si="79"/>
        <v>274400</v>
      </c>
      <c r="I1114">
        <f t="shared" si="80"/>
        <v>9200</v>
      </c>
    </row>
    <row r="1115" spans="1:9">
      <c r="A1115" t="s">
        <v>14</v>
      </c>
      <c r="B1115" t="s">
        <v>18</v>
      </c>
      <c r="C1115">
        <v>425000</v>
      </c>
      <c r="D1115">
        <v>424000</v>
      </c>
      <c r="E1115" t="str">
        <f>VLOOKUP(B1115,Лист2!A:E,5,0)</f>
        <v>малые</v>
      </c>
      <c r="F1115">
        <f>VLOOKUP(B1115,Лист2!A:E,4,0)</f>
        <v>2.5</v>
      </c>
      <c r="G1115">
        <f t="shared" si="78"/>
        <v>1000</v>
      </c>
      <c r="H1115">
        <f t="shared" si="79"/>
        <v>170000</v>
      </c>
      <c r="I1115">
        <f t="shared" si="80"/>
        <v>400</v>
      </c>
    </row>
    <row r="1116" spans="1:9">
      <c r="A1116" t="s">
        <v>25</v>
      </c>
      <c r="B1116" t="s">
        <v>18</v>
      </c>
      <c r="C1116">
        <v>7000</v>
      </c>
      <c r="D1116">
        <v>7000</v>
      </c>
      <c r="E1116" t="str">
        <f>VLOOKUP(B1116,Лист2!A:E,5,0)</f>
        <v>малые</v>
      </c>
      <c r="F1116">
        <f>VLOOKUP(B1116,Лист2!A:E,4,0)</f>
        <v>2.5</v>
      </c>
      <c r="G1116">
        <f t="shared" si="78"/>
        <v>0</v>
      </c>
      <c r="H1116">
        <f t="shared" si="79"/>
        <v>2800</v>
      </c>
      <c r="I1116">
        <f t="shared" si="80"/>
        <v>0</v>
      </c>
    </row>
    <row r="1117" spans="1:9">
      <c r="A1117" t="s">
        <v>25</v>
      </c>
      <c r="B1117" t="s">
        <v>18</v>
      </c>
      <c r="C1117">
        <v>1603000</v>
      </c>
      <c r="D1117">
        <v>1218000</v>
      </c>
      <c r="E1117" t="str">
        <f>VLOOKUP(B1117,Лист2!A:E,5,0)</f>
        <v>малые</v>
      </c>
      <c r="F1117">
        <f>VLOOKUP(B1117,Лист2!A:E,4,0)</f>
        <v>2.5</v>
      </c>
      <c r="G1117">
        <f t="shared" si="78"/>
        <v>385000</v>
      </c>
      <c r="H1117">
        <f t="shared" si="79"/>
        <v>641200</v>
      </c>
      <c r="I1117">
        <f t="shared" si="80"/>
        <v>154000</v>
      </c>
    </row>
    <row r="1118" spans="1:9">
      <c r="A1118" t="s">
        <v>25</v>
      </c>
      <c r="B1118" t="s">
        <v>18</v>
      </c>
      <c r="C1118">
        <v>13615000</v>
      </c>
      <c r="D1118">
        <v>10249000</v>
      </c>
      <c r="E1118" t="str">
        <f>VLOOKUP(B1118,Лист2!A:E,5,0)</f>
        <v>малые</v>
      </c>
      <c r="F1118">
        <f>VLOOKUP(B1118,Лист2!A:E,4,0)</f>
        <v>2.5</v>
      </c>
      <c r="G1118">
        <f t="shared" si="78"/>
        <v>3366000</v>
      </c>
      <c r="H1118">
        <f t="shared" si="79"/>
        <v>5446000</v>
      </c>
      <c r="I1118">
        <f t="shared" si="80"/>
        <v>1346400</v>
      </c>
    </row>
    <row r="1119" spans="1:9">
      <c r="A1119" t="s">
        <v>25</v>
      </c>
      <c r="B1119" t="s">
        <v>18</v>
      </c>
      <c r="C1119">
        <v>1036000</v>
      </c>
      <c r="D1119">
        <v>1036000</v>
      </c>
      <c r="E1119" t="str">
        <f>VLOOKUP(B1119,Лист2!A:E,5,0)</f>
        <v>малые</v>
      </c>
      <c r="F1119">
        <f>VLOOKUP(B1119,Лист2!A:E,4,0)</f>
        <v>2.5</v>
      </c>
      <c r="G1119">
        <f t="shared" si="78"/>
        <v>0</v>
      </c>
      <c r="H1119">
        <f t="shared" si="79"/>
        <v>414400</v>
      </c>
      <c r="I1119">
        <f t="shared" si="80"/>
        <v>0</v>
      </c>
    </row>
    <row r="1120" spans="1:9">
      <c r="A1120" t="s">
        <v>25</v>
      </c>
      <c r="B1120" t="s">
        <v>18</v>
      </c>
      <c r="C1120">
        <v>242000</v>
      </c>
      <c r="D1120">
        <v>265000</v>
      </c>
      <c r="E1120" t="str">
        <f>VLOOKUP(B1120,Лист2!A:E,5,0)</f>
        <v>малые</v>
      </c>
      <c r="F1120">
        <f>VLOOKUP(B1120,Лист2!A:E,4,0)</f>
        <v>2.5</v>
      </c>
      <c r="G1120">
        <f t="shared" si="78"/>
        <v>-23000</v>
      </c>
      <c r="H1120">
        <f t="shared" si="79"/>
        <v>96800</v>
      </c>
      <c r="I1120">
        <f t="shared" si="80"/>
        <v>-9200</v>
      </c>
    </row>
    <row r="1121" spans="1:9">
      <c r="A1121" t="s">
        <v>25</v>
      </c>
      <c r="B1121" t="s">
        <v>18</v>
      </c>
      <c r="C1121">
        <v>4105000</v>
      </c>
      <c r="D1121">
        <v>4123000</v>
      </c>
      <c r="E1121" t="str">
        <f>VLOOKUP(B1121,Лист2!A:E,5,0)</f>
        <v>малые</v>
      </c>
      <c r="F1121">
        <f>VLOOKUP(B1121,Лист2!A:E,4,0)</f>
        <v>2.5</v>
      </c>
      <c r="G1121">
        <f t="shared" si="78"/>
        <v>-18000</v>
      </c>
      <c r="H1121">
        <f t="shared" si="79"/>
        <v>1642000</v>
      </c>
      <c r="I1121">
        <f t="shared" si="80"/>
        <v>-7200</v>
      </c>
    </row>
    <row r="1122" spans="1:9">
      <c r="A1122" t="s">
        <v>14</v>
      </c>
      <c r="B1122" t="s">
        <v>18</v>
      </c>
      <c r="C1122">
        <v>60000</v>
      </c>
      <c r="D1122">
        <v>60000</v>
      </c>
      <c r="E1122" t="str">
        <f>VLOOKUP(B1122,Лист2!A:E,5,0)</f>
        <v>малые</v>
      </c>
      <c r="F1122">
        <f>VLOOKUP(B1122,Лист2!A:E,4,0)</f>
        <v>2.5</v>
      </c>
      <c r="G1122">
        <f t="shared" si="78"/>
        <v>0</v>
      </c>
      <c r="H1122">
        <f t="shared" si="79"/>
        <v>24000</v>
      </c>
      <c r="I1122">
        <f t="shared" si="80"/>
        <v>0</v>
      </c>
    </row>
    <row r="1123" spans="1:9">
      <c r="A1123" t="s">
        <v>25</v>
      </c>
      <c r="B1123" t="s">
        <v>18</v>
      </c>
      <c r="C1123">
        <v>3374000</v>
      </c>
      <c r="D1123">
        <v>2686000</v>
      </c>
      <c r="E1123" t="str">
        <f>VLOOKUP(B1123,Лист2!A:E,5,0)</f>
        <v>малые</v>
      </c>
      <c r="F1123">
        <f>VLOOKUP(B1123,Лист2!A:E,4,0)</f>
        <v>2.5</v>
      </c>
      <c r="G1123">
        <f t="shared" si="78"/>
        <v>688000</v>
      </c>
      <c r="H1123">
        <f t="shared" si="79"/>
        <v>1349600</v>
      </c>
      <c r="I1123">
        <f t="shared" si="80"/>
        <v>275200</v>
      </c>
    </row>
    <row r="1124" spans="1:9">
      <c r="A1124" t="s">
        <v>14</v>
      </c>
      <c r="B1124" t="s">
        <v>18</v>
      </c>
      <c r="C1124">
        <v>2995000</v>
      </c>
      <c r="D1124">
        <v>2844000</v>
      </c>
      <c r="E1124" t="str">
        <f>VLOOKUP(B1124,Лист2!A:E,5,0)</f>
        <v>малые</v>
      </c>
      <c r="F1124">
        <f>VLOOKUP(B1124,Лист2!A:E,4,0)</f>
        <v>2.5</v>
      </c>
      <c r="G1124">
        <f t="shared" si="78"/>
        <v>151000</v>
      </c>
      <c r="H1124">
        <f t="shared" si="79"/>
        <v>1198000</v>
      </c>
      <c r="I1124">
        <f t="shared" si="80"/>
        <v>60400</v>
      </c>
    </row>
    <row r="1125" spans="1:9">
      <c r="A1125" t="s">
        <v>14</v>
      </c>
      <c r="B1125" t="s">
        <v>18</v>
      </c>
      <c r="C1125">
        <v>177000</v>
      </c>
      <c r="D1125">
        <v>148000</v>
      </c>
      <c r="E1125" t="str">
        <f>VLOOKUP(B1125,Лист2!A:E,5,0)</f>
        <v>малые</v>
      </c>
      <c r="F1125">
        <f>VLOOKUP(B1125,Лист2!A:E,4,0)</f>
        <v>2.5</v>
      </c>
      <c r="G1125">
        <f t="shared" si="78"/>
        <v>29000</v>
      </c>
      <c r="H1125">
        <f t="shared" si="79"/>
        <v>70800</v>
      </c>
      <c r="I1125">
        <f t="shared" si="80"/>
        <v>11600</v>
      </c>
    </row>
    <row r="1126" spans="1:9">
      <c r="A1126" t="s">
        <v>14</v>
      </c>
      <c r="B1126" t="s">
        <v>22</v>
      </c>
      <c r="C1126">
        <v>10276000</v>
      </c>
      <c r="D1126">
        <v>13324000</v>
      </c>
      <c r="E1126" t="str">
        <f>VLOOKUP(B1126,Лист2!A:E,5,0)</f>
        <v>малые</v>
      </c>
      <c r="F1126">
        <f>VLOOKUP(B1126,Лист2!A:E,4,0)</f>
        <v>13</v>
      </c>
      <c r="G1126">
        <f t="shared" si="78"/>
        <v>-3048000</v>
      </c>
      <c r="H1126">
        <f t="shared" si="79"/>
        <v>790461.5384615385</v>
      </c>
      <c r="I1126">
        <f t="shared" si="80"/>
        <v>-234461.53846153847</v>
      </c>
    </row>
    <row r="1127" spans="1:9">
      <c r="A1127" t="s">
        <v>14</v>
      </c>
      <c r="B1127" t="s">
        <v>18</v>
      </c>
      <c r="C1127">
        <v>963000</v>
      </c>
      <c r="D1127">
        <v>851000</v>
      </c>
      <c r="E1127" t="str">
        <f>VLOOKUP(B1127,Лист2!A:E,5,0)</f>
        <v>малые</v>
      </c>
      <c r="F1127">
        <f>VLOOKUP(B1127,Лист2!A:E,4,0)</f>
        <v>2.5</v>
      </c>
      <c r="G1127">
        <f t="shared" si="78"/>
        <v>112000</v>
      </c>
      <c r="H1127">
        <f t="shared" si="79"/>
        <v>385200</v>
      </c>
      <c r="I1127">
        <f t="shared" si="80"/>
        <v>44800</v>
      </c>
    </row>
    <row r="1128" spans="1:9">
      <c r="A1128" t="s">
        <v>14</v>
      </c>
      <c r="B1128" t="s">
        <v>18</v>
      </c>
      <c r="C1128">
        <v>675000</v>
      </c>
      <c r="D1128">
        <v>677000</v>
      </c>
      <c r="E1128" t="str">
        <f>VLOOKUP(B1128,Лист2!A:E,5,0)</f>
        <v>малые</v>
      </c>
      <c r="F1128">
        <f>VLOOKUP(B1128,Лист2!A:E,4,0)</f>
        <v>2.5</v>
      </c>
      <c r="G1128">
        <f t="shared" si="78"/>
        <v>-2000</v>
      </c>
      <c r="H1128">
        <f t="shared" si="79"/>
        <v>270000</v>
      </c>
      <c r="I1128">
        <f t="shared" si="80"/>
        <v>-800</v>
      </c>
    </row>
    <row r="1129" spans="1:9">
      <c r="A1129" t="s">
        <v>14</v>
      </c>
      <c r="B1129" t="s">
        <v>18</v>
      </c>
      <c r="C1129">
        <v>481000</v>
      </c>
      <c r="D1129">
        <v>482000</v>
      </c>
      <c r="E1129" t="str">
        <f>VLOOKUP(B1129,Лист2!A:E,5,0)</f>
        <v>малые</v>
      </c>
      <c r="F1129">
        <f>VLOOKUP(B1129,Лист2!A:E,4,0)</f>
        <v>2.5</v>
      </c>
      <c r="G1129">
        <f t="shared" si="78"/>
        <v>-1000</v>
      </c>
      <c r="H1129">
        <f t="shared" si="79"/>
        <v>192400</v>
      </c>
      <c r="I1129">
        <f t="shared" si="80"/>
        <v>-400</v>
      </c>
    </row>
    <row r="1130" spans="1:9">
      <c r="A1130" t="s">
        <v>25</v>
      </c>
      <c r="B1130" t="s">
        <v>18</v>
      </c>
      <c r="C1130">
        <v>425000</v>
      </c>
      <c r="D1130">
        <v>333000</v>
      </c>
      <c r="E1130" t="str">
        <f>VLOOKUP(B1130,Лист2!A:E,5,0)</f>
        <v>малые</v>
      </c>
      <c r="F1130">
        <f>VLOOKUP(B1130,Лист2!A:E,4,0)</f>
        <v>2.5</v>
      </c>
      <c r="G1130">
        <f t="shared" si="78"/>
        <v>92000</v>
      </c>
      <c r="H1130">
        <f t="shared" si="79"/>
        <v>170000</v>
      </c>
      <c r="I1130">
        <f t="shared" si="80"/>
        <v>36800</v>
      </c>
    </row>
    <row r="1131" spans="1:9">
      <c r="A1131" t="s">
        <v>14</v>
      </c>
      <c r="B1131" t="s">
        <v>18</v>
      </c>
      <c r="C1131">
        <v>7515000</v>
      </c>
      <c r="D1131">
        <v>5784000</v>
      </c>
      <c r="E1131" t="str">
        <f>VLOOKUP(B1131,Лист2!A:E,5,0)</f>
        <v>малые</v>
      </c>
      <c r="F1131">
        <f>VLOOKUP(B1131,Лист2!A:E,4,0)</f>
        <v>2.5</v>
      </c>
      <c r="G1131">
        <f t="shared" si="78"/>
        <v>1731000</v>
      </c>
      <c r="H1131">
        <f t="shared" si="79"/>
        <v>3006000</v>
      </c>
      <c r="I1131">
        <f t="shared" si="80"/>
        <v>692400</v>
      </c>
    </row>
    <row r="1132" spans="1:9">
      <c r="A1132" t="s">
        <v>14</v>
      </c>
      <c r="B1132" t="s">
        <v>18</v>
      </c>
      <c r="C1132">
        <v>343000</v>
      </c>
      <c r="D1132">
        <v>337000</v>
      </c>
      <c r="E1132" t="str">
        <f>VLOOKUP(B1132,Лист2!A:E,5,0)</f>
        <v>малые</v>
      </c>
      <c r="F1132">
        <f>VLOOKUP(B1132,Лист2!A:E,4,0)</f>
        <v>2.5</v>
      </c>
      <c r="G1132">
        <f t="shared" si="78"/>
        <v>6000</v>
      </c>
      <c r="H1132">
        <f t="shared" si="79"/>
        <v>137200</v>
      </c>
      <c r="I1132">
        <f t="shared" si="80"/>
        <v>2400</v>
      </c>
    </row>
    <row r="1133" spans="1:9">
      <c r="A1133" t="s">
        <v>14</v>
      </c>
      <c r="B1133" t="s">
        <v>18</v>
      </c>
      <c r="C1133">
        <v>5904000</v>
      </c>
      <c r="D1133">
        <v>6098000</v>
      </c>
      <c r="E1133" t="str">
        <f>VLOOKUP(B1133,Лист2!A:E,5,0)</f>
        <v>малые</v>
      </c>
      <c r="F1133">
        <f>VLOOKUP(B1133,Лист2!A:E,4,0)</f>
        <v>2.5</v>
      </c>
      <c r="G1133">
        <f t="shared" si="78"/>
        <v>-194000</v>
      </c>
      <c r="H1133">
        <f t="shared" si="79"/>
        <v>2361600</v>
      </c>
      <c r="I1133">
        <f t="shared" si="80"/>
        <v>-77600</v>
      </c>
    </row>
    <row r="1134" spans="1:9">
      <c r="A1134" t="s">
        <v>14</v>
      </c>
      <c r="B1134" t="s">
        <v>18</v>
      </c>
      <c r="C1134">
        <v>15137000</v>
      </c>
      <c r="D1134">
        <v>15135000</v>
      </c>
      <c r="E1134" t="str">
        <f>VLOOKUP(B1134,Лист2!A:E,5,0)</f>
        <v>малые</v>
      </c>
      <c r="F1134">
        <f>VLOOKUP(B1134,Лист2!A:E,4,0)</f>
        <v>2.5</v>
      </c>
      <c r="G1134">
        <f t="shared" si="78"/>
        <v>2000</v>
      </c>
      <c r="H1134">
        <f t="shared" si="79"/>
        <v>6054800</v>
      </c>
      <c r="I1134">
        <f t="shared" si="80"/>
        <v>800</v>
      </c>
    </row>
    <row r="1135" spans="1:9">
      <c r="A1135" t="s">
        <v>14</v>
      </c>
      <c r="B1135" t="s">
        <v>18</v>
      </c>
      <c r="C1135">
        <v>2527000</v>
      </c>
      <c r="D1135">
        <v>2395000</v>
      </c>
      <c r="E1135" t="str">
        <f>VLOOKUP(B1135,Лист2!A:E,5,0)</f>
        <v>малые</v>
      </c>
      <c r="F1135">
        <f>VLOOKUP(B1135,Лист2!A:E,4,0)</f>
        <v>2.5</v>
      </c>
      <c r="G1135">
        <f t="shared" si="78"/>
        <v>132000</v>
      </c>
      <c r="H1135">
        <f t="shared" si="79"/>
        <v>1010800</v>
      </c>
      <c r="I1135">
        <f t="shared" si="80"/>
        <v>52800</v>
      </c>
    </row>
    <row r="1136" spans="1:9">
      <c r="A1136" t="s">
        <v>14</v>
      </c>
      <c r="B1136" t="s">
        <v>18</v>
      </c>
      <c r="C1136">
        <v>793000</v>
      </c>
      <c r="D1136">
        <v>1014000</v>
      </c>
      <c r="E1136" t="str">
        <f>VLOOKUP(B1136,Лист2!A:E,5,0)</f>
        <v>малые</v>
      </c>
      <c r="F1136">
        <f>VLOOKUP(B1136,Лист2!A:E,4,0)</f>
        <v>2.5</v>
      </c>
      <c r="G1136">
        <f t="shared" si="78"/>
        <v>-221000</v>
      </c>
      <c r="H1136">
        <f t="shared" si="79"/>
        <v>317200</v>
      </c>
      <c r="I1136">
        <f t="shared" si="80"/>
        <v>-88400</v>
      </c>
    </row>
    <row r="1137" spans="1:9">
      <c r="A1137" t="s">
        <v>14</v>
      </c>
      <c r="B1137" t="s">
        <v>18</v>
      </c>
      <c r="C1137">
        <v>392000</v>
      </c>
      <c r="D1137">
        <v>415000</v>
      </c>
      <c r="E1137" t="str">
        <f>VLOOKUP(B1137,Лист2!A:E,5,0)</f>
        <v>малые</v>
      </c>
      <c r="F1137">
        <f>VLOOKUP(B1137,Лист2!A:E,4,0)</f>
        <v>2.5</v>
      </c>
      <c r="G1137">
        <f t="shared" si="78"/>
        <v>-23000</v>
      </c>
      <c r="H1137">
        <f t="shared" si="79"/>
        <v>156800</v>
      </c>
      <c r="I1137">
        <f t="shared" si="80"/>
        <v>-9200</v>
      </c>
    </row>
    <row r="1138" spans="1:9">
      <c r="A1138" t="s">
        <v>14</v>
      </c>
      <c r="B1138" t="s">
        <v>18</v>
      </c>
      <c r="C1138">
        <v>658000</v>
      </c>
      <c r="D1138">
        <v>654000</v>
      </c>
      <c r="E1138" t="str">
        <f>VLOOKUP(B1138,Лист2!A:E,5,0)</f>
        <v>малые</v>
      </c>
      <c r="F1138">
        <f>VLOOKUP(B1138,Лист2!A:E,4,0)</f>
        <v>2.5</v>
      </c>
      <c r="G1138">
        <f t="shared" si="78"/>
        <v>4000</v>
      </c>
      <c r="H1138">
        <f t="shared" si="79"/>
        <v>263200</v>
      </c>
      <c r="I1138">
        <f t="shared" si="80"/>
        <v>1600</v>
      </c>
    </row>
    <row r="1139" spans="1:9">
      <c r="A1139" t="s">
        <v>14</v>
      </c>
      <c r="B1139" t="s">
        <v>18</v>
      </c>
      <c r="C1139">
        <v>798000</v>
      </c>
      <c r="D1139">
        <v>798000</v>
      </c>
      <c r="E1139" t="str">
        <f>VLOOKUP(B1139,Лист2!A:E,5,0)</f>
        <v>малые</v>
      </c>
      <c r="F1139">
        <f>VLOOKUP(B1139,Лист2!A:E,4,0)</f>
        <v>2.5</v>
      </c>
      <c r="G1139">
        <f t="shared" si="78"/>
        <v>0</v>
      </c>
      <c r="H1139">
        <f t="shared" si="79"/>
        <v>319200</v>
      </c>
      <c r="I1139">
        <f t="shared" si="80"/>
        <v>0</v>
      </c>
    </row>
    <row r="1140" spans="1:9">
      <c r="A1140" t="s">
        <v>14</v>
      </c>
      <c r="B1140" t="s">
        <v>18</v>
      </c>
      <c r="C1140">
        <v>1402000</v>
      </c>
      <c r="D1140">
        <v>1432000</v>
      </c>
      <c r="E1140" t="str">
        <f>VLOOKUP(B1140,Лист2!A:E,5,0)</f>
        <v>малые</v>
      </c>
      <c r="F1140">
        <f>VLOOKUP(B1140,Лист2!A:E,4,0)</f>
        <v>2.5</v>
      </c>
      <c r="G1140">
        <f t="shared" si="78"/>
        <v>-30000</v>
      </c>
      <c r="H1140">
        <f t="shared" si="79"/>
        <v>560800</v>
      </c>
      <c r="I1140">
        <f t="shared" si="80"/>
        <v>-12000</v>
      </c>
    </row>
    <row r="1141" spans="1:9">
      <c r="A1141" t="s">
        <v>14</v>
      </c>
      <c r="B1141" t="s">
        <v>18</v>
      </c>
      <c r="C1141">
        <v>3160000</v>
      </c>
      <c r="D1141">
        <v>2484000</v>
      </c>
      <c r="E1141" t="str">
        <f>VLOOKUP(B1141,Лист2!A:E,5,0)</f>
        <v>малые</v>
      </c>
      <c r="F1141">
        <f>VLOOKUP(B1141,Лист2!A:E,4,0)</f>
        <v>2.5</v>
      </c>
      <c r="G1141">
        <f t="shared" si="78"/>
        <v>676000</v>
      </c>
      <c r="H1141">
        <f t="shared" si="79"/>
        <v>1264000</v>
      </c>
      <c r="I1141">
        <f t="shared" si="80"/>
        <v>270400</v>
      </c>
    </row>
    <row r="1142" spans="1:9">
      <c r="A1142" t="s">
        <v>14</v>
      </c>
      <c r="B1142" t="s">
        <v>22</v>
      </c>
      <c r="C1142">
        <v>9550000</v>
      </c>
      <c r="D1142">
        <v>10436000</v>
      </c>
      <c r="E1142" t="str">
        <f>VLOOKUP(B1142,Лист2!A:E,5,0)</f>
        <v>малые</v>
      </c>
      <c r="F1142">
        <f>VLOOKUP(B1142,Лист2!A:E,4,0)</f>
        <v>13</v>
      </c>
      <c r="G1142">
        <f t="shared" si="78"/>
        <v>-886000</v>
      </c>
      <c r="H1142">
        <f t="shared" si="79"/>
        <v>734615.38461538462</v>
      </c>
      <c r="I1142">
        <f t="shared" si="80"/>
        <v>-68153.846153846156</v>
      </c>
    </row>
    <row r="1143" spans="1:9">
      <c r="A1143" t="s">
        <v>14</v>
      </c>
      <c r="B1143" t="s">
        <v>18</v>
      </c>
      <c r="C1143">
        <v>28000</v>
      </c>
      <c r="D1143">
        <v>26000</v>
      </c>
      <c r="E1143" t="str">
        <f>VLOOKUP(B1143,Лист2!A:E,5,0)</f>
        <v>малые</v>
      </c>
      <c r="F1143">
        <f>VLOOKUP(B1143,Лист2!A:E,4,0)</f>
        <v>2.5</v>
      </c>
      <c r="G1143">
        <f t="shared" si="78"/>
        <v>2000</v>
      </c>
      <c r="H1143">
        <f t="shared" si="79"/>
        <v>11200</v>
      </c>
      <c r="I1143">
        <f t="shared" si="80"/>
        <v>800</v>
      </c>
    </row>
    <row r="1144" spans="1:9">
      <c r="A1144" t="s">
        <v>14</v>
      </c>
      <c r="B1144" t="s">
        <v>18</v>
      </c>
      <c r="C1144">
        <v>3137000</v>
      </c>
      <c r="D1144">
        <v>3088000</v>
      </c>
      <c r="E1144" t="str">
        <f>VLOOKUP(B1144,Лист2!A:E,5,0)</f>
        <v>малые</v>
      </c>
      <c r="F1144">
        <f>VLOOKUP(B1144,Лист2!A:E,4,0)</f>
        <v>2.5</v>
      </c>
      <c r="G1144">
        <f t="shared" si="78"/>
        <v>49000</v>
      </c>
      <c r="H1144">
        <f t="shared" si="79"/>
        <v>1254800</v>
      </c>
      <c r="I1144">
        <f t="shared" si="80"/>
        <v>19600</v>
      </c>
    </row>
    <row r="1145" spans="1:9">
      <c r="A1145" t="s">
        <v>14</v>
      </c>
      <c r="B1145" t="s">
        <v>18</v>
      </c>
      <c r="C1145">
        <v>100000</v>
      </c>
      <c r="D1145">
        <v>175000</v>
      </c>
      <c r="E1145" t="str">
        <f>VLOOKUP(B1145,Лист2!A:E,5,0)</f>
        <v>малые</v>
      </c>
      <c r="F1145">
        <f>VLOOKUP(B1145,Лист2!A:E,4,0)</f>
        <v>2.5</v>
      </c>
      <c r="G1145">
        <f t="shared" si="78"/>
        <v>-75000</v>
      </c>
      <c r="H1145">
        <f t="shared" si="79"/>
        <v>40000</v>
      </c>
      <c r="I1145">
        <f t="shared" si="80"/>
        <v>-30000</v>
      </c>
    </row>
    <row r="1146" spans="1:9">
      <c r="A1146" t="s">
        <v>14</v>
      </c>
      <c r="B1146" t="s">
        <v>18</v>
      </c>
      <c r="C1146">
        <v>5184000</v>
      </c>
      <c r="D1146">
        <v>839000</v>
      </c>
      <c r="E1146" t="str">
        <f>VLOOKUP(B1146,Лист2!A:E,5,0)</f>
        <v>малые</v>
      </c>
      <c r="F1146">
        <f>VLOOKUP(B1146,Лист2!A:E,4,0)</f>
        <v>2.5</v>
      </c>
      <c r="G1146">
        <f t="shared" si="78"/>
        <v>4345000</v>
      </c>
      <c r="H1146">
        <f t="shared" si="79"/>
        <v>2073600</v>
      </c>
      <c r="I1146">
        <f t="shared" si="80"/>
        <v>1738000</v>
      </c>
    </row>
    <row r="1147" spans="1:9">
      <c r="A1147" t="s">
        <v>14</v>
      </c>
      <c r="B1147" t="s">
        <v>18</v>
      </c>
      <c r="C1147">
        <v>2551000</v>
      </c>
      <c r="D1147">
        <v>2623000</v>
      </c>
      <c r="E1147" t="str">
        <f>VLOOKUP(B1147,Лист2!A:E,5,0)</f>
        <v>малые</v>
      </c>
      <c r="F1147">
        <f>VLOOKUP(B1147,Лист2!A:E,4,0)</f>
        <v>2.5</v>
      </c>
      <c r="G1147">
        <f t="shared" si="78"/>
        <v>-72000</v>
      </c>
      <c r="H1147">
        <f t="shared" si="79"/>
        <v>1020400</v>
      </c>
      <c r="I1147">
        <f t="shared" si="80"/>
        <v>-28800</v>
      </c>
    </row>
    <row r="1148" spans="1:9">
      <c r="A1148" t="s">
        <v>14</v>
      </c>
      <c r="B1148" t="s">
        <v>18</v>
      </c>
      <c r="C1148">
        <v>3321000</v>
      </c>
      <c r="D1148">
        <v>3218000</v>
      </c>
      <c r="E1148" t="str">
        <f>VLOOKUP(B1148,Лист2!A:E,5,0)</f>
        <v>малые</v>
      </c>
      <c r="F1148">
        <f>VLOOKUP(B1148,Лист2!A:E,4,0)</f>
        <v>2.5</v>
      </c>
      <c r="G1148">
        <f t="shared" si="78"/>
        <v>103000</v>
      </c>
      <c r="H1148">
        <f t="shared" si="79"/>
        <v>1328400</v>
      </c>
      <c r="I1148">
        <f t="shared" si="80"/>
        <v>41200</v>
      </c>
    </row>
    <row r="1149" spans="1:9">
      <c r="A1149" t="s">
        <v>14</v>
      </c>
      <c r="B1149" t="s">
        <v>18</v>
      </c>
      <c r="C1149">
        <v>5202000</v>
      </c>
      <c r="D1149">
        <v>5161000</v>
      </c>
      <c r="E1149" t="str">
        <f>VLOOKUP(B1149,Лист2!A:E,5,0)</f>
        <v>малые</v>
      </c>
      <c r="F1149">
        <f>VLOOKUP(B1149,Лист2!A:E,4,0)</f>
        <v>2.5</v>
      </c>
      <c r="G1149">
        <f t="shared" si="78"/>
        <v>41000</v>
      </c>
      <c r="H1149">
        <f t="shared" si="79"/>
        <v>2080800</v>
      </c>
      <c r="I1149">
        <f t="shared" si="80"/>
        <v>16400</v>
      </c>
    </row>
    <row r="1150" spans="1:9">
      <c r="A1150" t="s">
        <v>14</v>
      </c>
      <c r="B1150" t="s">
        <v>18</v>
      </c>
      <c r="C1150">
        <v>7438000</v>
      </c>
      <c r="D1150">
        <v>7196000</v>
      </c>
      <c r="E1150" t="str">
        <f>VLOOKUP(B1150,Лист2!A:E,5,0)</f>
        <v>малые</v>
      </c>
      <c r="F1150">
        <f>VLOOKUP(B1150,Лист2!A:E,4,0)</f>
        <v>2.5</v>
      </c>
      <c r="G1150">
        <f t="shared" si="78"/>
        <v>242000</v>
      </c>
      <c r="H1150">
        <f t="shared" si="79"/>
        <v>2975200</v>
      </c>
      <c r="I1150">
        <f t="shared" si="80"/>
        <v>96800</v>
      </c>
    </row>
    <row r="1151" spans="1:9">
      <c r="A1151" t="s">
        <v>25</v>
      </c>
      <c r="B1151" t="s">
        <v>18</v>
      </c>
      <c r="C1151">
        <v>1305000</v>
      </c>
      <c r="D1151">
        <v>1182000</v>
      </c>
      <c r="E1151" t="str">
        <f>VLOOKUP(B1151,Лист2!A:E,5,0)</f>
        <v>малые</v>
      </c>
      <c r="F1151">
        <f>VLOOKUP(B1151,Лист2!A:E,4,0)</f>
        <v>2.5</v>
      </c>
      <c r="G1151">
        <f t="shared" ref="G1151:G1191" si="81">C1151-D1151</f>
        <v>123000</v>
      </c>
      <c r="H1151">
        <f t="shared" ref="H1151:H1191" si="82">C1151/F1151</f>
        <v>522000</v>
      </c>
      <c r="I1151">
        <f t="shared" ref="I1151:I1191" si="83">G1151/F1151</f>
        <v>49200</v>
      </c>
    </row>
    <row r="1152" spans="1:9">
      <c r="A1152" t="s">
        <v>25</v>
      </c>
      <c r="B1152" t="s">
        <v>18</v>
      </c>
      <c r="C1152">
        <v>11000</v>
      </c>
      <c r="D1152">
        <v>12000</v>
      </c>
      <c r="E1152" t="str">
        <f>VLOOKUP(B1152,Лист2!A:E,5,0)</f>
        <v>малые</v>
      </c>
      <c r="F1152">
        <f>VLOOKUP(B1152,Лист2!A:E,4,0)</f>
        <v>2.5</v>
      </c>
      <c r="G1152">
        <f t="shared" si="81"/>
        <v>-1000</v>
      </c>
      <c r="H1152">
        <f t="shared" si="82"/>
        <v>4400</v>
      </c>
      <c r="I1152">
        <f t="shared" si="83"/>
        <v>-400</v>
      </c>
    </row>
    <row r="1153" spans="1:9">
      <c r="A1153" t="s">
        <v>25</v>
      </c>
      <c r="B1153" t="s">
        <v>18</v>
      </c>
      <c r="C1153">
        <v>6664000</v>
      </c>
      <c r="D1153">
        <v>6425000</v>
      </c>
      <c r="E1153" t="str">
        <f>VLOOKUP(B1153,Лист2!A:E,5,0)</f>
        <v>малые</v>
      </c>
      <c r="F1153">
        <f>VLOOKUP(B1153,Лист2!A:E,4,0)</f>
        <v>2.5</v>
      </c>
      <c r="G1153">
        <f t="shared" si="81"/>
        <v>239000</v>
      </c>
      <c r="H1153">
        <f t="shared" si="82"/>
        <v>2665600</v>
      </c>
      <c r="I1153">
        <f t="shared" si="83"/>
        <v>95600</v>
      </c>
    </row>
    <row r="1154" spans="1:9">
      <c r="A1154" t="s">
        <v>14</v>
      </c>
      <c r="B1154" t="s">
        <v>18</v>
      </c>
      <c r="C1154">
        <v>4064000</v>
      </c>
      <c r="D1154">
        <v>3568000</v>
      </c>
      <c r="E1154" t="str">
        <f>VLOOKUP(B1154,Лист2!A:E,5,0)</f>
        <v>малые</v>
      </c>
      <c r="F1154">
        <f>VLOOKUP(B1154,Лист2!A:E,4,0)</f>
        <v>2.5</v>
      </c>
      <c r="G1154">
        <f t="shared" si="81"/>
        <v>496000</v>
      </c>
      <c r="H1154">
        <f t="shared" si="82"/>
        <v>1625600</v>
      </c>
      <c r="I1154">
        <f t="shared" si="83"/>
        <v>198400</v>
      </c>
    </row>
    <row r="1155" spans="1:9">
      <c r="A1155" t="s">
        <v>14</v>
      </c>
      <c r="B1155" t="s">
        <v>18</v>
      </c>
      <c r="C1155">
        <v>1218000</v>
      </c>
      <c r="D1155">
        <v>1270000</v>
      </c>
      <c r="E1155" t="str">
        <f>VLOOKUP(B1155,Лист2!A:E,5,0)</f>
        <v>малые</v>
      </c>
      <c r="F1155">
        <f>VLOOKUP(B1155,Лист2!A:E,4,0)</f>
        <v>2.5</v>
      </c>
      <c r="G1155">
        <f t="shared" si="81"/>
        <v>-52000</v>
      </c>
      <c r="H1155">
        <f t="shared" si="82"/>
        <v>487200</v>
      </c>
      <c r="I1155">
        <f t="shared" si="83"/>
        <v>-20800</v>
      </c>
    </row>
    <row r="1156" spans="1:9">
      <c r="A1156" t="s">
        <v>14</v>
      </c>
      <c r="B1156" t="s">
        <v>18</v>
      </c>
      <c r="C1156">
        <v>422000</v>
      </c>
      <c r="D1156">
        <v>414000</v>
      </c>
      <c r="E1156" t="str">
        <f>VLOOKUP(B1156,Лист2!A:E,5,0)</f>
        <v>малые</v>
      </c>
      <c r="F1156">
        <f>VLOOKUP(B1156,Лист2!A:E,4,0)</f>
        <v>2.5</v>
      </c>
      <c r="G1156">
        <f t="shared" si="81"/>
        <v>8000</v>
      </c>
      <c r="H1156">
        <f t="shared" si="82"/>
        <v>168800</v>
      </c>
      <c r="I1156">
        <f t="shared" si="83"/>
        <v>3200</v>
      </c>
    </row>
    <row r="1157" spans="1:9">
      <c r="A1157" t="s">
        <v>14</v>
      </c>
      <c r="B1157" t="s">
        <v>18</v>
      </c>
      <c r="C1157">
        <v>1420000</v>
      </c>
      <c r="D1157">
        <v>1622000</v>
      </c>
      <c r="E1157" t="str">
        <f>VLOOKUP(B1157,Лист2!A:E,5,0)</f>
        <v>малые</v>
      </c>
      <c r="F1157">
        <f>VLOOKUP(B1157,Лист2!A:E,4,0)</f>
        <v>2.5</v>
      </c>
      <c r="G1157">
        <f t="shared" si="81"/>
        <v>-202000</v>
      </c>
      <c r="H1157">
        <f t="shared" si="82"/>
        <v>568000</v>
      </c>
      <c r="I1157">
        <f t="shared" si="83"/>
        <v>-80800</v>
      </c>
    </row>
    <row r="1158" spans="1:9">
      <c r="A1158" t="s">
        <v>14</v>
      </c>
      <c r="B1158" t="s">
        <v>22</v>
      </c>
      <c r="C1158">
        <v>30299000</v>
      </c>
      <c r="D1158">
        <v>32148000</v>
      </c>
      <c r="E1158" t="str">
        <f>VLOOKUP(B1158,Лист2!A:E,5,0)</f>
        <v>малые</v>
      </c>
      <c r="F1158">
        <f>VLOOKUP(B1158,Лист2!A:E,4,0)</f>
        <v>13</v>
      </c>
      <c r="G1158">
        <f t="shared" si="81"/>
        <v>-1849000</v>
      </c>
      <c r="H1158">
        <f t="shared" si="82"/>
        <v>2330692.3076923075</v>
      </c>
      <c r="I1158">
        <f t="shared" si="83"/>
        <v>-142230.76923076922</v>
      </c>
    </row>
    <row r="1159" spans="1:9">
      <c r="A1159" t="s">
        <v>14</v>
      </c>
      <c r="B1159" t="s">
        <v>18</v>
      </c>
      <c r="C1159">
        <v>527000</v>
      </c>
      <c r="D1159">
        <v>527000</v>
      </c>
      <c r="E1159" t="str">
        <f>VLOOKUP(B1159,Лист2!A:E,5,0)</f>
        <v>малые</v>
      </c>
      <c r="F1159">
        <f>VLOOKUP(B1159,Лист2!A:E,4,0)</f>
        <v>2.5</v>
      </c>
      <c r="G1159">
        <f t="shared" si="81"/>
        <v>0</v>
      </c>
      <c r="H1159">
        <f t="shared" si="82"/>
        <v>210800</v>
      </c>
      <c r="I1159">
        <f t="shared" si="83"/>
        <v>0</v>
      </c>
    </row>
    <row r="1160" spans="1:9">
      <c r="A1160" t="s">
        <v>25</v>
      </c>
      <c r="B1160" t="s">
        <v>18</v>
      </c>
      <c r="C1160">
        <v>345000</v>
      </c>
      <c r="D1160">
        <v>331000</v>
      </c>
      <c r="E1160" t="str">
        <f>VLOOKUP(B1160,Лист2!A:E,5,0)</f>
        <v>малые</v>
      </c>
      <c r="F1160">
        <f>VLOOKUP(B1160,Лист2!A:E,4,0)</f>
        <v>2.5</v>
      </c>
      <c r="G1160">
        <f t="shared" si="81"/>
        <v>14000</v>
      </c>
      <c r="H1160">
        <f t="shared" si="82"/>
        <v>138000</v>
      </c>
      <c r="I1160">
        <f t="shared" si="83"/>
        <v>5600</v>
      </c>
    </row>
    <row r="1161" spans="1:9">
      <c r="A1161" t="s">
        <v>14</v>
      </c>
      <c r="B1161" t="s">
        <v>18</v>
      </c>
      <c r="C1161">
        <v>750000</v>
      </c>
      <c r="D1161">
        <v>649000</v>
      </c>
      <c r="E1161" t="str">
        <f>VLOOKUP(B1161,Лист2!A:E,5,0)</f>
        <v>малые</v>
      </c>
      <c r="F1161">
        <f>VLOOKUP(B1161,Лист2!A:E,4,0)</f>
        <v>2.5</v>
      </c>
      <c r="G1161">
        <f t="shared" si="81"/>
        <v>101000</v>
      </c>
      <c r="H1161">
        <f t="shared" si="82"/>
        <v>300000</v>
      </c>
      <c r="I1161">
        <f t="shared" si="83"/>
        <v>40400</v>
      </c>
    </row>
    <row r="1162" spans="1:9">
      <c r="A1162" t="s">
        <v>14</v>
      </c>
      <c r="B1162" t="s">
        <v>18</v>
      </c>
      <c r="C1162">
        <v>838000</v>
      </c>
      <c r="D1162">
        <v>893000</v>
      </c>
      <c r="E1162" t="str">
        <f>VLOOKUP(B1162,Лист2!A:E,5,0)</f>
        <v>малые</v>
      </c>
      <c r="F1162">
        <f>VLOOKUP(B1162,Лист2!A:E,4,0)</f>
        <v>2.5</v>
      </c>
      <c r="G1162">
        <f t="shared" si="81"/>
        <v>-55000</v>
      </c>
      <c r="H1162">
        <f t="shared" si="82"/>
        <v>335200</v>
      </c>
      <c r="I1162">
        <f t="shared" si="83"/>
        <v>-22000</v>
      </c>
    </row>
    <row r="1163" spans="1:9">
      <c r="A1163" t="s">
        <v>14</v>
      </c>
      <c r="B1163" t="s">
        <v>18</v>
      </c>
      <c r="C1163">
        <v>2200000</v>
      </c>
      <c r="D1163">
        <v>2038000</v>
      </c>
      <c r="E1163" t="str">
        <f>VLOOKUP(B1163,Лист2!A:E,5,0)</f>
        <v>малые</v>
      </c>
      <c r="F1163">
        <f>VLOOKUP(B1163,Лист2!A:E,4,0)</f>
        <v>2.5</v>
      </c>
      <c r="G1163">
        <f t="shared" si="81"/>
        <v>162000</v>
      </c>
      <c r="H1163">
        <f t="shared" si="82"/>
        <v>880000</v>
      </c>
      <c r="I1163">
        <f t="shared" si="83"/>
        <v>64800</v>
      </c>
    </row>
    <row r="1164" spans="1:9">
      <c r="A1164" t="s">
        <v>25</v>
      </c>
      <c r="B1164" t="s">
        <v>18</v>
      </c>
      <c r="C1164">
        <v>1078000</v>
      </c>
      <c r="D1164">
        <v>1053000</v>
      </c>
      <c r="E1164" t="str">
        <f>VLOOKUP(B1164,Лист2!A:E,5,0)</f>
        <v>малые</v>
      </c>
      <c r="F1164">
        <f>VLOOKUP(B1164,Лист2!A:E,4,0)</f>
        <v>2.5</v>
      </c>
      <c r="G1164">
        <f t="shared" si="81"/>
        <v>25000</v>
      </c>
      <c r="H1164">
        <f t="shared" si="82"/>
        <v>431200</v>
      </c>
      <c r="I1164">
        <f t="shared" si="83"/>
        <v>10000</v>
      </c>
    </row>
    <row r="1165" spans="1:9">
      <c r="A1165" t="s">
        <v>14</v>
      </c>
      <c r="B1165" t="s">
        <v>18</v>
      </c>
      <c r="C1165">
        <v>1480000</v>
      </c>
      <c r="D1165">
        <v>1915000</v>
      </c>
      <c r="E1165" t="str">
        <f>VLOOKUP(B1165,Лист2!A:E,5,0)</f>
        <v>малые</v>
      </c>
      <c r="F1165">
        <f>VLOOKUP(B1165,Лист2!A:E,4,0)</f>
        <v>2.5</v>
      </c>
      <c r="G1165">
        <f t="shared" si="81"/>
        <v>-435000</v>
      </c>
      <c r="H1165">
        <f t="shared" si="82"/>
        <v>592000</v>
      </c>
      <c r="I1165">
        <f t="shared" si="83"/>
        <v>-174000</v>
      </c>
    </row>
    <row r="1166" spans="1:9">
      <c r="A1166" t="s">
        <v>25</v>
      </c>
      <c r="B1166" t="s">
        <v>18</v>
      </c>
      <c r="C1166">
        <v>1972000</v>
      </c>
      <c r="D1166">
        <v>1715000</v>
      </c>
      <c r="E1166" t="str">
        <f>VLOOKUP(B1166,Лист2!A:E,5,0)</f>
        <v>малые</v>
      </c>
      <c r="F1166">
        <f>VLOOKUP(B1166,Лист2!A:E,4,0)</f>
        <v>2.5</v>
      </c>
      <c r="G1166">
        <f t="shared" si="81"/>
        <v>257000</v>
      </c>
      <c r="H1166">
        <f t="shared" si="82"/>
        <v>788800</v>
      </c>
      <c r="I1166">
        <f t="shared" si="83"/>
        <v>102800</v>
      </c>
    </row>
    <row r="1167" spans="1:9">
      <c r="A1167" t="s">
        <v>25</v>
      </c>
      <c r="B1167" t="s">
        <v>18</v>
      </c>
      <c r="C1167">
        <v>1267000</v>
      </c>
      <c r="D1167">
        <v>1265000</v>
      </c>
      <c r="E1167" t="str">
        <f>VLOOKUP(B1167,Лист2!A:E,5,0)</f>
        <v>малые</v>
      </c>
      <c r="F1167">
        <f>VLOOKUP(B1167,Лист2!A:E,4,0)</f>
        <v>2.5</v>
      </c>
      <c r="G1167">
        <f t="shared" si="81"/>
        <v>2000</v>
      </c>
      <c r="H1167">
        <f t="shared" si="82"/>
        <v>506800</v>
      </c>
      <c r="I1167">
        <f t="shared" si="83"/>
        <v>800</v>
      </c>
    </row>
    <row r="1168" spans="1:9">
      <c r="A1168" t="s">
        <v>14</v>
      </c>
      <c r="B1168" t="s">
        <v>18</v>
      </c>
      <c r="C1168">
        <v>2850000</v>
      </c>
      <c r="D1168">
        <v>2509000</v>
      </c>
      <c r="E1168" t="str">
        <f>VLOOKUP(B1168,Лист2!A:E,5,0)</f>
        <v>малые</v>
      </c>
      <c r="F1168">
        <f>VLOOKUP(B1168,Лист2!A:E,4,0)</f>
        <v>2.5</v>
      </c>
      <c r="G1168">
        <f t="shared" si="81"/>
        <v>341000</v>
      </c>
      <c r="H1168">
        <f t="shared" si="82"/>
        <v>1140000</v>
      </c>
      <c r="I1168">
        <f t="shared" si="83"/>
        <v>136400</v>
      </c>
    </row>
    <row r="1169" spans="1:9">
      <c r="A1169" t="s">
        <v>25</v>
      </c>
      <c r="B1169" t="s">
        <v>18</v>
      </c>
      <c r="C1169">
        <v>1690000</v>
      </c>
      <c r="D1169">
        <v>2252000</v>
      </c>
      <c r="E1169" t="str">
        <f>VLOOKUP(B1169,Лист2!A:E,5,0)</f>
        <v>малые</v>
      </c>
      <c r="F1169">
        <f>VLOOKUP(B1169,Лист2!A:E,4,0)</f>
        <v>2.5</v>
      </c>
      <c r="G1169">
        <f t="shared" si="81"/>
        <v>-562000</v>
      </c>
      <c r="H1169">
        <f t="shared" si="82"/>
        <v>676000</v>
      </c>
      <c r="I1169">
        <f t="shared" si="83"/>
        <v>-224800</v>
      </c>
    </row>
    <row r="1170" spans="1:9">
      <c r="A1170" t="s">
        <v>14</v>
      </c>
      <c r="B1170" t="s">
        <v>18</v>
      </c>
      <c r="C1170">
        <v>650000</v>
      </c>
      <c r="D1170">
        <v>617000</v>
      </c>
      <c r="E1170" t="str">
        <f>VLOOKUP(B1170,Лист2!A:E,5,0)</f>
        <v>малые</v>
      </c>
      <c r="F1170">
        <f>VLOOKUP(B1170,Лист2!A:E,4,0)</f>
        <v>2.5</v>
      </c>
      <c r="G1170">
        <f t="shared" si="81"/>
        <v>33000</v>
      </c>
      <c r="H1170">
        <f t="shared" si="82"/>
        <v>260000</v>
      </c>
      <c r="I1170">
        <f t="shared" si="83"/>
        <v>13200</v>
      </c>
    </row>
    <row r="1171" spans="1:9">
      <c r="A1171" t="s">
        <v>25</v>
      </c>
      <c r="B1171" t="s">
        <v>18</v>
      </c>
      <c r="C1171">
        <v>1872000</v>
      </c>
      <c r="D1171">
        <v>1824000</v>
      </c>
      <c r="E1171" t="str">
        <f>VLOOKUP(B1171,Лист2!A:E,5,0)</f>
        <v>малые</v>
      </c>
      <c r="F1171">
        <f>VLOOKUP(B1171,Лист2!A:E,4,0)</f>
        <v>2.5</v>
      </c>
      <c r="G1171">
        <f t="shared" si="81"/>
        <v>48000</v>
      </c>
      <c r="H1171">
        <f t="shared" si="82"/>
        <v>748800</v>
      </c>
      <c r="I1171">
        <f t="shared" si="83"/>
        <v>19200</v>
      </c>
    </row>
    <row r="1172" spans="1:9">
      <c r="A1172" t="s">
        <v>14</v>
      </c>
      <c r="B1172" t="s">
        <v>18</v>
      </c>
      <c r="C1172">
        <v>688000</v>
      </c>
      <c r="D1172">
        <v>835000</v>
      </c>
      <c r="E1172" t="str">
        <f>VLOOKUP(B1172,Лист2!A:E,5,0)</f>
        <v>малые</v>
      </c>
      <c r="F1172">
        <f>VLOOKUP(B1172,Лист2!A:E,4,0)</f>
        <v>2.5</v>
      </c>
      <c r="G1172">
        <f t="shared" si="81"/>
        <v>-147000</v>
      </c>
      <c r="H1172">
        <f t="shared" si="82"/>
        <v>275200</v>
      </c>
      <c r="I1172">
        <f t="shared" si="83"/>
        <v>-58800</v>
      </c>
    </row>
    <row r="1173" spans="1:9">
      <c r="A1173" t="s">
        <v>14</v>
      </c>
      <c r="B1173" t="s">
        <v>18</v>
      </c>
      <c r="C1173">
        <v>1373000</v>
      </c>
      <c r="D1173">
        <v>1100000</v>
      </c>
      <c r="E1173" t="str">
        <f>VLOOKUP(B1173,Лист2!A:E,5,0)</f>
        <v>малые</v>
      </c>
      <c r="F1173">
        <f>VLOOKUP(B1173,Лист2!A:E,4,0)</f>
        <v>2.5</v>
      </c>
      <c r="G1173">
        <f t="shared" si="81"/>
        <v>273000</v>
      </c>
      <c r="H1173">
        <f t="shared" si="82"/>
        <v>549200</v>
      </c>
      <c r="I1173">
        <f t="shared" si="83"/>
        <v>109200</v>
      </c>
    </row>
    <row r="1174" spans="1:9">
      <c r="A1174" t="s">
        <v>25</v>
      </c>
      <c r="B1174" t="s">
        <v>18</v>
      </c>
      <c r="C1174">
        <v>506000</v>
      </c>
      <c r="D1174">
        <v>457000</v>
      </c>
      <c r="E1174" t="str">
        <f>VLOOKUP(B1174,Лист2!A:E,5,0)</f>
        <v>малые</v>
      </c>
      <c r="F1174">
        <f>VLOOKUP(B1174,Лист2!A:E,4,0)</f>
        <v>2.5</v>
      </c>
      <c r="G1174">
        <f t="shared" si="81"/>
        <v>49000</v>
      </c>
      <c r="H1174">
        <f t="shared" si="82"/>
        <v>202400</v>
      </c>
      <c r="I1174">
        <f t="shared" si="83"/>
        <v>19600</v>
      </c>
    </row>
    <row r="1175" spans="1:9">
      <c r="A1175" t="s">
        <v>14</v>
      </c>
      <c r="B1175" t="s">
        <v>18</v>
      </c>
      <c r="C1175">
        <v>362195000</v>
      </c>
      <c r="D1175">
        <v>351349000</v>
      </c>
      <c r="E1175" t="str">
        <f>VLOOKUP(B1175,Лист2!A:E,5,0)</f>
        <v>малые</v>
      </c>
      <c r="F1175">
        <f>VLOOKUP(B1175,Лист2!A:E,4,0)</f>
        <v>2.5</v>
      </c>
      <c r="G1175">
        <f t="shared" si="81"/>
        <v>10846000</v>
      </c>
      <c r="H1175">
        <f t="shared" si="82"/>
        <v>144878000</v>
      </c>
      <c r="I1175">
        <f t="shared" si="83"/>
        <v>4338400</v>
      </c>
    </row>
    <row r="1176" spans="1:9">
      <c r="A1176" t="s">
        <v>14</v>
      </c>
      <c r="B1176" t="s">
        <v>18</v>
      </c>
      <c r="C1176">
        <v>20000</v>
      </c>
      <c r="D1176">
        <v>25000</v>
      </c>
      <c r="E1176" t="str">
        <f>VLOOKUP(B1176,Лист2!A:E,5,0)</f>
        <v>малые</v>
      </c>
      <c r="F1176">
        <f>VLOOKUP(B1176,Лист2!A:E,4,0)</f>
        <v>2.5</v>
      </c>
      <c r="G1176">
        <f t="shared" si="81"/>
        <v>-5000</v>
      </c>
      <c r="H1176">
        <f t="shared" si="82"/>
        <v>8000</v>
      </c>
      <c r="I1176">
        <f t="shared" si="83"/>
        <v>-2000</v>
      </c>
    </row>
    <row r="1177" spans="1:9">
      <c r="A1177" t="s">
        <v>25</v>
      </c>
      <c r="B1177" t="s">
        <v>18</v>
      </c>
      <c r="C1177">
        <v>90000</v>
      </c>
      <c r="D1177">
        <v>90000</v>
      </c>
      <c r="E1177" t="str">
        <f>VLOOKUP(B1177,Лист2!A:E,5,0)</f>
        <v>малые</v>
      </c>
      <c r="F1177">
        <f>VLOOKUP(B1177,Лист2!A:E,4,0)</f>
        <v>2.5</v>
      </c>
      <c r="G1177">
        <f t="shared" si="81"/>
        <v>0</v>
      </c>
      <c r="H1177">
        <f t="shared" si="82"/>
        <v>36000</v>
      </c>
      <c r="I1177">
        <f t="shared" si="83"/>
        <v>0</v>
      </c>
    </row>
    <row r="1178" spans="1:9">
      <c r="A1178" t="s">
        <v>14</v>
      </c>
      <c r="B1178" t="s">
        <v>18</v>
      </c>
      <c r="C1178">
        <v>602000</v>
      </c>
      <c r="D1178">
        <v>427000</v>
      </c>
      <c r="E1178" t="str">
        <f>VLOOKUP(B1178,Лист2!A:E,5,0)</f>
        <v>малые</v>
      </c>
      <c r="F1178">
        <f>VLOOKUP(B1178,Лист2!A:E,4,0)</f>
        <v>2.5</v>
      </c>
      <c r="G1178">
        <f t="shared" si="81"/>
        <v>175000</v>
      </c>
      <c r="H1178">
        <f t="shared" si="82"/>
        <v>240800</v>
      </c>
      <c r="I1178">
        <f t="shared" si="83"/>
        <v>70000</v>
      </c>
    </row>
    <row r="1179" spans="1:9">
      <c r="A1179" t="s">
        <v>14</v>
      </c>
      <c r="B1179" t="s">
        <v>18</v>
      </c>
      <c r="C1179">
        <v>730000</v>
      </c>
      <c r="D1179">
        <v>621000</v>
      </c>
      <c r="E1179" t="str">
        <f>VLOOKUP(B1179,Лист2!A:E,5,0)</f>
        <v>малые</v>
      </c>
      <c r="F1179">
        <f>VLOOKUP(B1179,Лист2!A:E,4,0)</f>
        <v>2.5</v>
      </c>
      <c r="G1179">
        <f t="shared" si="81"/>
        <v>109000</v>
      </c>
      <c r="H1179">
        <f t="shared" si="82"/>
        <v>292000</v>
      </c>
      <c r="I1179">
        <f t="shared" si="83"/>
        <v>43600</v>
      </c>
    </row>
    <row r="1180" spans="1:9">
      <c r="A1180" t="s">
        <v>14</v>
      </c>
      <c r="B1180" t="s">
        <v>18</v>
      </c>
      <c r="C1180">
        <v>377000</v>
      </c>
      <c r="D1180">
        <v>118000</v>
      </c>
      <c r="E1180" t="str">
        <f>VLOOKUP(B1180,Лист2!A:E,5,0)</f>
        <v>малые</v>
      </c>
      <c r="F1180">
        <f>VLOOKUP(B1180,Лист2!A:E,4,0)</f>
        <v>2.5</v>
      </c>
      <c r="G1180">
        <f t="shared" si="81"/>
        <v>259000</v>
      </c>
      <c r="H1180">
        <f t="shared" si="82"/>
        <v>150800</v>
      </c>
      <c r="I1180">
        <f t="shared" si="83"/>
        <v>103600</v>
      </c>
    </row>
    <row r="1181" spans="1:9">
      <c r="A1181" t="s">
        <v>14</v>
      </c>
      <c r="B1181" t="s">
        <v>18</v>
      </c>
      <c r="C1181">
        <v>4094000</v>
      </c>
      <c r="D1181">
        <v>4360000</v>
      </c>
      <c r="E1181" t="str">
        <f>VLOOKUP(B1181,Лист2!A:E,5,0)</f>
        <v>малые</v>
      </c>
      <c r="F1181">
        <f>VLOOKUP(B1181,Лист2!A:E,4,0)</f>
        <v>2.5</v>
      </c>
      <c r="G1181">
        <f t="shared" si="81"/>
        <v>-266000</v>
      </c>
      <c r="H1181">
        <f t="shared" si="82"/>
        <v>1637600</v>
      </c>
      <c r="I1181">
        <f t="shared" si="83"/>
        <v>-106400</v>
      </c>
    </row>
    <row r="1182" spans="1:9">
      <c r="A1182" t="s">
        <v>14</v>
      </c>
      <c r="B1182" t="s">
        <v>18</v>
      </c>
      <c r="C1182">
        <v>5540000</v>
      </c>
      <c r="D1182">
        <v>5345000</v>
      </c>
      <c r="E1182" t="str">
        <f>VLOOKUP(B1182,Лист2!A:E,5,0)</f>
        <v>малые</v>
      </c>
      <c r="F1182">
        <f>VLOOKUP(B1182,Лист2!A:E,4,0)</f>
        <v>2.5</v>
      </c>
      <c r="G1182">
        <f t="shared" si="81"/>
        <v>195000</v>
      </c>
      <c r="H1182">
        <f t="shared" si="82"/>
        <v>2216000</v>
      </c>
      <c r="I1182">
        <f t="shared" si="83"/>
        <v>78000</v>
      </c>
    </row>
    <row r="1183" spans="1:9">
      <c r="A1183" t="s">
        <v>14</v>
      </c>
      <c r="B1183" t="s">
        <v>18</v>
      </c>
      <c r="C1183">
        <v>1897000</v>
      </c>
      <c r="D1183">
        <v>1701000</v>
      </c>
      <c r="E1183" t="str">
        <f>VLOOKUP(B1183,Лист2!A:E,5,0)</f>
        <v>малые</v>
      </c>
      <c r="F1183">
        <f>VLOOKUP(B1183,Лист2!A:E,4,0)</f>
        <v>2.5</v>
      </c>
      <c r="G1183">
        <f t="shared" si="81"/>
        <v>196000</v>
      </c>
      <c r="H1183">
        <f t="shared" si="82"/>
        <v>758800</v>
      </c>
      <c r="I1183">
        <f t="shared" si="83"/>
        <v>78400</v>
      </c>
    </row>
    <row r="1184" spans="1:9">
      <c r="A1184" t="s">
        <v>14</v>
      </c>
      <c r="B1184" t="s">
        <v>18</v>
      </c>
      <c r="C1184">
        <v>6926000</v>
      </c>
      <c r="D1184">
        <v>7250000</v>
      </c>
      <c r="E1184" t="str">
        <f>VLOOKUP(B1184,Лист2!A:E,5,0)</f>
        <v>малые</v>
      </c>
      <c r="F1184">
        <f>VLOOKUP(B1184,Лист2!A:E,4,0)</f>
        <v>2.5</v>
      </c>
      <c r="G1184">
        <f t="shared" si="81"/>
        <v>-324000</v>
      </c>
      <c r="H1184">
        <f t="shared" si="82"/>
        <v>2770400</v>
      </c>
      <c r="I1184">
        <f t="shared" si="83"/>
        <v>-129600</v>
      </c>
    </row>
    <row r="1185" spans="1:9">
      <c r="A1185" t="s">
        <v>14</v>
      </c>
      <c r="B1185" t="s">
        <v>18</v>
      </c>
      <c r="C1185">
        <v>9924000</v>
      </c>
      <c r="D1185">
        <v>9974000</v>
      </c>
      <c r="E1185" t="str">
        <f>VLOOKUP(B1185,Лист2!A:E,5,0)</f>
        <v>малые</v>
      </c>
      <c r="F1185">
        <f>VLOOKUP(B1185,Лист2!A:E,4,0)</f>
        <v>2.5</v>
      </c>
      <c r="G1185">
        <f t="shared" si="81"/>
        <v>-50000</v>
      </c>
      <c r="H1185">
        <f t="shared" si="82"/>
        <v>3969600</v>
      </c>
      <c r="I1185">
        <f t="shared" si="83"/>
        <v>-20000</v>
      </c>
    </row>
    <row r="1186" spans="1:9">
      <c r="A1186" t="s">
        <v>14</v>
      </c>
      <c r="B1186" t="s">
        <v>18</v>
      </c>
      <c r="C1186">
        <v>1466000</v>
      </c>
      <c r="D1186">
        <v>1483000</v>
      </c>
      <c r="E1186" t="str">
        <f>VLOOKUP(B1186,Лист2!A:E,5,0)</f>
        <v>малые</v>
      </c>
      <c r="F1186">
        <f>VLOOKUP(B1186,Лист2!A:E,4,0)</f>
        <v>2.5</v>
      </c>
      <c r="G1186">
        <f t="shared" si="81"/>
        <v>-17000</v>
      </c>
      <c r="H1186">
        <f t="shared" si="82"/>
        <v>586400</v>
      </c>
      <c r="I1186">
        <f t="shared" si="83"/>
        <v>-6800</v>
      </c>
    </row>
    <row r="1187" spans="1:9">
      <c r="A1187" t="s">
        <v>14</v>
      </c>
      <c r="B1187" t="s">
        <v>18</v>
      </c>
      <c r="C1187">
        <v>22895000</v>
      </c>
      <c r="D1187">
        <v>22895000</v>
      </c>
      <c r="E1187" t="str">
        <f>VLOOKUP(B1187,Лист2!A:E,5,0)</f>
        <v>малые</v>
      </c>
      <c r="F1187">
        <f>VLOOKUP(B1187,Лист2!A:E,4,0)</f>
        <v>2.5</v>
      </c>
      <c r="G1187">
        <f t="shared" si="81"/>
        <v>0</v>
      </c>
      <c r="H1187">
        <f t="shared" si="82"/>
        <v>9158000</v>
      </c>
      <c r="I1187">
        <f t="shared" si="83"/>
        <v>0</v>
      </c>
    </row>
    <row r="1188" spans="1:9">
      <c r="A1188" t="s">
        <v>14</v>
      </c>
      <c r="B1188" t="s">
        <v>18</v>
      </c>
      <c r="C1188">
        <v>52000</v>
      </c>
      <c r="D1188">
        <v>249000</v>
      </c>
      <c r="E1188" t="str">
        <f>VLOOKUP(B1188,Лист2!A:E,5,0)</f>
        <v>малые</v>
      </c>
      <c r="F1188">
        <f>VLOOKUP(B1188,Лист2!A:E,4,0)</f>
        <v>2.5</v>
      </c>
      <c r="G1188">
        <f t="shared" si="81"/>
        <v>-197000</v>
      </c>
      <c r="H1188">
        <f t="shared" si="82"/>
        <v>20800</v>
      </c>
      <c r="I1188">
        <f t="shared" si="83"/>
        <v>-78800</v>
      </c>
    </row>
    <row r="1189" spans="1:9">
      <c r="A1189" t="s">
        <v>14</v>
      </c>
      <c r="B1189" t="s">
        <v>18</v>
      </c>
      <c r="C1189">
        <v>461000</v>
      </c>
      <c r="D1189">
        <v>345000</v>
      </c>
      <c r="E1189" t="str">
        <f>VLOOKUP(B1189,Лист2!A:E,5,0)</f>
        <v>малые</v>
      </c>
      <c r="F1189">
        <f>VLOOKUP(B1189,Лист2!A:E,4,0)</f>
        <v>2.5</v>
      </c>
      <c r="G1189">
        <f t="shared" si="81"/>
        <v>116000</v>
      </c>
      <c r="H1189">
        <f t="shared" si="82"/>
        <v>184400</v>
      </c>
      <c r="I1189">
        <f t="shared" si="83"/>
        <v>46400</v>
      </c>
    </row>
    <row r="1190" spans="1:9">
      <c r="A1190" t="s">
        <v>14</v>
      </c>
      <c r="B1190" t="s">
        <v>18</v>
      </c>
      <c r="C1190">
        <v>7484000</v>
      </c>
      <c r="D1190">
        <v>7410000</v>
      </c>
      <c r="E1190" t="str">
        <f>VLOOKUP(B1190,Лист2!A:E,5,0)</f>
        <v>малые</v>
      </c>
      <c r="F1190">
        <f>VLOOKUP(B1190,Лист2!A:E,4,0)</f>
        <v>2.5</v>
      </c>
      <c r="G1190">
        <f t="shared" si="81"/>
        <v>74000</v>
      </c>
      <c r="H1190">
        <f t="shared" si="82"/>
        <v>2993600</v>
      </c>
      <c r="I1190">
        <f t="shared" si="83"/>
        <v>29600</v>
      </c>
    </row>
    <row r="1191" spans="1:9">
      <c r="A1191" t="s">
        <v>14</v>
      </c>
      <c r="B1191" t="s">
        <v>18</v>
      </c>
      <c r="C1191">
        <v>1623000</v>
      </c>
      <c r="D1191">
        <v>1667000</v>
      </c>
      <c r="E1191" t="str">
        <f>VLOOKUP(B1191,Лист2!A:E,5,0)</f>
        <v>малые</v>
      </c>
      <c r="F1191">
        <f>VLOOKUP(B1191,Лист2!A:E,4,0)</f>
        <v>2.5</v>
      </c>
      <c r="G1191">
        <f t="shared" si="81"/>
        <v>-44000</v>
      </c>
      <c r="H1191">
        <f t="shared" si="82"/>
        <v>649200</v>
      </c>
      <c r="I1191">
        <f t="shared" si="83"/>
        <v>-17600</v>
      </c>
    </row>
    <row r="1192" spans="1:9">
      <c r="A1192" t="s">
        <v>25</v>
      </c>
      <c r="B1192" t="s">
        <v>18</v>
      </c>
      <c r="C1192">
        <v>1735000</v>
      </c>
      <c r="D1192">
        <v>1735000</v>
      </c>
      <c r="E1192" t="str">
        <f>VLOOKUP(B1192,Лист2!A:E,5,0)</f>
        <v>малые</v>
      </c>
      <c r="F1192">
        <f>VLOOKUP(B1192,Лист2!A:E,4,0)</f>
        <v>2.5</v>
      </c>
      <c r="G1192">
        <f t="shared" ref="G1192:G1231" si="84">C1192-D1192</f>
        <v>0</v>
      </c>
      <c r="H1192">
        <f t="shared" ref="H1192:H1231" si="85">C1192/F1192</f>
        <v>694000</v>
      </c>
      <c r="I1192">
        <f t="shared" ref="I1192:I1231" si="86">G1192/F1192</f>
        <v>0</v>
      </c>
    </row>
    <row r="1193" spans="1:9">
      <c r="A1193" t="s">
        <v>25</v>
      </c>
      <c r="B1193" t="s">
        <v>18</v>
      </c>
      <c r="C1193">
        <v>1377000</v>
      </c>
      <c r="D1193">
        <v>282000</v>
      </c>
      <c r="E1193" t="str">
        <f>VLOOKUP(B1193,Лист2!A:E,5,0)</f>
        <v>малые</v>
      </c>
      <c r="F1193">
        <f>VLOOKUP(B1193,Лист2!A:E,4,0)</f>
        <v>2.5</v>
      </c>
      <c r="G1193">
        <f t="shared" si="84"/>
        <v>1095000</v>
      </c>
      <c r="H1193">
        <f t="shared" si="85"/>
        <v>550800</v>
      </c>
      <c r="I1193">
        <f t="shared" si="86"/>
        <v>438000</v>
      </c>
    </row>
    <row r="1194" spans="1:9">
      <c r="A1194" t="s">
        <v>25</v>
      </c>
      <c r="B1194" t="s">
        <v>18</v>
      </c>
      <c r="C1194">
        <v>2555000</v>
      </c>
      <c r="D1194">
        <v>3492000</v>
      </c>
      <c r="E1194" t="str">
        <f>VLOOKUP(B1194,Лист2!A:E,5,0)</f>
        <v>малые</v>
      </c>
      <c r="F1194">
        <f>VLOOKUP(B1194,Лист2!A:E,4,0)</f>
        <v>2.5</v>
      </c>
      <c r="G1194">
        <f t="shared" si="84"/>
        <v>-937000</v>
      </c>
      <c r="H1194">
        <f t="shared" si="85"/>
        <v>1022000</v>
      </c>
      <c r="I1194">
        <f t="shared" si="86"/>
        <v>-374800</v>
      </c>
    </row>
    <row r="1195" spans="1:9">
      <c r="A1195" t="s">
        <v>25</v>
      </c>
      <c r="B1195" t="s">
        <v>18</v>
      </c>
      <c r="C1195">
        <v>20230000</v>
      </c>
      <c r="D1195">
        <v>20074000</v>
      </c>
      <c r="E1195" t="str">
        <f>VLOOKUP(B1195,Лист2!A:E,5,0)</f>
        <v>малые</v>
      </c>
      <c r="F1195">
        <f>VLOOKUP(B1195,Лист2!A:E,4,0)</f>
        <v>2.5</v>
      </c>
      <c r="G1195">
        <f t="shared" si="84"/>
        <v>156000</v>
      </c>
      <c r="H1195">
        <f t="shared" si="85"/>
        <v>8092000</v>
      </c>
      <c r="I1195">
        <f t="shared" si="86"/>
        <v>62400</v>
      </c>
    </row>
    <row r="1196" spans="1:9">
      <c r="A1196" t="s">
        <v>14</v>
      </c>
      <c r="B1196" t="s">
        <v>18</v>
      </c>
      <c r="C1196">
        <v>131000</v>
      </c>
      <c r="D1196">
        <v>89000</v>
      </c>
      <c r="E1196" t="str">
        <f>VLOOKUP(B1196,Лист2!A:E,5,0)</f>
        <v>малые</v>
      </c>
      <c r="F1196">
        <f>VLOOKUP(B1196,Лист2!A:E,4,0)</f>
        <v>2.5</v>
      </c>
      <c r="G1196">
        <f t="shared" si="84"/>
        <v>42000</v>
      </c>
      <c r="H1196">
        <f t="shared" si="85"/>
        <v>52400</v>
      </c>
      <c r="I1196">
        <f t="shared" si="86"/>
        <v>16800</v>
      </c>
    </row>
    <row r="1197" spans="1:9">
      <c r="A1197" t="s">
        <v>25</v>
      </c>
      <c r="B1197" t="s">
        <v>18</v>
      </c>
      <c r="C1197">
        <v>215000</v>
      </c>
      <c r="D1197">
        <v>205000</v>
      </c>
      <c r="E1197" t="str">
        <f>VLOOKUP(B1197,Лист2!A:E,5,0)</f>
        <v>малые</v>
      </c>
      <c r="F1197">
        <f>VLOOKUP(B1197,Лист2!A:E,4,0)</f>
        <v>2.5</v>
      </c>
      <c r="G1197">
        <f t="shared" si="84"/>
        <v>10000</v>
      </c>
      <c r="H1197">
        <f t="shared" si="85"/>
        <v>86000</v>
      </c>
      <c r="I1197">
        <f t="shared" si="86"/>
        <v>4000</v>
      </c>
    </row>
    <row r="1198" spans="1:9">
      <c r="A1198" t="s">
        <v>25</v>
      </c>
      <c r="B1198" t="s">
        <v>77</v>
      </c>
      <c r="C1198">
        <v>340903000</v>
      </c>
      <c r="D1198">
        <v>311511000</v>
      </c>
      <c r="E1198" t="str">
        <f>VLOOKUP(B1198,Лист2!A:E,5,0)</f>
        <v>малые</v>
      </c>
      <c r="F1198">
        <f>VLOOKUP(B1198,Лист2!A:E,4,0)</f>
        <v>8</v>
      </c>
      <c r="G1198">
        <f t="shared" si="84"/>
        <v>29392000</v>
      </c>
      <c r="H1198">
        <f t="shared" si="85"/>
        <v>42612875</v>
      </c>
      <c r="I1198">
        <f t="shared" si="86"/>
        <v>3674000</v>
      </c>
    </row>
    <row r="1199" spans="1:9">
      <c r="A1199" t="s">
        <v>25</v>
      </c>
      <c r="B1199" t="s">
        <v>18</v>
      </c>
      <c r="C1199">
        <v>2666000</v>
      </c>
      <c r="D1199">
        <v>2345000</v>
      </c>
      <c r="E1199" t="str">
        <f>VLOOKUP(B1199,Лист2!A:E,5,0)</f>
        <v>малые</v>
      </c>
      <c r="F1199">
        <f>VLOOKUP(B1199,Лист2!A:E,4,0)</f>
        <v>2.5</v>
      </c>
      <c r="G1199">
        <f t="shared" si="84"/>
        <v>321000</v>
      </c>
      <c r="H1199">
        <f t="shared" si="85"/>
        <v>1066400</v>
      </c>
      <c r="I1199">
        <f t="shared" si="86"/>
        <v>128400</v>
      </c>
    </row>
    <row r="1200" spans="1:9">
      <c r="A1200" t="s">
        <v>14</v>
      </c>
      <c r="B1200" t="s">
        <v>18</v>
      </c>
      <c r="C1200">
        <v>600000</v>
      </c>
      <c r="D1200">
        <v>1494000</v>
      </c>
      <c r="E1200" t="str">
        <f>VLOOKUP(B1200,Лист2!A:E,5,0)</f>
        <v>малые</v>
      </c>
      <c r="F1200">
        <f>VLOOKUP(B1200,Лист2!A:E,4,0)</f>
        <v>2.5</v>
      </c>
      <c r="G1200">
        <f t="shared" si="84"/>
        <v>-894000</v>
      </c>
      <c r="H1200">
        <f t="shared" si="85"/>
        <v>240000</v>
      </c>
      <c r="I1200">
        <f t="shared" si="86"/>
        <v>-357600</v>
      </c>
    </row>
    <row r="1201" spans="1:9">
      <c r="A1201" t="s">
        <v>14</v>
      </c>
      <c r="B1201" t="s">
        <v>18</v>
      </c>
      <c r="C1201">
        <v>694000</v>
      </c>
      <c r="D1201">
        <v>775000</v>
      </c>
      <c r="E1201" t="str">
        <f>VLOOKUP(B1201,Лист2!A:E,5,0)</f>
        <v>малые</v>
      </c>
      <c r="F1201">
        <f>VLOOKUP(B1201,Лист2!A:E,4,0)</f>
        <v>2.5</v>
      </c>
      <c r="G1201">
        <f t="shared" si="84"/>
        <v>-81000</v>
      </c>
      <c r="H1201">
        <f t="shared" si="85"/>
        <v>277600</v>
      </c>
      <c r="I1201">
        <f t="shared" si="86"/>
        <v>-32400</v>
      </c>
    </row>
    <row r="1202" spans="1:9">
      <c r="A1202" t="s">
        <v>14</v>
      </c>
      <c r="B1202" t="s">
        <v>23</v>
      </c>
      <c r="C1202">
        <v>31375000</v>
      </c>
      <c r="D1202">
        <v>7635000</v>
      </c>
      <c r="E1202" t="str">
        <f>VLOOKUP(B1202,Лист2!A:E,5,0)</f>
        <v>средние</v>
      </c>
      <c r="F1202">
        <f>VLOOKUP(B1202,Лист2!A:E,4,0)</f>
        <v>75.5</v>
      </c>
      <c r="G1202">
        <f t="shared" si="84"/>
        <v>23740000</v>
      </c>
      <c r="H1202">
        <f t="shared" si="85"/>
        <v>415562.91390728479</v>
      </c>
      <c r="I1202">
        <f t="shared" si="86"/>
        <v>314437.08609271521</v>
      </c>
    </row>
    <row r="1203" spans="1:9">
      <c r="A1203" t="s">
        <v>25</v>
      </c>
      <c r="B1203" t="s">
        <v>18</v>
      </c>
      <c r="C1203">
        <v>2993000</v>
      </c>
      <c r="D1203">
        <v>1903000</v>
      </c>
      <c r="E1203" t="str">
        <f>VLOOKUP(B1203,Лист2!A:E,5,0)</f>
        <v>малые</v>
      </c>
      <c r="F1203">
        <f>VLOOKUP(B1203,Лист2!A:E,4,0)</f>
        <v>2.5</v>
      </c>
      <c r="G1203">
        <f t="shared" si="84"/>
        <v>1090000</v>
      </c>
      <c r="H1203">
        <f t="shared" si="85"/>
        <v>1197200</v>
      </c>
      <c r="I1203">
        <f t="shared" si="86"/>
        <v>436000</v>
      </c>
    </row>
    <row r="1204" spans="1:9">
      <c r="A1204" t="s">
        <v>14</v>
      </c>
      <c r="B1204" t="s">
        <v>18</v>
      </c>
      <c r="C1204">
        <v>34000</v>
      </c>
      <c r="D1204">
        <v>25000</v>
      </c>
      <c r="E1204" t="str">
        <f>VLOOKUP(B1204,Лист2!A:E,5,0)</f>
        <v>малые</v>
      </c>
      <c r="F1204">
        <f>VLOOKUP(B1204,Лист2!A:E,4,0)</f>
        <v>2.5</v>
      </c>
      <c r="G1204">
        <f t="shared" si="84"/>
        <v>9000</v>
      </c>
      <c r="H1204">
        <f t="shared" si="85"/>
        <v>13600</v>
      </c>
      <c r="I1204">
        <f t="shared" si="86"/>
        <v>3600</v>
      </c>
    </row>
    <row r="1205" spans="1:9">
      <c r="A1205" t="s">
        <v>14</v>
      </c>
      <c r="B1205" t="s">
        <v>18</v>
      </c>
      <c r="C1205">
        <v>1740000</v>
      </c>
      <c r="D1205">
        <v>3819000</v>
      </c>
      <c r="E1205" t="str">
        <f>VLOOKUP(B1205,Лист2!A:E,5,0)</f>
        <v>малые</v>
      </c>
      <c r="F1205">
        <f>VLOOKUP(B1205,Лист2!A:E,4,0)</f>
        <v>2.5</v>
      </c>
      <c r="G1205">
        <f t="shared" si="84"/>
        <v>-2079000</v>
      </c>
      <c r="H1205">
        <f t="shared" si="85"/>
        <v>696000</v>
      </c>
      <c r="I1205">
        <f t="shared" si="86"/>
        <v>-831600</v>
      </c>
    </row>
    <row r="1206" spans="1:9">
      <c r="A1206" t="s">
        <v>14</v>
      </c>
      <c r="B1206" t="s">
        <v>18</v>
      </c>
      <c r="C1206">
        <v>10000</v>
      </c>
      <c r="D1206">
        <v>10000</v>
      </c>
      <c r="E1206" t="str">
        <f>VLOOKUP(B1206,Лист2!A:E,5,0)</f>
        <v>малые</v>
      </c>
      <c r="F1206">
        <f>VLOOKUP(B1206,Лист2!A:E,4,0)</f>
        <v>2.5</v>
      </c>
      <c r="G1206">
        <f t="shared" si="84"/>
        <v>0</v>
      </c>
      <c r="H1206">
        <f t="shared" si="85"/>
        <v>4000</v>
      </c>
      <c r="I1206">
        <f t="shared" si="86"/>
        <v>0</v>
      </c>
    </row>
    <row r="1207" spans="1:9">
      <c r="A1207" t="s">
        <v>14</v>
      </c>
      <c r="B1207" t="s">
        <v>18</v>
      </c>
      <c r="C1207">
        <v>155000</v>
      </c>
      <c r="D1207">
        <v>197000</v>
      </c>
      <c r="E1207" t="str">
        <f>VLOOKUP(B1207,Лист2!A:E,5,0)</f>
        <v>малые</v>
      </c>
      <c r="F1207">
        <f>VLOOKUP(B1207,Лист2!A:E,4,0)</f>
        <v>2.5</v>
      </c>
      <c r="G1207">
        <f t="shared" si="84"/>
        <v>-42000</v>
      </c>
      <c r="H1207">
        <f t="shared" si="85"/>
        <v>62000</v>
      </c>
      <c r="I1207">
        <f t="shared" si="86"/>
        <v>-16800</v>
      </c>
    </row>
    <row r="1208" spans="1:9">
      <c r="A1208" t="s">
        <v>14</v>
      </c>
      <c r="B1208" t="s">
        <v>18</v>
      </c>
      <c r="C1208">
        <v>926000</v>
      </c>
      <c r="D1208">
        <v>894000</v>
      </c>
      <c r="E1208" t="str">
        <f>VLOOKUP(B1208,Лист2!A:E,5,0)</f>
        <v>малые</v>
      </c>
      <c r="F1208">
        <f>VLOOKUP(B1208,Лист2!A:E,4,0)</f>
        <v>2.5</v>
      </c>
      <c r="G1208">
        <f t="shared" si="84"/>
        <v>32000</v>
      </c>
      <c r="H1208">
        <f t="shared" si="85"/>
        <v>370400</v>
      </c>
      <c r="I1208">
        <f t="shared" si="86"/>
        <v>12800</v>
      </c>
    </row>
    <row r="1209" spans="1:9">
      <c r="A1209" t="s">
        <v>14</v>
      </c>
      <c r="B1209" t="s">
        <v>18</v>
      </c>
      <c r="C1209">
        <v>418000</v>
      </c>
      <c r="D1209">
        <v>392000</v>
      </c>
      <c r="E1209" t="str">
        <f>VLOOKUP(B1209,Лист2!A:E,5,0)</f>
        <v>малые</v>
      </c>
      <c r="F1209">
        <f>VLOOKUP(B1209,Лист2!A:E,4,0)</f>
        <v>2.5</v>
      </c>
      <c r="G1209">
        <f t="shared" si="84"/>
        <v>26000</v>
      </c>
      <c r="H1209">
        <f t="shared" si="85"/>
        <v>167200</v>
      </c>
      <c r="I1209">
        <f t="shared" si="86"/>
        <v>10400</v>
      </c>
    </row>
    <row r="1210" spans="1:9">
      <c r="A1210" t="s">
        <v>25</v>
      </c>
      <c r="B1210" t="s">
        <v>18</v>
      </c>
      <c r="C1210">
        <v>584000</v>
      </c>
      <c r="D1210">
        <v>578000</v>
      </c>
      <c r="E1210" t="str">
        <f>VLOOKUP(B1210,Лист2!A:E,5,0)</f>
        <v>малые</v>
      </c>
      <c r="F1210">
        <f>VLOOKUP(B1210,Лист2!A:E,4,0)</f>
        <v>2.5</v>
      </c>
      <c r="G1210">
        <f t="shared" si="84"/>
        <v>6000</v>
      </c>
      <c r="H1210">
        <f t="shared" si="85"/>
        <v>233600</v>
      </c>
      <c r="I1210">
        <f t="shared" si="86"/>
        <v>2400</v>
      </c>
    </row>
    <row r="1211" spans="1:9">
      <c r="A1211" t="s">
        <v>14</v>
      </c>
      <c r="B1211" t="s">
        <v>18</v>
      </c>
      <c r="C1211">
        <v>41000</v>
      </c>
      <c r="D1211">
        <v>73000</v>
      </c>
      <c r="E1211" t="str">
        <f>VLOOKUP(B1211,Лист2!A:E,5,0)</f>
        <v>малые</v>
      </c>
      <c r="F1211">
        <f>VLOOKUP(B1211,Лист2!A:E,4,0)</f>
        <v>2.5</v>
      </c>
      <c r="G1211">
        <f t="shared" si="84"/>
        <v>-32000</v>
      </c>
      <c r="H1211">
        <f t="shared" si="85"/>
        <v>16400</v>
      </c>
      <c r="I1211">
        <f t="shared" si="86"/>
        <v>-12800</v>
      </c>
    </row>
    <row r="1212" spans="1:9">
      <c r="A1212" t="s">
        <v>14</v>
      </c>
      <c r="B1212" t="s">
        <v>18</v>
      </c>
      <c r="C1212">
        <v>785000</v>
      </c>
      <c r="D1212">
        <v>778000</v>
      </c>
      <c r="E1212" t="str">
        <f>VLOOKUP(B1212,Лист2!A:E,5,0)</f>
        <v>малые</v>
      </c>
      <c r="F1212">
        <f>VLOOKUP(B1212,Лист2!A:E,4,0)</f>
        <v>2.5</v>
      </c>
      <c r="G1212">
        <f t="shared" si="84"/>
        <v>7000</v>
      </c>
      <c r="H1212">
        <f t="shared" si="85"/>
        <v>314000</v>
      </c>
      <c r="I1212">
        <f t="shared" si="86"/>
        <v>2800</v>
      </c>
    </row>
    <row r="1213" spans="1:9">
      <c r="A1213" t="s">
        <v>14</v>
      </c>
      <c r="B1213" t="s">
        <v>18</v>
      </c>
      <c r="C1213">
        <v>6440000</v>
      </c>
      <c r="D1213">
        <v>3747000</v>
      </c>
      <c r="E1213" t="str">
        <f>VLOOKUP(B1213,Лист2!A:E,5,0)</f>
        <v>малые</v>
      </c>
      <c r="F1213">
        <f>VLOOKUP(B1213,Лист2!A:E,4,0)</f>
        <v>2.5</v>
      </c>
      <c r="G1213">
        <f t="shared" si="84"/>
        <v>2693000</v>
      </c>
      <c r="H1213">
        <f t="shared" si="85"/>
        <v>2576000</v>
      </c>
      <c r="I1213">
        <f t="shared" si="86"/>
        <v>1077200</v>
      </c>
    </row>
    <row r="1214" spans="1:9">
      <c r="A1214" t="s">
        <v>14</v>
      </c>
      <c r="B1214" t="s">
        <v>18</v>
      </c>
      <c r="C1214">
        <v>2497000</v>
      </c>
      <c r="D1214">
        <v>1698000</v>
      </c>
      <c r="E1214" t="str">
        <f>VLOOKUP(B1214,Лист2!A:E,5,0)</f>
        <v>малые</v>
      </c>
      <c r="F1214">
        <f>VLOOKUP(B1214,Лист2!A:E,4,0)</f>
        <v>2.5</v>
      </c>
      <c r="G1214">
        <f t="shared" si="84"/>
        <v>799000</v>
      </c>
      <c r="H1214">
        <f t="shared" si="85"/>
        <v>998800</v>
      </c>
      <c r="I1214">
        <f t="shared" si="86"/>
        <v>319600</v>
      </c>
    </row>
    <row r="1215" spans="1:9">
      <c r="A1215" t="s">
        <v>14</v>
      </c>
      <c r="B1215" t="s">
        <v>18</v>
      </c>
      <c r="C1215">
        <v>1022000</v>
      </c>
      <c r="D1215">
        <v>929000</v>
      </c>
      <c r="E1215" t="str">
        <f>VLOOKUP(B1215,Лист2!A:E,5,0)</f>
        <v>малые</v>
      </c>
      <c r="F1215">
        <f>VLOOKUP(B1215,Лист2!A:E,4,0)</f>
        <v>2.5</v>
      </c>
      <c r="G1215">
        <f t="shared" si="84"/>
        <v>93000</v>
      </c>
      <c r="H1215">
        <f t="shared" si="85"/>
        <v>408800</v>
      </c>
      <c r="I1215">
        <f t="shared" si="86"/>
        <v>37200</v>
      </c>
    </row>
    <row r="1216" spans="1:9">
      <c r="A1216" t="s">
        <v>14</v>
      </c>
      <c r="B1216" t="s">
        <v>18</v>
      </c>
      <c r="C1216">
        <v>1936000</v>
      </c>
      <c r="D1216">
        <v>1919000</v>
      </c>
      <c r="E1216" t="str">
        <f>VLOOKUP(B1216,Лист2!A:E,5,0)</f>
        <v>малые</v>
      </c>
      <c r="F1216">
        <f>VLOOKUP(B1216,Лист2!A:E,4,0)</f>
        <v>2.5</v>
      </c>
      <c r="G1216">
        <f t="shared" si="84"/>
        <v>17000</v>
      </c>
      <c r="H1216">
        <f t="shared" si="85"/>
        <v>774400</v>
      </c>
      <c r="I1216">
        <f t="shared" si="86"/>
        <v>6800</v>
      </c>
    </row>
    <row r="1217" spans="1:9">
      <c r="A1217" t="s">
        <v>14</v>
      </c>
      <c r="B1217" t="s">
        <v>18</v>
      </c>
      <c r="C1217">
        <v>463287</v>
      </c>
      <c r="D1217">
        <v>299175</v>
      </c>
      <c r="E1217" t="str">
        <f>VLOOKUP(B1217,Лист2!A:E,5,0)</f>
        <v>малые</v>
      </c>
      <c r="F1217">
        <f>VLOOKUP(B1217,Лист2!A:E,4,0)</f>
        <v>2.5</v>
      </c>
      <c r="G1217">
        <f t="shared" si="84"/>
        <v>164112</v>
      </c>
      <c r="H1217">
        <f t="shared" si="85"/>
        <v>185314.8</v>
      </c>
      <c r="I1217">
        <f t="shared" si="86"/>
        <v>65644.800000000003</v>
      </c>
    </row>
    <row r="1218" spans="1:9">
      <c r="A1218" t="s">
        <v>14</v>
      </c>
      <c r="B1218" t="s">
        <v>18</v>
      </c>
      <c r="C1218">
        <v>1177000</v>
      </c>
      <c r="D1218">
        <v>1191000</v>
      </c>
      <c r="E1218" t="str">
        <f>VLOOKUP(B1218,Лист2!A:E,5,0)</f>
        <v>малые</v>
      </c>
      <c r="F1218">
        <f>VLOOKUP(B1218,Лист2!A:E,4,0)</f>
        <v>2.5</v>
      </c>
      <c r="G1218">
        <f t="shared" si="84"/>
        <v>-14000</v>
      </c>
      <c r="H1218">
        <f t="shared" si="85"/>
        <v>470800</v>
      </c>
      <c r="I1218">
        <f t="shared" si="86"/>
        <v>-5600</v>
      </c>
    </row>
    <row r="1219" spans="1:9">
      <c r="A1219" t="s">
        <v>14</v>
      </c>
      <c r="B1219" t="s">
        <v>18</v>
      </c>
      <c r="C1219">
        <v>1638000</v>
      </c>
      <c r="D1219">
        <v>1638000</v>
      </c>
      <c r="E1219" t="str">
        <f>VLOOKUP(B1219,Лист2!A:E,5,0)</f>
        <v>малые</v>
      </c>
      <c r="F1219">
        <f>VLOOKUP(B1219,Лист2!A:E,4,0)</f>
        <v>2.5</v>
      </c>
      <c r="G1219">
        <f t="shared" si="84"/>
        <v>0</v>
      </c>
      <c r="H1219">
        <f t="shared" si="85"/>
        <v>655200</v>
      </c>
      <c r="I1219">
        <f t="shared" si="86"/>
        <v>0</v>
      </c>
    </row>
    <row r="1220" spans="1:9">
      <c r="A1220" t="s">
        <v>14</v>
      </c>
      <c r="B1220" t="s">
        <v>18</v>
      </c>
      <c r="C1220">
        <v>138000</v>
      </c>
      <c r="D1220">
        <v>89000</v>
      </c>
      <c r="E1220" t="str">
        <f>VLOOKUP(B1220,Лист2!A:E,5,0)</f>
        <v>малые</v>
      </c>
      <c r="F1220">
        <f>VLOOKUP(B1220,Лист2!A:E,4,0)</f>
        <v>2.5</v>
      </c>
      <c r="G1220">
        <f t="shared" si="84"/>
        <v>49000</v>
      </c>
      <c r="H1220">
        <f t="shared" si="85"/>
        <v>55200</v>
      </c>
      <c r="I1220">
        <f t="shared" si="86"/>
        <v>19600</v>
      </c>
    </row>
    <row r="1221" spans="1:9">
      <c r="A1221" t="s">
        <v>14</v>
      </c>
      <c r="B1221" t="s">
        <v>18</v>
      </c>
      <c r="C1221">
        <v>2327000</v>
      </c>
      <c r="D1221">
        <v>995000</v>
      </c>
      <c r="E1221" t="str">
        <f>VLOOKUP(B1221,Лист2!A:E,5,0)</f>
        <v>малые</v>
      </c>
      <c r="F1221">
        <f>VLOOKUP(B1221,Лист2!A:E,4,0)</f>
        <v>2.5</v>
      </c>
      <c r="G1221">
        <f t="shared" si="84"/>
        <v>1332000</v>
      </c>
      <c r="H1221">
        <f t="shared" si="85"/>
        <v>930800</v>
      </c>
      <c r="I1221">
        <f t="shared" si="86"/>
        <v>532800</v>
      </c>
    </row>
    <row r="1222" spans="1:9">
      <c r="A1222" t="s">
        <v>14</v>
      </c>
      <c r="B1222" t="s">
        <v>18</v>
      </c>
      <c r="C1222">
        <v>6351000</v>
      </c>
      <c r="D1222">
        <v>6385000</v>
      </c>
      <c r="E1222" t="str">
        <f>VLOOKUP(B1222,Лист2!A:E,5,0)</f>
        <v>малые</v>
      </c>
      <c r="F1222">
        <f>VLOOKUP(B1222,Лист2!A:E,4,0)</f>
        <v>2.5</v>
      </c>
      <c r="G1222">
        <f t="shared" si="84"/>
        <v>-34000</v>
      </c>
      <c r="H1222">
        <f t="shared" si="85"/>
        <v>2540400</v>
      </c>
      <c r="I1222">
        <f t="shared" si="86"/>
        <v>-13600</v>
      </c>
    </row>
    <row r="1223" spans="1:9">
      <c r="A1223" t="s">
        <v>14</v>
      </c>
      <c r="B1223" t="s">
        <v>18</v>
      </c>
      <c r="C1223">
        <v>576000</v>
      </c>
      <c r="D1223">
        <v>687000</v>
      </c>
      <c r="E1223" t="str">
        <f>VLOOKUP(B1223,Лист2!A:E,5,0)</f>
        <v>малые</v>
      </c>
      <c r="F1223">
        <f>VLOOKUP(B1223,Лист2!A:E,4,0)</f>
        <v>2.5</v>
      </c>
      <c r="G1223">
        <f t="shared" si="84"/>
        <v>-111000</v>
      </c>
      <c r="H1223">
        <f t="shared" si="85"/>
        <v>230400</v>
      </c>
      <c r="I1223">
        <f t="shared" si="86"/>
        <v>-44400</v>
      </c>
    </row>
    <row r="1224" spans="1:9">
      <c r="A1224" t="s">
        <v>14</v>
      </c>
      <c r="B1224" t="s">
        <v>18</v>
      </c>
      <c r="C1224">
        <v>1962000</v>
      </c>
      <c r="D1224">
        <v>1796000</v>
      </c>
      <c r="E1224" t="str">
        <f>VLOOKUP(B1224,Лист2!A:E,5,0)</f>
        <v>малые</v>
      </c>
      <c r="F1224">
        <f>VLOOKUP(B1224,Лист2!A:E,4,0)</f>
        <v>2.5</v>
      </c>
      <c r="G1224">
        <f t="shared" si="84"/>
        <v>166000</v>
      </c>
      <c r="H1224">
        <f t="shared" si="85"/>
        <v>784800</v>
      </c>
      <c r="I1224">
        <f t="shared" si="86"/>
        <v>66400</v>
      </c>
    </row>
    <row r="1225" spans="1:9">
      <c r="A1225" t="s">
        <v>14</v>
      </c>
      <c r="B1225" t="s">
        <v>18</v>
      </c>
      <c r="C1225">
        <v>941000</v>
      </c>
      <c r="D1225">
        <v>1112000</v>
      </c>
      <c r="E1225" t="str">
        <f>VLOOKUP(B1225,Лист2!A:E,5,0)</f>
        <v>малые</v>
      </c>
      <c r="F1225">
        <f>VLOOKUP(B1225,Лист2!A:E,4,0)</f>
        <v>2.5</v>
      </c>
      <c r="G1225">
        <f t="shared" si="84"/>
        <v>-171000</v>
      </c>
      <c r="H1225">
        <f t="shared" si="85"/>
        <v>376400</v>
      </c>
      <c r="I1225">
        <f t="shared" si="86"/>
        <v>-68400</v>
      </c>
    </row>
    <row r="1226" spans="1:9">
      <c r="A1226" t="s">
        <v>25</v>
      </c>
      <c r="B1226" t="s">
        <v>18</v>
      </c>
      <c r="C1226">
        <v>870000</v>
      </c>
      <c r="D1226">
        <v>532000</v>
      </c>
      <c r="E1226" t="str">
        <f>VLOOKUP(B1226,Лист2!A:E,5,0)</f>
        <v>малые</v>
      </c>
      <c r="F1226">
        <f>VLOOKUP(B1226,Лист2!A:E,4,0)</f>
        <v>2.5</v>
      </c>
      <c r="G1226">
        <f t="shared" si="84"/>
        <v>338000</v>
      </c>
      <c r="H1226">
        <f t="shared" si="85"/>
        <v>348000</v>
      </c>
      <c r="I1226">
        <f t="shared" si="86"/>
        <v>135200</v>
      </c>
    </row>
    <row r="1227" spans="1:9">
      <c r="A1227" t="s">
        <v>25</v>
      </c>
      <c r="B1227" t="s">
        <v>18</v>
      </c>
      <c r="C1227">
        <v>300000</v>
      </c>
      <c r="D1227">
        <v>175000</v>
      </c>
      <c r="E1227" t="str">
        <f>VLOOKUP(B1227,Лист2!A:E,5,0)</f>
        <v>малые</v>
      </c>
      <c r="F1227">
        <f>VLOOKUP(B1227,Лист2!A:E,4,0)</f>
        <v>2.5</v>
      </c>
      <c r="G1227">
        <f t="shared" si="84"/>
        <v>125000</v>
      </c>
      <c r="H1227">
        <f t="shared" si="85"/>
        <v>120000</v>
      </c>
      <c r="I1227">
        <f t="shared" si="86"/>
        <v>50000</v>
      </c>
    </row>
    <row r="1228" spans="1:9">
      <c r="A1228" t="s">
        <v>14</v>
      </c>
      <c r="B1228" t="s">
        <v>18</v>
      </c>
      <c r="C1228">
        <v>1190000</v>
      </c>
      <c r="D1228">
        <v>752000</v>
      </c>
      <c r="E1228" t="str">
        <f>VLOOKUP(B1228,Лист2!A:E,5,0)</f>
        <v>малые</v>
      </c>
      <c r="F1228">
        <f>VLOOKUP(B1228,Лист2!A:E,4,0)</f>
        <v>2.5</v>
      </c>
      <c r="G1228">
        <f t="shared" si="84"/>
        <v>438000</v>
      </c>
      <c r="H1228">
        <f t="shared" si="85"/>
        <v>476000</v>
      </c>
      <c r="I1228">
        <f t="shared" si="86"/>
        <v>175200</v>
      </c>
    </row>
    <row r="1229" spans="1:9">
      <c r="A1229" t="s">
        <v>14</v>
      </c>
      <c r="B1229" t="s">
        <v>18</v>
      </c>
      <c r="C1229">
        <v>2300000</v>
      </c>
      <c r="D1229">
        <v>2249000</v>
      </c>
      <c r="E1229" t="str">
        <f>VLOOKUP(B1229,Лист2!A:E,5,0)</f>
        <v>малые</v>
      </c>
      <c r="F1229">
        <f>VLOOKUP(B1229,Лист2!A:E,4,0)</f>
        <v>2.5</v>
      </c>
      <c r="G1229">
        <f t="shared" si="84"/>
        <v>51000</v>
      </c>
      <c r="H1229">
        <f t="shared" si="85"/>
        <v>920000</v>
      </c>
      <c r="I1229">
        <f t="shared" si="86"/>
        <v>20400</v>
      </c>
    </row>
    <row r="1230" spans="1:9">
      <c r="A1230" t="s">
        <v>14</v>
      </c>
      <c r="B1230" t="s">
        <v>18</v>
      </c>
      <c r="C1230">
        <v>845000</v>
      </c>
      <c r="D1230">
        <v>845000</v>
      </c>
      <c r="E1230" t="str">
        <f>VLOOKUP(B1230,Лист2!A:E,5,0)</f>
        <v>малые</v>
      </c>
      <c r="F1230">
        <f>VLOOKUP(B1230,Лист2!A:E,4,0)</f>
        <v>2.5</v>
      </c>
      <c r="G1230">
        <f t="shared" si="84"/>
        <v>0</v>
      </c>
      <c r="H1230">
        <f t="shared" si="85"/>
        <v>338000</v>
      </c>
      <c r="I1230">
        <f t="shared" si="86"/>
        <v>0</v>
      </c>
    </row>
    <row r="1231" spans="1:9">
      <c r="A1231" t="s">
        <v>14</v>
      </c>
      <c r="B1231" t="s">
        <v>18</v>
      </c>
      <c r="C1231">
        <v>3511000</v>
      </c>
      <c r="D1231">
        <v>3511000</v>
      </c>
      <c r="E1231" t="str">
        <f>VLOOKUP(B1231,Лист2!A:E,5,0)</f>
        <v>малые</v>
      </c>
      <c r="F1231">
        <f>VLOOKUP(B1231,Лист2!A:E,4,0)</f>
        <v>2.5</v>
      </c>
      <c r="G1231">
        <f t="shared" si="84"/>
        <v>0</v>
      </c>
      <c r="H1231">
        <f t="shared" si="85"/>
        <v>1404400</v>
      </c>
      <c r="I1231">
        <f t="shared" si="86"/>
        <v>0</v>
      </c>
    </row>
    <row r="1232" spans="1:9">
      <c r="A1232" t="s">
        <v>14</v>
      </c>
      <c r="B1232" t="s">
        <v>18</v>
      </c>
      <c r="C1232">
        <v>22450000</v>
      </c>
      <c r="D1232">
        <v>280593000</v>
      </c>
      <c r="E1232" t="str">
        <f>VLOOKUP(B1232,Лист2!A:E,5,0)</f>
        <v>малые</v>
      </c>
      <c r="F1232">
        <f>VLOOKUP(B1232,Лист2!A:E,4,0)</f>
        <v>2.5</v>
      </c>
      <c r="G1232">
        <f t="shared" ref="G1232:G1271" si="87">C1232-D1232</f>
        <v>-258143000</v>
      </c>
      <c r="H1232">
        <f t="shared" ref="H1232:H1271" si="88">C1232/F1232</f>
        <v>8980000</v>
      </c>
      <c r="I1232">
        <f t="shared" ref="I1232:I1271" si="89">G1232/F1232</f>
        <v>-103257200</v>
      </c>
    </row>
    <row r="1233" spans="1:9">
      <c r="A1233" t="s">
        <v>14</v>
      </c>
      <c r="B1233" t="s">
        <v>18</v>
      </c>
      <c r="C1233">
        <v>425000</v>
      </c>
      <c r="D1233">
        <v>440000</v>
      </c>
      <c r="E1233" t="str">
        <f>VLOOKUP(B1233,Лист2!A:E,5,0)</f>
        <v>малые</v>
      </c>
      <c r="F1233">
        <f>VLOOKUP(B1233,Лист2!A:E,4,0)</f>
        <v>2.5</v>
      </c>
      <c r="G1233">
        <f t="shared" si="87"/>
        <v>-15000</v>
      </c>
      <c r="H1233">
        <f t="shared" si="88"/>
        <v>170000</v>
      </c>
      <c r="I1233">
        <f t="shared" si="89"/>
        <v>-6000</v>
      </c>
    </row>
    <row r="1234" spans="1:9">
      <c r="A1234" t="s">
        <v>14</v>
      </c>
      <c r="B1234" t="s">
        <v>18</v>
      </c>
      <c r="C1234">
        <v>723000</v>
      </c>
      <c r="D1234">
        <v>723000</v>
      </c>
      <c r="E1234" t="str">
        <f>VLOOKUP(B1234,Лист2!A:E,5,0)</f>
        <v>малые</v>
      </c>
      <c r="F1234">
        <f>VLOOKUP(B1234,Лист2!A:E,4,0)</f>
        <v>2.5</v>
      </c>
      <c r="G1234">
        <f t="shared" si="87"/>
        <v>0</v>
      </c>
      <c r="H1234">
        <f t="shared" si="88"/>
        <v>289200</v>
      </c>
      <c r="I1234">
        <f t="shared" si="89"/>
        <v>0</v>
      </c>
    </row>
    <row r="1235" spans="1:9">
      <c r="A1235" t="s">
        <v>14</v>
      </c>
      <c r="B1235" t="s">
        <v>18</v>
      </c>
      <c r="C1235">
        <v>5010000</v>
      </c>
      <c r="D1235">
        <v>4917000</v>
      </c>
      <c r="E1235" t="str">
        <f>VLOOKUP(B1235,Лист2!A:E,5,0)</f>
        <v>малые</v>
      </c>
      <c r="F1235">
        <f>VLOOKUP(B1235,Лист2!A:E,4,0)</f>
        <v>2.5</v>
      </c>
      <c r="G1235">
        <f t="shared" si="87"/>
        <v>93000</v>
      </c>
      <c r="H1235">
        <f t="shared" si="88"/>
        <v>2004000</v>
      </c>
      <c r="I1235">
        <f t="shared" si="89"/>
        <v>37200</v>
      </c>
    </row>
    <row r="1236" spans="1:9">
      <c r="A1236" t="s">
        <v>25</v>
      </c>
      <c r="B1236" t="s">
        <v>18</v>
      </c>
      <c r="C1236">
        <v>82166000</v>
      </c>
      <c r="D1236">
        <v>82857000</v>
      </c>
      <c r="E1236" t="str">
        <f>VLOOKUP(B1236,Лист2!A:E,5,0)</f>
        <v>малые</v>
      </c>
      <c r="F1236">
        <f>VLOOKUP(B1236,Лист2!A:E,4,0)</f>
        <v>2.5</v>
      </c>
      <c r="G1236">
        <f t="shared" si="87"/>
        <v>-691000</v>
      </c>
      <c r="H1236">
        <f t="shared" si="88"/>
        <v>32866400</v>
      </c>
      <c r="I1236">
        <f t="shared" si="89"/>
        <v>-276400</v>
      </c>
    </row>
    <row r="1237" spans="1:9">
      <c r="A1237" t="s">
        <v>14</v>
      </c>
      <c r="B1237" t="s">
        <v>18</v>
      </c>
      <c r="C1237">
        <v>2018000</v>
      </c>
      <c r="D1237">
        <v>1942000</v>
      </c>
      <c r="E1237" t="str">
        <f>VLOOKUP(B1237,Лист2!A:E,5,0)</f>
        <v>малые</v>
      </c>
      <c r="F1237">
        <f>VLOOKUP(B1237,Лист2!A:E,4,0)</f>
        <v>2.5</v>
      </c>
      <c r="G1237">
        <f t="shared" si="87"/>
        <v>76000</v>
      </c>
      <c r="H1237">
        <f t="shared" si="88"/>
        <v>807200</v>
      </c>
      <c r="I1237">
        <f t="shared" si="89"/>
        <v>30400</v>
      </c>
    </row>
    <row r="1238" spans="1:9">
      <c r="A1238" t="s">
        <v>14</v>
      </c>
      <c r="B1238" t="s">
        <v>18</v>
      </c>
      <c r="C1238">
        <v>1072000</v>
      </c>
      <c r="D1238">
        <v>1072000</v>
      </c>
      <c r="E1238" t="str">
        <f>VLOOKUP(B1238,Лист2!A:E,5,0)</f>
        <v>малые</v>
      </c>
      <c r="F1238">
        <f>VLOOKUP(B1238,Лист2!A:E,4,0)</f>
        <v>2.5</v>
      </c>
      <c r="G1238">
        <f t="shared" si="87"/>
        <v>0</v>
      </c>
      <c r="H1238">
        <f t="shared" si="88"/>
        <v>428800</v>
      </c>
      <c r="I1238">
        <f t="shared" si="89"/>
        <v>0</v>
      </c>
    </row>
    <row r="1239" spans="1:9">
      <c r="A1239" t="s">
        <v>14</v>
      </c>
      <c r="B1239" t="s">
        <v>18</v>
      </c>
      <c r="C1239">
        <v>50000</v>
      </c>
      <c r="D1239">
        <v>43000</v>
      </c>
      <c r="E1239" t="str">
        <f>VLOOKUP(B1239,Лист2!A:E,5,0)</f>
        <v>малые</v>
      </c>
      <c r="F1239">
        <f>VLOOKUP(B1239,Лист2!A:E,4,0)</f>
        <v>2.5</v>
      </c>
      <c r="G1239">
        <f t="shared" si="87"/>
        <v>7000</v>
      </c>
      <c r="H1239">
        <f t="shared" si="88"/>
        <v>20000</v>
      </c>
      <c r="I1239">
        <f t="shared" si="89"/>
        <v>2800</v>
      </c>
    </row>
    <row r="1240" spans="1:9">
      <c r="A1240" t="s">
        <v>14</v>
      </c>
      <c r="B1240" t="s">
        <v>18</v>
      </c>
      <c r="C1240">
        <v>11435000</v>
      </c>
      <c r="D1240">
        <v>11255000</v>
      </c>
      <c r="E1240" t="str">
        <f>VLOOKUP(B1240,Лист2!A:E,5,0)</f>
        <v>малые</v>
      </c>
      <c r="F1240">
        <f>VLOOKUP(B1240,Лист2!A:E,4,0)</f>
        <v>2.5</v>
      </c>
      <c r="G1240">
        <f t="shared" si="87"/>
        <v>180000</v>
      </c>
      <c r="H1240">
        <f t="shared" si="88"/>
        <v>4574000</v>
      </c>
      <c r="I1240">
        <f t="shared" si="89"/>
        <v>72000</v>
      </c>
    </row>
    <row r="1241" spans="1:9">
      <c r="A1241" t="s">
        <v>14</v>
      </c>
      <c r="B1241" t="s">
        <v>18</v>
      </c>
      <c r="C1241">
        <v>2310000</v>
      </c>
      <c r="D1241">
        <v>2254000</v>
      </c>
      <c r="E1241" t="str">
        <f>VLOOKUP(B1241,Лист2!A:E,5,0)</f>
        <v>малые</v>
      </c>
      <c r="F1241">
        <f>VLOOKUP(B1241,Лист2!A:E,4,0)</f>
        <v>2.5</v>
      </c>
      <c r="G1241">
        <f t="shared" si="87"/>
        <v>56000</v>
      </c>
      <c r="H1241">
        <f t="shared" si="88"/>
        <v>924000</v>
      </c>
      <c r="I1241">
        <f t="shared" si="89"/>
        <v>22400</v>
      </c>
    </row>
    <row r="1242" spans="1:9">
      <c r="A1242" t="s">
        <v>14</v>
      </c>
      <c r="B1242" t="s">
        <v>18</v>
      </c>
      <c r="C1242">
        <v>1308000</v>
      </c>
      <c r="D1242">
        <v>1312000</v>
      </c>
      <c r="E1242" t="str">
        <f>VLOOKUP(B1242,Лист2!A:E,5,0)</f>
        <v>малые</v>
      </c>
      <c r="F1242">
        <f>VLOOKUP(B1242,Лист2!A:E,4,0)</f>
        <v>2.5</v>
      </c>
      <c r="G1242">
        <f t="shared" si="87"/>
        <v>-4000</v>
      </c>
      <c r="H1242">
        <f t="shared" si="88"/>
        <v>523200</v>
      </c>
      <c r="I1242">
        <f t="shared" si="89"/>
        <v>-1600</v>
      </c>
    </row>
    <row r="1243" spans="1:9">
      <c r="A1243" t="s">
        <v>14</v>
      </c>
      <c r="B1243" t="s">
        <v>18</v>
      </c>
      <c r="C1243">
        <v>2747000</v>
      </c>
      <c r="D1243">
        <v>2703000</v>
      </c>
      <c r="E1243" t="str">
        <f>VLOOKUP(B1243,Лист2!A:E,5,0)</f>
        <v>малые</v>
      </c>
      <c r="F1243">
        <f>VLOOKUP(B1243,Лист2!A:E,4,0)</f>
        <v>2.5</v>
      </c>
      <c r="G1243">
        <f t="shared" si="87"/>
        <v>44000</v>
      </c>
      <c r="H1243">
        <f t="shared" si="88"/>
        <v>1098800</v>
      </c>
      <c r="I1243">
        <f t="shared" si="89"/>
        <v>17600</v>
      </c>
    </row>
    <row r="1244" spans="1:9">
      <c r="A1244" t="s">
        <v>25</v>
      </c>
      <c r="B1244" t="s">
        <v>18</v>
      </c>
      <c r="C1244">
        <v>960000</v>
      </c>
      <c r="D1244">
        <v>960000</v>
      </c>
      <c r="E1244" t="str">
        <f>VLOOKUP(B1244,Лист2!A:E,5,0)</f>
        <v>малые</v>
      </c>
      <c r="F1244">
        <f>VLOOKUP(B1244,Лист2!A:E,4,0)</f>
        <v>2.5</v>
      </c>
      <c r="G1244">
        <f t="shared" si="87"/>
        <v>0</v>
      </c>
      <c r="H1244">
        <f t="shared" si="88"/>
        <v>384000</v>
      </c>
      <c r="I1244">
        <f t="shared" si="89"/>
        <v>0</v>
      </c>
    </row>
    <row r="1245" spans="1:9">
      <c r="A1245" t="s">
        <v>25</v>
      </c>
      <c r="B1245" t="s">
        <v>18</v>
      </c>
      <c r="C1245">
        <v>1125000</v>
      </c>
      <c r="D1245">
        <v>1270000</v>
      </c>
      <c r="E1245" t="str">
        <f>VLOOKUP(B1245,Лист2!A:E,5,0)</f>
        <v>малые</v>
      </c>
      <c r="F1245">
        <f>VLOOKUP(B1245,Лист2!A:E,4,0)</f>
        <v>2.5</v>
      </c>
      <c r="G1245">
        <f t="shared" si="87"/>
        <v>-145000</v>
      </c>
      <c r="H1245">
        <f t="shared" si="88"/>
        <v>450000</v>
      </c>
      <c r="I1245">
        <f t="shared" si="89"/>
        <v>-58000</v>
      </c>
    </row>
    <row r="1246" spans="1:9">
      <c r="A1246" t="s">
        <v>14</v>
      </c>
      <c r="B1246" t="s">
        <v>18</v>
      </c>
      <c r="C1246">
        <v>1615000</v>
      </c>
      <c r="D1246">
        <v>2240000</v>
      </c>
      <c r="E1246" t="str">
        <f>VLOOKUP(B1246,Лист2!A:E,5,0)</f>
        <v>малые</v>
      </c>
      <c r="F1246">
        <f>VLOOKUP(B1246,Лист2!A:E,4,0)</f>
        <v>2.5</v>
      </c>
      <c r="G1246">
        <f t="shared" si="87"/>
        <v>-625000</v>
      </c>
      <c r="H1246">
        <f t="shared" si="88"/>
        <v>646000</v>
      </c>
      <c r="I1246">
        <f t="shared" si="89"/>
        <v>-250000</v>
      </c>
    </row>
    <row r="1247" spans="1:9">
      <c r="A1247" t="s">
        <v>14</v>
      </c>
      <c r="B1247" t="s">
        <v>18</v>
      </c>
      <c r="C1247">
        <v>1417000</v>
      </c>
      <c r="D1247">
        <v>1613000</v>
      </c>
      <c r="E1247" t="str">
        <f>VLOOKUP(B1247,Лист2!A:E,5,0)</f>
        <v>малые</v>
      </c>
      <c r="F1247">
        <f>VLOOKUP(B1247,Лист2!A:E,4,0)</f>
        <v>2.5</v>
      </c>
      <c r="G1247">
        <f t="shared" si="87"/>
        <v>-196000</v>
      </c>
      <c r="H1247">
        <f t="shared" si="88"/>
        <v>566800</v>
      </c>
      <c r="I1247">
        <f t="shared" si="89"/>
        <v>-78400</v>
      </c>
    </row>
    <row r="1248" spans="1:9">
      <c r="A1248" t="s">
        <v>14</v>
      </c>
      <c r="B1248" t="s">
        <v>18</v>
      </c>
      <c r="C1248">
        <v>10083000</v>
      </c>
      <c r="D1248">
        <v>8877000</v>
      </c>
      <c r="E1248" t="str">
        <f>VLOOKUP(B1248,Лист2!A:E,5,0)</f>
        <v>малые</v>
      </c>
      <c r="F1248">
        <f>VLOOKUP(B1248,Лист2!A:E,4,0)</f>
        <v>2.5</v>
      </c>
      <c r="G1248">
        <f t="shared" si="87"/>
        <v>1206000</v>
      </c>
      <c r="H1248">
        <f t="shared" si="88"/>
        <v>4033200</v>
      </c>
      <c r="I1248">
        <f t="shared" si="89"/>
        <v>482400</v>
      </c>
    </row>
    <row r="1249" spans="1:9">
      <c r="A1249" t="s">
        <v>25</v>
      </c>
      <c r="B1249" t="s">
        <v>18</v>
      </c>
      <c r="C1249">
        <v>114000</v>
      </c>
      <c r="D1249">
        <v>115000</v>
      </c>
      <c r="E1249" t="str">
        <f>VLOOKUP(B1249,Лист2!A:E,5,0)</f>
        <v>малые</v>
      </c>
      <c r="F1249">
        <f>VLOOKUP(B1249,Лист2!A:E,4,0)</f>
        <v>2.5</v>
      </c>
      <c r="G1249">
        <f t="shared" si="87"/>
        <v>-1000</v>
      </c>
      <c r="H1249">
        <f t="shared" si="88"/>
        <v>45600</v>
      </c>
      <c r="I1249">
        <f t="shared" si="89"/>
        <v>-400</v>
      </c>
    </row>
    <row r="1250" spans="1:9">
      <c r="A1250" t="s">
        <v>14</v>
      </c>
      <c r="B1250" t="s">
        <v>18</v>
      </c>
      <c r="C1250">
        <v>3106000</v>
      </c>
      <c r="D1250">
        <v>2920000</v>
      </c>
      <c r="E1250" t="str">
        <f>VLOOKUP(B1250,Лист2!A:E,5,0)</f>
        <v>малые</v>
      </c>
      <c r="F1250">
        <f>VLOOKUP(B1250,Лист2!A:E,4,0)</f>
        <v>2.5</v>
      </c>
      <c r="G1250">
        <f t="shared" si="87"/>
        <v>186000</v>
      </c>
      <c r="H1250">
        <f t="shared" si="88"/>
        <v>1242400</v>
      </c>
      <c r="I1250">
        <f t="shared" si="89"/>
        <v>74400</v>
      </c>
    </row>
    <row r="1251" spans="1:9">
      <c r="A1251" t="s">
        <v>14</v>
      </c>
      <c r="B1251" t="s">
        <v>18</v>
      </c>
      <c r="C1251">
        <v>4798000</v>
      </c>
      <c r="D1251">
        <v>4516000</v>
      </c>
      <c r="E1251" t="str">
        <f>VLOOKUP(B1251,Лист2!A:E,5,0)</f>
        <v>малые</v>
      </c>
      <c r="F1251">
        <f>VLOOKUP(B1251,Лист2!A:E,4,0)</f>
        <v>2.5</v>
      </c>
      <c r="G1251">
        <f t="shared" si="87"/>
        <v>282000</v>
      </c>
      <c r="H1251">
        <f t="shared" si="88"/>
        <v>1919200</v>
      </c>
      <c r="I1251">
        <f t="shared" si="89"/>
        <v>112800</v>
      </c>
    </row>
    <row r="1252" spans="1:9">
      <c r="A1252" t="s">
        <v>25</v>
      </c>
      <c r="B1252" t="s">
        <v>18</v>
      </c>
      <c r="C1252">
        <v>2212000</v>
      </c>
      <c r="D1252">
        <v>2043000</v>
      </c>
      <c r="E1252" t="str">
        <f>VLOOKUP(B1252,Лист2!A:E,5,0)</f>
        <v>малые</v>
      </c>
      <c r="F1252">
        <f>VLOOKUP(B1252,Лист2!A:E,4,0)</f>
        <v>2.5</v>
      </c>
      <c r="G1252">
        <f t="shared" si="87"/>
        <v>169000</v>
      </c>
      <c r="H1252">
        <f t="shared" si="88"/>
        <v>884800</v>
      </c>
      <c r="I1252">
        <f t="shared" si="89"/>
        <v>67600</v>
      </c>
    </row>
    <row r="1253" spans="1:9">
      <c r="A1253" t="s">
        <v>25</v>
      </c>
      <c r="B1253" t="s">
        <v>18</v>
      </c>
      <c r="C1253">
        <v>1998000</v>
      </c>
      <c r="D1253">
        <v>2067000</v>
      </c>
      <c r="E1253" t="str">
        <f>VLOOKUP(B1253,Лист2!A:E,5,0)</f>
        <v>малые</v>
      </c>
      <c r="F1253">
        <f>VLOOKUP(B1253,Лист2!A:E,4,0)</f>
        <v>2.5</v>
      </c>
      <c r="G1253">
        <f t="shared" si="87"/>
        <v>-69000</v>
      </c>
      <c r="H1253">
        <f t="shared" si="88"/>
        <v>799200</v>
      </c>
      <c r="I1253">
        <f t="shared" si="89"/>
        <v>-27600</v>
      </c>
    </row>
    <row r="1254" spans="1:9">
      <c r="A1254" t="s">
        <v>14</v>
      </c>
      <c r="B1254" t="s">
        <v>18</v>
      </c>
      <c r="C1254">
        <v>356000</v>
      </c>
      <c r="D1254">
        <v>194000</v>
      </c>
      <c r="E1254" t="str">
        <f>VLOOKUP(B1254,Лист2!A:E,5,0)</f>
        <v>малые</v>
      </c>
      <c r="F1254">
        <f>VLOOKUP(B1254,Лист2!A:E,4,0)</f>
        <v>2.5</v>
      </c>
      <c r="G1254">
        <f t="shared" si="87"/>
        <v>162000</v>
      </c>
      <c r="H1254">
        <f t="shared" si="88"/>
        <v>142400</v>
      </c>
      <c r="I1254">
        <f t="shared" si="89"/>
        <v>64800</v>
      </c>
    </row>
    <row r="1255" spans="1:9">
      <c r="A1255" t="s">
        <v>14</v>
      </c>
      <c r="B1255" t="s">
        <v>18</v>
      </c>
      <c r="C1255">
        <v>27921000</v>
      </c>
      <c r="D1255">
        <v>38075000</v>
      </c>
      <c r="E1255" t="str">
        <f>VLOOKUP(B1255,Лист2!A:E,5,0)</f>
        <v>малые</v>
      </c>
      <c r="F1255">
        <f>VLOOKUP(B1255,Лист2!A:E,4,0)</f>
        <v>2.5</v>
      </c>
      <c r="G1255">
        <f t="shared" si="87"/>
        <v>-10154000</v>
      </c>
      <c r="H1255">
        <f t="shared" si="88"/>
        <v>11168400</v>
      </c>
      <c r="I1255">
        <f t="shared" si="89"/>
        <v>-4061600</v>
      </c>
    </row>
    <row r="1256" spans="1:9">
      <c r="A1256" t="s">
        <v>14</v>
      </c>
      <c r="B1256" t="s">
        <v>18</v>
      </c>
      <c r="C1256">
        <v>1202000</v>
      </c>
      <c r="D1256">
        <v>1121000</v>
      </c>
      <c r="E1256" t="str">
        <f>VLOOKUP(B1256,Лист2!A:E,5,0)</f>
        <v>малые</v>
      </c>
      <c r="F1256">
        <f>VLOOKUP(B1256,Лист2!A:E,4,0)</f>
        <v>2.5</v>
      </c>
      <c r="G1256">
        <f t="shared" si="87"/>
        <v>81000</v>
      </c>
      <c r="H1256">
        <f t="shared" si="88"/>
        <v>480800</v>
      </c>
      <c r="I1256">
        <f t="shared" si="89"/>
        <v>32400</v>
      </c>
    </row>
    <row r="1257" spans="1:9">
      <c r="A1257" t="s">
        <v>14</v>
      </c>
      <c r="B1257" t="s">
        <v>18</v>
      </c>
      <c r="C1257">
        <v>2815000</v>
      </c>
      <c r="D1257">
        <v>2964000</v>
      </c>
      <c r="E1257" t="str">
        <f>VLOOKUP(B1257,Лист2!A:E,5,0)</f>
        <v>малые</v>
      </c>
      <c r="F1257">
        <f>VLOOKUP(B1257,Лист2!A:E,4,0)</f>
        <v>2.5</v>
      </c>
      <c r="G1257">
        <f t="shared" si="87"/>
        <v>-149000</v>
      </c>
      <c r="H1257">
        <f t="shared" si="88"/>
        <v>1126000</v>
      </c>
      <c r="I1257">
        <f t="shared" si="89"/>
        <v>-59600</v>
      </c>
    </row>
    <row r="1258" spans="1:9">
      <c r="A1258" t="s">
        <v>14</v>
      </c>
      <c r="B1258" t="s">
        <v>18</v>
      </c>
      <c r="C1258">
        <v>12742000</v>
      </c>
      <c r="D1258">
        <v>9784000</v>
      </c>
      <c r="E1258" t="str">
        <f>VLOOKUP(B1258,Лист2!A:E,5,0)</f>
        <v>малые</v>
      </c>
      <c r="F1258">
        <f>VLOOKUP(B1258,Лист2!A:E,4,0)</f>
        <v>2.5</v>
      </c>
      <c r="G1258">
        <f t="shared" si="87"/>
        <v>2958000</v>
      </c>
      <c r="H1258">
        <f t="shared" si="88"/>
        <v>5096800</v>
      </c>
      <c r="I1258">
        <f t="shared" si="89"/>
        <v>1183200</v>
      </c>
    </row>
    <row r="1259" spans="1:9">
      <c r="A1259" t="s">
        <v>14</v>
      </c>
      <c r="B1259" t="s">
        <v>18</v>
      </c>
      <c r="C1259">
        <v>94800000</v>
      </c>
      <c r="D1259">
        <v>115501000</v>
      </c>
      <c r="E1259" t="str">
        <f>VLOOKUP(B1259,Лист2!A:E,5,0)</f>
        <v>малые</v>
      </c>
      <c r="F1259">
        <f>VLOOKUP(B1259,Лист2!A:E,4,0)</f>
        <v>2.5</v>
      </c>
      <c r="G1259">
        <f t="shared" si="87"/>
        <v>-20701000</v>
      </c>
      <c r="H1259">
        <f t="shared" si="88"/>
        <v>37920000</v>
      </c>
      <c r="I1259">
        <f t="shared" si="89"/>
        <v>-8280400</v>
      </c>
    </row>
    <row r="1260" spans="1:9">
      <c r="A1260" t="s">
        <v>14</v>
      </c>
      <c r="B1260" t="s">
        <v>18</v>
      </c>
      <c r="C1260">
        <v>8302000</v>
      </c>
      <c r="D1260">
        <v>6494000</v>
      </c>
      <c r="E1260" t="str">
        <f>VLOOKUP(B1260,Лист2!A:E,5,0)</f>
        <v>малые</v>
      </c>
      <c r="F1260">
        <f>VLOOKUP(B1260,Лист2!A:E,4,0)</f>
        <v>2.5</v>
      </c>
      <c r="G1260">
        <f t="shared" si="87"/>
        <v>1808000</v>
      </c>
      <c r="H1260">
        <f t="shared" si="88"/>
        <v>3320800</v>
      </c>
      <c r="I1260">
        <f t="shared" si="89"/>
        <v>723200</v>
      </c>
    </row>
    <row r="1261" spans="1:9">
      <c r="A1261" t="s">
        <v>14</v>
      </c>
      <c r="B1261" t="s">
        <v>18</v>
      </c>
      <c r="C1261">
        <v>242000</v>
      </c>
      <c r="D1261">
        <v>4000</v>
      </c>
      <c r="E1261" t="str">
        <f>VLOOKUP(B1261,Лист2!A:E,5,0)</f>
        <v>малые</v>
      </c>
      <c r="F1261">
        <f>VLOOKUP(B1261,Лист2!A:E,4,0)</f>
        <v>2.5</v>
      </c>
      <c r="G1261">
        <f t="shared" si="87"/>
        <v>238000</v>
      </c>
      <c r="H1261">
        <f t="shared" si="88"/>
        <v>96800</v>
      </c>
      <c r="I1261">
        <f t="shared" si="89"/>
        <v>95200</v>
      </c>
    </row>
    <row r="1262" spans="1:9">
      <c r="A1262" t="s">
        <v>14</v>
      </c>
      <c r="B1262" t="s">
        <v>18</v>
      </c>
      <c r="C1262">
        <v>646000</v>
      </c>
      <c r="D1262">
        <v>649000</v>
      </c>
      <c r="E1262" t="str">
        <f>VLOOKUP(B1262,Лист2!A:E,5,0)</f>
        <v>малые</v>
      </c>
      <c r="F1262">
        <f>VLOOKUP(B1262,Лист2!A:E,4,0)</f>
        <v>2.5</v>
      </c>
      <c r="G1262">
        <f t="shared" si="87"/>
        <v>-3000</v>
      </c>
      <c r="H1262">
        <f t="shared" si="88"/>
        <v>258400</v>
      </c>
      <c r="I1262">
        <f t="shared" si="89"/>
        <v>-1200</v>
      </c>
    </row>
    <row r="1263" spans="1:9">
      <c r="A1263" t="s">
        <v>14</v>
      </c>
      <c r="B1263" t="s">
        <v>18</v>
      </c>
      <c r="C1263">
        <v>828000</v>
      </c>
      <c r="D1263">
        <v>3001000</v>
      </c>
      <c r="E1263" t="str">
        <f>VLOOKUP(B1263,Лист2!A:E,5,0)</f>
        <v>малые</v>
      </c>
      <c r="F1263">
        <f>VLOOKUP(B1263,Лист2!A:E,4,0)</f>
        <v>2.5</v>
      </c>
      <c r="G1263">
        <f t="shared" si="87"/>
        <v>-2173000</v>
      </c>
      <c r="H1263">
        <f t="shared" si="88"/>
        <v>331200</v>
      </c>
      <c r="I1263">
        <f t="shared" si="89"/>
        <v>-869200</v>
      </c>
    </row>
    <row r="1264" spans="1:9">
      <c r="A1264" t="s">
        <v>14</v>
      </c>
      <c r="B1264" t="s">
        <v>18</v>
      </c>
      <c r="C1264">
        <v>10904000</v>
      </c>
      <c r="D1264">
        <v>11361000</v>
      </c>
      <c r="E1264" t="str">
        <f>VLOOKUP(B1264,Лист2!A:E,5,0)</f>
        <v>малые</v>
      </c>
      <c r="F1264">
        <f>VLOOKUP(B1264,Лист2!A:E,4,0)</f>
        <v>2.5</v>
      </c>
      <c r="G1264">
        <f t="shared" si="87"/>
        <v>-457000</v>
      </c>
      <c r="H1264">
        <f t="shared" si="88"/>
        <v>4361600</v>
      </c>
      <c r="I1264">
        <f t="shared" si="89"/>
        <v>-182800</v>
      </c>
    </row>
    <row r="1265" spans="1:9">
      <c r="A1265" t="s">
        <v>25</v>
      </c>
      <c r="B1265" t="s">
        <v>18</v>
      </c>
      <c r="C1265">
        <v>2984000</v>
      </c>
      <c r="D1265">
        <v>2823000</v>
      </c>
      <c r="E1265" t="str">
        <f>VLOOKUP(B1265,Лист2!A:E,5,0)</f>
        <v>малые</v>
      </c>
      <c r="F1265">
        <f>VLOOKUP(B1265,Лист2!A:E,4,0)</f>
        <v>2.5</v>
      </c>
      <c r="G1265">
        <f t="shared" si="87"/>
        <v>161000</v>
      </c>
      <c r="H1265">
        <f t="shared" si="88"/>
        <v>1193600</v>
      </c>
      <c r="I1265">
        <f t="shared" si="89"/>
        <v>64400</v>
      </c>
    </row>
    <row r="1266" spans="1:9">
      <c r="A1266" t="s">
        <v>14</v>
      </c>
      <c r="B1266" t="s">
        <v>18</v>
      </c>
      <c r="C1266">
        <v>3435000</v>
      </c>
      <c r="D1266">
        <v>1157000</v>
      </c>
      <c r="E1266" t="str">
        <f>VLOOKUP(B1266,Лист2!A:E,5,0)</f>
        <v>малые</v>
      </c>
      <c r="F1266">
        <f>VLOOKUP(B1266,Лист2!A:E,4,0)</f>
        <v>2.5</v>
      </c>
      <c r="G1266">
        <f t="shared" si="87"/>
        <v>2278000</v>
      </c>
      <c r="H1266">
        <f t="shared" si="88"/>
        <v>1374000</v>
      </c>
      <c r="I1266">
        <f t="shared" si="89"/>
        <v>911200</v>
      </c>
    </row>
    <row r="1267" spans="1:9">
      <c r="A1267" t="s">
        <v>14</v>
      </c>
      <c r="B1267" t="s">
        <v>18</v>
      </c>
      <c r="C1267">
        <v>17463000</v>
      </c>
      <c r="D1267">
        <v>14738000</v>
      </c>
      <c r="E1267" t="str">
        <f>VLOOKUP(B1267,Лист2!A:E,5,0)</f>
        <v>малые</v>
      </c>
      <c r="F1267">
        <f>VLOOKUP(B1267,Лист2!A:E,4,0)</f>
        <v>2.5</v>
      </c>
      <c r="G1267">
        <f t="shared" si="87"/>
        <v>2725000</v>
      </c>
      <c r="H1267">
        <f t="shared" si="88"/>
        <v>6985200</v>
      </c>
      <c r="I1267">
        <f t="shared" si="89"/>
        <v>1090000</v>
      </c>
    </row>
    <row r="1268" spans="1:9">
      <c r="A1268" t="s">
        <v>14</v>
      </c>
      <c r="B1268" t="s">
        <v>18</v>
      </c>
      <c r="C1268">
        <v>38543000</v>
      </c>
      <c r="D1268">
        <v>45893000</v>
      </c>
      <c r="E1268" t="str">
        <f>VLOOKUP(B1268,Лист2!A:E,5,0)</f>
        <v>малые</v>
      </c>
      <c r="F1268">
        <f>VLOOKUP(B1268,Лист2!A:E,4,0)</f>
        <v>2.5</v>
      </c>
      <c r="G1268">
        <f t="shared" si="87"/>
        <v>-7350000</v>
      </c>
      <c r="H1268">
        <f t="shared" si="88"/>
        <v>15417200</v>
      </c>
      <c r="I1268">
        <f t="shared" si="89"/>
        <v>-2940000</v>
      </c>
    </row>
    <row r="1269" spans="1:9">
      <c r="A1269" t="s">
        <v>25</v>
      </c>
      <c r="B1269" t="s">
        <v>18</v>
      </c>
      <c r="C1269">
        <v>3243000</v>
      </c>
      <c r="D1269">
        <v>3145000</v>
      </c>
      <c r="E1269" t="str">
        <f>VLOOKUP(B1269,Лист2!A:E,5,0)</f>
        <v>малые</v>
      </c>
      <c r="F1269">
        <f>VLOOKUP(B1269,Лист2!A:E,4,0)</f>
        <v>2.5</v>
      </c>
      <c r="G1269">
        <f t="shared" si="87"/>
        <v>98000</v>
      </c>
      <c r="H1269">
        <f t="shared" si="88"/>
        <v>1297200</v>
      </c>
      <c r="I1269">
        <f t="shared" si="89"/>
        <v>39200</v>
      </c>
    </row>
    <row r="1270" spans="1:9">
      <c r="A1270" t="s">
        <v>14</v>
      </c>
      <c r="B1270" t="s">
        <v>18</v>
      </c>
      <c r="C1270">
        <v>8936000</v>
      </c>
      <c r="D1270">
        <v>9617000</v>
      </c>
      <c r="E1270" t="str">
        <f>VLOOKUP(B1270,Лист2!A:E,5,0)</f>
        <v>малые</v>
      </c>
      <c r="F1270">
        <f>VLOOKUP(B1270,Лист2!A:E,4,0)</f>
        <v>2.5</v>
      </c>
      <c r="G1270">
        <f t="shared" si="87"/>
        <v>-681000</v>
      </c>
      <c r="H1270">
        <f t="shared" si="88"/>
        <v>3574400</v>
      </c>
      <c r="I1270">
        <f t="shared" si="89"/>
        <v>-272400</v>
      </c>
    </row>
    <row r="1271" spans="1:9">
      <c r="A1271" t="s">
        <v>14</v>
      </c>
      <c r="B1271" t="s">
        <v>18</v>
      </c>
      <c r="C1271">
        <v>214000</v>
      </c>
      <c r="D1271">
        <v>297000</v>
      </c>
      <c r="E1271" t="str">
        <f>VLOOKUP(B1271,Лист2!A:E,5,0)</f>
        <v>малые</v>
      </c>
      <c r="F1271">
        <f>VLOOKUP(B1271,Лист2!A:E,4,0)</f>
        <v>2.5</v>
      </c>
      <c r="G1271">
        <f t="shared" si="87"/>
        <v>-83000</v>
      </c>
      <c r="H1271">
        <f t="shared" si="88"/>
        <v>85600</v>
      </c>
      <c r="I1271">
        <f t="shared" si="89"/>
        <v>-33200</v>
      </c>
    </row>
    <row r="1272" spans="1:9">
      <c r="A1272" t="s">
        <v>14</v>
      </c>
      <c r="B1272" t="s">
        <v>18</v>
      </c>
      <c r="C1272">
        <v>1281000</v>
      </c>
      <c r="D1272">
        <v>1287000</v>
      </c>
      <c r="E1272" t="str">
        <f>VLOOKUP(B1272,Лист2!A:E,5,0)</f>
        <v>малые</v>
      </c>
      <c r="F1272">
        <f>VLOOKUP(B1272,Лист2!A:E,4,0)</f>
        <v>2.5</v>
      </c>
      <c r="G1272">
        <f t="shared" ref="G1272:G1310" si="90">C1272-D1272</f>
        <v>-6000</v>
      </c>
      <c r="H1272">
        <f t="shared" ref="H1272:H1310" si="91">C1272/F1272</f>
        <v>512400</v>
      </c>
      <c r="I1272">
        <f t="shared" ref="I1272:I1310" si="92">G1272/F1272</f>
        <v>-2400</v>
      </c>
    </row>
    <row r="1273" spans="1:9">
      <c r="A1273" t="s">
        <v>14</v>
      </c>
      <c r="B1273" t="s">
        <v>18</v>
      </c>
      <c r="C1273">
        <v>24730000</v>
      </c>
      <c r="D1273">
        <v>24779000</v>
      </c>
      <c r="E1273" t="str">
        <f>VLOOKUP(B1273,Лист2!A:E,5,0)</f>
        <v>малые</v>
      </c>
      <c r="F1273">
        <f>VLOOKUP(B1273,Лист2!A:E,4,0)</f>
        <v>2.5</v>
      </c>
      <c r="G1273">
        <f t="shared" si="90"/>
        <v>-49000</v>
      </c>
      <c r="H1273">
        <f t="shared" si="91"/>
        <v>9892000</v>
      </c>
      <c r="I1273">
        <f t="shared" si="92"/>
        <v>-19600</v>
      </c>
    </row>
    <row r="1274" spans="1:9">
      <c r="A1274" t="s">
        <v>14</v>
      </c>
      <c r="B1274" t="s">
        <v>18</v>
      </c>
      <c r="C1274">
        <v>3463000</v>
      </c>
      <c r="D1274">
        <v>5580000</v>
      </c>
      <c r="E1274" t="str">
        <f>VLOOKUP(B1274,Лист2!A:E,5,0)</f>
        <v>малые</v>
      </c>
      <c r="F1274">
        <f>VLOOKUP(B1274,Лист2!A:E,4,0)</f>
        <v>2.5</v>
      </c>
      <c r="G1274">
        <f t="shared" si="90"/>
        <v>-2117000</v>
      </c>
      <c r="H1274">
        <f t="shared" si="91"/>
        <v>1385200</v>
      </c>
      <c r="I1274">
        <f t="shared" si="92"/>
        <v>-846800</v>
      </c>
    </row>
    <row r="1275" spans="1:9">
      <c r="A1275" t="s">
        <v>14</v>
      </c>
      <c r="B1275" t="s">
        <v>18</v>
      </c>
      <c r="C1275">
        <v>5842000</v>
      </c>
      <c r="D1275">
        <v>5293000</v>
      </c>
      <c r="E1275" t="str">
        <f>VLOOKUP(B1275,Лист2!A:E,5,0)</f>
        <v>малые</v>
      </c>
      <c r="F1275">
        <f>VLOOKUP(B1275,Лист2!A:E,4,0)</f>
        <v>2.5</v>
      </c>
      <c r="G1275">
        <f t="shared" si="90"/>
        <v>549000</v>
      </c>
      <c r="H1275">
        <f t="shared" si="91"/>
        <v>2336800</v>
      </c>
      <c r="I1275">
        <f t="shared" si="92"/>
        <v>219600</v>
      </c>
    </row>
    <row r="1276" spans="1:9">
      <c r="A1276" t="s">
        <v>25</v>
      </c>
      <c r="B1276" t="s">
        <v>77</v>
      </c>
      <c r="C1276">
        <v>7904000</v>
      </c>
      <c r="D1276">
        <v>8423000</v>
      </c>
      <c r="E1276" t="str">
        <f>VLOOKUP(B1276,Лист2!A:E,5,0)</f>
        <v>малые</v>
      </c>
      <c r="F1276">
        <f>VLOOKUP(B1276,Лист2!A:E,4,0)</f>
        <v>8</v>
      </c>
      <c r="G1276">
        <f t="shared" si="90"/>
        <v>-519000</v>
      </c>
      <c r="H1276">
        <f t="shared" si="91"/>
        <v>988000</v>
      </c>
      <c r="I1276">
        <f t="shared" si="92"/>
        <v>-64875</v>
      </c>
    </row>
    <row r="1277" spans="1:9">
      <c r="A1277" t="s">
        <v>14</v>
      </c>
      <c r="B1277" t="s">
        <v>18</v>
      </c>
      <c r="C1277">
        <v>20000</v>
      </c>
      <c r="D1277">
        <v>42000</v>
      </c>
      <c r="E1277" t="str">
        <f>VLOOKUP(B1277,Лист2!A:E,5,0)</f>
        <v>малые</v>
      </c>
      <c r="F1277">
        <f>VLOOKUP(B1277,Лист2!A:E,4,0)</f>
        <v>2.5</v>
      </c>
      <c r="G1277">
        <f t="shared" si="90"/>
        <v>-22000</v>
      </c>
      <c r="H1277">
        <f t="shared" si="91"/>
        <v>8000</v>
      </c>
      <c r="I1277">
        <f t="shared" si="92"/>
        <v>-8800</v>
      </c>
    </row>
    <row r="1278" spans="1:9">
      <c r="A1278" t="s">
        <v>14</v>
      </c>
      <c r="B1278" t="s">
        <v>18</v>
      </c>
      <c r="C1278">
        <v>2857000</v>
      </c>
      <c r="D1278">
        <v>1508000</v>
      </c>
      <c r="E1278" t="str">
        <f>VLOOKUP(B1278,Лист2!A:E,5,0)</f>
        <v>малые</v>
      </c>
      <c r="F1278">
        <f>VLOOKUP(B1278,Лист2!A:E,4,0)</f>
        <v>2.5</v>
      </c>
      <c r="G1278">
        <f t="shared" si="90"/>
        <v>1349000</v>
      </c>
      <c r="H1278">
        <f t="shared" si="91"/>
        <v>1142800</v>
      </c>
      <c r="I1278">
        <f t="shared" si="92"/>
        <v>539600</v>
      </c>
    </row>
    <row r="1279" spans="1:9">
      <c r="A1279" t="s">
        <v>14</v>
      </c>
      <c r="B1279" t="s">
        <v>18</v>
      </c>
      <c r="C1279">
        <v>3098000</v>
      </c>
      <c r="D1279">
        <v>2897000</v>
      </c>
      <c r="E1279" t="str">
        <f>VLOOKUP(B1279,Лист2!A:E,5,0)</f>
        <v>малые</v>
      </c>
      <c r="F1279">
        <f>VLOOKUP(B1279,Лист2!A:E,4,0)</f>
        <v>2.5</v>
      </c>
      <c r="G1279">
        <f t="shared" si="90"/>
        <v>201000</v>
      </c>
      <c r="H1279">
        <f t="shared" si="91"/>
        <v>1239200</v>
      </c>
      <c r="I1279">
        <f t="shared" si="92"/>
        <v>80400</v>
      </c>
    </row>
    <row r="1280" spans="1:9">
      <c r="A1280" t="s">
        <v>14</v>
      </c>
      <c r="B1280" t="s">
        <v>18</v>
      </c>
      <c r="C1280">
        <v>4015000</v>
      </c>
      <c r="D1280">
        <v>2830000</v>
      </c>
      <c r="E1280" t="str">
        <f>VLOOKUP(B1280,Лист2!A:E,5,0)</f>
        <v>малые</v>
      </c>
      <c r="F1280">
        <f>VLOOKUP(B1280,Лист2!A:E,4,0)</f>
        <v>2.5</v>
      </c>
      <c r="G1280">
        <f t="shared" si="90"/>
        <v>1185000</v>
      </c>
      <c r="H1280">
        <f t="shared" si="91"/>
        <v>1606000</v>
      </c>
      <c r="I1280">
        <f t="shared" si="92"/>
        <v>474000</v>
      </c>
    </row>
    <row r="1281" spans="1:9">
      <c r="A1281" t="s">
        <v>14</v>
      </c>
      <c r="B1281" t="s">
        <v>77</v>
      </c>
      <c r="C1281">
        <v>4497000</v>
      </c>
      <c r="D1281">
        <v>4277000</v>
      </c>
      <c r="E1281" t="str">
        <f>VLOOKUP(B1281,Лист2!A:E,5,0)</f>
        <v>малые</v>
      </c>
      <c r="F1281">
        <f>VLOOKUP(B1281,Лист2!A:E,4,0)</f>
        <v>8</v>
      </c>
      <c r="G1281">
        <f t="shared" si="90"/>
        <v>220000</v>
      </c>
      <c r="H1281">
        <f t="shared" si="91"/>
        <v>562125</v>
      </c>
      <c r="I1281">
        <f t="shared" si="92"/>
        <v>27500</v>
      </c>
    </row>
    <row r="1282" spans="1:9">
      <c r="A1282" t="s">
        <v>14</v>
      </c>
      <c r="B1282" t="s">
        <v>77</v>
      </c>
      <c r="C1282">
        <v>11768000</v>
      </c>
      <c r="D1282">
        <v>14028000</v>
      </c>
      <c r="E1282" t="str">
        <f>VLOOKUP(B1282,Лист2!A:E,5,0)</f>
        <v>малые</v>
      </c>
      <c r="F1282">
        <f>VLOOKUP(B1282,Лист2!A:E,4,0)</f>
        <v>8</v>
      </c>
      <c r="G1282">
        <f t="shared" si="90"/>
        <v>-2260000</v>
      </c>
      <c r="H1282">
        <f t="shared" si="91"/>
        <v>1471000</v>
      </c>
      <c r="I1282">
        <f t="shared" si="92"/>
        <v>-282500</v>
      </c>
    </row>
    <row r="1283" spans="1:9">
      <c r="A1283" t="s">
        <v>14</v>
      </c>
      <c r="B1283" t="s">
        <v>18</v>
      </c>
      <c r="C1283">
        <v>28906000</v>
      </c>
      <c r="D1283">
        <v>25265000</v>
      </c>
      <c r="E1283" t="str">
        <f>VLOOKUP(B1283,Лист2!A:E,5,0)</f>
        <v>малые</v>
      </c>
      <c r="F1283">
        <f>VLOOKUP(B1283,Лист2!A:E,4,0)</f>
        <v>2.5</v>
      </c>
      <c r="G1283">
        <f t="shared" si="90"/>
        <v>3641000</v>
      </c>
      <c r="H1283">
        <f t="shared" si="91"/>
        <v>11562400</v>
      </c>
      <c r="I1283">
        <f t="shared" si="92"/>
        <v>1456400</v>
      </c>
    </row>
    <row r="1284" spans="1:9">
      <c r="A1284" t="s">
        <v>14</v>
      </c>
      <c r="B1284" t="s">
        <v>18</v>
      </c>
      <c r="C1284">
        <v>1381000</v>
      </c>
      <c r="D1284">
        <v>1383000</v>
      </c>
      <c r="E1284" t="str">
        <f>VLOOKUP(B1284,Лист2!A:E,5,0)</f>
        <v>малые</v>
      </c>
      <c r="F1284">
        <f>VLOOKUP(B1284,Лист2!A:E,4,0)</f>
        <v>2.5</v>
      </c>
      <c r="G1284">
        <f t="shared" si="90"/>
        <v>-2000</v>
      </c>
      <c r="H1284">
        <f t="shared" si="91"/>
        <v>552400</v>
      </c>
      <c r="I1284">
        <f t="shared" si="92"/>
        <v>-800</v>
      </c>
    </row>
    <row r="1285" spans="1:9">
      <c r="A1285" t="s">
        <v>14</v>
      </c>
      <c r="B1285" t="s">
        <v>18</v>
      </c>
      <c r="C1285">
        <v>50000</v>
      </c>
      <c r="D1285">
        <v>80000</v>
      </c>
      <c r="E1285" t="str">
        <f>VLOOKUP(B1285,Лист2!A:E,5,0)</f>
        <v>малые</v>
      </c>
      <c r="F1285">
        <f>VLOOKUP(B1285,Лист2!A:E,4,0)</f>
        <v>2.5</v>
      </c>
      <c r="G1285">
        <f t="shared" si="90"/>
        <v>-30000</v>
      </c>
      <c r="H1285">
        <f t="shared" si="91"/>
        <v>20000</v>
      </c>
      <c r="I1285">
        <f t="shared" si="92"/>
        <v>-12000</v>
      </c>
    </row>
    <row r="1286" spans="1:9">
      <c r="A1286" t="s">
        <v>14</v>
      </c>
      <c r="B1286" t="s">
        <v>18</v>
      </c>
      <c r="C1286">
        <v>534000</v>
      </c>
      <c r="D1286">
        <v>504000</v>
      </c>
      <c r="E1286" t="str">
        <f>VLOOKUP(B1286,Лист2!A:E,5,0)</f>
        <v>малые</v>
      </c>
      <c r="F1286">
        <f>VLOOKUP(B1286,Лист2!A:E,4,0)</f>
        <v>2.5</v>
      </c>
      <c r="G1286">
        <f t="shared" si="90"/>
        <v>30000</v>
      </c>
      <c r="H1286">
        <f t="shared" si="91"/>
        <v>213600</v>
      </c>
      <c r="I1286">
        <f t="shared" si="92"/>
        <v>12000</v>
      </c>
    </row>
    <row r="1287" spans="1:9">
      <c r="A1287" t="s">
        <v>14</v>
      </c>
      <c r="B1287" t="s">
        <v>18</v>
      </c>
      <c r="C1287">
        <v>2225000</v>
      </c>
      <c r="D1287">
        <v>2099000</v>
      </c>
      <c r="E1287" t="str">
        <f>VLOOKUP(B1287,Лист2!A:E,5,0)</f>
        <v>малые</v>
      </c>
      <c r="F1287">
        <f>VLOOKUP(B1287,Лист2!A:E,4,0)</f>
        <v>2.5</v>
      </c>
      <c r="G1287">
        <f t="shared" si="90"/>
        <v>126000</v>
      </c>
      <c r="H1287">
        <f t="shared" si="91"/>
        <v>890000</v>
      </c>
      <c r="I1287">
        <f t="shared" si="92"/>
        <v>50400</v>
      </c>
    </row>
    <row r="1288" spans="1:9">
      <c r="A1288" t="s">
        <v>14</v>
      </c>
      <c r="B1288" t="s">
        <v>18</v>
      </c>
      <c r="C1288">
        <v>1745000</v>
      </c>
      <c r="D1288">
        <v>1664000</v>
      </c>
      <c r="E1288" t="str">
        <f>VLOOKUP(B1288,Лист2!A:E,5,0)</f>
        <v>малые</v>
      </c>
      <c r="F1288">
        <f>VLOOKUP(B1288,Лист2!A:E,4,0)</f>
        <v>2.5</v>
      </c>
      <c r="G1288">
        <f t="shared" si="90"/>
        <v>81000</v>
      </c>
      <c r="H1288">
        <f t="shared" si="91"/>
        <v>698000</v>
      </c>
      <c r="I1288">
        <f t="shared" si="92"/>
        <v>32400</v>
      </c>
    </row>
    <row r="1289" spans="1:9">
      <c r="A1289" t="s">
        <v>14</v>
      </c>
      <c r="B1289" t="s">
        <v>18</v>
      </c>
      <c r="C1289">
        <v>989000</v>
      </c>
      <c r="D1289">
        <v>559000</v>
      </c>
      <c r="E1289" t="str">
        <f>VLOOKUP(B1289,Лист2!A:E,5,0)</f>
        <v>малые</v>
      </c>
      <c r="F1289">
        <f>VLOOKUP(B1289,Лист2!A:E,4,0)</f>
        <v>2.5</v>
      </c>
      <c r="G1289">
        <f t="shared" si="90"/>
        <v>430000</v>
      </c>
      <c r="H1289">
        <f t="shared" si="91"/>
        <v>395600</v>
      </c>
      <c r="I1289">
        <f t="shared" si="92"/>
        <v>172000</v>
      </c>
    </row>
    <row r="1290" spans="1:9">
      <c r="A1290" t="s">
        <v>14</v>
      </c>
      <c r="B1290" t="s">
        <v>18</v>
      </c>
      <c r="C1290">
        <v>830000</v>
      </c>
      <c r="D1290">
        <v>869000</v>
      </c>
      <c r="E1290" t="str">
        <f>VLOOKUP(B1290,Лист2!A:E,5,0)</f>
        <v>малые</v>
      </c>
      <c r="F1290">
        <f>VLOOKUP(B1290,Лист2!A:E,4,0)</f>
        <v>2.5</v>
      </c>
      <c r="G1290">
        <f t="shared" si="90"/>
        <v>-39000</v>
      </c>
      <c r="H1290">
        <f t="shared" si="91"/>
        <v>332000</v>
      </c>
      <c r="I1290">
        <f t="shared" si="92"/>
        <v>-15600</v>
      </c>
    </row>
    <row r="1291" spans="1:9">
      <c r="A1291" t="s">
        <v>14</v>
      </c>
      <c r="B1291" t="s">
        <v>18</v>
      </c>
      <c r="C1291">
        <v>2930000</v>
      </c>
      <c r="D1291">
        <v>2635000</v>
      </c>
      <c r="E1291" t="str">
        <f>VLOOKUP(B1291,Лист2!A:E,5,0)</f>
        <v>малые</v>
      </c>
      <c r="F1291">
        <f>VLOOKUP(B1291,Лист2!A:E,4,0)</f>
        <v>2.5</v>
      </c>
      <c r="G1291">
        <f t="shared" si="90"/>
        <v>295000</v>
      </c>
      <c r="H1291">
        <f t="shared" si="91"/>
        <v>1172000</v>
      </c>
      <c r="I1291">
        <f t="shared" si="92"/>
        <v>118000</v>
      </c>
    </row>
    <row r="1292" spans="1:9">
      <c r="A1292" t="s">
        <v>14</v>
      </c>
      <c r="B1292" t="s">
        <v>18</v>
      </c>
      <c r="C1292">
        <v>813000</v>
      </c>
      <c r="D1292">
        <v>809000</v>
      </c>
      <c r="E1292" t="str">
        <f>VLOOKUP(B1292,Лист2!A:E,5,0)</f>
        <v>малые</v>
      </c>
      <c r="F1292">
        <f>VLOOKUP(B1292,Лист2!A:E,4,0)</f>
        <v>2.5</v>
      </c>
      <c r="G1292">
        <f t="shared" si="90"/>
        <v>4000</v>
      </c>
      <c r="H1292">
        <f t="shared" si="91"/>
        <v>325200</v>
      </c>
      <c r="I1292">
        <f t="shared" si="92"/>
        <v>1600</v>
      </c>
    </row>
    <row r="1293" spans="1:9">
      <c r="A1293" t="s">
        <v>14</v>
      </c>
      <c r="B1293" t="s">
        <v>18</v>
      </c>
      <c r="C1293">
        <v>1582000</v>
      </c>
      <c r="D1293">
        <v>1535000</v>
      </c>
      <c r="E1293" t="str">
        <f>VLOOKUP(B1293,Лист2!A:E,5,0)</f>
        <v>малые</v>
      </c>
      <c r="F1293">
        <f>VLOOKUP(B1293,Лист2!A:E,4,0)</f>
        <v>2.5</v>
      </c>
      <c r="G1293">
        <f t="shared" si="90"/>
        <v>47000</v>
      </c>
      <c r="H1293">
        <f t="shared" si="91"/>
        <v>632800</v>
      </c>
      <c r="I1293">
        <f t="shared" si="92"/>
        <v>18800</v>
      </c>
    </row>
    <row r="1294" spans="1:9">
      <c r="A1294" t="s">
        <v>14</v>
      </c>
      <c r="B1294" t="s">
        <v>18</v>
      </c>
      <c r="C1294">
        <v>196230000</v>
      </c>
      <c r="D1294">
        <v>172977000</v>
      </c>
      <c r="E1294" t="str">
        <f>VLOOKUP(B1294,Лист2!A:E,5,0)</f>
        <v>малые</v>
      </c>
      <c r="F1294">
        <f>VLOOKUP(B1294,Лист2!A:E,4,0)</f>
        <v>2.5</v>
      </c>
      <c r="G1294">
        <f t="shared" si="90"/>
        <v>23253000</v>
      </c>
      <c r="H1294">
        <f t="shared" si="91"/>
        <v>78492000</v>
      </c>
      <c r="I1294">
        <f t="shared" si="92"/>
        <v>9301200</v>
      </c>
    </row>
    <row r="1295" spans="1:9">
      <c r="A1295" t="s">
        <v>14</v>
      </c>
      <c r="B1295" t="s">
        <v>18</v>
      </c>
      <c r="C1295">
        <v>1234000</v>
      </c>
      <c r="D1295">
        <v>1270000</v>
      </c>
      <c r="E1295" t="str">
        <f>VLOOKUP(B1295,Лист2!A:E,5,0)</f>
        <v>малые</v>
      </c>
      <c r="F1295">
        <f>VLOOKUP(B1295,Лист2!A:E,4,0)</f>
        <v>2.5</v>
      </c>
      <c r="G1295">
        <f t="shared" si="90"/>
        <v>-36000</v>
      </c>
      <c r="H1295">
        <f t="shared" si="91"/>
        <v>493600</v>
      </c>
      <c r="I1295">
        <f t="shared" si="92"/>
        <v>-14400</v>
      </c>
    </row>
    <row r="1296" spans="1:9">
      <c r="A1296" t="s">
        <v>14</v>
      </c>
      <c r="B1296" t="s">
        <v>18</v>
      </c>
      <c r="C1296">
        <v>5030000</v>
      </c>
      <c r="D1296">
        <v>6742000</v>
      </c>
      <c r="E1296" t="str">
        <f>VLOOKUP(B1296,Лист2!A:E,5,0)</f>
        <v>малые</v>
      </c>
      <c r="F1296">
        <f>VLOOKUP(B1296,Лист2!A:E,4,0)</f>
        <v>2.5</v>
      </c>
      <c r="G1296">
        <f t="shared" si="90"/>
        <v>-1712000</v>
      </c>
      <c r="H1296">
        <f t="shared" si="91"/>
        <v>2012000</v>
      </c>
      <c r="I1296">
        <f t="shared" si="92"/>
        <v>-684800</v>
      </c>
    </row>
    <row r="1297" spans="1:9">
      <c r="A1297" t="s">
        <v>14</v>
      </c>
      <c r="B1297" t="s">
        <v>18</v>
      </c>
      <c r="C1297">
        <v>197000</v>
      </c>
      <c r="D1297">
        <v>211000</v>
      </c>
      <c r="E1297" t="str">
        <f>VLOOKUP(B1297,Лист2!A:E,5,0)</f>
        <v>малые</v>
      </c>
      <c r="F1297">
        <f>VLOOKUP(B1297,Лист2!A:E,4,0)</f>
        <v>2.5</v>
      </c>
      <c r="G1297">
        <f t="shared" si="90"/>
        <v>-14000</v>
      </c>
      <c r="H1297">
        <f t="shared" si="91"/>
        <v>78800</v>
      </c>
      <c r="I1297">
        <f t="shared" si="92"/>
        <v>-5600</v>
      </c>
    </row>
    <row r="1298" spans="1:9">
      <c r="A1298" t="s">
        <v>14</v>
      </c>
      <c r="B1298" t="s">
        <v>18</v>
      </c>
      <c r="C1298">
        <v>575000</v>
      </c>
      <c r="D1298">
        <v>593000</v>
      </c>
      <c r="E1298" t="str">
        <f>VLOOKUP(B1298,Лист2!A:E,5,0)</f>
        <v>малые</v>
      </c>
      <c r="F1298">
        <f>VLOOKUP(B1298,Лист2!A:E,4,0)</f>
        <v>2.5</v>
      </c>
      <c r="G1298">
        <f t="shared" si="90"/>
        <v>-18000</v>
      </c>
      <c r="H1298">
        <f t="shared" si="91"/>
        <v>230000</v>
      </c>
      <c r="I1298">
        <f t="shared" si="92"/>
        <v>-7200</v>
      </c>
    </row>
    <row r="1299" spans="1:9">
      <c r="A1299" t="s">
        <v>14</v>
      </c>
      <c r="B1299" t="s">
        <v>18</v>
      </c>
      <c r="C1299">
        <v>5465000</v>
      </c>
      <c r="D1299">
        <v>5341000</v>
      </c>
      <c r="E1299" t="str">
        <f>VLOOKUP(B1299,Лист2!A:E,5,0)</f>
        <v>малые</v>
      </c>
      <c r="F1299">
        <f>VLOOKUP(B1299,Лист2!A:E,4,0)</f>
        <v>2.5</v>
      </c>
      <c r="G1299">
        <f t="shared" si="90"/>
        <v>124000</v>
      </c>
      <c r="H1299">
        <f t="shared" si="91"/>
        <v>2186000</v>
      </c>
      <c r="I1299">
        <f t="shared" si="92"/>
        <v>49600</v>
      </c>
    </row>
    <row r="1300" spans="1:9">
      <c r="A1300" t="s">
        <v>14</v>
      </c>
      <c r="B1300" t="s">
        <v>18</v>
      </c>
      <c r="C1300">
        <v>731000</v>
      </c>
      <c r="D1300">
        <v>950000</v>
      </c>
      <c r="E1300" t="str">
        <f>VLOOKUP(B1300,Лист2!A:E,5,0)</f>
        <v>малые</v>
      </c>
      <c r="F1300">
        <f>VLOOKUP(B1300,Лист2!A:E,4,0)</f>
        <v>2.5</v>
      </c>
      <c r="G1300">
        <f t="shared" si="90"/>
        <v>-219000</v>
      </c>
      <c r="H1300">
        <f t="shared" si="91"/>
        <v>292400</v>
      </c>
      <c r="I1300">
        <f t="shared" si="92"/>
        <v>-87600</v>
      </c>
    </row>
    <row r="1301" spans="1:9">
      <c r="A1301" t="s">
        <v>14</v>
      </c>
      <c r="B1301" t="s">
        <v>18</v>
      </c>
      <c r="C1301">
        <v>1203000</v>
      </c>
      <c r="D1301">
        <v>1250000</v>
      </c>
      <c r="E1301" t="str">
        <f>VLOOKUP(B1301,Лист2!A:E,5,0)</f>
        <v>малые</v>
      </c>
      <c r="F1301">
        <f>VLOOKUP(B1301,Лист2!A:E,4,0)</f>
        <v>2.5</v>
      </c>
      <c r="G1301">
        <f t="shared" si="90"/>
        <v>-47000</v>
      </c>
      <c r="H1301">
        <f t="shared" si="91"/>
        <v>481200</v>
      </c>
      <c r="I1301">
        <f t="shared" si="92"/>
        <v>-18800</v>
      </c>
    </row>
    <row r="1302" spans="1:9">
      <c r="A1302" t="s">
        <v>14</v>
      </c>
      <c r="B1302" t="s">
        <v>18</v>
      </c>
      <c r="C1302">
        <v>817000</v>
      </c>
      <c r="D1302">
        <v>779000</v>
      </c>
      <c r="E1302" t="str">
        <f>VLOOKUP(B1302,Лист2!A:E,5,0)</f>
        <v>малые</v>
      </c>
      <c r="F1302">
        <f>VLOOKUP(B1302,Лист2!A:E,4,0)</f>
        <v>2.5</v>
      </c>
      <c r="G1302">
        <f t="shared" si="90"/>
        <v>38000</v>
      </c>
      <c r="H1302">
        <f t="shared" si="91"/>
        <v>326800</v>
      </c>
      <c r="I1302">
        <f t="shared" si="92"/>
        <v>15200</v>
      </c>
    </row>
    <row r="1303" spans="1:9">
      <c r="A1303" t="s">
        <v>14</v>
      </c>
      <c r="B1303" t="s">
        <v>18</v>
      </c>
      <c r="C1303">
        <v>271000</v>
      </c>
      <c r="D1303">
        <v>534000</v>
      </c>
      <c r="E1303" t="str">
        <f>VLOOKUP(B1303,Лист2!A:E,5,0)</f>
        <v>малые</v>
      </c>
      <c r="F1303">
        <f>VLOOKUP(B1303,Лист2!A:E,4,0)</f>
        <v>2.5</v>
      </c>
      <c r="G1303">
        <f t="shared" si="90"/>
        <v>-263000</v>
      </c>
      <c r="H1303">
        <f t="shared" si="91"/>
        <v>108400</v>
      </c>
      <c r="I1303">
        <f t="shared" si="92"/>
        <v>-105200</v>
      </c>
    </row>
    <row r="1304" spans="1:9">
      <c r="A1304" t="s">
        <v>25</v>
      </c>
      <c r="B1304" t="s">
        <v>18</v>
      </c>
      <c r="C1304">
        <v>2060000</v>
      </c>
      <c r="D1304">
        <v>1996000</v>
      </c>
      <c r="E1304" t="str">
        <f>VLOOKUP(B1304,Лист2!A:E,5,0)</f>
        <v>малые</v>
      </c>
      <c r="F1304">
        <f>VLOOKUP(B1304,Лист2!A:E,4,0)</f>
        <v>2.5</v>
      </c>
      <c r="G1304">
        <f t="shared" si="90"/>
        <v>64000</v>
      </c>
      <c r="H1304">
        <f t="shared" si="91"/>
        <v>824000</v>
      </c>
      <c r="I1304">
        <f t="shared" si="92"/>
        <v>25600</v>
      </c>
    </row>
    <row r="1305" spans="1:9">
      <c r="A1305" t="s">
        <v>14</v>
      </c>
      <c r="B1305" t="s">
        <v>18</v>
      </c>
      <c r="C1305">
        <v>45297000</v>
      </c>
      <c r="D1305">
        <v>44529000</v>
      </c>
      <c r="E1305" t="str">
        <f>VLOOKUP(B1305,Лист2!A:E,5,0)</f>
        <v>малые</v>
      </c>
      <c r="F1305">
        <f>VLOOKUP(B1305,Лист2!A:E,4,0)</f>
        <v>2.5</v>
      </c>
      <c r="G1305">
        <f t="shared" si="90"/>
        <v>768000</v>
      </c>
      <c r="H1305">
        <f t="shared" si="91"/>
        <v>18118800</v>
      </c>
      <c r="I1305">
        <f t="shared" si="92"/>
        <v>307200</v>
      </c>
    </row>
    <row r="1306" spans="1:9">
      <c r="A1306" t="s">
        <v>14</v>
      </c>
      <c r="B1306" t="s">
        <v>18</v>
      </c>
      <c r="C1306">
        <v>510000</v>
      </c>
      <c r="D1306">
        <v>522000</v>
      </c>
      <c r="E1306" t="str">
        <f>VLOOKUP(B1306,Лист2!A:E,5,0)</f>
        <v>малые</v>
      </c>
      <c r="F1306">
        <f>VLOOKUP(B1306,Лист2!A:E,4,0)</f>
        <v>2.5</v>
      </c>
      <c r="G1306">
        <f t="shared" si="90"/>
        <v>-12000</v>
      </c>
      <c r="H1306">
        <f t="shared" si="91"/>
        <v>204000</v>
      </c>
      <c r="I1306">
        <f t="shared" si="92"/>
        <v>-4800</v>
      </c>
    </row>
    <row r="1307" spans="1:9">
      <c r="A1307" t="s">
        <v>25</v>
      </c>
      <c r="B1307" t="s">
        <v>18</v>
      </c>
      <c r="C1307">
        <v>2150000</v>
      </c>
      <c r="D1307">
        <v>2172000</v>
      </c>
      <c r="E1307" t="str">
        <f>VLOOKUP(B1307,Лист2!A:E,5,0)</f>
        <v>малые</v>
      </c>
      <c r="F1307">
        <f>VLOOKUP(B1307,Лист2!A:E,4,0)</f>
        <v>2.5</v>
      </c>
      <c r="G1307">
        <f t="shared" si="90"/>
        <v>-22000</v>
      </c>
      <c r="H1307">
        <f t="shared" si="91"/>
        <v>860000</v>
      </c>
      <c r="I1307">
        <f t="shared" si="92"/>
        <v>-8800</v>
      </c>
    </row>
    <row r="1308" spans="1:9">
      <c r="A1308" t="s">
        <v>14</v>
      </c>
      <c r="B1308" t="s">
        <v>18</v>
      </c>
      <c r="C1308">
        <v>1370000</v>
      </c>
      <c r="D1308">
        <v>1581000</v>
      </c>
      <c r="E1308" t="str">
        <f>VLOOKUP(B1308,Лист2!A:E,5,0)</f>
        <v>малые</v>
      </c>
      <c r="F1308">
        <f>VLOOKUP(B1308,Лист2!A:E,4,0)</f>
        <v>2.5</v>
      </c>
      <c r="G1308">
        <f t="shared" si="90"/>
        <v>-211000</v>
      </c>
      <c r="H1308">
        <f t="shared" si="91"/>
        <v>548000</v>
      </c>
      <c r="I1308">
        <f t="shared" si="92"/>
        <v>-84400</v>
      </c>
    </row>
    <row r="1309" spans="1:9">
      <c r="A1309" t="s">
        <v>25</v>
      </c>
      <c r="B1309" t="s">
        <v>18</v>
      </c>
      <c r="C1309">
        <v>2869000</v>
      </c>
      <c r="D1309">
        <v>2797000</v>
      </c>
      <c r="E1309" t="str">
        <f>VLOOKUP(B1309,Лист2!A:E,5,0)</f>
        <v>малые</v>
      </c>
      <c r="F1309">
        <f>VLOOKUP(B1309,Лист2!A:E,4,0)</f>
        <v>2.5</v>
      </c>
      <c r="G1309">
        <f t="shared" si="90"/>
        <v>72000</v>
      </c>
      <c r="H1309">
        <f t="shared" si="91"/>
        <v>1147600</v>
      </c>
      <c r="I1309">
        <f t="shared" si="92"/>
        <v>28800</v>
      </c>
    </row>
    <row r="1310" spans="1:9">
      <c r="A1310" t="s">
        <v>14</v>
      </c>
      <c r="B1310" t="s">
        <v>18</v>
      </c>
      <c r="C1310">
        <v>804000</v>
      </c>
      <c r="D1310">
        <v>674000</v>
      </c>
      <c r="E1310" t="str">
        <f>VLOOKUP(B1310,Лист2!A:E,5,0)</f>
        <v>малые</v>
      </c>
      <c r="F1310">
        <f>VLOOKUP(B1310,Лист2!A:E,4,0)</f>
        <v>2.5</v>
      </c>
      <c r="G1310">
        <f t="shared" si="90"/>
        <v>130000</v>
      </c>
      <c r="H1310">
        <f t="shared" si="91"/>
        <v>321600</v>
      </c>
      <c r="I1310">
        <f t="shared" si="92"/>
        <v>52000</v>
      </c>
    </row>
    <row r="1311" spans="1:9">
      <c r="A1311" t="s">
        <v>14</v>
      </c>
      <c r="B1311" t="s">
        <v>22</v>
      </c>
      <c r="C1311">
        <v>16616000</v>
      </c>
      <c r="D1311">
        <v>18101000</v>
      </c>
      <c r="E1311" t="str">
        <f>VLOOKUP(B1311,Лист2!A:E,5,0)</f>
        <v>малые</v>
      </c>
      <c r="F1311">
        <f>VLOOKUP(B1311,Лист2!A:E,4,0)</f>
        <v>13</v>
      </c>
      <c r="G1311">
        <f t="shared" ref="G1311:G1355" si="93">C1311-D1311</f>
        <v>-1485000</v>
      </c>
      <c r="H1311">
        <f t="shared" ref="H1311:H1355" si="94">C1311/F1311</f>
        <v>1278153.8461538462</v>
      </c>
      <c r="I1311">
        <f t="shared" ref="I1311:I1355" si="95">G1311/F1311</f>
        <v>-114230.76923076923</v>
      </c>
    </row>
    <row r="1312" spans="1:9">
      <c r="A1312" t="s">
        <v>25</v>
      </c>
      <c r="B1312" t="s">
        <v>22</v>
      </c>
      <c r="C1312">
        <v>18308000</v>
      </c>
      <c r="D1312">
        <v>18705000</v>
      </c>
      <c r="E1312" t="str">
        <f>VLOOKUP(B1312,Лист2!A:E,5,0)</f>
        <v>малые</v>
      </c>
      <c r="F1312">
        <f>VLOOKUP(B1312,Лист2!A:E,4,0)</f>
        <v>13</v>
      </c>
      <c r="G1312">
        <f t="shared" si="93"/>
        <v>-397000</v>
      </c>
      <c r="H1312">
        <f t="shared" si="94"/>
        <v>1408307.6923076923</v>
      </c>
      <c r="I1312">
        <f t="shared" si="95"/>
        <v>-30538.461538461539</v>
      </c>
    </row>
    <row r="1313" spans="1:9">
      <c r="A1313" t="s">
        <v>14</v>
      </c>
      <c r="B1313" t="s">
        <v>18</v>
      </c>
      <c r="C1313">
        <v>73000</v>
      </c>
      <c r="D1313">
        <v>175000</v>
      </c>
      <c r="E1313" t="str">
        <f>VLOOKUP(B1313,Лист2!A:E,5,0)</f>
        <v>малые</v>
      </c>
      <c r="F1313">
        <f>VLOOKUP(B1313,Лист2!A:E,4,0)</f>
        <v>2.5</v>
      </c>
      <c r="G1313">
        <f t="shared" si="93"/>
        <v>-102000</v>
      </c>
      <c r="H1313">
        <f t="shared" si="94"/>
        <v>29200</v>
      </c>
      <c r="I1313">
        <f t="shared" si="95"/>
        <v>-40800</v>
      </c>
    </row>
    <row r="1314" spans="1:9">
      <c r="A1314" t="s">
        <v>14</v>
      </c>
      <c r="B1314" t="s">
        <v>18</v>
      </c>
      <c r="C1314">
        <v>31000</v>
      </c>
      <c r="D1314">
        <v>31000</v>
      </c>
      <c r="E1314" t="str">
        <f>VLOOKUP(B1314,Лист2!A:E,5,0)</f>
        <v>малые</v>
      </c>
      <c r="F1314">
        <f>VLOOKUP(B1314,Лист2!A:E,4,0)</f>
        <v>2.5</v>
      </c>
      <c r="G1314">
        <f t="shared" si="93"/>
        <v>0</v>
      </c>
      <c r="H1314">
        <f t="shared" si="94"/>
        <v>12400</v>
      </c>
      <c r="I1314">
        <f t="shared" si="95"/>
        <v>0</v>
      </c>
    </row>
    <row r="1315" spans="1:9">
      <c r="A1315" t="s">
        <v>14</v>
      </c>
      <c r="B1315" t="s">
        <v>18</v>
      </c>
      <c r="C1315">
        <v>13232000</v>
      </c>
      <c r="D1315">
        <v>15410000</v>
      </c>
      <c r="E1315" t="str">
        <f>VLOOKUP(B1315,Лист2!A:E,5,0)</f>
        <v>малые</v>
      </c>
      <c r="F1315">
        <f>VLOOKUP(B1315,Лист2!A:E,4,0)</f>
        <v>2.5</v>
      </c>
      <c r="G1315">
        <f t="shared" si="93"/>
        <v>-2178000</v>
      </c>
      <c r="H1315">
        <f t="shared" si="94"/>
        <v>5292800</v>
      </c>
      <c r="I1315">
        <f t="shared" si="95"/>
        <v>-871200</v>
      </c>
    </row>
    <row r="1316" spans="1:9">
      <c r="A1316" t="s">
        <v>14</v>
      </c>
      <c r="B1316" t="s">
        <v>18</v>
      </c>
      <c r="C1316">
        <v>277000</v>
      </c>
      <c r="D1316">
        <v>282000</v>
      </c>
      <c r="E1316" t="str">
        <f>VLOOKUP(B1316,Лист2!A:E,5,0)</f>
        <v>малые</v>
      </c>
      <c r="F1316">
        <f>VLOOKUP(B1316,Лист2!A:E,4,0)</f>
        <v>2.5</v>
      </c>
      <c r="G1316">
        <f t="shared" si="93"/>
        <v>-5000</v>
      </c>
      <c r="H1316">
        <f t="shared" si="94"/>
        <v>110800</v>
      </c>
      <c r="I1316">
        <f t="shared" si="95"/>
        <v>-2000</v>
      </c>
    </row>
    <row r="1317" spans="1:9">
      <c r="A1317" t="s">
        <v>25</v>
      </c>
      <c r="B1317" t="s">
        <v>18</v>
      </c>
      <c r="C1317">
        <v>345000</v>
      </c>
      <c r="D1317">
        <v>348000</v>
      </c>
      <c r="E1317" t="str">
        <f>VLOOKUP(B1317,Лист2!A:E,5,0)</f>
        <v>малые</v>
      </c>
      <c r="F1317">
        <f>VLOOKUP(B1317,Лист2!A:E,4,0)</f>
        <v>2.5</v>
      </c>
      <c r="G1317">
        <f t="shared" si="93"/>
        <v>-3000</v>
      </c>
      <c r="H1317">
        <f t="shared" si="94"/>
        <v>138000</v>
      </c>
      <c r="I1317">
        <f t="shared" si="95"/>
        <v>-1200</v>
      </c>
    </row>
    <row r="1318" spans="1:9">
      <c r="A1318" t="s">
        <v>14</v>
      </c>
      <c r="B1318" t="s">
        <v>18</v>
      </c>
      <c r="C1318">
        <v>8521000</v>
      </c>
      <c r="D1318">
        <v>8430000</v>
      </c>
      <c r="E1318" t="str">
        <f>VLOOKUP(B1318,Лист2!A:E,5,0)</f>
        <v>малые</v>
      </c>
      <c r="F1318">
        <f>VLOOKUP(B1318,Лист2!A:E,4,0)</f>
        <v>2.5</v>
      </c>
      <c r="G1318">
        <f t="shared" si="93"/>
        <v>91000</v>
      </c>
      <c r="H1318">
        <f t="shared" si="94"/>
        <v>3408400</v>
      </c>
      <c r="I1318">
        <f t="shared" si="95"/>
        <v>36400</v>
      </c>
    </row>
    <row r="1319" spans="1:9">
      <c r="A1319" t="s">
        <v>14</v>
      </c>
      <c r="B1319" t="s">
        <v>18</v>
      </c>
      <c r="C1319">
        <v>11018000</v>
      </c>
      <c r="D1319">
        <v>16168000</v>
      </c>
      <c r="E1319" t="str">
        <f>VLOOKUP(B1319,Лист2!A:E,5,0)</f>
        <v>малые</v>
      </c>
      <c r="F1319">
        <f>VLOOKUP(B1319,Лист2!A:E,4,0)</f>
        <v>2.5</v>
      </c>
      <c r="G1319">
        <f t="shared" si="93"/>
        <v>-5150000</v>
      </c>
      <c r="H1319">
        <f t="shared" si="94"/>
        <v>4407200</v>
      </c>
      <c r="I1319">
        <f t="shared" si="95"/>
        <v>-2060000</v>
      </c>
    </row>
    <row r="1320" spans="1:9">
      <c r="A1320" t="s">
        <v>14</v>
      </c>
      <c r="B1320" t="s">
        <v>18</v>
      </c>
      <c r="C1320">
        <v>13213000</v>
      </c>
      <c r="D1320">
        <v>14049000</v>
      </c>
      <c r="E1320" t="str">
        <f>VLOOKUP(B1320,Лист2!A:E,5,0)</f>
        <v>малые</v>
      </c>
      <c r="F1320">
        <f>VLOOKUP(B1320,Лист2!A:E,4,0)</f>
        <v>2.5</v>
      </c>
      <c r="G1320">
        <f t="shared" si="93"/>
        <v>-836000</v>
      </c>
      <c r="H1320">
        <f t="shared" si="94"/>
        <v>5285200</v>
      </c>
      <c r="I1320">
        <f t="shared" si="95"/>
        <v>-334400</v>
      </c>
    </row>
    <row r="1321" spans="1:9">
      <c r="A1321" t="s">
        <v>14</v>
      </c>
      <c r="B1321" t="s">
        <v>18</v>
      </c>
      <c r="C1321">
        <v>193000</v>
      </c>
      <c r="D1321">
        <v>163000</v>
      </c>
      <c r="E1321" t="str">
        <f>VLOOKUP(B1321,Лист2!A:E,5,0)</f>
        <v>малые</v>
      </c>
      <c r="F1321">
        <f>VLOOKUP(B1321,Лист2!A:E,4,0)</f>
        <v>2.5</v>
      </c>
      <c r="G1321">
        <f t="shared" si="93"/>
        <v>30000</v>
      </c>
      <c r="H1321">
        <f t="shared" si="94"/>
        <v>77200</v>
      </c>
      <c r="I1321">
        <f t="shared" si="95"/>
        <v>12000</v>
      </c>
    </row>
    <row r="1322" spans="1:9">
      <c r="A1322" t="s">
        <v>14</v>
      </c>
      <c r="B1322" t="s">
        <v>77</v>
      </c>
      <c r="C1322">
        <v>272246000</v>
      </c>
      <c r="D1322">
        <v>273568000</v>
      </c>
      <c r="E1322" t="str">
        <f>VLOOKUP(B1322,Лист2!A:E,5,0)</f>
        <v>малые</v>
      </c>
      <c r="F1322">
        <f>VLOOKUP(B1322,Лист2!A:E,4,0)</f>
        <v>8</v>
      </c>
      <c r="G1322">
        <f t="shared" si="93"/>
        <v>-1322000</v>
      </c>
      <c r="H1322">
        <f t="shared" si="94"/>
        <v>34030750</v>
      </c>
      <c r="I1322">
        <f t="shared" si="95"/>
        <v>-165250</v>
      </c>
    </row>
    <row r="1323" spans="1:9">
      <c r="A1323" t="s">
        <v>14</v>
      </c>
      <c r="B1323" t="s">
        <v>18</v>
      </c>
      <c r="C1323">
        <v>12633000</v>
      </c>
      <c r="D1323">
        <v>7153000</v>
      </c>
      <c r="E1323" t="str">
        <f>VLOOKUP(B1323,Лист2!A:E,5,0)</f>
        <v>малые</v>
      </c>
      <c r="F1323">
        <f>VLOOKUP(B1323,Лист2!A:E,4,0)</f>
        <v>2.5</v>
      </c>
      <c r="G1323">
        <f t="shared" si="93"/>
        <v>5480000</v>
      </c>
      <c r="H1323">
        <f t="shared" si="94"/>
        <v>5053200</v>
      </c>
      <c r="I1323">
        <f t="shared" si="95"/>
        <v>2192000</v>
      </c>
    </row>
    <row r="1324" spans="1:9">
      <c r="A1324" t="s">
        <v>25</v>
      </c>
      <c r="B1324" t="s">
        <v>18</v>
      </c>
      <c r="C1324">
        <v>91000</v>
      </c>
      <c r="D1324">
        <v>92000</v>
      </c>
      <c r="E1324" t="str">
        <f>VLOOKUP(B1324,Лист2!A:E,5,0)</f>
        <v>малые</v>
      </c>
      <c r="F1324">
        <f>VLOOKUP(B1324,Лист2!A:E,4,0)</f>
        <v>2.5</v>
      </c>
      <c r="G1324">
        <f t="shared" si="93"/>
        <v>-1000</v>
      </c>
      <c r="H1324">
        <f t="shared" si="94"/>
        <v>36400</v>
      </c>
      <c r="I1324">
        <f t="shared" si="95"/>
        <v>-400</v>
      </c>
    </row>
    <row r="1325" spans="1:9">
      <c r="A1325" t="s">
        <v>14</v>
      </c>
      <c r="B1325" t="s">
        <v>18</v>
      </c>
      <c r="C1325">
        <v>1884000</v>
      </c>
      <c r="D1325">
        <v>1907000</v>
      </c>
      <c r="E1325" t="str">
        <f>VLOOKUP(B1325,Лист2!A:E,5,0)</f>
        <v>малые</v>
      </c>
      <c r="F1325">
        <f>VLOOKUP(B1325,Лист2!A:E,4,0)</f>
        <v>2.5</v>
      </c>
      <c r="G1325">
        <f t="shared" si="93"/>
        <v>-23000</v>
      </c>
      <c r="H1325">
        <f t="shared" si="94"/>
        <v>753600</v>
      </c>
      <c r="I1325">
        <f t="shared" si="95"/>
        <v>-9200</v>
      </c>
    </row>
    <row r="1326" spans="1:9">
      <c r="A1326" t="s">
        <v>14</v>
      </c>
      <c r="B1326" t="s">
        <v>18</v>
      </c>
      <c r="C1326">
        <v>273000</v>
      </c>
      <c r="D1326">
        <v>233000</v>
      </c>
      <c r="E1326" t="str">
        <f>VLOOKUP(B1326,Лист2!A:E,5,0)</f>
        <v>малые</v>
      </c>
      <c r="F1326">
        <f>VLOOKUP(B1326,Лист2!A:E,4,0)</f>
        <v>2.5</v>
      </c>
      <c r="G1326">
        <f t="shared" si="93"/>
        <v>40000</v>
      </c>
      <c r="H1326">
        <f t="shared" si="94"/>
        <v>109200</v>
      </c>
      <c r="I1326">
        <f t="shared" si="95"/>
        <v>16000</v>
      </c>
    </row>
    <row r="1327" spans="1:9">
      <c r="A1327" t="s">
        <v>25</v>
      </c>
      <c r="B1327" t="s">
        <v>18</v>
      </c>
      <c r="C1327">
        <v>6000</v>
      </c>
      <c r="D1327">
        <v>6000</v>
      </c>
      <c r="E1327" t="str">
        <f>VLOOKUP(B1327,Лист2!A:E,5,0)</f>
        <v>малые</v>
      </c>
      <c r="F1327">
        <f>VLOOKUP(B1327,Лист2!A:E,4,0)</f>
        <v>2.5</v>
      </c>
      <c r="G1327">
        <f t="shared" si="93"/>
        <v>0</v>
      </c>
      <c r="H1327">
        <f t="shared" si="94"/>
        <v>2400</v>
      </c>
      <c r="I1327">
        <f t="shared" si="95"/>
        <v>0</v>
      </c>
    </row>
    <row r="1328" spans="1:9">
      <c r="A1328" t="s">
        <v>14</v>
      </c>
      <c r="B1328" t="s">
        <v>18</v>
      </c>
      <c r="C1328">
        <v>510000</v>
      </c>
      <c r="D1328">
        <v>481000</v>
      </c>
      <c r="E1328" t="str">
        <f>VLOOKUP(B1328,Лист2!A:E,5,0)</f>
        <v>малые</v>
      </c>
      <c r="F1328">
        <f>VLOOKUP(B1328,Лист2!A:E,4,0)</f>
        <v>2.5</v>
      </c>
      <c r="G1328">
        <f t="shared" si="93"/>
        <v>29000</v>
      </c>
      <c r="H1328">
        <f t="shared" si="94"/>
        <v>204000</v>
      </c>
      <c r="I1328">
        <f t="shared" si="95"/>
        <v>11600</v>
      </c>
    </row>
    <row r="1329" spans="1:9">
      <c r="A1329" t="s">
        <v>14</v>
      </c>
      <c r="B1329" t="s">
        <v>18</v>
      </c>
      <c r="C1329">
        <v>2655000</v>
      </c>
      <c r="D1329">
        <v>3653000</v>
      </c>
      <c r="E1329" t="str">
        <f>VLOOKUP(B1329,Лист2!A:E,5,0)</f>
        <v>малые</v>
      </c>
      <c r="F1329">
        <f>VLOOKUP(B1329,Лист2!A:E,4,0)</f>
        <v>2.5</v>
      </c>
      <c r="G1329">
        <f t="shared" si="93"/>
        <v>-998000</v>
      </c>
      <c r="H1329">
        <f t="shared" si="94"/>
        <v>1062000</v>
      </c>
      <c r="I1329">
        <f t="shared" si="95"/>
        <v>-399200</v>
      </c>
    </row>
    <row r="1330" spans="1:9">
      <c r="A1330" t="s">
        <v>14</v>
      </c>
      <c r="B1330" t="s">
        <v>18</v>
      </c>
      <c r="C1330">
        <v>27390000</v>
      </c>
      <c r="D1330">
        <v>29284000</v>
      </c>
      <c r="E1330" t="str">
        <f>VLOOKUP(B1330,Лист2!A:E,5,0)</f>
        <v>малые</v>
      </c>
      <c r="F1330">
        <f>VLOOKUP(B1330,Лист2!A:E,4,0)</f>
        <v>2.5</v>
      </c>
      <c r="G1330">
        <f t="shared" si="93"/>
        <v>-1894000</v>
      </c>
      <c r="H1330">
        <f t="shared" si="94"/>
        <v>10956000</v>
      </c>
      <c r="I1330">
        <f t="shared" si="95"/>
        <v>-757600</v>
      </c>
    </row>
    <row r="1331" spans="1:9">
      <c r="A1331" t="s">
        <v>14</v>
      </c>
      <c r="B1331" t="s">
        <v>18</v>
      </c>
      <c r="C1331">
        <v>4107000</v>
      </c>
      <c r="D1331">
        <v>4237000</v>
      </c>
      <c r="E1331" t="str">
        <f>VLOOKUP(B1331,Лист2!A:E,5,0)</f>
        <v>малые</v>
      </c>
      <c r="F1331">
        <f>VLOOKUP(B1331,Лист2!A:E,4,0)</f>
        <v>2.5</v>
      </c>
      <c r="G1331">
        <f t="shared" si="93"/>
        <v>-130000</v>
      </c>
      <c r="H1331">
        <f t="shared" si="94"/>
        <v>1642800</v>
      </c>
      <c r="I1331">
        <f t="shared" si="95"/>
        <v>-52000</v>
      </c>
    </row>
    <row r="1332" spans="1:9">
      <c r="A1332" t="s">
        <v>14</v>
      </c>
      <c r="B1332" t="s">
        <v>18</v>
      </c>
      <c r="C1332">
        <v>1541000</v>
      </c>
      <c r="D1332">
        <v>1541000</v>
      </c>
      <c r="E1332" t="str">
        <f>VLOOKUP(B1332,Лист2!A:E,5,0)</f>
        <v>малые</v>
      </c>
      <c r="F1332">
        <f>VLOOKUP(B1332,Лист2!A:E,4,0)</f>
        <v>2.5</v>
      </c>
      <c r="G1332">
        <f t="shared" si="93"/>
        <v>0</v>
      </c>
      <c r="H1332">
        <f t="shared" si="94"/>
        <v>616400</v>
      </c>
      <c r="I1332">
        <f t="shared" si="95"/>
        <v>0</v>
      </c>
    </row>
    <row r="1333" spans="1:9">
      <c r="A1333" t="s">
        <v>14</v>
      </c>
      <c r="B1333" t="s">
        <v>18</v>
      </c>
      <c r="C1333">
        <v>1044000</v>
      </c>
      <c r="D1333">
        <v>766000</v>
      </c>
      <c r="E1333" t="str">
        <f>VLOOKUP(B1333,Лист2!A:E,5,0)</f>
        <v>малые</v>
      </c>
      <c r="F1333">
        <f>VLOOKUP(B1333,Лист2!A:E,4,0)</f>
        <v>2.5</v>
      </c>
      <c r="G1333">
        <f t="shared" si="93"/>
        <v>278000</v>
      </c>
      <c r="H1333">
        <f t="shared" si="94"/>
        <v>417600</v>
      </c>
      <c r="I1333">
        <f t="shared" si="95"/>
        <v>111200</v>
      </c>
    </row>
    <row r="1334" spans="1:9">
      <c r="A1334" t="s">
        <v>25</v>
      </c>
      <c r="B1334" t="s">
        <v>18</v>
      </c>
      <c r="C1334">
        <v>57749000</v>
      </c>
      <c r="D1334">
        <v>101501000</v>
      </c>
      <c r="E1334" t="str">
        <f>VLOOKUP(B1334,Лист2!A:E,5,0)</f>
        <v>малые</v>
      </c>
      <c r="F1334">
        <f>VLOOKUP(B1334,Лист2!A:E,4,0)</f>
        <v>2.5</v>
      </c>
      <c r="G1334">
        <f t="shared" si="93"/>
        <v>-43752000</v>
      </c>
      <c r="H1334">
        <f t="shared" si="94"/>
        <v>23099600</v>
      </c>
      <c r="I1334">
        <f t="shared" si="95"/>
        <v>-17500800</v>
      </c>
    </row>
    <row r="1335" spans="1:9">
      <c r="A1335" t="s">
        <v>14</v>
      </c>
      <c r="B1335" t="s">
        <v>18</v>
      </c>
      <c r="C1335">
        <v>2513000</v>
      </c>
      <c r="D1335">
        <v>2562000</v>
      </c>
      <c r="E1335" t="str">
        <f>VLOOKUP(B1335,Лист2!A:E,5,0)</f>
        <v>малые</v>
      </c>
      <c r="F1335">
        <f>VLOOKUP(B1335,Лист2!A:E,4,0)</f>
        <v>2.5</v>
      </c>
      <c r="G1335">
        <f t="shared" si="93"/>
        <v>-49000</v>
      </c>
      <c r="H1335">
        <f t="shared" si="94"/>
        <v>1005200</v>
      </c>
      <c r="I1335">
        <f t="shared" si="95"/>
        <v>-19600</v>
      </c>
    </row>
    <row r="1336" spans="1:9">
      <c r="A1336" t="s">
        <v>25</v>
      </c>
      <c r="B1336" t="s">
        <v>18</v>
      </c>
      <c r="C1336">
        <v>41000</v>
      </c>
      <c r="D1336">
        <v>35000</v>
      </c>
      <c r="E1336" t="str">
        <f>VLOOKUP(B1336,Лист2!A:E,5,0)</f>
        <v>малые</v>
      </c>
      <c r="F1336">
        <f>VLOOKUP(B1336,Лист2!A:E,4,0)</f>
        <v>2.5</v>
      </c>
      <c r="G1336">
        <f t="shared" si="93"/>
        <v>6000</v>
      </c>
      <c r="H1336">
        <f t="shared" si="94"/>
        <v>16400</v>
      </c>
      <c r="I1336">
        <f t="shared" si="95"/>
        <v>2400</v>
      </c>
    </row>
    <row r="1337" spans="1:9">
      <c r="A1337" t="s">
        <v>14</v>
      </c>
      <c r="B1337" t="s">
        <v>18</v>
      </c>
      <c r="C1337">
        <v>571000</v>
      </c>
      <c r="D1337">
        <v>705000</v>
      </c>
      <c r="E1337" t="str">
        <f>VLOOKUP(B1337,Лист2!A:E,5,0)</f>
        <v>малые</v>
      </c>
      <c r="F1337">
        <f>VLOOKUP(B1337,Лист2!A:E,4,0)</f>
        <v>2.5</v>
      </c>
      <c r="G1337">
        <f t="shared" si="93"/>
        <v>-134000</v>
      </c>
      <c r="H1337">
        <f t="shared" si="94"/>
        <v>228400</v>
      </c>
      <c r="I1337">
        <f t="shared" si="95"/>
        <v>-53600</v>
      </c>
    </row>
    <row r="1338" spans="1:9">
      <c r="A1338" t="s">
        <v>25</v>
      </c>
      <c r="B1338" t="s">
        <v>18</v>
      </c>
      <c r="C1338">
        <v>2368000</v>
      </c>
      <c r="D1338">
        <v>2397000</v>
      </c>
      <c r="E1338" t="str">
        <f>VLOOKUP(B1338,Лист2!A:E,5,0)</f>
        <v>малые</v>
      </c>
      <c r="F1338">
        <f>VLOOKUP(B1338,Лист2!A:E,4,0)</f>
        <v>2.5</v>
      </c>
      <c r="G1338">
        <f t="shared" si="93"/>
        <v>-29000</v>
      </c>
      <c r="H1338">
        <f t="shared" si="94"/>
        <v>947200</v>
      </c>
      <c r="I1338">
        <f t="shared" si="95"/>
        <v>-11600</v>
      </c>
    </row>
    <row r="1339" spans="1:9">
      <c r="A1339" t="s">
        <v>14</v>
      </c>
      <c r="B1339" t="s">
        <v>18</v>
      </c>
      <c r="C1339">
        <v>4914000</v>
      </c>
      <c r="D1339">
        <v>3579000</v>
      </c>
      <c r="E1339" t="str">
        <f>VLOOKUP(B1339,Лист2!A:E,5,0)</f>
        <v>малые</v>
      </c>
      <c r="F1339">
        <f>VLOOKUP(B1339,Лист2!A:E,4,0)</f>
        <v>2.5</v>
      </c>
      <c r="G1339">
        <f t="shared" si="93"/>
        <v>1335000</v>
      </c>
      <c r="H1339">
        <f t="shared" si="94"/>
        <v>1965600</v>
      </c>
      <c r="I1339">
        <f t="shared" si="95"/>
        <v>534000</v>
      </c>
    </row>
    <row r="1340" spans="1:9">
      <c r="A1340" t="s">
        <v>14</v>
      </c>
      <c r="B1340" t="s">
        <v>18</v>
      </c>
      <c r="C1340">
        <v>12591000</v>
      </c>
      <c r="D1340">
        <v>10489000</v>
      </c>
      <c r="E1340" t="str">
        <f>VLOOKUP(B1340,Лист2!A:E,5,0)</f>
        <v>малые</v>
      </c>
      <c r="F1340">
        <f>VLOOKUP(B1340,Лист2!A:E,4,0)</f>
        <v>2.5</v>
      </c>
      <c r="G1340">
        <f t="shared" si="93"/>
        <v>2102000</v>
      </c>
      <c r="H1340">
        <f t="shared" si="94"/>
        <v>5036400</v>
      </c>
      <c r="I1340">
        <f t="shared" si="95"/>
        <v>840800</v>
      </c>
    </row>
    <row r="1341" spans="1:9">
      <c r="A1341" t="s">
        <v>14</v>
      </c>
      <c r="B1341" t="s">
        <v>18</v>
      </c>
      <c r="C1341">
        <v>185000</v>
      </c>
      <c r="D1341">
        <v>186000</v>
      </c>
      <c r="E1341" t="str">
        <f>VLOOKUP(B1341,Лист2!A:E,5,0)</f>
        <v>малые</v>
      </c>
      <c r="F1341">
        <f>VLOOKUP(B1341,Лист2!A:E,4,0)</f>
        <v>2.5</v>
      </c>
      <c r="G1341">
        <f t="shared" si="93"/>
        <v>-1000</v>
      </c>
      <c r="H1341">
        <f t="shared" si="94"/>
        <v>74000</v>
      </c>
      <c r="I1341">
        <f t="shared" si="95"/>
        <v>-400</v>
      </c>
    </row>
    <row r="1342" spans="1:9">
      <c r="A1342" t="s">
        <v>14</v>
      </c>
      <c r="B1342" t="s">
        <v>18</v>
      </c>
      <c r="C1342">
        <v>480000</v>
      </c>
      <c r="D1342">
        <v>460000</v>
      </c>
      <c r="E1342" t="str">
        <f>VLOOKUP(B1342,Лист2!A:E,5,0)</f>
        <v>малые</v>
      </c>
      <c r="F1342">
        <f>VLOOKUP(B1342,Лист2!A:E,4,0)</f>
        <v>2.5</v>
      </c>
      <c r="G1342">
        <f t="shared" si="93"/>
        <v>20000</v>
      </c>
      <c r="H1342">
        <f t="shared" si="94"/>
        <v>192000</v>
      </c>
      <c r="I1342">
        <f t="shared" si="95"/>
        <v>8000</v>
      </c>
    </row>
    <row r="1343" spans="1:9">
      <c r="A1343" t="s">
        <v>14</v>
      </c>
      <c r="B1343" t="s">
        <v>18</v>
      </c>
      <c r="C1343">
        <v>2061000</v>
      </c>
      <c r="D1343">
        <v>2061000</v>
      </c>
      <c r="E1343" t="str">
        <f>VLOOKUP(B1343,Лист2!A:E,5,0)</f>
        <v>малые</v>
      </c>
      <c r="F1343">
        <f>VLOOKUP(B1343,Лист2!A:E,4,0)</f>
        <v>2.5</v>
      </c>
      <c r="G1343">
        <f t="shared" si="93"/>
        <v>0</v>
      </c>
      <c r="H1343">
        <f t="shared" si="94"/>
        <v>824400</v>
      </c>
      <c r="I1343">
        <f t="shared" si="95"/>
        <v>0</v>
      </c>
    </row>
    <row r="1344" spans="1:9">
      <c r="A1344" t="s">
        <v>14</v>
      </c>
      <c r="B1344" t="s">
        <v>18</v>
      </c>
      <c r="C1344">
        <v>275000</v>
      </c>
      <c r="D1344">
        <v>272000</v>
      </c>
      <c r="E1344" t="str">
        <f>VLOOKUP(B1344,Лист2!A:E,5,0)</f>
        <v>малые</v>
      </c>
      <c r="F1344">
        <f>VLOOKUP(B1344,Лист2!A:E,4,0)</f>
        <v>2.5</v>
      </c>
      <c r="G1344">
        <f t="shared" si="93"/>
        <v>3000</v>
      </c>
      <c r="H1344">
        <f t="shared" si="94"/>
        <v>110000</v>
      </c>
      <c r="I1344">
        <f t="shared" si="95"/>
        <v>1200</v>
      </c>
    </row>
    <row r="1345" spans="1:9">
      <c r="A1345" t="s">
        <v>14</v>
      </c>
      <c r="B1345" t="s">
        <v>18</v>
      </c>
      <c r="C1345">
        <v>606000</v>
      </c>
      <c r="D1345">
        <v>585000</v>
      </c>
      <c r="E1345" t="str">
        <f>VLOOKUP(B1345,Лист2!A:E,5,0)</f>
        <v>малые</v>
      </c>
      <c r="F1345">
        <f>VLOOKUP(B1345,Лист2!A:E,4,0)</f>
        <v>2.5</v>
      </c>
      <c r="G1345">
        <f t="shared" si="93"/>
        <v>21000</v>
      </c>
      <c r="H1345">
        <f t="shared" si="94"/>
        <v>242400</v>
      </c>
      <c r="I1345">
        <f t="shared" si="95"/>
        <v>8400</v>
      </c>
    </row>
    <row r="1346" spans="1:9">
      <c r="A1346" t="s">
        <v>14</v>
      </c>
      <c r="B1346" t="s">
        <v>22</v>
      </c>
      <c r="C1346">
        <v>15307000</v>
      </c>
      <c r="D1346">
        <v>13198000</v>
      </c>
      <c r="E1346" t="str">
        <f>VLOOKUP(B1346,Лист2!A:E,5,0)</f>
        <v>малые</v>
      </c>
      <c r="F1346">
        <f>VLOOKUP(B1346,Лист2!A:E,4,0)</f>
        <v>13</v>
      </c>
      <c r="G1346">
        <f t="shared" si="93"/>
        <v>2109000</v>
      </c>
      <c r="H1346">
        <f t="shared" si="94"/>
        <v>1177461.5384615385</v>
      </c>
      <c r="I1346">
        <f t="shared" si="95"/>
        <v>162230.76923076922</v>
      </c>
    </row>
    <row r="1347" spans="1:9">
      <c r="A1347" t="s">
        <v>14</v>
      </c>
      <c r="B1347" t="s">
        <v>18</v>
      </c>
      <c r="C1347">
        <v>2035000</v>
      </c>
      <c r="D1347">
        <v>1511000</v>
      </c>
      <c r="E1347" t="str">
        <f>VLOOKUP(B1347,Лист2!A:E,5,0)</f>
        <v>малые</v>
      </c>
      <c r="F1347">
        <f>VLOOKUP(B1347,Лист2!A:E,4,0)</f>
        <v>2.5</v>
      </c>
      <c r="G1347">
        <f t="shared" si="93"/>
        <v>524000</v>
      </c>
      <c r="H1347">
        <f t="shared" si="94"/>
        <v>814000</v>
      </c>
      <c r="I1347">
        <f t="shared" si="95"/>
        <v>209600</v>
      </c>
    </row>
    <row r="1348" spans="1:9">
      <c r="A1348" t="s">
        <v>14</v>
      </c>
      <c r="B1348" t="s">
        <v>18</v>
      </c>
      <c r="C1348">
        <v>820000</v>
      </c>
      <c r="D1348">
        <v>537000</v>
      </c>
      <c r="E1348" t="str">
        <f>VLOOKUP(B1348,Лист2!A:E,5,0)</f>
        <v>малые</v>
      </c>
      <c r="F1348">
        <f>VLOOKUP(B1348,Лист2!A:E,4,0)</f>
        <v>2.5</v>
      </c>
      <c r="G1348">
        <f t="shared" si="93"/>
        <v>283000</v>
      </c>
      <c r="H1348">
        <f t="shared" si="94"/>
        <v>328000</v>
      </c>
      <c r="I1348">
        <f t="shared" si="95"/>
        <v>113200</v>
      </c>
    </row>
    <row r="1349" spans="1:9">
      <c r="A1349" t="s">
        <v>14</v>
      </c>
      <c r="B1349" t="s">
        <v>18</v>
      </c>
      <c r="C1349">
        <v>24258000</v>
      </c>
      <c r="D1349">
        <v>25635000</v>
      </c>
      <c r="E1349" t="str">
        <f>VLOOKUP(B1349,Лист2!A:E,5,0)</f>
        <v>малые</v>
      </c>
      <c r="F1349">
        <f>VLOOKUP(B1349,Лист2!A:E,4,0)</f>
        <v>2.5</v>
      </c>
      <c r="G1349">
        <f t="shared" si="93"/>
        <v>-1377000</v>
      </c>
      <c r="H1349">
        <f t="shared" si="94"/>
        <v>9703200</v>
      </c>
      <c r="I1349">
        <f t="shared" si="95"/>
        <v>-550800</v>
      </c>
    </row>
    <row r="1350" spans="1:9">
      <c r="A1350" t="s">
        <v>14</v>
      </c>
      <c r="B1350" t="s">
        <v>18</v>
      </c>
      <c r="C1350">
        <v>7980000</v>
      </c>
      <c r="D1350">
        <v>7111000</v>
      </c>
      <c r="E1350" t="str">
        <f>VLOOKUP(B1350,Лист2!A:E,5,0)</f>
        <v>малые</v>
      </c>
      <c r="F1350">
        <f>VLOOKUP(B1350,Лист2!A:E,4,0)</f>
        <v>2.5</v>
      </c>
      <c r="G1350">
        <f t="shared" si="93"/>
        <v>869000</v>
      </c>
      <c r="H1350">
        <f t="shared" si="94"/>
        <v>3192000</v>
      </c>
      <c r="I1350">
        <f t="shared" si="95"/>
        <v>347600</v>
      </c>
    </row>
    <row r="1351" spans="1:9">
      <c r="A1351" t="s">
        <v>14</v>
      </c>
      <c r="B1351" t="s">
        <v>18</v>
      </c>
      <c r="C1351">
        <v>1564000</v>
      </c>
      <c r="D1351">
        <v>1553000</v>
      </c>
      <c r="E1351" t="str">
        <f>VLOOKUP(B1351,Лист2!A:E,5,0)</f>
        <v>малые</v>
      </c>
      <c r="F1351">
        <f>VLOOKUP(B1351,Лист2!A:E,4,0)</f>
        <v>2.5</v>
      </c>
      <c r="G1351">
        <f t="shared" si="93"/>
        <v>11000</v>
      </c>
      <c r="H1351">
        <f t="shared" si="94"/>
        <v>625600</v>
      </c>
      <c r="I1351">
        <f t="shared" si="95"/>
        <v>4400</v>
      </c>
    </row>
    <row r="1352" spans="1:9">
      <c r="A1352" t="s">
        <v>14</v>
      </c>
      <c r="B1352" t="s">
        <v>18</v>
      </c>
      <c r="C1352">
        <v>7522000</v>
      </c>
      <c r="D1352">
        <v>6588000</v>
      </c>
      <c r="E1352" t="str">
        <f>VLOOKUP(B1352,Лист2!A:E,5,0)</f>
        <v>малые</v>
      </c>
      <c r="F1352">
        <f>VLOOKUP(B1352,Лист2!A:E,4,0)</f>
        <v>2.5</v>
      </c>
      <c r="G1352">
        <f t="shared" si="93"/>
        <v>934000</v>
      </c>
      <c r="H1352">
        <f t="shared" si="94"/>
        <v>3008800</v>
      </c>
      <c r="I1352">
        <f t="shared" si="95"/>
        <v>373600</v>
      </c>
    </row>
    <row r="1353" spans="1:9">
      <c r="A1353" t="s">
        <v>25</v>
      </c>
      <c r="B1353" t="s">
        <v>18</v>
      </c>
      <c r="C1353">
        <v>9121000</v>
      </c>
      <c r="D1353">
        <v>9121000</v>
      </c>
      <c r="E1353" t="str">
        <f>VLOOKUP(B1353,Лист2!A:E,5,0)</f>
        <v>малые</v>
      </c>
      <c r="F1353">
        <f>VLOOKUP(B1353,Лист2!A:E,4,0)</f>
        <v>2.5</v>
      </c>
      <c r="G1353">
        <f t="shared" si="93"/>
        <v>0</v>
      </c>
      <c r="H1353">
        <f t="shared" si="94"/>
        <v>3648400</v>
      </c>
      <c r="I1353">
        <f t="shared" si="95"/>
        <v>0</v>
      </c>
    </row>
    <row r="1354" spans="1:9">
      <c r="A1354" t="s">
        <v>14</v>
      </c>
      <c r="B1354" t="s">
        <v>18</v>
      </c>
      <c r="C1354">
        <v>2525000</v>
      </c>
      <c r="D1354">
        <v>2657000</v>
      </c>
      <c r="E1354" t="str">
        <f>VLOOKUP(B1354,Лист2!A:E,5,0)</f>
        <v>малые</v>
      </c>
      <c r="F1354">
        <f>VLOOKUP(B1354,Лист2!A:E,4,0)</f>
        <v>2.5</v>
      </c>
      <c r="G1354">
        <f t="shared" si="93"/>
        <v>-132000</v>
      </c>
      <c r="H1354">
        <f t="shared" si="94"/>
        <v>1010000</v>
      </c>
      <c r="I1354">
        <f t="shared" si="95"/>
        <v>-52800</v>
      </c>
    </row>
    <row r="1355" spans="1:9">
      <c r="A1355" t="s">
        <v>14</v>
      </c>
      <c r="B1355" t="s">
        <v>18</v>
      </c>
      <c r="C1355">
        <v>489000</v>
      </c>
      <c r="D1355">
        <v>535000</v>
      </c>
      <c r="E1355" t="str">
        <f>VLOOKUP(B1355,Лист2!A:E,5,0)</f>
        <v>малые</v>
      </c>
      <c r="F1355">
        <f>VLOOKUP(B1355,Лист2!A:E,4,0)</f>
        <v>2.5</v>
      </c>
      <c r="G1355">
        <f t="shared" si="93"/>
        <v>-46000</v>
      </c>
      <c r="H1355">
        <f t="shared" si="94"/>
        <v>195600</v>
      </c>
      <c r="I1355">
        <f t="shared" si="95"/>
        <v>-18400</v>
      </c>
    </row>
    <row r="1356" spans="1:9">
      <c r="A1356" t="s">
        <v>14</v>
      </c>
      <c r="B1356" t="s">
        <v>18</v>
      </c>
      <c r="C1356">
        <v>3453000</v>
      </c>
      <c r="D1356">
        <v>3119000</v>
      </c>
      <c r="E1356" t="str">
        <f>VLOOKUP(B1356,Лист2!A:E,5,0)</f>
        <v>малые</v>
      </c>
      <c r="F1356">
        <f>VLOOKUP(B1356,Лист2!A:E,4,0)</f>
        <v>2.5</v>
      </c>
      <c r="G1356">
        <f t="shared" ref="G1356:G1401" si="96">C1356-D1356</f>
        <v>334000</v>
      </c>
      <c r="H1356">
        <f t="shared" ref="H1356:H1401" si="97">C1356/F1356</f>
        <v>1381200</v>
      </c>
      <c r="I1356">
        <f t="shared" ref="I1356:I1401" si="98">G1356/F1356</f>
        <v>133600</v>
      </c>
    </row>
    <row r="1357" spans="1:9">
      <c r="A1357" t="s">
        <v>14</v>
      </c>
      <c r="B1357" t="s">
        <v>18</v>
      </c>
      <c r="C1357">
        <v>2817000</v>
      </c>
      <c r="D1357">
        <v>3095000</v>
      </c>
      <c r="E1357" t="str">
        <f>VLOOKUP(B1357,Лист2!A:E,5,0)</f>
        <v>малые</v>
      </c>
      <c r="F1357">
        <f>VLOOKUP(B1357,Лист2!A:E,4,0)</f>
        <v>2.5</v>
      </c>
      <c r="G1357">
        <f t="shared" si="96"/>
        <v>-278000</v>
      </c>
      <c r="H1357">
        <f t="shared" si="97"/>
        <v>1126800</v>
      </c>
      <c r="I1357">
        <f t="shared" si="98"/>
        <v>-111200</v>
      </c>
    </row>
    <row r="1358" spans="1:9">
      <c r="A1358" t="s">
        <v>14</v>
      </c>
      <c r="B1358" t="s">
        <v>18</v>
      </c>
      <c r="C1358">
        <v>101586000</v>
      </c>
      <c r="D1358">
        <v>97996000</v>
      </c>
      <c r="E1358" t="str">
        <f>VLOOKUP(B1358,Лист2!A:E,5,0)</f>
        <v>малые</v>
      </c>
      <c r="F1358">
        <f>VLOOKUP(B1358,Лист2!A:E,4,0)</f>
        <v>2.5</v>
      </c>
      <c r="G1358">
        <f t="shared" si="96"/>
        <v>3590000</v>
      </c>
      <c r="H1358">
        <f t="shared" si="97"/>
        <v>40634400</v>
      </c>
      <c r="I1358">
        <f t="shared" si="98"/>
        <v>1436000</v>
      </c>
    </row>
    <row r="1359" spans="1:9">
      <c r="A1359" t="s">
        <v>14</v>
      </c>
      <c r="B1359" t="s">
        <v>18</v>
      </c>
      <c r="C1359">
        <v>388000</v>
      </c>
      <c r="D1359">
        <v>454000</v>
      </c>
      <c r="E1359" t="str">
        <f>VLOOKUP(B1359,Лист2!A:E,5,0)</f>
        <v>малые</v>
      </c>
      <c r="F1359">
        <f>VLOOKUP(B1359,Лист2!A:E,4,0)</f>
        <v>2.5</v>
      </c>
      <c r="G1359">
        <f t="shared" si="96"/>
        <v>-66000</v>
      </c>
      <c r="H1359">
        <f t="shared" si="97"/>
        <v>155200</v>
      </c>
      <c r="I1359">
        <f t="shared" si="98"/>
        <v>-26400</v>
      </c>
    </row>
    <row r="1360" spans="1:9">
      <c r="A1360" t="s">
        <v>14</v>
      </c>
      <c r="B1360" t="s">
        <v>22</v>
      </c>
      <c r="C1360">
        <v>17659000</v>
      </c>
      <c r="D1360">
        <v>16839000</v>
      </c>
      <c r="E1360" t="str">
        <f>VLOOKUP(B1360,Лист2!A:E,5,0)</f>
        <v>малые</v>
      </c>
      <c r="F1360">
        <f>VLOOKUP(B1360,Лист2!A:E,4,0)</f>
        <v>13</v>
      </c>
      <c r="G1360">
        <f t="shared" si="96"/>
        <v>820000</v>
      </c>
      <c r="H1360">
        <f t="shared" si="97"/>
        <v>1358384.6153846155</v>
      </c>
      <c r="I1360">
        <f t="shared" si="98"/>
        <v>63076.923076923078</v>
      </c>
    </row>
    <row r="1361" spans="1:9">
      <c r="A1361" t="s">
        <v>3796</v>
      </c>
      <c r="B1361" t="s">
        <v>18</v>
      </c>
      <c r="C1361">
        <v>3148000</v>
      </c>
      <c r="D1361">
        <v>2915000</v>
      </c>
      <c r="E1361" t="str">
        <f>VLOOKUP(B1361,Лист2!A:E,5,0)</f>
        <v>малые</v>
      </c>
      <c r="F1361">
        <f>VLOOKUP(B1361,Лист2!A:E,4,0)</f>
        <v>2.5</v>
      </c>
      <c r="G1361">
        <f t="shared" si="96"/>
        <v>233000</v>
      </c>
      <c r="H1361">
        <f t="shared" si="97"/>
        <v>1259200</v>
      </c>
      <c r="I1361">
        <f t="shared" si="98"/>
        <v>93200</v>
      </c>
    </row>
    <row r="1362" spans="1:9">
      <c r="A1362" t="s">
        <v>25</v>
      </c>
      <c r="B1362" t="s">
        <v>18</v>
      </c>
      <c r="C1362">
        <v>455000</v>
      </c>
      <c r="D1362">
        <v>602000</v>
      </c>
      <c r="E1362" t="str">
        <f>VLOOKUP(B1362,Лист2!A:E,5,0)</f>
        <v>малые</v>
      </c>
      <c r="F1362">
        <f>VLOOKUP(B1362,Лист2!A:E,4,0)</f>
        <v>2.5</v>
      </c>
      <c r="G1362">
        <f t="shared" si="96"/>
        <v>-147000</v>
      </c>
      <c r="H1362">
        <f t="shared" si="97"/>
        <v>182000</v>
      </c>
      <c r="I1362">
        <f t="shared" si="98"/>
        <v>-58800</v>
      </c>
    </row>
    <row r="1363" spans="1:9">
      <c r="A1363" t="s">
        <v>14</v>
      </c>
      <c r="B1363" t="s">
        <v>18</v>
      </c>
      <c r="C1363">
        <v>850000</v>
      </c>
      <c r="D1363">
        <v>850000</v>
      </c>
      <c r="E1363" t="str">
        <f>VLOOKUP(B1363,Лист2!A:E,5,0)</f>
        <v>малые</v>
      </c>
      <c r="F1363">
        <f>VLOOKUP(B1363,Лист2!A:E,4,0)</f>
        <v>2.5</v>
      </c>
      <c r="G1363">
        <f t="shared" si="96"/>
        <v>0</v>
      </c>
      <c r="H1363">
        <f t="shared" si="97"/>
        <v>340000</v>
      </c>
      <c r="I1363">
        <f t="shared" si="98"/>
        <v>0</v>
      </c>
    </row>
    <row r="1364" spans="1:9">
      <c r="A1364" t="s">
        <v>14</v>
      </c>
      <c r="B1364" t="s">
        <v>18</v>
      </c>
      <c r="C1364">
        <v>264000</v>
      </c>
      <c r="D1364">
        <v>259000</v>
      </c>
      <c r="E1364" t="str">
        <f>VLOOKUP(B1364,Лист2!A:E,5,0)</f>
        <v>малые</v>
      </c>
      <c r="F1364">
        <f>VLOOKUP(B1364,Лист2!A:E,4,0)</f>
        <v>2.5</v>
      </c>
      <c r="G1364">
        <f t="shared" si="96"/>
        <v>5000</v>
      </c>
      <c r="H1364">
        <f t="shared" si="97"/>
        <v>105600</v>
      </c>
      <c r="I1364">
        <f t="shared" si="98"/>
        <v>2000</v>
      </c>
    </row>
    <row r="1365" spans="1:9">
      <c r="A1365" t="s">
        <v>14</v>
      </c>
      <c r="B1365" t="s">
        <v>18</v>
      </c>
      <c r="C1365">
        <v>4985000</v>
      </c>
      <c r="D1365">
        <v>4969000</v>
      </c>
      <c r="E1365" t="str">
        <f>VLOOKUP(B1365,Лист2!A:E,5,0)</f>
        <v>малые</v>
      </c>
      <c r="F1365">
        <f>VLOOKUP(B1365,Лист2!A:E,4,0)</f>
        <v>2.5</v>
      </c>
      <c r="G1365">
        <f t="shared" si="96"/>
        <v>16000</v>
      </c>
      <c r="H1365">
        <f t="shared" si="97"/>
        <v>1994000</v>
      </c>
      <c r="I1365">
        <f t="shared" si="98"/>
        <v>6400</v>
      </c>
    </row>
    <row r="1366" spans="1:9">
      <c r="A1366" t="s">
        <v>14</v>
      </c>
      <c r="B1366" t="s">
        <v>18</v>
      </c>
      <c r="C1366">
        <v>9959000</v>
      </c>
      <c r="D1366">
        <v>8422000</v>
      </c>
      <c r="E1366" t="str">
        <f>VLOOKUP(B1366,Лист2!A:E,5,0)</f>
        <v>малые</v>
      </c>
      <c r="F1366">
        <f>VLOOKUP(B1366,Лист2!A:E,4,0)</f>
        <v>2.5</v>
      </c>
      <c r="G1366">
        <f t="shared" si="96"/>
        <v>1537000</v>
      </c>
      <c r="H1366">
        <f t="shared" si="97"/>
        <v>3983600</v>
      </c>
      <c r="I1366">
        <f t="shared" si="98"/>
        <v>614800</v>
      </c>
    </row>
    <row r="1367" spans="1:9">
      <c r="A1367" t="s">
        <v>14</v>
      </c>
      <c r="B1367" t="s">
        <v>18</v>
      </c>
      <c r="C1367">
        <v>18041000</v>
      </c>
      <c r="D1367">
        <v>16722000</v>
      </c>
      <c r="E1367" t="str">
        <f>VLOOKUP(B1367,Лист2!A:E,5,0)</f>
        <v>малые</v>
      </c>
      <c r="F1367">
        <f>VLOOKUP(B1367,Лист2!A:E,4,0)</f>
        <v>2.5</v>
      </c>
      <c r="G1367">
        <f t="shared" si="96"/>
        <v>1319000</v>
      </c>
      <c r="H1367">
        <f t="shared" si="97"/>
        <v>7216400</v>
      </c>
      <c r="I1367">
        <f t="shared" si="98"/>
        <v>527600</v>
      </c>
    </row>
    <row r="1368" spans="1:9">
      <c r="A1368" t="s">
        <v>14</v>
      </c>
      <c r="B1368" t="s">
        <v>18</v>
      </c>
      <c r="C1368">
        <v>9634000</v>
      </c>
      <c r="D1368">
        <v>9133000</v>
      </c>
      <c r="E1368" t="str">
        <f>VLOOKUP(B1368,Лист2!A:E,5,0)</f>
        <v>малые</v>
      </c>
      <c r="F1368">
        <f>VLOOKUP(B1368,Лист2!A:E,4,0)</f>
        <v>2.5</v>
      </c>
      <c r="G1368">
        <f t="shared" si="96"/>
        <v>501000</v>
      </c>
      <c r="H1368">
        <f t="shared" si="97"/>
        <v>3853600</v>
      </c>
      <c r="I1368">
        <f t="shared" si="98"/>
        <v>200400</v>
      </c>
    </row>
    <row r="1369" spans="1:9">
      <c r="A1369" t="s">
        <v>14</v>
      </c>
      <c r="B1369" t="s">
        <v>18</v>
      </c>
      <c r="C1369">
        <v>1985000</v>
      </c>
      <c r="D1369">
        <v>1821000</v>
      </c>
      <c r="E1369" t="str">
        <f>VLOOKUP(B1369,Лист2!A:E,5,0)</f>
        <v>малые</v>
      </c>
      <c r="F1369">
        <f>VLOOKUP(B1369,Лист2!A:E,4,0)</f>
        <v>2.5</v>
      </c>
      <c r="G1369">
        <f t="shared" si="96"/>
        <v>164000</v>
      </c>
      <c r="H1369">
        <f t="shared" si="97"/>
        <v>794000</v>
      </c>
      <c r="I1369">
        <f t="shared" si="98"/>
        <v>65600</v>
      </c>
    </row>
    <row r="1370" spans="1:9">
      <c r="A1370" t="s">
        <v>14</v>
      </c>
      <c r="B1370" t="s">
        <v>18</v>
      </c>
      <c r="C1370">
        <v>10000</v>
      </c>
      <c r="D1370">
        <v>10000</v>
      </c>
      <c r="E1370" t="str">
        <f>VLOOKUP(B1370,Лист2!A:E,5,0)</f>
        <v>малые</v>
      </c>
      <c r="F1370">
        <f>VLOOKUP(B1370,Лист2!A:E,4,0)</f>
        <v>2.5</v>
      </c>
      <c r="G1370">
        <f t="shared" si="96"/>
        <v>0</v>
      </c>
      <c r="H1370">
        <f t="shared" si="97"/>
        <v>4000</v>
      </c>
      <c r="I1370">
        <f t="shared" si="98"/>
        <v>0</v>
      </c>
    </row>
    <row r="1371" spans="1:9">
      <c r="A1371" t="s">
        <v>14</v>
      </c>
      <c r="B1371" t="s">
        <v>18</v>
      </c>
      <c r="C1371">
        <v>532000</v>
      </c>
      <c r="D1371">
        <v>399000</v>
      </c>
      <c r="E1371" t="str">
        <f>VLOOKUP(B1371,Лист2!A:E,5,0)</f>
        <v>малые</v>
      </c>
      <c r="F1371">
        <f>VLOOKUP(B1371,Лист2!A:E,4,0)</f>
        <v>2.5</v>
      </c>
      <c r="G1371">
        <f t="shared" si="96"/>
        <v>133000</v>
      </c>
      <c r="H1371">
        <f t="shared" si="97"/>
        <v>212800</v>
      </c>
      <c r="I1371">
        <f t="shared" si="98"/>
        <v>53200</v>
      </c>
    </row>
    <row r="1372" spans="1:9">
      <c r="A1372" t="s">
        <v>14</v>
      </c>
      <c r="B1372" t="s">
        <v>18</v>
      </c>
      <c r="C1372">
        <v>44412000</v>
      </c>
      <c r="D1372">
        <v>42630000</v>
      </c>
      <c r="E1372" t="str">
        <f>VLOOKUP(B1372,Лист2!A:E,5,0)</f>
        <v>малые</v>
      </c>
      <c r="F1372">
        <f>VLOOKUP(B1372,Лист2!A:E,4,0)</f>
        <v>2.5</v>
      </c>
      <c r="G1372">
        <f t="shared" si="96"/>
        <v>1782000</v>
      </c>
      <c r="H1372">
        <f t="shared" si="97"/>
        <v>17764800</v>
      </c>
      <c r="I1372">
        <f t="shared" si="98"/>
        <v>712800</v>
      </c>
    </row>
    <row r="1373" spans="1:9">
      <c r="A1373" t="s">
        <v>25</v>
      </c>
      <c r="B1373" t="s">
        <v>18</v>
      </c>
      <c r="C1373">
        <v>227000</v>
      </c>
      <c r="D1373">
        <v>201000</v>
      </c>
      <c r="E1373" t="str">
        <f>VLOOKUP(B1373,Лист2!A:E,5,0)</f>
        <v>малые</v>
      </c>
      <c r="F1373">
        <f>VLOOKUP(B1373,Лист2!A:E,4,0)</f>
        <v>2.5</v>
      </c>
      <c r="G1373">
        <f t="shared" si="96"/>
        <v>26000</v>
      </c>
      <c r="H1373">
        <f t="shared" si="97"/>
        <v>90800</v>
      </c>
      <c r="I1373">
        <f t="shared" si="98"/>
        <v>10400</v>
      </c>
    </row>
    <row r="1374" spans="1:9">
      <c r="A1374" t="s">
        <v>25</v>
      </c>
      <c r="B1374" t="s">
        <v>18</v>
      </c>
      <c r="C1374">
        <v>1598000</v>
      </c>
      <c r="D1374">
        <v>1380000</v>
      </c>
      <c r="E1374" t="str">
        <f>VLOOKUP(B1374,Лист2!A:E,5,0)</f>
        <v>малые</v>
      </c>
      <c r="F1374">
        <f>VLOOKUP(B1374,Лист2!A:E,4,0)</f>
        <v>2.5</v>
      </c>
      <c r="G1374">
        <f t="shared" si="96"/>
        <v>218000</v>
      </c>
      <c r="H1374">
        <f t="shared" si="97"/>
        <v>639200</v>
      </c>
      <c r="I1374">
        <f t="shared" si="98"/>
        <v>87200</v>
      </c>
    </row>
    <row r="1375" spans="1:9">
      <c r="A1375" t="s">
        <v>25</v>
      </c>
      <c r="B1375" t="s">
        <v>18</v>
      </c>
      <c r="C1375">
        <v>1673000</v>
      </c>
      <c r="D1375">
        <v>1756000</v>
      </c>
      <c r="E1375" t="str">
        <f>VLOOKUP(B1375,Лист2!A:E,5,0)</f>
        <v>малые</v>
      </c>
      <c r="F1375">
        <f>VLOOKUP(B1375,Лист2!A:E,4,0)</f>
        <v>2.5</v>
      </c>
      <c r="G1375">
        <f t="shared" si="96"/>
        <v>-83000</v>
      </c>
      <c r="H1375">
        <f t="shared" si="97"/>
        <v>669200</v>
      </c>
      <c r="I1375">
        <f t="shared" si="98"/>
        <v>-33200</v>
      </c>
    </row>
    <row r="1376" spans="1:9">
      <c r="A1376" t="s">
        <v>25</v>
      </c>
      <c r="B1376" t="s">
        <v>18</v>
      </c>
      <c r="C1376">
        <v>380000</v>
      </c>
      <c r="D1376">
        <v>346000</v>
      </c>
      <c r="E1376" t="str">
        <f>VLOOKUP(B1376,Лист2!A:E,5,0)</f>
        <v>малые</v>
      </c>
      <c r="F1376">
        <f>VLOOKUP(B1376,Лист2!A:E,4,0)</f>
        <v>2.5</v>
      </c>
      <c r="G1376">
        <f t="shared" si="96"/>
        <v>34000</v>
      </c>
      <c r="H1376">
        <f t="shared" si="97"/>
        <v>152000</v>
      </c>
      <c r="I1376">
        <f t="shared" si="98"/>
        <v>13600</v>
      </c>
    </row>
    <row r="1377" spans="1:9">
      <c r="A1377" t="s">
        <v>25</v>
      </c>
      <c r="B1377" t="s">
        <v>18</v>
      </c>
      <c r="C1377">
        <v>894000</v>
      </c>
      <c r="D1377">
        <v>903000</v>
      </c>
      <c r="E1377" t="str">
        <f>VLOOKUP(B1377,Лист2!A:E,5,0)</f>
        <v>малые</v>
      </c>
      <c r="F1377">
        <f>VLOOKUP(B1377,Лист2!A:E,4,0)</f>
        <v>2.5</v>
      </c>
      <c r="G1377">
        <f t="shared" si="96"/>
        <v>-9000</v>
      </c>
      <c r="H1377">
        <f t="shared" si="97"/>
        <v>357600</v>
      </c>
      <c r="I1377">
        <f t="shared" si="98"/>
        <v>-3600</v>
      </c>
    </row>
    <row r="1378" spans="1:9">
      <c r="A1378" t="s">
        <v>25</v>
      </c>
      <c r="B1378" t="s">
        <v>18</v>
      </c>
      <c r="C1378">
        <v>312000</v>
      </c>
      <c r="D1378">
        <v>293000</v>
      </c>
      <c r="E1378" t="str">
        <f>VLOOKUP(B1378,Лист2!A:E,5,0)</f>
        <v>малые</v>
      </c>
      <c r="F1378">
        <f>VLOOKUP(B1378,Лист2!A:E,4,0)</f>
        <v>2.5</v>
      </c>
      <c r="G1378">
        <f t="shared" si="96"/>
        <v>19000</v>
      </c>
      <c r="H1378">
        <f t="shared" si="97"/>
        <v>124800</v>
      </c>
      <c r="I1378">
        <f t="shared" si="98"/>
        <v>7600</v>
      </c>
    </row>
    <row r="1379" spans="1:9">
      <c r="A1379" t="s">
        <v>25</v>
      </c>
      <c r="B1379" t="s">
        <v>18</v>
      </c>
      <c r="C1379">
        <v>1654000</v>
      </c>
      <c r="D1379">
        <v>1993000</v>
      </c>
      <c r="E1379" t="str">
        <f>VLOOKUP(B1379,Лист2!A:E,5,0)</f>
        <v>малые</v>
      </c>
      <c r="F1379">
        <f>VLOOKUP(B1379,Лист2!A:E,4,0)</f>
        <v>2.5</v>
      </c>
      <c r="G1379">
        <f t="shared" si="96"/>
        <v>-339000</v>
      </c>
      <c r="H1379">
        <f t="shared" si="97"/>
        <v>661600</v>
      </c>
      <c r="I1379">
        <f t="shared" si="98"/>
        <v>-135600</v>
      </c>
    </row>
    <row r="1380" spans="1:9">
      <c r="A1380" t="s">
        <v>25</v>
      </c>
      <c r="B1380" t="s">
        <v>18</v>
      </c>
      <c r="C1380">
        <v>90000</v>
      </c>
      <c r="D1380">
        <v>90000</v>
      </c>
      <c r="E1380" t="str">
        <f>VLOOKUP(B1380,Лист2!A:E,5,0)</f>
        <v>малые</v>
      </c>
      <c r="F1380">
        <f>VLOOKUP(B1380,Лист2!A:E,4,0)</f>
        <v>2.5</v>
      </c>
      <c r="G1380">
        <f t="shared" si="96"/>
        <v>0</v>
      </c>
      <c r="H1380">
        <f t="shared" si="97"/>
        <v>36000</v>
      </c>
      <c r="I1380">
        <f t="shared" si="98"/>
        <v>0</v>
      </c>
    </row>
    <row r="1381" spans="1:9">
      <c r="A1381" t="s">
        <v>14</v>
      </c>
      <c r="B1381" t="s">
        <v>18</v>
      </c>
      <c r="C1381">
        <v>652000</v>
      </c>
      <c r="D1381">
        <v>558000</v>
      </c>
      <c r="E1381" t="str">
        <f>VLOOKUP(B1381,Лист2!A:E,5,0)</f>
        <v>малые</v>
      </c>
      <c r="F1381">
        <f>VLOOKUP(B1381,Лист2!A:E,4,0)</f>
        <v>2.5</v>
      </c>
      <c r="G1381">
        <f t="shared" si="96"/>
        <v>94000</v>
      </c>
      <c r="H1381">
        <f t="shared" si="97"/>
        <v>260800</v>
      </c>
      <c r="I1381">
        <f t="shared" si="98"/>
        <v>37600</v>
      </c>
    </row>
    <row r="1382" spans="1:9">
      <c r="A1382" t="s">
        <v>14</v>
      </c>
      <c r="B1382" t="s">
        <v>18</v>
      </c>
      <c r="C1382">
        <v>6832000</v>
      </c>
      <c r="D1382">
        <v>6658000</v>
      </c>
      <c r="E1382" t="str">
        <f>VLOOKUP(B1382,Лист2!A:E,5,0)</f>
        <v>малые</v>
      </c>
      <c r="F1382">
        <f>VLOOKUP(B1382,Лист2!A:E,4,0)</f>
        <v>2.5</v>
      </c>
      <c r="G1382">
        <f t="shared" si="96"/>
        <v>174000</v>
      </c>
      <c r="H1382">
        <f t="shared" si="97"/>
        <v>2732800</v>
      </c>
      <c r="I1382">
        <f t="shared" si="98"/>
        <v>69600</v>
      </c>
    </row>
    <row r="1383" spans="1:9">
      <c r="A1383" t="s">
        <v>25</v>
      </c>
      <c r="B1383" t="s">
        <v>22</v>
      </c>
      <c r="C1383">
        <v>649800000</v>
      </c>
      <c r="D1383">
        <v>476535000</v>
      </c>
      <c r="E1383" t="str">
        <f>VLOOKUP(B1383,Лист2!A:E,5,0)</f>
        <v>малые</v>
      </c>
      <c r="F1383">
        <f>VLOOKUP(B1383,Лист2!A:E,4,0)</f>
        <v>13</v>
      </c>
      <c r="G1383">
        <f t="shared" si="96"/>
        <v>173265000</v>
      </c>
      <c r="H1383">
        <f t="shared" si="97"/>
        <v>49984615.384615384</v>
      </c>
      <c r="I1383">
        <f t="shared" si="98"/>
        <v>13328076.923076924</v>
      </c>
    </row>
    <row r="1384" spans="1:9">
      <c r="A1384" t="s">
        <v>14</v>
      </c>
      <c r="B1384" t="s">
        <v>18</v>
      </c>
      <c r="C1384">
        <v>342000</v>
      </c>
      <c r="D1384">
        <v>310000</v>
      </c>
      <c r="E1384" t="str">
        <f>VLOOKUP(B1384,Лист2!A:E,5,0)</f>
        <v>малые</v>
      </c>
      <c r="F1384">
        <f>VLOOKUP(B1384,Лист2!A:E,4,0)</f>
        <v>2.5</v>
      </c>
      <c r="G1384">
        <f t="shared" si="96"/>
        <v>32000</v>
      </c>
      <c r="H1384">
        <f t="shared" si="97"/>
        <v>136800</v>
      </c>
      <c r="I1384">
        <f t="shared" si="98"/>
        <v>12800</v>
      </c>
    </row>
    <row r="1385" spans="1:9">
      <c r="A1385" t="s">
        <v>25</v>
      </c>
      <c r="B1385" t="s">
        <v>18</v>
      </c>
      <c r="C1385">
        <v>7500000</v>
      </c>
      <c r="D1385">
        <v>8164000</v>
      </c>
      <c r="E1385" t="str">
        <f>VLOOKUP(B1385,Лист2!A:E,5,0)</f>
        <v>малые</v>
      </c>
      <c r="F1385">
        <f>VLOOKUP(B1385,Лист2!A:E,4,0)</f>
        <v>2.5</v>
      </c>
      <c r="G1385">
        <f t="shared" si="96"/>
        <v>-664000</v>
      </c>
      <c r="H1385">
        <f t="shared" si="97"/>
        <v>3000000</v>
      </c>
      <c r="I1385">
        <f t="shared" si="98"/>
        <v>-265600</v>
      </c>
    </row>
    <row r="1386" spans="1:9">
      <c r="A1386" t="s">
        <v>14</v>
      </c>
      <c r="B1386" t="s">
        <v>18</v>
      </c>
      <c r="C1386">
        <v>536000</v>
      </c>
      <c r="D1386">
        <v>696000</v>
      </c>
      <c r="E1386" t="str">
        <f>VLOOKUP(B1386,Лист2!A:E,5,0)</f>
        <v>малые</v>
      </c>
      <c r="F1386">
        <f>VLOOKUP(B1386,Лист2!A:E,4,0)</f>
        <v>2.5</v>
      </c>
      <c r="G1386">
        <f t="shared" si="96"/>
        <v>-160000</v>
      </c>
      <c r="H1386">
        <f t="shared" si="97"/>
        <v>214400</v>
      </c>
      <c r="I1386">
        <f t="shared" si="98"/>
        <v>-64000</v>
      </c>
    </row>
    <row r="1387" spans="1:9">
      <c r="A1387" t="s">
        <v>14</v>
      </c>
      <c r="B1387" t="s">
        <v>18</v>
      </c>
      <c r="C1387">
        <v>4816000</v>
      </c>
      <c r="D1387">
        <v>2631000</v>
      </c>
      <c r="E1387" t="str">
        <f>VLOOKUP(B1387,Лист2!A:E,5,0)</f>
        <v>малые</v>
      </c>
      <c r="F1387">
        <f>VLOOKUP(B1387,Лист2!A:E,4,0)</f>
        <v>2.5</v>
      </c>
      <c r="G1387">
        <f t="shared" si="96"/>
        <v>2185000</v>
      </c>
      <c r="H1387">
        <f t="shared" si="97"/>
        <v>1926400</v>
      </c>
      <c r="I1387">
        <f t="shared" si="98"/>
        <v>874000</v>
      </c>
    </row>
    <row r="1388" spans="1:9">
      <c r="A1388" t="s">
        <v>14</v>
      </c>
      <c r="B1388" t="s">
        <v>18</v>
      </c>
      <c r="C1388">
        <v>327000</v>
      </c>
      <c r="D1388">
        <v>378000</v>
      </c>
      <c r="E1388" t="str">
        <f>VLOOKUP(B1388,Лист2!A:E,5,0)</f>
        <v>малые</v>
      </c>
      <c r="F1388">
        <f>VLOOKUP(B1388,Лист2!A:E,4,0)</f>
        <v>2.5</v>
      </c>
      <c r="G1388">
        <f t="shared" si="96"/>
        <v>-51000</v>
      </c>
      <c r="H1388">
        <f t="shared" si="97"/>
        <v>130800</v>
      </c>
      <c r="I1388">
        <f t="shared" si="98"/>
        <v>-20400</v>
      </c>
    </row>
    <row r="1389" spans="1:9">
      <c r="A1389" t="s">
        <v>14</v>
      </c>
      <c r="B1389" t="s">
        <v>22</v>
      </c>
      <c r="C1389">
        <v>5774000</v>
      </c>
      <c r="D1389">
        <v>5737000</v>
      </c>
      <c r="E1389" t="str">
        <f>VLOOKUP(B1389,Лист2!A:E,5,0)</f>
        <v>малые</v>
      </c>
      <c r="F1389">
        <f>VLOOKUP(B1389,Лист2!A:E,4,0)</f>
        <v>13</v>
      </c>
      <c r="G1389">
        <f t="shared" si="96"/>
        <v>37000</v>
      </c>
      <c r="H1389">
        <f t="shared" si="97"/>
        <v>444153.84615384613</v>
      </c>
      <c r="I1389">
        <f t="shared" si="98"/>
        <v>2846.1538461538462</v>
      </c>
    </row>
    <row r="1390" spans="1:9">
      <c r="A1390" t="s">
        <v>14</v>
      </c>
      <c r="B1390" t="s">
        <v>18</v>
      </c>
      <c r="C1390">
        <v>2313000</v>
      </c>
      <c r="D1390">
        <v>2336000</v>
      </c>
      <c r="E1390" t="str">
        <f>VLOOKUP(B1390,Лист2!A:E,5,0)</f>
        <v>малые</v>
      </c>
      <c r="F1390">
        <f>VLOOKUP(B1390,Лист2!A:E,4,0)</f>
        <v>2.5</v>
      </c>
      <c r="G1390">
        <f t="shared" si="96"/>
        <v>-23000</v>
      </c>
      <c r="H1390">
        <f t="shared" si="97"/>
        <v>925200</v>
      </c>
      <c r="I1390">
        <f t="shared" si="98"/>
        <v>-9200</v>
      </c>
    </row>
    <row r="1391" spans="1:9">
      <c r="A1391" t="s">
        <v>14</v>
      </c>
      <c r="B1391" t="s">
        <v>18</v>
      </c>
      <c r="C1391">
        <v>779000</v>
      </c>
      <c r="D1391">
        <v>1018000</v>
      </c>
      <c r="E1391" t="str">
        <f>VLOOKUP(B1391,Лист2!A:E,5,0)</f>
        <v>малые</v>
      </c>
      <c r="F1391">
        <f>VLOOKUP(B1391,Лист2!A:E,4,0)</f>
        <v>2.5</v>
      </c>
      <c r="G1391">
        <f t="shared" si="96"/>
        <v>-239000</v>
      </c>
      <c r="H1391">
        <f t="shared" si="97"/>
        <v>311600</v>
      </c>
      <c r="I1391">
        <f t="shared" si="98"/>
        <v>-95600</v>
      </c>
    </row>
    <row r="1392" spans="1:9">
      <c r="A1392" t="s">
        <v>14</v>
      </c>
      <c r="B1392" t="s">
        <v>18</v>
      </c>
      <c r="C1392">
        <v>155000</v>
      </c>
      <c r="D1392">
        <v>164000</v>
      </c>
      <c r="E1392" t="str">
        <f>VLOOKUP(B1392,Лист2!A:E,5,0)</f>
        <v>малые</v>
      </c>
      <c r="F1392">
        <f>VLOOKUP(B1392,Лист2!A:E,4,0)</f>
        <v>2.5</v>
      </c>
      <c r="G1392">
        <f t="shared" si="96"/>
        <v>-9000</v>
      </c>
      <c r="H1392">
        <f t="shared" si="97"/>
        <v>62000</v>
      </c>
      <c r="I1392">
        <f t="shared" si="98"/>
        <v>-3600</v>
      </c>
    </row>
    <row r="1393" spans="1:9">
      <c r="A1393" t="s">
        <v>14</v>
      </c>
      <c r="B1393" t="s">
        <v>18</v>
      </c>
      <c r="C1393">
        <v>2266000</v>
      </c>
      <c r="D1393">
        <v>2219000</v>
      </c>
      <c r="E1393" t="str">
        <f>VLOOKUP(B1393,Лист2!A:E,5,0)</f>
        <v>малые</v>
      </c>
      <c r="F1393">
        <f>VLOOKUP(B1393,Лист2!A:E,4,0)</f>
        <v>2.5</v>
      </c>
      <c r="G1393">
        <f t="shared" si="96"/>
        <v>47000</v>
      </c>
      <c r="H1393">
        <f t="shared" si="97"/>
        <v>906400</v>
      </c>
      <c r="I1393">
        <f t="shared" si="98"/>
        <v>18800</v>
      </c>
    </row>
    <row r="1394" spans="1:9">
      <c r="A1394" t="s">
        <v>14</v>
      </c>
      <c r="B1394" t="s">
        <v>77</v>
      </c>
      <c r="C1394">
        <v>25023000</v>
      </c>
      <c r="D1394">
        <v>26654000</v>
      </c>
      <c r="E1394" t="str">
        <f>VLOOKUP(B1394,Лист2!A:E,5,0)</f>
        <v>малые</v>
      </c>
      <c r="F1394">
        <f>VLOOKUP(B1394,Лист2!A:E,4,0)</f>
        <v>8</v>
      </c>
      <c r="G1394">
        <f t="shared" si="96"/>
        <v>-1631000</v>
      </c>
      <c r="H1394">
        <f t="shared" si="97"/>
        <v>3127875</v>
      </c>
      <c r="I1394">
        <f t="shared" si="98"/>
        <v>-203875</v>
      </c>
    </row>
    <row r="1395" spans="1:9">
      <c r="A1395" t="s">
        <v>14</v>
      </c>
      <c r="B1395" t="s">
        <v>18</v>
      </c>
      <c r="C1395">
        <v>300000</v>
      </c>
      <c r="D1395">
        <v>298000</v>
      </c>
      <c r="E1395" t="str">
        <f>VLOOKUP(B1395,Лист2!A:E,5,0)</f>
        <v>малые</v>
      </c>
      <c r="F1395">
        <f>VLOOKUP(B1395,Лист2!A:E,4,0)</f>
        <v>2.5</v>
      </c>
      <c r="G1395">
        <f t="shared" si="96"/>
        <v>2000</v>
      </c>
      <c r="H1395">
        <f t="shared" si="97"/>
        <v>120000</v>
      </c>
      <c r="I1395">
        <f t="shared" si="98"/>
        <v>800</v>
      </c>
    </row>
    <row r="1396" spans="1:9">
      <c r="A1396" t="s">
        <v>14</v>
      </c>
      <c r="B1396" t="s">
        <v>18</v>
      </c>
      <c r="C1396">
        <v>309615000</v>
      </c>
      <c r="D1396">
        <v>9840000</v>
      </c>
      <c r="E1396" t="str">
        <f>VLOOKUP(B1396,Лист2!A:E,5,0)</f>
        <v>малые</v>
      </c>
      <c r="F1396">
        <f>VLOOKUP(B1396,Лист2!A:E,4,0)</f>
        <v>2.5</v>
      </c>
      <c r="G1396">
        <f t="shared" si="96"/>
        <v>299775000</v>
      </c>
      <c r="H1396">
        <f t="shared" si="97"/>
        <v>123846000</v>
      </c>
      <c r="I1396">
        <f t="shared" si="98"/>
        <v>119910000</v>
      </c>
    </row>
    <row r="1397" spans="1:9">
      <c r="A1397" t="s">
        <v>25</v>
      </c>
      <c r="B1397" t="s">
        <v>18</v>
      </c>
      <c r="C1397">
        <v>79256000</v>
      </c>
      <c r="D1397">
        <v>66543000</v>
      </c>
      <c r="E1397" t="str">
        <f>VLOOKUP(B1397,Лист2!A:E,5,0)</f>
        <v>малые</v>
      </c>
      <c r="F1397">
        <f>VLOOKUP(B1397,Лист2!A:E,4,0)</f>
        <v>2.5</v>
      </c>
      <c r="G1397">
        <f t="shared" si="96"/>
        <v>12713000</v>
      </c>
      <c r="H1397">
        <f t="shared" si="97"/>
        <v>31702400</v>
      </c>
      <c r="I1397">
        <f t="shared" si="98"/>
        <v>5085200</v>
      </c>
    </row>
    <row r="1398" spans="1:9">
      <c r="A1398" t="s">
        <v>14</v>
      </c>
      <c r="B1398" t="s">
        <v>18</v>
      </c>
      <c r="C1398">
        <v>536000</v>
      </c>
      <c r="D1398">
        <v>765000</v>
      </c>
      <c r="E1398" t="str">
        <f>VLOOKUP(B1398,Лист2!A:E,5,0)</f>
        <v>малые</v>
      </c>
      <c r="F1398">
        <f>VLOOKUP(B1398,Лист2!A:E,4,0)</f>
        <v>2.5</v>
      </c>
      <c r="G1398">
        <f t="shared" si="96"/>
        <v>-229000</v>
      </c>
      <c r="H1398">
        <f t="shared" si="97"/>
        <v>214400</v>
      </c>
      <c r="I1398">
        <f t="shared" si="98"/>
        <v>-91600</v>
      </c>
    </row>
    <row r="1399" spans="1:9">
      <c r="A1399" t="s">
        <v>25</v>
      </c>
      <c r="B1399" t="s">
        <v>18</v>
      </c>
      <c r="C1399">
        <v>1653000</v>
      </c>
      <c r="D1399">
        <v>476000</v>
      </c>
      <c r="E1399" t="str">
        <f>VLOOKUP(B1399,Лист2!A:E,5,0)</f>
        <v>малые</v>
      </c>
      <c r="F1399">
        <f>VLOOKUP(B1399,Лист2!A:E,4,0)</f>
        <v>2.5</v>
      </c>
      <c r="G1399">
        <f t="shared" si="96"/>
        <v>1177000</v>
      </c>
      <c r="H1399">
        <f t="shared" si="97"/>
        <v>661200</v>
      </c>
      <c r="I1399">
        <f t="shared" si="98"/>
        <v>470800</v>
      </c>
    </row>
    <row r="1400" spans="1:9">
      <c r="A1400" t="s">
        <v>14</v>
      </c>
      <c r="B1400" t="s">
        <v>18</v>
      </c>
      <c r="C1400">
        <v>640000</v>
      </c>
      <c r="D1400">
        <v>611000</v>
      </c>
      <c r="E1400" t="str">
        <f>VLOOKUP(B1400,Лист2!A:E,5,0)</f>
        <v>малые</v>
      </c>
      <c r="F1400">
        <f>VLOOKUP(B1400,Лист2!A:E,4,0)</f>
        <v>2.5</v>
      </c>
      <c r="G1400">
        <f t="shared" si="96"/>
        <v>29000</v>
      </c>
      <c r="H1400">
        <f t="shared" si="97"/>
        <v>256000</v>
      </c>
      <c r="I1400">
        <f t="shared" si="98"/>
        <v>11600</v>
      </c>
    </row>
    <row r="1401" spans="1:9">
      <c r="A1401" t="s">
        <v>14</v>
      </c>
      <c r="B1401" t="s">
        <v>18</v>
      </c>
      <c r="C1401">
        <v>3148000</v>
      </c>
      <c r="D1401">
        <v>2982000</v>
      </c>
      <c r="E1401" t="str">
        <f>VLOOKUP(B1401,Лист2!A:E,5,0)</f>
        <v>малые</v>
      </c>
      <c r="F1401">
        <f>VLOOKUP(B1401,Лист2!A:E,4,0)</f>
        <v>2.5</v>
      </c>
      <c r="G1401">
        <f t="shared" si="96"/>
        <v>166000</v>
      </c>
      <c r="H1401">
        <f t="shared" si="97"/>
        <v>1259200</v>
      </c>
      <c r="I1401">
        <f t="shared" si="98"/>
        <v>66400</v>
      </c>
    </row>
    <row r="1402" spans="1:9">
      <c r="A1402" t="s">
        <v>14</v>
      </c>
      <c r="B1402" t="s">
        <v>18</v>
      </c>
      <c r="C1402">
        <v>42742000</v>
      </c>
      <c r="D1402">
        <v>42742000</v>
      </c>
      <c r="E1402" t="str">
        <f>VLOOKUP(B1402,Лист2!A:E,5,0)</f>
        <v>малые</v>
      </c>
      <c r="F1402">
        <f>VLOOKUP(B1402,Лист2!A:E,4,0)</f>
        <v>2.5</v>
      </c>
      <c r="G1402">
        <f t="shared" ref="G1402:G1439" si="99">C1402-D1402</f>
        <v>0</v>
      </c>
      <c r="H1402">
        <f t="shared" ref="H1402:H1439" si="100">C1402/F1402</f>
        <v>17096800</v>
      </c>
      <c r="I1402">
        <f t="shared" ref="I1402:I1439" si="101">G1402/F1402</f>
        <v>0</v>
      </c>
    </row>
    <row r="1403" spans="1:9">
      <c r="A1403" t="s">
        <v>14</v>
      </c>
      <c r="B1403" t="s">
        <v>18</v>
      </c>
      <c r="C1403">
        <v>52000</v>
      </c>
      <c r="D1403">
        <v>52000</v>
      </c>
      <c r="E1403" t="str">
        <f>VLOOKUP(B1403,Лист2!A:E,5,0)</f>
        <v>малые</v>
      </c>
      <c r="F1403">
        <f>VLOOKUP(B1403,Лист2!A:E,4,0)</f>
        <v>2.5</v>
      </c>
      <c r="G1403">
        <f t="shared" si="99"/>
        <v>0</v>
      </c>
      <c r="H1403">
        <f t="shared" si="100"/>
        <v>20800</v>
      </c>
      <c r="I1403">
        <f t="shared" si="101"/>
        <v>0</v>
      </c>
    </row>
    <row r="1404" spans="1:9">
      <c r="A1404" t="s">
        <v>14</v>
      </c>
      <c r="B1404" t="s">
        <v>18</v>
      </c>
      <c r="C1404">
        <v>15311000</v>
      </c>
      <c r="D1404">
        <v>15303000</v>
      </c>
      <c r="E1404" t="str">
        <f>VLOOKUP(B1404,Лист2!A:E,5,0)</f>
        <v>малые</v>
      </c>
      <c r="F1404">
        <f>VLOOKUP(B1404,Лист2!A:E,4,0)</f>
        <v>2.5</v>
      </c>
      <c r="G1404">
        <f t="shared" si="99"/>
        <v>8000</v>
      </c>
      <c r="H1404">
        <f t="shared" si="100"/>
        <v>6124400</v>
      </c>
      <c r="I1404">
        <f t="shared" si="101"/>
        <v>3200</v>
      </c>
    </row>
    <row r="1405" spans="1:9">
      <c r="A1405" t="s">
        <v>14</v>
      </c>
      <c r="B1405" t="s">
        <v>18</v>
      </c>
      <c r="C1405">
        <v>14011000</v>
      </c>
      <c r="D1405">
        <v>14322000</v>
      </c>
      <c r="E1405" t="str">
        <f>VLOOKUP(B1405,Лист2!A:E,5,0)</f>
        <v>малые</v>
      </c>
      <c r="F1405">
        <f>VLOOKUP(B1405,Лист2!A:E,4,0)</f>
        <v>2.5</v>
      </c>
      <c r="G1405">
        <f t="shared" si="99"/>
        <v>-311000</v>
      </c>
      <c r="H1405">
        <f t="shared" si="100"/>
        <v>5604400</v>
      </c>
      <c r="I1405">
        <f t="shared" si="101"/>
        <v>-124400</v>
      </c>
    </row>
    <row r="1406" spans="1:9">
      <c r="A1406" t="s">
        <v>14</v>
      </c>
      <c r="B1406" t="s">
        <v>23</v>
      </c>
      <c r="C1406">
        <v>9297000</v>
      </c>
      <c r="D1406">
        <v>7709000</v>
      </c>
      <c r="E1406" t="str">
        <f>VLOOKUP(B1406,Лист2!A:E,5,0)</f>
        <v>средние</v>
      </c>
      <c r="F1406">
        <f>VLOOKUP(B1406,Лист2!A:E,4,0)</f>
        <v>75.5</v>
      </c>
      <c r="G1406">
        <f t="shared" si="99"/>
        <v>1588000</v>
      </c>
      <c r="H1406">
        <f t="shared" si="100"/>
        <v>123139.07284768212</v>
      </c>
      <c r="I1406">
        <f t="shared" si="101"/>
        <v>21033.112582781458</v>
      </c>
    </row>
    <row r="1407" spans="1:9">
      <c r="A1407" t="s">
        <v>14</v>
      </c>
      <c r="B1407" t="s">
        <v>18</v>
      </c>
      <c r="C1407">
        <v>1142000</v>
      </c>
      <c r="D1407">
        <v>1065000</v>
      </c>
      <c r="E1407" t="str">
        <f>VLOOKUP(B1407,Лист2!A:E,5,0)</f>
        <v>малые</v>
      </c>
      <c r="F1407">
        <f>VLOOKUP(B1407,Лист2!A:E,4,0)</f>
        <v>2.5</v>
      </c>
      <c r="G1407">
        <f t="shared" si="99"/>
        <v>77000</v>
      </c>
      <c r="H1407">
        <f t="shared" si="100"/>
        <v>456800</v>
      </c>
      <c r="I1407">
        <f t="shared" si="101"/>
        <v>30800</v>
      </c>
    </row>
    <row r="1408" spans="1:9">
      <c r="A1408" t="s">
        <v>14</v>
      </c>
      <c r="B1408" t="s">
        <v>18</v>
      </c>
      <c r="C1408">
        <v>2000</v>
      </c>
      <c r="D1408">
        <v>2000</v>
      </c>
      <c r="E1408" t="str">
        <f>VLOOKUP(B1408,Лист2!A:E,5,0)</f>
        <v>малые</v>
      </c>
      <c r="F1408">
        <f>VLOOKUP(B1408,Лист2!A:E,4,0)</f>
        <v>2.5</v>
      </c>
      <c r="G1408">
        <f t="shared" si="99"/>
        <v>0</v>
      </c>
      <c r="H1408">
        <f t="shared" si="100"/>
        <v>800</v>
      </c>
      <c r="I1408">
        <f t="shared" si="101"/>
        <v>0</v>
      </c>
    </row>
    <row r="1409" spans="1:9">
      <c r="A1409" t="s">
        <v>14</v>
      </c>
      <c r="B1409" t="s">
        <v>22</v>
      </c>
      <c r="C1409">
        <v>3003000</v>
      </c>
      <c r="D1409">
        <v>2938000</v>
      </c>
      <c r="E1409" t="str">
        <f>VLOOKUP(B1409,Лист2!A:E,5,0)</f>
        <v>малые</v>
      </c>
      <c r="F1409">
        <f>VLOOKUP(B1409,Лист2!A:E,4,0)</f>
        <v>13</v>
      </c>
      <c r="G1409">
        <f t="shared" si="99"/>
        <v>65000</v>
      </c>
      <c r="H1409">
        <f t="shared" si="100"/>
        <v>231000</v>
      </c>
      <c r="I1409">
        <f t="shared" si="101"/>
        <v>5000</v>
      </c>
    </row>
    <row r="1410" spans="1:9">
      <c r="A1410" t="s">
        <v>25</v>
      </c>
      <c r="B1410" t="s">
        <v>18</v>
      </c>
      <c r="C1410">
        <v>54000</v>
      </c>
      <c r="D1410">
        <v>60000</v>
      </c>
      <c r="E1410" t="str">
        <f>VLOOKUP(B1410,Лист2!A:E,5,0)</f>
        <v>малые</v>
      </c>
      <c r="F1410">
        <f>VLOOKUP(B1410,Лист2!A:E,4,0)</f>
        <v>2.5</v>
      </c>
      <c r="G1410">
        <f t="shared" si="99"/>
        <v>-6000</v>
      </c>
      <c r="H1410">
        <f t="shared" si="100"/>
        <v>21600</v>
      </c>
      <c r="I1410">
        <f t="shared" si="101"/>
        <v>-2400</v>
      </c>
    </row>
    <row r="1411" spans="1:9">
      <c r="A1411" t="s">
        <v>14</v>
      </c>
      <c r="B1411" t="s">
        <v>18</v>
      </c>
      <c r="C1411">
        <v>598000</v>
      </c>
      <c r="D1411">
        <v>3578000</v>
      </c>
      <c r="E1411" t="str">
        <f>VLOOKUP(B1411,Лист2!A:E,5,0)</f>
        <v>малые</v>
      </c>
      <c r="F1411">
        <f>VLOOKUP(B1411,Лист2!A:E,4,0)</f>
        <v>2.5</v>
      </c>
      <c r="G1411">
        <f t="shared" si="99"/>
        <v>-2980000</v>
      </c>
      <c r="H1411">
        <f t="shared" si="100"/>
        <v>239200</v>
      </c>
      <c r="I1411">
        <f t="shared" si="101"/>
        <v>-1192000</v>
      </c>
    </row>
    <row r="1412" spans="1:9">
      <c r="A1412" t="s">
        <v>14</v>
      </c>
      <c r="B1412" t="s">
        <v>18</v>
      </c>
      <c r="C1412">
        <v>17166000</v>
      </c>
      <c r="D1412">
        <v>16894000</v>
      </c>
      <c r="E1412" t="str">
        <f>VLOOKUP(B1412,Лист2!A:E,5,0)</f>
        <v>малые</v>
      </c>
      <c r="F1412">
        <f>VLOOKUP(B1412,Лист2!A:E,4,0)</f>
        <v>2.5</v>
      </c>
      <c r="G1412">
        <f t="shared" si="99"/>
        <v>272000</v>
      </c>
      <c r="H1412">
        <f t="shared" si="100"/>
        <v>6866400</v>
      </c>
      <c r="I1412">
        <f t="shared" si="101"/>
        <v>108800</v>
      </c>
    </row>
    <row r="1413" spans="1:9">
      <c r="A1413" t="s">
        <v>14</v>
      </c>
      <c r="B1413" t="s">
        <v>18</v>
      </c>
      <c r="C1413">
        <v>166983000</v>
      </c>
      <c r="D1413">
        <v>165862000</v>
      </c>
      <c r="E1413" t="str">
        <f>VLOOKUP(B1413,Лист2!A:E,5,0)</f>
        <v>малые</v>
      </c>
      <c r="F1413">
        <f>VLOOKUP(B1413,Лист2!A:E,4,0)</f>
        <v>2.5</v>
      </c>
      <c r="G1413">
        <f t="shared" si="99"/>
        <v>1121000</v>
      </c>
      <c r="H1413">
        <f t="shared" si="100"/>
        <v>66793200</v>
      </c>
      <c r="I1413">
        <f t="shared" si="101"/>
        <v>448400</v>
      </c>
    </row>
    <row r="1414" spans="1:9">
      <c r="A1414" t="s">
        <v>14</v>
      </c>
      <c r="B1414" t="s">
        <v>18</v>
      </c>
      <c r="C1414">
        <v>651000</v>
      </c>
      <c r="D1414">
        <v>980000</v>
      </c>
      <c r="E1414" t="str">
        <f>VLOOKUP(B1414,Лист2!A:E,5,0)</f>
        <v>малые</v>
      </c>
      <c r="F1414">
        <f>VLOOKUP(B1414,Лист2!A:E,4,0)</f>
        <v>2.5</v>
      </c>
      <c r="G1414">
        <f t="shared" si="99"/>
        <v>-329000</v>
      </c>
      <c r="H1414">
        <f t="shared" si="100"/>
        <v>260400</v>
      </c>
      <c r="I1414">
        <f t="shared" si="101"/>
        <v>-131600</v>
      </c>
    </row>
    <row r="1415" spans="1:9">
      <c r="A1415" t="s">
        <v>14</v>
      </c>
      <c r="B1415" t="s">
        <v>18</v>
      </c>
      <c r="C1415">
        <v>92140000</v>
      </c>
      <c r="D1415">
        <v>51634000</v>
      </c>
      <c r="E1415" t="str">
        <f>VLOOKUP(B1415,Лист2!A:E,5,0)</f>
        <v>малые</v>
      </c>
      <c r="F1415">
        <f>VLOOKUP(B1415,Лист2!A:E,4,0)</f>
        <v>2.5</v>
      </c>
      <c r="G1415">
        <f t="shared" si="99"/>
        <v>40506000</v>
      </c>
      <c r="H1415">
        <f t="shared" si="100"/>
        <v>36856000</v>
      </c>
      <c r="I1415">
        <f t="shared" si="101"/>
        <v>16202400</v>
      </c>
    </row>
    <row r="1416" spans="1:9">
      <c r="A1416" t="s">
        <v>14</v>
      </c>
      <c r="B1416" t="s">
        <v>18</v>
      </c>
      <c r="C1416">
        <v>2117000</v>
      </c>
      <c r="D1416">
        <v>2109000</v>
      </c>
      <c r="E1416" t="str">
        <f>VLOOKUP(B1416,Лист2!A:E,5,0)</f>
        <v>малые</v>
      </c>
      <c r="F1416">
        <f>VLOOKUP(B1416,Лист2!A:E,4,0)</f>
        <v>2.5</v>
      </c>
      <c r="G1416">
        <f t="shared" si="99"/>
        <v>8000</v>
      </c>
      <c r="H1416">
        <f t="shared" si="100"/>
        <v>846800</v>
      </c>
      <c r="I1416">
        <f t="shared" si="101"/>
        <v>3200</v>
      </c>
    </row>
    <row r="1417" spans="1:9">
      <c r="A1417" t="s">
        <v>14</v>
      </c>
      <c r="B1417" t="s">
        <v>18</v>
      </c>
      <c r="C1417">
        <v>90000</v>
      </c>
      <c r="D1417">
        <v>90000</v>
      </c>
      <c r="E1417" t="str">
        <f>VLOOKUP(B1417,Лист2!A:E,5,0)</f>
        <v>малые</v>
      </c>
      <c r="F1417">
        <f>VLOOKUP(B1417,Лист2!A:E,4,0)</f>
        <v>2.5</v>
      </c>
      <c r="G1417">
        <f t="shared" si="99"/>
        <v>0</v>
      </c>
      <c r="H1417">
        <f t="shared" si="100"/>
        <v>36000</v>
      </c>
      <c r="I1417">
        <f t="shared" si="101"/>
        <v>0</v>
      </c>
    </row>
    <row r="1418" spans="1:9">
      <c r="A1418" t="s">
        <v>14</v>
      </c>
      <c r="B1418" t="s">
        <v>77</v>
      </c>
      <c r="C1418">
        <v>123626000</v>
      </c>
      <c r="D1418">
        <v>154644000</v>
      </c>
      <c r="E1418" t="str">
        <f>VLOOKUP(B1418,Лист2!A:E,5,0)</f>
        <v>малые</v>
      </c>
      <c r="F1418">
        <f>VLOOKUP(B1418,Лист2!A:E,4,0)</f>
        <v>8</v>
      </c>
      <c r="G1418">
        <f t="shared" si="99"/>
        <v>-31018000</v>
      </c>
      <c r="H1418">
        <f t="shared" si="100"/>
        <v>15453250</v>
      </c>
      <c r="I1418">
        <f t="shared" si="101"/>
        <v>-3877250</v>
      </c>
    </row>
    <row r="1419" spans="1:9">
      <c r="A1419" t="s">
        <v>14</v>
      </c>
      <c r="B1419" t="s">
        <v>18</v>
      </c>
      <c r="C1419">
        <v>574000</v>
      </c>
      <c r="D1419">
        <v>883000</v>
      </c>
      <c r="E1419" t="str">
        <f>VLOOKUP(B1419,Лист2!A:E,5,0)</f>
        <v>малые</v>
      </c>
      <c r="F1419">
        <f>VLOOKUP(B1419,Лист2!A:E,4,0)</f>
        <v>2.5</v>
      </c>
      <c r="G1419">
        <f t="shared" si="99"/>
        <v>-309000</v>
      </c>
      <c r="H1419">
        <f t="shared" si="100"/>
        <v>229600</v>
      </c>
      <c r="I1419">
        <f t="shared" si="101"/>
        <v>-123600</v>
      </c>
    </row>
    <row r="1420" spans="1:9">
      <c r="A1420" t="s">
        <v>25</v>
      </c>
      <c r="B1420" t="s">
        <v>18</v>
      </c>
      <c r="C1420">
        <v>1757000</v>
      </c>
      <c r="D1420">
        <v>1764000</v>
      </c>
      <c r="E1420" t="str">
        <f>VLOOKUP(B1420,Лист2!A:E,5,0)</f>
        <v>малые</v>
      </c>
      <c r="F1420">
        <f>VLOOKUP(B1420,Лист2!A:E,4,0)</f>
        <v>2.5</v>
      </c>
      <c r="G1420">
        <f t="shared" si="99"/>
        <v>-7000</v>
      </c>
      <c r="H1420">
        <f t="shared" si="100"/>
        <v>702800</v>
      </c>
      <c r="I1420">
        <f t="shared" si="101"/>
        <v>-2800</v>
      </c>
    </row>
    <row r="1421" spans="1:9">
      <c r="A1421" t="s">
        <v>14</v>
      </c>
      <c r="B1421" t="s">
        <v>18</v>
      </c>
      <c r="C1421">
        <v>43000</v>
      </c>
      <c r="D1421">
        <v>14000</v>
      </c>
      <c r="E1421" t="str">
        <f>VLOOKUP(B1421,Лист2!A:E,5,0)</f>
        <v>малые</v>
      </c>
      <c r="F1421">
        <f>VLOOKUP(B1421,Лист2!A:E,4,0)</f>
        <v>2.5</v>
      </c>
      <c r="G1421">
        <f t="shared" si="99"/>
        <v>29000</v>
      </c>
      <c r="H1421">
        <f t="shared" si="100"/>
        <v>17200</v>
      </c>
      <c r="I1421">
        <f t="shared" si="101"/>
        <v>11600</v>
      </c>
    </row>
    <row r="1422" spans="1:9">
      <c r="A1422" t="s">
        <v>14</v>
      </c>
      <c r="B1422" t="s">
        <v>18</v>
      </c>
      <c r="C1422">
        <v>2065000</v>
      </c>
      <c r="D1422">
        <v>1452000</v>
      </c>
      <c r="E1422" t="str">
        <f>VLOOKUP(B1422,Лист2!A:E,5,0)</f>
        <v>малые</v>
      </c>
      <c r="F1422">
        <f>VLOOKUP(B1422,Лист2!A:E,4,0)</f>
        <v>2.5</v>
      </c>
      <c r="G1422">
        <f t="shared" si="99"/>
        <v>613000</v>
      </c>
      <c r="H1422">
        <f t="shared" si="100"/>
        <v>826000</v>
      </c>
      <c r="I1422">
        <f t="shared" si="101"/>
        <v>245200</v>
      </c>
    </row>
    <row r="1423" spans="1:9">
      <c r="A1423" t="s">
        <v>14</v>
      </c>
      <c r="B1423" t="s">
        <v>18</v>
      </c>
      <c r="C1423">
        <v>9534000</v>
      </c>
      <c r="D1423">
        <v>9317000</v>
      </c>
      <c r="E1423" t="str">
        <f>VLOOKUP(B1423,Лист2!A:E,5,0)</f>
        <v>малые</v>
      </c>
      <c r="F1423">
        <f>VLOOKUP(B1423,Лист2!A:E,4,0)</f>
        <v>2.5</v>
      </c>
      <c r="G1423">
        <f t="shared" si="99"/>
        <v>217000</v>
      </c>
      <c r="H1423">
        <f t="shared" si="100"/>
        <v>3813600</v>
      </c>
      <c r="I1423">
        <f t="shared" si="101"/>
        <v>86800</v>
      </c>
    </row>
    <row r="1424" spans="1:9">
      <c r="A1424" t="s">
        <v>14</v>
      </c>
      <c r="B1424" t="s">
        <v>18</v>
      </c>
      <c r="C1424">
        <v>527000</v>
      </c>
      <c r="D1424">
        <v>590000</v>
      </c>
      <c r="E1424" t="str">
        <f>VLOOKUP(B1424,Лист2!A:E,5,0)</f>
        <v>малые</v>
      </c>
      <c r="F1424">
        <f>VLOOKUP(B1424,Лист2!A:E,4,0)</f>
        <v>2.5</v>
      </c>
      <c r="G1424">
        <f t="shared" si="99"/>
        <v>-63000</v>
      </c>
      <c r="H1424">
        <f t="shared" si="100"/>
        <v>210800</v>
      </c>
      <c r="I1424">
        <f t="shared" si="101"/>
        <v>-25200</v>
      </c>
    </row>
    <row r="1425" spans="1:9">
      <c r="A1425" t="s">
        <v>14</v>
      </c>
      <c r="B1425" t="s">
        <v>18</v>
      </c>
      <c r="C1425">
        <v>351000</v>
      </c>
      <c r="D1425">
        <v>192000</v>
      </c>
      <c r="E1425" t="str">
        <f>VLOOKUP(B1425,Лист2!A:E,5,0)</f>
        <v>малые</v>
      </c>
      <c r="F1425">
        <f>VLOOKUP(B1425,Лист2!A:E,4,0)</f>
        <v>2.5</v>
      </c>
      <c r="G1425">
        <f t="shared" si="99"/>
        <v>159000</v>
      </c>
      <c r="H1425">
        <f t="shared" si="100"/>
        <v>140400</v>
      </c>
      <c r="I1425">
        <f t="shared" si="101"/>
        <v>63600</v>
      </c>
    </row>
    <row r="1426" spans="1:9">
      <c r="A1426" t="s">
        <v>14</v>
      </c>
      <c r="B1426" t="s">
        <v>18</v>
      </c>
      <c r="C1426">
        <v>619000</v>
      </c>
      <c r="D1426">
        <v>652000</v>
      </c>
      <c r="E1426" t="str">
        <f>VLOOKUP(B1426,Лист2!A:E,5,0)</f>
        <v>малые</v>
      </c>
      <c r="F1426">
        <f>VLOOKUP(B1426,Лист2!A:E,4,0)</f>
        <v>2.5</v>
      </c>
      <c r="G1426">
        <f t="shared" si="99"/>
        <v>-33000</v>
      </c>
      <c r="H1426">
        <f t="shared" si="100"/>
        <v>247600</v>
      </c>
      <c r="I1426">
        <f t="shared" si="101"/>
        <v>-13200</v>
      </c>
    </row>
    <row r="1427" spans="1:9">
      <c r="A1427" t="s">
        <v>14</v>
      </c>
      <c r="B1427" t="s">
        <v>18</v>
      </c>
      <c r="C1427">
        <v>8000</v>
      </c>
      <c r="D1427">
        <v>9000</v>
      </c>
      <c r="E1427" t="str">
        <f>VLOOKUP(B1427,Лист2!A:E,5,0)</f>
        <v>малые</v>
      </c>
      <c r="F1427">
        <f>VLOOKUP(B1427,Лист2!A:E,4,0)</f>
        <v>2.5</v>
      </c>
      <c r="G1427">
        <f t="shared" si="99"/>
        <v>-1000</v>
      </c>
      <c r="H1427">
        <f t="shared" si="100"/>
        <v>3200</v>
      </c>
      <c r="I1427">
        <f t="shared" si="101"/>
        <v>-400</v>
      </c>
    </row>
    <row r="1428" spans="1:9">
      <c r="A1428" t="s">
        <v>25</v>
      </c>
      <c r="B1428" t="s">
        <v>18</v>
      </c>
      <c r="C1428">
        <v>19328000</v>
      </c>
      <c r="D1428">
        <v>19441000</v>
      </c>
      <c r="E1428" t="str">
        <f>VLOOKUP(B1428,Лист2!A:E,5,0)</f>
        <v>малые</v>
      </c>
      <c r="F1428">
        <f>VLOOKUP(B1428,Лист2!A:E,4,0)</f>
        <v>2.5</v>
      </c>
      <c r="G1428">
        <f t="shared" si="99"/>
        <v>-113000</v>
      </c>
      <c r="H1428">
        <f t="shared" si="100"/>
        <v>7731200</v>
      </c>
      <c r="I1428">
        <f t="shared" si="101"/>
        <v>-45200</v>
      </c>
    </row>
    <row r="1429" spans="1:9">
      <c r="A1429" t="s">
        <v>14</v>
      </c>
      <c r="B1429" t="s">
        <v>18</v>
      </c>
      <c r="C1429">
        <v>140000</v>
      </c>
      <c r="D1429">
        <v>128000</v>
      </c>
      <c r="E1429" t="str">
        <f>VLOOKUP(B1429,Лист2!A:E,5,0)</f>
        <v>малые</v>
      </c>
      <c r="F1429">
        <f>VLOOKUP(B1429,Лист2!A:E,4,0)</f>
        <v>2.5</v>
      </c>
      <c r="G1429">
        <f t="shared" si="99"/>
        <v>12000</v>
      </c>
      <c r="H1429">
        <f t="shared" si="100"/>
        <v>56000</v>
      </c>
      <c r="I1429">
        <f t="shared" si="101"/>
        <v>4800</v>
      </c>
    </row>
    <row r="1430" spans="1:9">
      <c r="A1430" t="s">
        <v>14</v>
      </c>
      <c r="B1430" t="s">
        <v>18</v>
      </c>
      <c r="C1430">
        <v>65000</v>
      </c>
      <c r="D1430">
        <v>65000</v>
      </c>
      <c r="E1430" t="str">
        <f>VLOOKUP(B1430,Лист2!A:E,5,0)</f>
        <v>малые</v>
      </c>
      <c r="F1430">
        <f>VLOOKUP(B1430,Лист2!A:E,4,0)</f>
        <v>2.5</v>
      </c>
      <c r="G1430">
        <f t="shared" si="99"/>
        <v>0</v>
      </c>
      <c r="H1430">
        <f t="shared" si="100"/>
        <v>26000</v>
      </c>
      <c r="I1430">
        <f t="shared" si="101"/>
        <v>0</v>
      </c>
    </row>
    <row r="1431" spans="1:9">
      <c r="A1431" t="s">
        <v>25</v>
      </c>
      <c r="B1431" t="s">
        <v>18</v>
      </c>
      <c r="C1431">
        <v>3781000</v>
      </c>
      <c r="D1431">
        <v>3819000</v>
      </c>
      <c r="E1431" t="str">
        <f>VLOOKUP(B1431,Лист2!A:E,5,0)</f>
        <v>малые</v>
      </c>
      <c r="F1431">
        <f>VLOOKUP(B1431,Лист2!A:E,4,0)</f>
        <v>2.5</v>
      </c>
      <c r="G1431">
        <f t="shared" si="99"/>
        <v>-38000</v>
      </c>
      <c r="H1431">
        <f t="shared" si="100"/>
        <v>1512400</v>
      </c>
      <c r="I1431">
        <f t="shared" si="101"/>
        <v>-15200</v>
      </c>
    </row>
    <row r="1432" spans="1:9">
      <c r="A1432" t="s">
        <v>14</v>
      </c>
      <c r="B1432" t="s">
        <v>18</v>
      </c>
      <c r="C1432">
        <v>1956000</v>
      </c>
      <c r="D1432">
        <v>1907000</v>
      </c>
      <c r="E1432" t="str">
        <f>VLOOKUP(B1432,Лист2!A:E,5,0)</f>
        <v>малые</v>
      </c>
      <c r="F1432">
        <f>VLOOKUP(B1432,Лист2!A:E,4,0)</f>
        <v>2.5</v>
      </c>
      <c r="G1432">
        <f t="shared" si="99"/>
        <v>49000</v>
      </c>
      <c r="H1432">
        <f t="shared" si="100"/>
        <v>782400</v>
      </c>
      <c r="I1432">
        <f t="shared" si="101"/>
        <v>19600</v>
      </c>
    </row>
    <row r="1433" spans="1:9">
      <c r="A1433" t="s">
        <v>14</v>
      </c>
      <c r="B1433" t="s">
        <v>18</v>
      </c>
      <c r="C1433">
        <v>55000</v>
      </c>
      <c r="D1433">
        <v>55000</v>
      </c>
      <c r="E1433" t="str">
        <f>VLOOKUP(B1433,Лист2!A:E,5,0)</f>
        <v>малые</v>
      </c>
      <c r="F1433">
        <f>VLOOKUP(B1433,Лист2!A:E,4,0)</f>
        <v>2.5</v>
      </c>
      <c r="G1433">
        <f t="shared" si="99"/>
        <v>0</v>
      </c>
      <c r="H1433">
        <f t="shared" si="100"/>
        <v>22000</v>
      </c>
      <c r="I1433">
        <f t="shared" si="101"/>
        <v>0</v>
      </c>
    </row>
    <row r="1434" spans="1:9">
      <c r="A1434" t="s">
        <v>14</v>
      </c>
      <c r="B1434" t="s">
        <v>18</v>
      </c>
      <c r="C1434">
        <v>703000</v>
      </c>
      <c r="D1434">
        <v>831000</v>
      </c>
      <c r="E1434" t="str">
        <f>VLOOKUP(B1434,Лист2!A:E,5,0)</f>
        <v>малые</v>
      </c>
      <c r="F1434">
        <f>VLOOKUP(B1434,Лист2!A:E,4,0)</f>
        <v>2.5</v>
      </c>
      <c r="G1434">
        <f t="shared" si="99"/>
        <v>-128000</v>
      </c>
      <c r="H1434">
        <f t="shared" si="100"/>
        <v>281200</v>
      </c>
      <c r="I1434">
        <f t="shared" si="101"/>
        <v>-51200</v>
      </c>
    </row>
    <row r="1435" spans="1:9">
      <c r="A1435" t="s">
        <v>14</v>
      </c>
      <c r="B1435" t="s">
        <v>18</v>
      </c>
      <c r="C1435">
        <v>71000</v>
      </c>
      <c r="D1435">
        <v>71000</v>
      </c>
      <c r="E1435" t="str">
        <f>VLOOKUP(B1435,Лист2!A:E,5,0)</f>
        <v>малые</v>
      </c>
      <c r="F1435">
        <f>VLOOKUP(B1435,Лист2!A:E,4,0)</f>
        <v>2.5</v>
      </c>
      <c r="G1435">
        <f t="shared" si="99"/>
        <v>0</v>
      </c>
      <c r="H1435">
        <f t="shared" si="100"/>
        <v>28400</v>
      </c>
      <c r="I1435">
        <f t="shared" si="101"/>
        <v>0</v>
      </c>
    </row>
    <row r="1436" spans="1:9">
      <c r="A1436" t="s">
        <v>14</v>
      </c>
      <c r="B1436" t="s">
        <v>302</v>
      </c>
      <c r="C1436">
        <v>67915000</v>
      </c>
      <c r="D1436">
        <v>67459000</v>
      </c>
      <c r="E1436" t="str">
        <f>VLOOKUP(B1436,Лист2!A:E,5,0)</f>
        <v>средние</v>
      </c>
      <c r="F1436">
        <f>VLOOKUP(B1436,Лист2!A:E,4,0)</f>
        <v>125.5</v>
      </c>
      <c r="G1436">
        <f t="shared" si="99"/>
        <v>456000</v>
      </c>
      <c r="H1436">
        <f t="shared" si="100"/>
        <v>541155.37848605576</v>
      </c>
      <c r="I1436">
        <f t="shared" si="101"/>
        <v>3633.4661354581672</v>
      </c>
    </row>
    <row r="1437" spans="1:9">
      <c r="A1437" t="s">
        <v>14</v>
      </c>
      <c r="B1437" t="s">
        <v>18</v>
      </c>
      <c r="C1437">
        <v>508000</v>
      </c>
      <c r="D1437">
        <v>88000</v>
      </c>
      <c r="E1437" t="str">
        <f>VLOOKUP(B1437,Лист2!A:E,5,0)</f>
        <v>малые</v>
      </c>
      <c r="F1437">
        <f>VLOOKUP(B1437,Лист2!A:E,4,0)</f>
        <v>2.5</v>
      </c>
      <c r="G1437">
        <f t="shared" si="99"/>
        <v>420000</v>
      </c>
      <c r="H1437">
        <f t="shared" si="100"/>
        <v>203200</v>
      </c>
      <c r="I1437">
        <f t="shared" si="101"/>
        <v>168000</v>
      </c>
    </row>
    <row r="1438" spans="1:9">
      <c r="A1438" t="s">
        <v>25</v>
      </c>
      <c r="B1438" t="s">
        <v>18</v>
      </c>
      <c r="C1438">
        <v>5000000</v>
      </c>
      <c r="D1438">
        <v>3601000</v>
      </c>
      <c r="E1438" t="str">
        <f>VLOOKUP(B1438,Лист2!A:E,5,0)</f>
        <v>малые</v>
      </c>
      <c r="F1438">
        <f>VLOOKUP(B1438,Лист2!A:E,4,0)</f>
        <v>2.5</v>
      </c>
      <c r="G1438">
        <f t="shared" si="99"/>
        <v>1399000</v>
      </c>
      <c r="H1438">
        <f t="shared" si="100"/>
        <v>2000000</v>
      </c>
      <c r="I1438">
        <f t="shared" si="101"/>
        <v>559600</v>
      </c>
    </row>
    <row r="1439" spans="1:9">
      <c r="A1439" t="s">
        <v>14</v>
      </c>
      <c r="B1439" t="s">
        <v>18</v>
      </c>
      <c r="C1439">
        <v>245000</v>
      </c>
      <c r="D1439">
        <v>264000</v>
      </c>
      <c r="E1439" t="str">
        <f>VLOOKUP(B1439,Лист2!A:E,5,0)</f>
        <v>малые</v>
      </c>
      <c r="F1439">
        <f>VLOOKUP(B1439,Лист2!A:E,4,0)</f>
        <v>2.5</v>
      </c>
      <c r="G1439">
        <f t="shared" si="99"/>
        <v>-19000</v>
      </c>
      <c r="H1439">
        <f t="shared" si="100"/>
        <v>98000</v>
      </c>
      <c r="I1439">
        <f t="shared" si="101"/>
        <v>-7600</v>
      </c>
    </row>
    <row r="1440" spans="1:9">
      <c r="A1440" t="s">
        <v>14</v>
      </c>
      <c r="B1440" t="s">
        <v>18</v>
      </c>
      <c r="C1440">
        <v>5000</v>
      </c>
      <c r="D1440">
        <v>4000</v>
      </c>
      <c r="E1440" t="str">
        <f>VLOOKUP(B1440,Лист2!A:E,5,0)</f>
        <v>малые</v>
      </c>
      <c r="F1440">
        <f>VLOOKUP(B1440,Лист2!A:E,4,0)</f>
        <v>2.5</v>
      </c>
      <c r="G1440">
        <f t="shared" ref="G1440:G1487" si="102">C1440-D1440</f>
        <v>1000</v>
      </c>
      <c r="H1440">
        <f t="shared" ref="H1440:H1487" si="103">C1440/F1440</f>
        <v>2000</v>
      </c>
      <c r="I1440">
        <f t="shared" ref="I1440:I1487" si="104">G1440/F1440</f>
        <v>400</v>
      </c>
    </row>
    <row r="1441" spans="1:9">
      <c r="A1441" t="s">
        <v>14</v>
      </c>
      <c r="B1441" t="s">
        <v>18</v>
      </c>
      <c r="C1441">
        <v>808000</v>
      </c>
      <c r="D1441">
        <v>493000</v>
      </c>
      <c r="E1441" t="str">
        <f>VLOOKUP(B1441,Лист2!A:E,5,0)</f>
        <v>малые</v>
      </c>
      <c r="F1441">
        <f>VLOOKUP(B1441,Лист2!A:E,4,0)</f>
        <v>2.5</v>
      </c>
      <c r="G1441">
        <f t="shared" si="102"/>
        <v>315000</v>
      </c>
      <c r="H1441">
        <f t="shared" si="103"/>
        <v>323200</v>
      </c>
      <c r="I1441">
        <f t="shared" si="104"/>
        <v>126000</v>
      </c>
    </row>
    <row r="1442" spans="1:9">
      <c r="A1442" t="s">
        <v>14</v>
      </c>
      <c r="B1442" t="s">
        <v>18</v>
      </c>
      <c r="C1442">
        <v>17000</v>
      </c>
      <c r="D1442">
        <v>17000</v>
      </c>
      <c r="E1442" t="str">
        <f>VLOOKUP(B1442,Лист2!A:E,5,0)</f>
        <v>малые</v>
      </c>
      <c r="F1442">
        <f>VLOOKUP(B1442,Лист2!A:E,4,0)</f>
        <v>2.5</v>
      </c>
      <c r="G1442">
        <f t="shared" si="102"/>
        <v>0</v>
      </c>
      <c r="H1442">
        <f t="shared" si="103"/>
        <v>6800</v>
      </c>
      <c r="I1442">
        <f t="shared" si="104"/>
        <v>0</v>
      </c>
    </row>
    <row r="1443" spans="1:9">
      <c r="A1443" t="s">
        <v>14</v>
      </c>
      <c r="B1443" t="s">
        <v>18</v>
      </c>
      <c r="C1443">
        <v>191000</v>
      </c>
      <c r="D1443">
        <v>30000</v>
      </c>
      <c r="E1443" t="str">
        <f>VLOOKUP(B1443,Лист2!A:E,5,0)</f>
        <v>малые</v>
      </c>
      <c r="F1443">
        <f>VLOOKUP(B1443,Лист2!A:E,4,0)</f>
        <v>2.5</v>
      </c>
      <c r="G1443">
        <f t="shared" si="102"/>
        <v>161000</v>
      </c>
      <c r="H1443">
        <f t="shared" si="103"/>
        <v>76400</v>
      </c>
      <c r="I1443">
        <f t="shared" si="104"/>
        <v>64400</v>
      </c>
    </row>
    <row r="1444" spans="1:9">
      <c r="A1444" t="s">
        <v>14</v>
      </c>
      <c r="B1444" t="s">
        <v>18</v>
      </c>
      <c r="C1444">
        <v>2213000</v>
      </c>
      <c r="D1444">
        <v>827000</v>
      </c>
      <c r="E1444" t="str">
        <f>VLOOKUP(B1444,Лист2!A:E,5,0)</f>
        <v>малые</v>
      </c>
      <c r="F1444">
        <f>VLOOKUP(B1444,Лист2!A:E,4,0)</f>
        <v>2.5</v>
      </c>
      <c r="G1444">
        <f t="shared" si="102"/>
        <v>1386000</v>
      </c>
      <c r="H1444">
        <f t="shared" si="103"/>
        <v>885200</v>
      </c>
      <c r="I1444">
        <f t="shared" si="104"/>
        <v>554400</v>
      </c>
    </row>
    <row r="1445" spans="1:9">
      <c r="A1445" t="s">
        <v>14</v>
      </c>
      <c r="B1445" t="s">
        <v>18</v>
      </c>
      <c r="C1445">
        <v>19783000</v>
      </c>
      <c r="D1445">
        <v>19384000</v>
      </c>
      <c r="E1445" t="str">
        <f>VLOOKUP(B1445,Лист2!A:E,5,0)</f>
        <v>малые</v>
      </c>
      <c r="F1445">
        <f>VLOOKUP(B1445,Лист2!A:E,4,0)</f>
        <v>2.5</v>
      </c>
      <c r="G1445">
        <f t="shared" si="102"/>
        <v>399000</v>
      </c>
      <c r="H1445">
        <f t="shared" si="103"/>
        <v>7913200</v>
      </c>
      <c r="I1445">
        <f t="shared" si="104"/>
        <v>159600</v>
      </c>
    </row>
    <row r="1446" spans="1:9">
      <c r="A1446" t="s">
        <v>14</v>
      </c>
      <c r="B1446" t="s">
        <v>18</v>
      </c>
      <c r="C1446">
        <v>28613000</v>
      </c>
      <c r="D1446">
        <v>28635000</v>
      </c>
      <c r="E1446" t="str">
        <f>VLOOKUP(B1446,Лист2!A:E,5,0)</f>
        <v>малые</v>
      </c>
      <c r="F1446">
        <f>VLOOKUP(B1446,Лист2!A:E,4,0)</f>
        <v>2.5</v>
      </c>
      <c r="G1446">
        <f t="shared" si="102"/>
        <v>-22000</v>
      </c>
      <c r="H1446">
        <f t="shared" si="103"/>
        <v>11445200</v>
      </c>
      <c r="I1446">
        <f t="shared" si="104"/>
        <v>-8800</v>
      </c>
    </row>
    <row r="1447" spans="1:9">
      <c r="A1447" t="s">
        <v>14</v>
      </c>
      <c r="B1447" t="s">
        <v>22</v>
      </c>
      <c r="C1447">
        <v>7947000</v>
      </c>
      <c r="D1447">
        <v>9887000</v>
      </c>
      <c r="E1447" t="str">
        <f>VLOOKUP(B1447,Лист2!A:E,5,0)</f>
        <v>малые</v>
      </c>
      <c r="F1447">
        <f>VLOOKUP(B1447,Лист2!A:E,4,0)</f>
        <v>13</v>
      </c>
      <c r="G1447">
        <f t="shared" si="102"/>
        <v>-1940000</v>
      </c>
      <c r="H1447">
        <f t="shared" si="103"/>
        <v>611307.69230769225</v>
      </c>
      <c r="I1447">
        <f t="shared" si="104"/>
        <v>-149230.76923076922</v>
      </c>
    </row>
    <row r="1448" spans="1:9">
      <c r="A1448" t="s">
        <v>14</v>
      </c>
      <c r="B1448" t="s">
        <v>18</v>
      </c>
      <c r="C1448">
        <v>593000</v>
      </c>
      <c r="D1448">
        <v>578000</v>
      </c>
      <c r="E1448" t="str">
        <f>VLOOKUP(B1448,Лист2!A:E,5,0)</f>
        <v>малые</v>
      </c>
      <c r="F1448">
        <f>VLOOKUP(B1448,Лист2!A:E,4,0)</f>
        <v>2.5</v>
      </c>
      <c r="G1448">
        <f t="shared" si="102"/>
        <v>15000</v>
      </c>
      <c r="H1448">
        <f t="shared" si="103"/>
        <v>237200</v>
      </c>
      <c r="I1448">
        <f t="shared" si="104"/>
        <v>6000</v>
      </c>
    </row>
    <row r="1449" spans="1:9">
      <c r="A1449" t="s">
        <v>14</v>
      </c>
      <c r="B1449" t="s">
        <v>18</v>
      </c>
      <c r="C1449">
        <v>60000</v>
      </c>
      <c r="D1449">
        <v>4000</v>
      </c>
      <c r="E1449" t="str">
        <f>VLOOKUP(B1449,Лист2!A:E,5,0)</f>
        <v>малые</v>
      </c>
      <c r="F1449">
        <f>VLOOKUP(B1449,Лист2!A:E,4,0)</f>
        <v>2.5</v>
      </c>
      <c r="G1449">
        <f t="shared" si="102"/>
        <v>56000</v>
      </c>
      <c r="H1449">
        <f t="shared" si="103"/>
        <v>24000</v>
      </c>
      <c r="I1449">
        <f t="shared" si="104"/>
        <v>22400</v>
      </c>
    </row>
    <row r="1450" spans="1:9">
      <c r="A1450" t="s">
        <v>14</v>
      </c>
      <c r="B1450" t="s">
        <v>18</v>
      </c>
      <c r="C1450">
        <v>35294000</v>
      </c>
      <c r="D1450">
        <v>20817000</v>
      </c>
      <c r="E1450" t="str">
        <f>VLOOKUP(B1450,Лист2!A:E,5,0)</f>
        <v>малые</v>
      </c>
      <c r="F1450">
        <f>VLOOKUP(B1450,Лист2!A:E,4,0)</f>
        <v>2.5</v>
      </c>
      <c r="G1450">
        <f t="shared" si="102"/>
        <v>14477000</v>
      </c>
      <c r="H1450">
        <f t="shared" si="103"/>
        <v>14117600</v>
      </c>
      <c r="I1450">
        <f t="shared" si="104"/>
        <v>5790800</v>
      </c>
    </row>
    <row r="1451" spans="1:9">
      <c r="A1451" t="s">
        <v>14</v>
      </c>
      <c r="B1451" t="s">
        <v>18</v>
      </c>
      <c r="C1451">
        <v>2740400</v>
      </c>
      <c r="D1451">
        <v>3298191</v>
      </c>
      <c r="E1451" t="str">
        <f>VLOOKUP(B1451,Лист2!A:E,5,0)</f>
        <v>малые</v>
      </c>
      <c r="F1451">
        <f>VLOOKUP(B1451,Лист2!A:E,4,0)</f>
        <v>2.5</v>
      </c>
      <c r="G1451">
        <f t="shared" si="102"/>
        <v>-557791</v>
      </c>
      <c r="H1451">
        <f t="shared" si="103"/>
        <v>1096160</v>
      </c>
      <c r="I1451">
        <f t="shared" si="104"/>
        <v>-223116.4</v>
      </c>
    </row>
    <row r="1452" spans="1:9">
      <c r="A1452" t="s">
        <v>14</v>
      </c>
      <c r="B1452" t="s">
        <v>18</v>
      </c>
      <c r="C1452">
        <v>2674000</v>
      </c>
      <c r="D1452">
        <v>820000</v>
      </c>
      <c r="E1452" t="str">
        <f>VLOOKUP(B1452,Лист2!A:E,5,0)</f>
        <v>малые</v>
      </c>
      <c r="F1452">
        <f>VLOOKUP(B1452,Лист2!A:E,4,0)</f>
        <v>2.5</v>
      </c>
      <c r="G1452">
        <f t="shared" si="102"/>
        <v>1854000</v>
      </c>
      <c r="H1452">
        <f t="shared" si="103"/>
        <v>1069600</v>
      </c>
      <c r="I1452">
        <f t="shared" si="104"/>
        <v>741600</v>
      </c>
    </row>
    <row r="1453" spans="1:9">
      <c r="A1453" t="s">
        <v>14</v>
      </c>
      <c r="B1453" t="s">
        <v>18</v>
      </c>
      <c r="C1453">
        <v>3780000</v>
      </c>
      <c r="D1453">
        <v>7491000</v>
      </c>
      <c r="E1453" t="str">
        <f>VLOOKUP(B1453,Лист2!A:E,5,0)</f>
        <v>малые</v>
      </c>
      <c r="F1453">
        <f>VLOOKUP(B1453,Лист2!A:E,4,0)</f>
        <v>2.5</v>
      </c>
      <c r="G1453">
        <f t="shared" si="102"/>
        <v>-3711000</v>
      </c>
      <c r="H1453">
        <f t="shared" si="103"/>
        <v>1512000</v>
      </c>
      <c r="I1453">
        <f t="shared" si="104"/>
        <v>-1484400</v>
      </c>
    </row>
    <row r="1454" spans="1:9">
      <c r="A1454" t="s">
        <v>14</v>
      </c>
      <c r="B1454" t="s">
        <v>18</v>
      </c>
      <c r="C1454">
        <v>31156000</v>
      </c>
      <c r="D1454">
        <v>29506000</v>
      </c>
      <c r="E1454" t="str">
        <f>VLOOKUP(B1454,Лист2!A:E,5,0)</f>
        <v>малые</v>
      </c>
      <c r="F1454">
        <f>VLOOKUP(B1454,Лист2!A:E,4,0)</f>
        <v>2.5</v>
      </c>
      <c r="G1454">
        <f t="shared" si="102"/>
        <v>1650000</v>
      </c>
      <c r="H1454">
        <f t="shared" si="103"/>
        <v>12462400</v>
      </c>
      <c r="I1454">
        <f t="shared" si="104"/>
        <v>660000</v>
      </c>
    </row>
    <row r="1455" spans="1:9">
      <c r="A1455" t="s">
        <v>14</v>
      </c>
      <c r="B1455" t="s">
        <v>18</v>
      </c>
      <c r="C1455">
        <v>2767000</v>
      </c>
      <c r="D1455">
        <v>2711000</v>
      </c>
      <c r="E1455" t="str">
        <f>VLOOKUP(B1455,Лист2!A:E,5,0)</f>
        <v>малые</v>
      </c>
      <c r="F1455">
        <f>VLOOKUP(B1455,Лист2!A:E,4,0)</f>
        <v>2.5</v>
      </c>
      <c r="G1455">
        <f t="shared" si="102"/>
        <v>56000</v>
      </c>
      <c r="H1455">
        <f t="shared" si="103"/>
        <v>1106800</v>
      </c>
      <c r="I1455">
        <f t="shared" si="104"/>
        <v>22400</v>
      </c>
    </row>
    <row r="1456" spans="1:9">
      <c r="A1456" t="s">
        <v>14</v>
      </c>
      <c r="B1456" t="s">
        <v>18</v>
      </c>
      <c r="C1456">
        <v>80000</v>
      </c>
      <c r="D1456">
        <v>80000</v>
      </c>
      <c r="E1456" t="str">
        <f>VLOOKUP(B1456,Лист2!A:E,5,0)</f>
        <v>малые</v>
      </c>
      <c r="F1456">
        <f>VLOOKUP(B1456,Лист2!A:E,4,0)</f>
        <v>2.5</v>
      </c>
      <c r="G1456">
        <f t="shared" si="102"/>
        <v>0</v>
      </c>
      <c r="H1456">
        <f t="shared" si="103"/>
        <v>32000</v>
      </c>
      <c r="I1456">
        <f t="shared" si="104"/>
        <v>0</v>
      </c>
    </row>
    <row r="1457" spans="1:9">
      <c r="A1457" t="s">
        <v>25</v>
      </c>
      <c r="B1457" t="s">
        <v>18</v>
      </c>
      <c r="C1457">
        <v>235000</v>
      </c>
      <c r="D1457">
        <v>205000</v>
      </c>
      <c r="E1457" t="str">
        <f>VLOOKUP(B1457,Лист2!A:E,5,0)</f>
        <v>малые</v>
      </c>
      <c r="F1457">
        <f>VLOOKUP(B1457,Лист2!A:E,4,0)</f>
        <v>2.5</v>
      </c>
      <c r="G1457">
        <f t="shared" si="102"/>
        <v>30000</v>
      </c>
      <c r="H1457">
        <f t="shared" si="103"/>
        <v>94000</v>
      </c>
      <c r="I1457">
        <f t="shared" si="104"/>
        <v>12000</v>
      </c>
    </row>
    <row r="1458" spans="1:9">
      <c r="A1458" t="s">
        <v>14</v>
      </c>
      <c r="B1458" t="s">
        <v>18</v>
      </c>
      <c r="C1458">
        <v>836000</v>
      </c>
      <c r="D1458">
        <v>888000</v>
      </c>
      <c r="E1458" t="str">
        <f>VLOOKUP(B1458,Лист2!A:E,5,0)</f>
        <v>малые</v>
      </c>
      <c r="F1458">
        <f>VLOOKUP(B1458,Лист2!A:E,4,0)</f>
        <v>2.5</v>
      </c>
      <c r="G1458">
        <f t="shared" si="102"/>
        <v>-52000</v>
      </c>
      <c r="H1458">
        <f t="shared" si="103"/>
        <v>334400</v>
      </c>
      <c r="I1458">
        <f t="shared" si="104"/>
        <v>-20800</v>
      </c>
    </row>
    <row r="1459" spans="1:9">
      <c r="A1459" t="s">
        <v>14</v>
      </c>
      <c r="B1459" t="s">
        <v>18</v>
      </c>
      <c r="C1459">
        <v>208000</v>
      </c>
      <c r="D1459">
        <v>95000</v>
      </c>
      <c r="E1459" t="str">
        <f>VLOOKUP(B1459,Лист2!A:E,5,0)</f>
        <v>малые</v>
      </c>
      <c r="F1459">
        <f>VLOOKUP(B1459,Лист2!A:E,4,0)</f>
        <v>2.5</v>
      </c>
      <c r="G1459">
        <f t="shared" si="102"/>
        <v>113000</v>
      </c>
      <c r="H1459">
        <f t="shared" si="103"/>
        <v>83200</v>
      </c>
      <c r="I1459">
        <f t="shared" si="104"/>
        <v>45200</v>
      </c>
    </row>
    <row r="1460" spans="1:9">
      <c r="A1460" t="s">
        <v>14</v>
      </c>
      <c r="B1460" t="s">
        <v>18</v>
      </c>
      <c r="C1460">
        <v>2192000</v>
      </c>
      <c r="D1460">
        <v>1834000</v>
      </c>
      <c r="E1460" t="str">
        <f>VLOOKUP(B1460,Лист2!A:E,5,0)</f>
        <v>малые</v>
      </c>
      <c r="F1460">
        <f>VLOOKUP(B1460,Лист2!A:E,4,0)</f>
        <v>2.5</v>
      </c>
      <c r="G1460">
        <f t="shared" si="102"/>
        <v>358000</v>
      </c>
      <c r="H1460">
        <f t="shared" si="103"/>
        <v>876800</v>
      </c>
      <c r="I1460">
        <f t="shared" si="104"/>
        <v>143200</v>
      </c>
    </row>
    <row r="1461" spans="1:9">
      <c r="A1461" t="s">
        <v>14</v>
      </c>
      <c r="B1461" t="s">
        <v>18</v>
      </c>
      <c r="C1461">
        <v>62000</v>
      </c>
      <c r="D1461">
        <v>57000</v>
      </c>
      <c r="E1461" t="str">
        <f>VLOOKUP(B1461,Лист2!A:E,5,0)</f>
        <v>малые</v>
      </c>
      <c r="F1461">
        <f>VLOOKUP(B1461,Лист2!A:E,4,0)</f>
        <v>2.5</v>
      </c>
      <c r="G1461">
        <f t="shared" si="102"/>
        <v>5000</v>
      </c>
      <c r="H1461">
        <f t="shared" si="103"/>
        <v>24800</v>
      </c>
      <c r="I1461">
        <f t="shared" si="104"/>
        <v>2000</v>
      </c>
    </row>
    <row r="1462" spans="1:9">
      <c r="A1462" t="s">
        <v>14</v>
      </c>
      <c r="B1462" t="s">
        <v>18</v>
      </c>
      <c r="C1462">
        <v>5604000</v>
      </c>
      <c r="D1462">
        <v>17206000</v>
      </c>
      <c r="E1462" t="str">
        <f>VLOOKUP(B1462,Лист2!A:E,5,0)</f>
        <v>малые</v>
      </c>
      <c r="F1462">
        <f>VLOOKUP(B1462,Лист2!A:E,4,0)</f>
        <v>2.5</v>
      </c>
      <c r="G1462">
        <f t="shared" si="102"/>
        <v>-11602000</v>
      </c>
      <c r="H1462">
        <f t="shared" si="103"/>
        <v>2241600</v>
      </c>
      <c r="I1462">
        <f t="shared" si="104"/>
        <v>-4640800</v>
      </c>
    </row>
    <row r="1463" spans="1:9">
      <c r="A1463" t="s">
        <v>25</v>
      </c>
      <c r="B1463" t="s">
        <v>18</v>
      </c>
      <c r="C1463">
        <v>663000</v>
      </c>
      <c r="D1463">
        <v>663000</v>
      </c>
      <c r="E1463" t="str">
        <f>VLOOKUP(B1463,Лист2!A:E,5,0)</f>
        <v>малые</v>
      </c>
      <c r="F1463">
        <f>VLOOKUP(B1463,Лист2!A:E,4,0)</f>
        <v>2.5</v>
      </c>
      <c r="G1463">
        <f t="shared" si="102"/>
        <v>0</v>
      </c>
      <c r="H1463">
        <f t="shared" si="103"/>
        <v>265200</v>
      </c>
      <c r="I1463">
        <f t="shared" si="104"/>
        <v>0</v>
      </c>
    </row>
    <row r="1464" spans="1:9">
      <c r="A1464" t="s">
        <v>14</v>
      </c>
      <c r="B1464" t="s">
        <v>77</v>
      </c>
      <c r="C1464">
        <v>10753000</v>
      </c>
      <c r="D1464">
        <v>10174000</v>
      </c>
      <c r="E1464" t="str">
        <f>VLOOKUP(B1464,Лист2!A:E,5,0)</f>
        <v>малые</v>
      </c>
      <c r="F1464">
        <f>VLOOKUP(B1464,Лист2!A:E,4,0)</f>
        <v>8</v>
      </c>
      <c r="G1464">
        <f t="shared" si="102"/>
        <v>579000</v>
      </c>
      <c r="H1464">
        <f t="shared" si="103"/>
        <v>1344125</v>
      </c>
      <c r="I1464">
        <f t="shared" si="104"/>
        <v>72375</v>
      </c>
    </row>
    <row r="1465" spans="1:9">
      <c r="A1465" t="s">
        <v>14</v>
      </c>
      <c r="B1465" t="s">
        <v>18</v>
      </c>
      <c r="C1465">
        <v>260000</v>
      </c>
      <c r="D1465">
        <v>288000</v>
      </c>
      <c r="E1465" t="str">
        <f>VLOOKUP(B1465,Лист2!A:E,5,0)</f>
        <v>малые</v>
      </c>
      <c r="F1465">
        <f>VLOOKUP(B1465,Лист2!A:E,4,0)</f>
        <v>2.5</v>
      </c>
      <c r="G1465">
        <f t="shared" si="102"/>
        <v>-28000</v>
      </c>
      <c r="H1465">
        <f t="shared" si="103"/>
        <v>104000</v>
      </c>
      <c r="I1465">
        <f t="shared" si="104"/>
        <v>-11200</v>
      </c>
    </row>
    <row r="1466" spans="1:9">
      <c r="A1466" t="s">
        <v>14</v>
      </c>
      <c r="B1466" t="s">
        <v>22</v>
      </c>
      <c r="C1466">
        <v>1537000</v>
      </c>
      <c r="D1466">
        <v>1535000</v>
      </c>
      <c r="E1466" t="str">
        <f>VLOOKUP(B1466,Лист2!A:E,5,0)</f>
        <v>малые</v>
      </c>
      <c r="F1466">
        <f>VLOOKUP(B1466,Лист2!A:E,4,0)</f>
        <v>13</v>
      </c>
      <c r="G1466">
        <f t="shared" si="102"/>
        <v>2000</v>
      </c>
      <c r="H1466">
        <f t="shared" si="103"/>
        <v>118230.76923076923</v>
      </c>
      <c r="I1466">
        <f t="shared" si="104"/>
        <v>153.84615384615384</v>
      </c>
    </row>
    <row r="1467" spans="1:9">
      <c r="A1467" t="s">
        <v>25</v>
      </c>
      <c r="B1467" t="s">
        <v>18</v>
      </c>
      <c r="C1467">
        <v>2500000</v>
      </c>
      <c r="D1467">
        <v>2500000</v>
      </c>
      <c r="E1467" t="str">
        <f>VLOOKUP(B1467,Лист2!A:E,5,0)</f>
        <v>малые</v>
      </c>
      <c r="F1467">
        <f>VLOOKUP(B1467,Лист2!A:E,4,0)</f>
        <v>2.5</v>
      </c>
      <c r="G1467">
        <f t="shared" si="102"/>
        <v>0</v>
      </c>
      <c r="H1467">
        <f t="shared" si="103"/>
        <v>1000000</v>
      </c>
      <c r="I1467">
        <f t="shared" si="104"/>
        <v>0</v>
      </c>
    </row>
    <row r="1468" spans="1:9">
      <c r="A1468" t="s">
        <v>14</v>
      </c>
      <c r="B1468" t="s">
        <v>18</v>
      </c>
      <c r="C1468">
        <v>277000</v>
      </c>
      <c r="D1468">
        <v>21000</v>
      </c>
      <c r="E1468" t="str">
        <f>VLOOKUP(B1468,Лист2!A:E,5,0)</f>
        <v>малые</v>
      </c>
      <c r="F1468">
        <f>VLOOKUP(B1468,Лист2!A:E,4,0)</f>
        <v>2.5</v>
      </c>
      <c r="G1468">
        <f t="shared" si="102"/>
        <v>256000</v>
      </c>
      <c r="H1468">
        <f t="shared" si="103"/>
        <v>110800</v>
      </c>
      <c r="I1468">
        <f t="shared" si="104"/>
        <v>102400</v>
      </c>
    </row>
    <row r="1469" spans="1:9">
      <c r="A1469" t="s">
        <v>14</v>
      </c>
      <c r="B1469" t="s">
        <v>18</v>
      </c>
      <c r="C1469">
        <v>2299000</v>
      </c>
      <c r="D1469">
        <v>2297000</v>
      </c>
      <c r="E1469" t="str">
        <f>VLOOKUP(B1469,Лист2!A:E,5,0)</f>
        <v>малые</v>
      </c>
      <c r="F1469">
        <f>VLOOKUP(B1469,Лист2!A:E,4,0)</f>
        <v>2.5</v>
      </c>
      <c r="G1469">
        <f t="shared" si="102"/>
        <v>2000</v>
      </c>
      <c r="H1469">
        <f t="shared" si="103"/>
        <v>919600</v>
      </c>
      <c r="I1469">
        <f t="shared" si="104"/>
        <v>800</v>
      </c>
    </row>
    <row r="1470" spans="1:9">
      <c r="A1470" t="s">
        <v>25</v>
      </c>
      <c r="B1470" t="s">
        <v>18</v>
      </c>
      <c r="C1470">
        <v>6122000</v>
      </c>
      <c r="D1470">
        <v>5796000</v>
      </c>
      <c r="E1470" t="str">
        <f>VLOOKUP(B1470,Лист2!A:E,5,0)</f>
        <v>малые</v>
      </c>
      <c r="F1470">
        <f>VLOOKUP(B1470,Лист2!A:E,4,0)</f>
        <v>2.5</v>
      </c>
      <c r="G1470">
        <f t="shared" si="102"/>
        <v>326000</v>
      </c>
      <c r="H1470">
        <f t="shared" si="103"/>
        <v>2448800</v>
      </c>
      <c r="I1470">
        <f t="shared" si="104"/>
        <v>130400</v>
      </c>
    </row>
    <row r="1471" spans="1:9">
      <c r="A1471" t="s">
        <v>14</v>
      </c>
      <c r="B1471" t="s">
        <v>18</v>
      </c>
      <c r="C1471">
        <v>1234000</v>
      </c>
      <c r="D1471">
        <v>1360000</v>
      </c>
      <c r="E1471" t="str">
        <f>VLOOKUP(B1471,Лист2!A:E,5,0)</f>
        <v>малые</v>
      </c>
      <c r="F1471">
        <f>VLOOKUP(B1471,Лист2!A:E,4,0)</f>
        <v>2.5</v>
      </c>
      <c r="G1471">
        <f t="shared" si="102"/>
        <v>-126000</v>
      </c>
      <c r="H1471">
        <f t="shared" si="103"/>
        <v>493600</v>
      </c>
      <c r="I1471">
        <f t="shared" si="104"/>
        <v>-50400</v>
      </c>
    </row>
    <row r="1472" spans="1:9">
      <c r="A1472" t="s">
        <v>14</v>
      </c>
      <c r="B1472" t="s">
        <v>18</v>
      </c>
      <c r="C1472">
        <v>206445000</v>
      </c>
      <c r="D1472">
        <v>177683000</v>
      </c>
      <c r="E1472" t="str">
        <f>VLOOKUP(B1472,Лист2!A:E,5,0)</f>
        <v>малые</v>
      </c>
      <c r="F1472">
        <f>VLOOKUP(B1472,Лист2!A:E,4,0)</f>
        <v>2.5</v>
      </c>
      <c r="G1472">
        <f t="shared" si="102"/>
        <v>28762000</v>
      </c>
      <c r="H1472">
        <f t="shared" si="103"/>
        <v>82578000</v>
      </c>
      <c r="I1472">
        <f t="shared" si="104"/>
        <v>11504800</v>
      </c>
    </row>
    <row r="1473" spans="1:9">
      <c r="A1473" t="s">
        <v>14</v>
      </c>
      <c r="B1473" t="s">
        <v>18</v>
      </c>
      <c r="C1473">
        <v>800000</v>
      </c>
      <c r="D1473">
        <v>702000</v>
      </c>
      <c r="E1473" t="str">
        <f>VLOOKUP(B1473,Лист2!A:E,5,0)</f>
        <v>малые</v>
      </c>
      <c r="F1473">
        <f>VLOOKUP(B1473,Лист2!A:E,4,0)</f>
        <v>2.5</v>
      </c>
      <c r="G1473">
        <f t="shared" si="102"/>
        <v>98000</v>
      </c>
      <c r="H1473">
        <f t="shared" si="103"/>
        <v>320000</v>
      </c>
      <c r="I1473">
        <f t="shared" si="104"/>
        <v>39200</v>
      </c>
    </row>
    <row r="1474" spans="1:9">
      <c r="A1474" t="s">
        <v>14</v>
      </c>
      <c r="B1474" t="s">
        <v>18</v>
      </c>
      <c r="C1474">
        <v>1060000</v>
      </c>
      <c r="D1474">
        <v>1195000</v>
      </c>
      <c r="E1474" t="str">
        <f>VLOOKUP(B1474,Лист2!A:E,5,0)</f>
        <v>малые</v>
      </c>
      <c r="F1474">
        <f>VLOOKUP(B1474,Лист2!A:E,4,0)</f>
        <v>2.5</v>
      </c>
      <c r="G1474">
        <f t="shared" si="102"/>
        <v>-135000</v>
      </c>
      <c r="H1474">
        <f t="shared" si="103"/>
        <v>424000</v>
      </c>
      <c r="I1474">
        <f t="shared" si="104"/>
        <v>-54000</v>
      </c>
    </row>
    <row r="1475" spans="1:9">
      <c r="A1475" t="s">
        <v>14</v>
      </c>
      <c r="B1475" t="s">
        <v>18</v>
      </c>
      <c r="C1475">
        <v>1390000</v>
      </c>
      <c r="D1475">
        <v>1411000</v>
      </c>
      <c r="E1475" t="str">
        <f>VLOOKUP(B1475,Лист2!A:E,5,0)</f>
        <v>малые</v>
      </c>
      <c r="F1475">
        <f>VLOOKUP(B1475,Лист2!A:E,4,0)</f>
        <v>2.5</v>
      </c>
      <c r="G1475">
        <f t="shared" si="102"/>
        <v>-21000</v>
      </c>
      <c r="H1475">
        <f t="shared" si="103"/>
        <v>556000</v>
      </c>
      <c r="I1475">
        <f t="shared" si="104"/>
        <v>-8400</v>
      </c>
    </row>
    <row r="1476" spans="1:9">
      <c r="A1476" t="s">
        <v>14</v>
      </c>
      <c r="B1476" t="s">
        <v>18</v>
      </c>
      <c r="C1476">
        <v>3579000</v>
      </c>
      <c r="D1476">
        <v>3579000</v>
      </c>
      <c r="E1476" t="str">
        <f>VLOOKUP(B1476,Лист2!A:E,5,0)</f>
        <v>малые</v>
      </c>
      <c r="F1476">
        <f>VLOOKUP(B1476,Лист2!A:E,4,0)</f>
        <v>2.5</v>
      </c>
      <c r="G1476">
        <f t="shared" si="102"/>
        <v>0</v>
      </c>
      <c r="H1476">
        <f t="shared" si="103"/>
        <v>1431600</v>
      </c>
      <c r="I1476">
        <f t="shared" si="104"/>
        <v>0</v>
      </c>
    </row>
    <row r="1477" spans="1:9">
      <c r="A1477" t="s">
        <v>14</v>
      </c>
      <c r="B1477" t="s">
        <v>18</v>
      </c>
      <c r="C1477">
        <v>78000</v>
      </c>
      <c r="D1477">
        <v>104000</v>
      </c>
      <c r="E1477" t="str">
        <f>VLOOKUP(B1477,Лист2!A:E,5,0)</f>
        <v>малые</v>
      </c>
      <c r="F1477">
        <f>VLOOKUP(B1477,Лист2!A:E,4,0)</f>
        <v>2.5</v>
      </c>
      <c r="G1477">
        <f t="shared" si="102"/>
        <v>-26000</v>
      </c>
      <c r="H1477">
        <f t="shared" si="103"/>
        <v>31200</v>
      </c>
      <c r="I1477">
        <f t="shared" si="104"/>
        <v>-10400</v>
      </c>
    </row>
    <row r="1478" spans="1:9">
      <c r="A1478" t="s">
        <v>14</v>
      </c>
      <c r="B1478" t="s">
        <v>18</v>
      </c>
      <c r="C1478">
        <v>2037000</v>
      </c>
      <c r="D1478">
        <v>3738000</v>
      </c>
      <c r="E1478" t="str">
        <f>VLOOKUP(B1478,Лист2!A:E,5,0)</f>
        <v>малые</v>
      </c>
      <c r="F1478">
        <f>VLOOKUP(B1478,Лист2!A:E,4,0)</f>
        <v>2.5</v>
      </c>
      <c r="G1478">
        <f t="shared" si="102"/>
        <v>-1701000</v>
      </c>
      <c r="H1478">
        <f t="shared" si="103"/>
        <v>814800</v>
      </c>
      <c r="I1478">
        <f t="shared" si="104"/>
        <v>-680400</v>
      </c>
    </row>
    <row r="1479" spans="1:9">
      <c r="A1479" t="s">
        <v>14</v>
      </c>
      <c r="B1479" t="s">
        <v>18</v>
      </c>
      <c r="C1479">
        <v>20993000</v>
      </c>
      <c r="D1479">
        <v>20993000</v>
      </c>
      <c r="E1479" t="str">
        <f>VLOOKUP(B1479,Лист2!A:E,5,0)</f>
        <v>малые</v>
      </c>
      <c r="F1479">
        <f>VLOOKUP(B1479,Лист2!A:E,4,0)</f>
        <v>2.5</v>
      </c>
      <c r="G1479">
        <f t="shared" si="102"/>
        <v>0</v>
      </c>
      <c r="H1479">
        <f t="shared" si="103"/>
        <v>8397200</v>
      </c>
      <c r="I1479">
        <f t="shared" si="104"/>
        <v>0</v>
      </c>
    </row>
    <row r="1480" spans="1:9">
      <c r="A1480" t="s">
        <v>14</v>
      </c>
      <c r="B1480" t="s">
        <v>18</v>
      </c>
      <c r="C1480">
        <v>496000</v>
      </c>
      <c r="D1480">
        <v>803000</v>
      </c>
      <c r="E1480" t="str">
        <f>VLOOKUP(B1480,Лист2!A:E,5,0)</f>
        <v>малые</v>
      </c>
      <c r="F1480">
        <f>VLOOKUP(B1480,Лист2!A:E,4,0)</f>
        <v>2.5</v>
      </c>
      <c r="G1480">
        <f t="shared" si="102"/>
        <v>-307000</v>
      </c>
      <c r="H1480">
        <f t="shared" si="103"/>
        <v>198400</v>
      </c>
      <c r="I1480">
        <f t="shared" si="104"/>
        <v>-122800</v>
      </c>
    </row>
    <row r="1481" spans="1:9">
      <c r="A1481" t="s">
        <v>14</v>
      </c>
      <c r="B1481" t="s">
        <v>77</v>
      </c>
      <c r="C1481">
        <v>17897000</v>
      </c>
      <c r="D1481">
        <v>18335000</v>
      </c>
      <c r="E1481" t="str">
        <f>VLOOKUP(B1481,Лист2!A:E,5,0)</f>
        <v>малые</v>
      </c>
      <c r="F1481">
        <f>VLOOKUP(B1481,Лист2!A:E,4,0)</f>
        <v>8</v>
      </c>
      <c r="G1481">
        <f t="shared" si="102"/>
        <v>-438000</v>
      </c>
      <c r="H1481">
        <f t="shared" si="103"/>
        <v>2237125</v>
      </c>
      <c r="I1481">
        <f t="shared" si="104"/>
        <v>-54750</v>
      </c>
    </row>
    <row r="1482" spans="1:9">
      <c r="A1482" t="s">
        <v>14</v>
      </c>
      <c r="B1482" t="s">
        <v>18</v>
      </c>
      <c r="C1482">
        <v>5899000</v>
      </c>
      <c r="D1482">
        <v>4717000</v>
      </c>
      <c r="E1482" t="str">
        <f>VLOOKUP(B1482,Лист2!A:E,5,0)</f>
        <v>малые</v>
      </c>
      <c r="F1482">
        <f>VLOOKUP(B1482,Лист2!A:E,4,0)</f>
        <v>2.5</v>
      </c>
      <c r="G1482">
        <f t="shared" si="102"/>
        <v>1182000</v>
      </c>
      <c r="H1482">
        <f t="shared" si="103"/>
        <v>2359600</v>
      </c>
      <c r="I1482">
        <f t="shared" si="104"/>
        <v>472800</v>
      </c>
    </row>
    <row r="1483" spans="1:9">
      <c r="A1483" t="s">
        <v>14</v>
      </c>
      <c r="B1483" t="s">
        <v>18</v>
      </c>
      <c r="C1483">
        <v>60000</v>
      </c>
      <c r="D1483">
        <v>8000</v>
      </c>
      <c r="E1483" t="str">
        <f>VLOOKUP(B1483,Лист2!A:E,5,0)</f>
        <v>малые</v>
      </c>
      <c r="F1483">
        <f>VLOOKUP(B1483,Лист2!A:E,4,0)</f>
        <v>2.5</v>
      </c>
      <c r="G1483">
        <f t="shared" si="102"/>
        <v>52000</v>
      </c>
      <c r="H1483">
        <f t="shared" si="103"/>
        <v>24000</v>
      </c>
      <c r="I1483">
        <f t="shared" si="104"/>
        <v>20800</v>
      </c>
    </row>
    <row r="1484" spans="1:9">
      <c r="A1484" t="s">
        <v>14</v>
      </c>
      <c r="B1484" t="s">
        <v>18</v>
      </c>
      <c r="C1484">
        <v>19000</v>
      </c>
      <c r="D1484">
        <v>19000</v>
      </c>
      <c r="E1484" t="str">
        <f>VLOOKUP(B1484,Лист2!A:E,5,0)</f>
        <v>малые</v>
      </c>
      <c r="F1484">
        <f>VLOOKUP(B1484,Лист2!A:E,4,0)</f>
        <v>2.5</v>
      </c>
      <c r="G1484">
        <f t="shared" si="102"/>
        <v>0</v>
      </c>
      <c r="H1484">
        <f t="shared" si="103"/>
        <v>7600</v>
      </c>
      <c r="I1484">
        <f t="shared" si="104"/>
        <v>0</v>
      </c>
    </row>
    <row r="1485" spans="1:9">
      <c r="A1485" t="s">
        <v>14</v>
      </c>
      <c r="B1485" t="s">
        <v>18</v>
      </c>
      <c r="C1485">
        <v>256477000</v>
      </c>
      <c r="D1485">
        <v>297625000</v>
      </c>
      <c r="E1485" t="str">
        <f>VLOOKUP(B1485,Лист2!A:E,5,0)</f>
        <v>малые</v>
      </c>
      <c r="F1485">
        <f>VLOOKUP(B1485,Лист2!A:E,4,0)</f>
        <v>2.5</v>
      </c>
      <c r="G1485">
        <f t="shared" si="102"/>
        <v>-41148000</v>
      </c>
      <c r="H1485">
        <f t="shared" si="103"/>
        <v>102590800</v>
      </c>
      <c r="I1485">
        <f t="shared" si="104"/>
        <v>-16459200</v>
      </c>
    </row>
    <row r="1486" spans="1:9">
      <c r="A1486" t="s">
        <v>14</v>
      </c>
      <c r="B1486" t="s">
        <v>18</v>
      </c>
      <c r="C1486">
        <v>40033000</v>
      </c>
      <c r="D1486">
        <v>40380000</v>
      </c>
      <c r="E1486" t="str">
        <f>VLOOKUP(B1486,Лист2!A:E,5,0)</f>
        <v>малые</v>
      </c>
      <c r="F1486">
        <f>VLOOKUP(B1486,Лист2!A:E,4,0)</f>
        <v>2.5</v>
      </c>
      <c r="G1486">
        <f t="shared" si="102"/>
        <v>-347000</v>
      </c>
      <c r="H1486">
        <f t="shared" si="103"/>
        <v>16013200</v>
      </c>
      <c r="I1486">
        <f t="shared" si="104"/>
        <v>-138800</v>
      </c>
    </row>
    <row r="1487" spans="1:9">
      <c r="A1487" t="s">
        <v>14</v>
      </c>
      <c r="B1487" t="s">
        <v>18</v>
      </c>
      <c r="C1487">
        <v>1147209000</v>
      </c>
      <c r="D1487">
        <v>850870000</v>
      </c>
      <c r="E1487" t="str">
        <f>VLOOKUP(B1487,Лист2!A:E,5,0)</f>
        <v>малые</v>
      </c>
      <c r="F1487">
        <f>VLOOKUP(B1487,Лист2!A:E,4,0)</f>
        <v>2.5</v>
      </c>
      <c r="G1487">
        <f t="shared" si="102"/>
        <v>296339000</v>
      </c>
      <c r="H1487">
        <f t="shared" si="103"/>
        <v>458883600</v>
      </c>
      <c r="I1487">
        <f t="shared" si="104"/>
        <v>118535600</v>
      </c>
    </row>
    <row r="1488" spans="1:9">
      <c r="A1488" t="s">
        <v>25</v>
      </c>
      <c r="B1488" t="s">
        <v>18</v>
      </c>
      <c r="C1488">
        <v>985000</v>
      </c>
      <c r="D1488">
        <v>934000</v>
      </c>
      <c r="E1488" t="str">
        <f>VLOOKUP(B1488,Лист2!A:E,5,0)</f>
        <v>малые</v>
      </c>
      <c r="F1488">
        <f>VLOOKUP(B1488,Лист2!A:E,4,0)</f>
        <v>2.5</v>
      </c>
      <c r="G1488">
        <f t="shared" ref="G1488:G1534" si="105">C1488-D1488</f>
        <v>51000</v>
      </c>
      <c r="H1488">
        <f t="shared" ref="H1488:H1534" si="106">C1488/F1488</f>
        <v>394000</v>
      </c>
      <c r="I1488">
        <f t="shared" ref="I1488:I1534" si="107">G1488/F1488</f>
        <v>20400</v>
      </c>
    </row>
    <row r="1489" spans="1:9">
      <c r="A1489" t="s">
        <v>25</v>
      </c>
      <c r="B1489" t="s">
        <v>18</v>
      </c>
      <c r="C1489">
        <v>7000000</v>
      </c>
      <c r="D1489">
        <v>7015000</v>
      </c>
      <c r="E1489" t="str">
        <f>VLOOKUP(B1489,Лист2!A:E,5,0)</f>
        <v>малые</v>
      </c>
      <c r="F1489">
        <f>VLOOKUP(B1489,Лист2!A:E,4,0)</f>
        <v>2.5</v>
      </c>
      <c r="G1489">
        <f t="shared" si="105"/>
        <v>-15000</v>
      </c>
      <c r="H1489">
        <f t="shared" si="106"/>
        <v>2800000</v>
      </c>
      <c r="I1489">
        <f t="shared" si="107"/>
        <v>-6000</v>
      </c>
    </row>
    <row r="1490" spans="1:9">
      <c r="A1490" t="s">
        <v>14</v>
      </c>
      <c r="B1490" t="s">
        <v>18</v>
      </c>
      <c r="C1490">
        <v>2182000</v>
      </c>
      <c r="D1490">
        <v>2354000</v>
      </c>
      <c r="E1490" t="str">
        <f>VLOOKUP(B1490,Лист2!A:E,5,0)</f>
        <v>малые</v>
      </c>
      <c r="F1490">
        <f>VLOOKUP(B1490,Лист2!A:E,4,0)</f>
        <v>2.5</v>
      </c>
      <c r="G1490">
        <f t="shared" si="105"/>
        <v>-172000</v>
      </c>
      <c r="H1490">
        <f t="shared" si="106"/>
        <v>872800</v>
      </c>
      <c r="I1490">
        <f t="shared" si="107"/>
        <v>-68800</v>
      </c>
    </row>
    <row r="1491" spans="1:9">
      <c r="A1491" t="s">
        <v>25</v>
      </c>
      <c r="B1491" t="s">
        <v>18</v>
      </c>
      <c r="C1491">
        <v>216592000</v>
      </c>
      <c r="D1491">
        <v>220023000</v>
      </c>
      <c r="E1491" t="str">
        <f>VLOOKUP(B1491,Лист2!A:E,5,0)</f>
        <v>малые</v>
      </c>
      <c r="F1491">
        <f>VLOOKUP(B1491,Лист2!A:E,4,0)</f>
        <v>2.5</v>
      </c>
      <c r="G1491">
        <f t="shared" si="105"/>
        <v>-3431000</v>
      </c>
      <c r="H1491">
        <f t="shared" si="106"/>
        <v>86636800</v>
      </c>
      <c r="I1491">
        <f t="shared" si="107"/>
        <v>-1372400</v>
      </c>
    </row>
    <row r="1492" spans="1:9">
      <c r="A1492" t="s">
        <v>14</v>
      </c>
      <c r="B1492" t="s">
        <v>18</v>
      </c>
      <c r="C1492">
        <v>1844000</v>
      </c>
      <c r="D1492">
        <v>1502000</v>
      </c>
      <c r="E1492" t="str">
        <f>VLOOKUP(B1492,Лист2!A:E,5,0)</f>
        <v>малые</v>
      </c>
      <c r="F1492">
        <f>VLOOKUP(B1492,Лист2!A:E,4,0)</f>
        <v>2.5</v>
      </c>
      <c r="G1492">
        <f t="shared" si="105"/>
        <v>342000</v>
      </c>
      <c r="H1492">
        <f t="shared" si="106"/>
        <v>737600</v>
      </c>
      <c r="I1492">
        <f t="shared" si="107"/>
        <v>136800</v>
      </c>
    </row>
    <row r="1493" spans="1:9">
      <c r="A1493" t="s">
        <v>14</v>
      </c>
      <c r="B1493" t="s">
        <v>18</v>
      </c>
      <c r="C1493">
        <v>4775000</v>
      </c>
      <c r="D1493">
        <v>4708000</v>
      </c>
      <c r="E1493" t="str">
        <f>VLOOKUP(B1493,Лист2!A:E,5,0)</f>
        <v>малые</v>
      </c>
      <c r="F1493">
        <f>VLOOKUP(B1493,Лист2!A:E,4,0)</f>
        <v>2.5</v>
      </c>
      <c r="G1493">
        <f t="shared" si="105"/>
        <v>67000</v>
      </c>
      <c r="H1493">
        <f t="shared" si="106"/>
        <v>1910000</v>
      </c>
      <c r="I1493">
        <f t="shared" si="107"/>
        <v>26800</v>
      </c>
    </row>
    <row r="1494" spans="1:9">
      <c r="A1494" t="s">
        <v>14</v>
      </c>
      <c r="B1494" t="s">
        <v>18</v>
      </c>
      <c r="C1494">
        <v>33000</v>
      </c>
      <c r="D1494">
        <v>47000</v>
      </c>
      <c r="E1494" t="str">
        <f>VLOOKUP(B1494,Лист2!A:E,5,0)</f>
        <v>малые</v>
      </c>
      <c r="F1494">
        <f>VLOOKUP(B1494,Лист2!A:E,4,0)</f>
        <v>2.5</v>
      </c>
      <c r="G1494">
        <f t="shared" si="105"/>
        <v>-14000</v>
      </c>
      <c r="H1494">
        <f t="shared" si="106"/>
        <v>13200</v>
      </c>
      <c r="I1494">
        <f t="shared" si="107"/>
        <v>-5600</v>
      </c>
    </row>
    <row r="1495" spans="1:9">
      <c r="A1495" t="s">
        <v>14</v>
      </c>
      <c r="B1495" t="s">
        <v>18</v>
      </c>
      <c r="C1495">
        <v>8773000</v>
      </c>
      <c r="D1495">
        <v>5991000</v>
      </c>
      <c r="E1495" t="str">
        <f>VLOOKUP(B1495,Лист2!A:E,5,0)</f>
        <v>малые</v>
      </c>
      <c r="F1495">
        <f>VLOOKUP(B1495,Лист2!A:E,4,0)</f>
        <v>2.5</v>
      </c>
      <c r="G1495">
        <f t="shared" si="105"/>
        <v>2782000</v>
      </c>
      <c r="H1495">
        <f t="shared" si="106"/>
        <v>3509200</v>
      </c>
      <c r="I1495">
        <f t="shared" si="107"/>
        <v>1112800</v>
      </c>
    </row>
    <row r="1496" spans="1:9">
      <c r="A1496" t="s">
        <v>14</v>
      </c>
      <c r="B1496" t="s">
        <v>18</v>
      </c>
      <c r="C1496">
        <v>805000</v>
      </c>
      <c r="D1496">
        <v>96000</v>
      </c>
      <c r="E1496" t="str">
        <f>VLOOKUP(B1496,Лист2!A:E,5,0)</f>
        <v>малые</v>
      </c>
      <c r="F1496">
        <f>VLOOKUP(B1496,Лист2!A:E,4,0)</f>
        <v>2.5</v>
      </c>
      <c r="G1496">
        <f t="shared" si="105"/>
        <v>709000</v>
      </c>
      <c r="H1496">
        <f t="shared" si="106"/>
        <v>322000</v>
      </c>
      <c r="I1496">
        <f t="shared" si="107"/>
        <v>283600</v>
      </c>
    </row>
    <row r="1497" spans="1:9">
      <c r="A1497" t="s">
        <v>14</v>
      </c>
      <c r="B1497" t="s">
        <v>18</v>
      </c>
      <c r="C1497">
        <v>420000</v>
      </c>
      <c r="D1497">
        <v>454000</v>
      </c>
      <c r="E1497" t="str">
        <f>VLOOKUP(B1497,Лист2!A:E,5,0)</f>
        <v>малые</v>
      </c>
      <c r="F1497">
        <f>VLOOKUP(B1497,Лист2!A:E,4,0)</f>
        <v>2.5</v>
      </c>
      <c r="G1497">
        <f t="shared" si="105"/>
        <v>-34000</v>
      </c>
      <c r="H1497">
        <f t="shared" si="106"/>
        <v>168000</v>
      </c>
      <c r="I1497">
        <f t="shared" si="107"/>
        <v>-13600</v>
      </c>
    </row>
    <row r="1498" spans="1:9">
      <c r="A1498" t="s">
        <v>14</v>
      </c>
      <c r="B1498" t="s">
        <v>18</v>
      </c>
      <c r="C1498">
        <v>1216000</v>
      </c>
      <c r="D1498">
        <v>1215000</v>
      </c>
      <c r="E1498" t="str">
        <f>VLOOKUP(B1498,Лист2!A:E,5,0)</f>
        <v>малые</v>
      </c>
      <c r="F1498">
        <f>VLOOKUP(B1498,Лист2!A:E,4,0)</f>
        <v>2.5</v>
      </c>
      <c r="G1498">
        <f t="shared" si="105"/>
        <v>1000</v>
      </c>
      <c r="H1498">
        <f t="shared" si="106"/>
        <v>486400</v>
      </c>
      <c r="I1498">
        <f t="shared" si="107"/>
        <v>400</v>
      </c>
    </row>
    <row r="1499" spans="1:9">
      <c r="A1499" t="s">
        <v>14</v>
      </c>
      <c r="B1499" t="s">
        <v>18</v>
      </c>
      <c r="C1499">
        <v>681000</v>
      </c>
      <c r="D1499">
        <v>833000</v>
      </c>
      <c r="E1499" t="str">
        <f>VLOOKUP(B1499,Лист2!A:E,5,0)</f>
        <v>малые</v>
      </c>
      <c r="F1499">
        <f>VLOOKUP(B1499,Лист2!A:E,4,0)</f>
        <v>2.5</v>
      </c>
      <c r="G1499">
        <f t="shared" si="105"/>
        <v>-152000</v>
      </c>
      <c r="H1499">
        <f t="shared" si="106"/>
        <v>272400</v>
      </c>
      <c r="I1499">
        <f t="shared" si="107"/>
        <v>-60800</v>
      </c>
    </row>
    <row r="1500" spans="1:9">
      <c r="A1500" t="s">
        <v>14</v>
      </c>
      <c r="B1500" t="s">
        <v>18</v>
      </c>
      <c r="C1500">
        <v>134860000</v>
      </c>
      <c r="D1500">
        <v>128879000</v>
      </c>
      <c r="E1500" t="str">
        <f>VLOOKUP(B1500,Лист2!A:E,5,0)</f>
        <v>малые</v>
      </c>
      <c r="F1500">
        <f>VLOOKUP(B1500,Лист2!A:E,4,0)</f>
        <v>2.5</v>
      </c>
      <c r="G1500">
        <f t="shared" si="105"/>
        <v>5981000</v>
      </c>
      <c r="H1500">
        <f t="shared" si="106"/>
        <v>53944000</v>
      </c>
      <c r="I1500">
        <f t="shared" si="107"/>
        <v>2392400</v>
      </c>
    </row>
    <row r="1501" spans="1:9">
      <c r="A1501" t="s">
        <v>14</v>
      </c>
      <c r="B1501" t="s">
        <v>18</v>
      </c>
      <c r="C1501">
        <v>2208000</v>
      </c>
      <c r="D1501">
        <v>2586000</v>
      </c>
      <c r="E1501" t="str">
        <f>VLOOKUP(B1501,Лист2!A:E,5,0)</f>
        <v>малые</v>
      </c>
      <c r="F1501">
        <f>VLOOKUP(B1501,Лист2!A:E,4,0)</f>
        <v>2.5</v>
      </c>
      <c r="G1501">
        <f t="shared" si="105"/>
        <v>-378000</v>
      </c>
      <c r="H1501">
        <f t="shared" si="106"/>
        <v>883200</v>
      </c>
      <c r="I1501">
        <f t="shared" si="107"/>
        <v>-151200</v>
      </c>
    </row>
    <row r="1502" spans="1:9">
      <c r="A1502" t="s">
        <v>14</v>
      </c>
      <c r="B1502" t="s">
        <v>18</v>
      </c>
      <c r="C1502">
        <v>387000</v>
      </c>
      <c r="D1502">
        <v>410000</v>
      </c>
      <c r="E1502" t="str">
        <f>VLOOKUP(B1502,Лист2!A:E,5,0)</f>
        <v>малые</v>
      </c>
      <c r="F1502">
        <f>VLOOKUP(B1502,Лист2!A:E,4,0)</f>
        <v>2.5</v>
      </c>
      <c r="G1502">
        <f t="shared" si="105"/>
        <v>-23000</v>
      </c>
      <c r="H1502">
        <f t="shared" si="106"/>
        <v>154800</v>
      </c>
      <c r="I1502">
        <f t="shared" si="107"/>
        <v>-9200</v>
      </c>
    </row>
    <row r="1503" spans="1:9">
      <c r="A1503" t="s">
        <v>14</v>
      </c>
      <c r="B1503" t="s">
        <v>18</v>
      </c>
      <c r="C1503">
        <v>74000</v>
      </c>
      <c r="D1503">
        <v>55000</v>
      </c>
      <c r="E1503" t="str">
        <f>VLOOKUP(B1503,Лист2!A:E,5,0)</f>
        <v>малые</v>
      </c>
      <c r="F1503">
        <f>VLOOKUP(B1503,Лист2!A:E,4,0)</f>
        <v>2.5</v>
      </c>
      <c r="G1503">
        <f t="shared" si="105"/>
        <v>19000</v>
      </c>
      <c r="H1503">
        <f t="shared" si="106"/>
        <v>29600</v>
      </c>
      <c r="I1503">
        <f t="shared" si="107"/>
        <v>7600</v>
      </c>
    </row>
    <row r="1504" spans="1:9">
      <c r="A1504" t="s">
        <v>14</v>
      </c>
      <c r="B1504" t="s">
        <v>23</v>
      </c>
      <c r="C1504">
        <v>64631000</v>
      </c>
      <c r="D1504">
        <v>55875000</v>
      </c>
      <c r="E1504" t="str">
        <f>VLOOKUP(B1504,Лист2!A:E,5,0)</f>
        <v>средние</v>
      </c>
      <c r="F1504">
        <f>VLOOKUP(B1504,Лист2!A:E,4,0)</f>
        <v>75.5</v>
      </c>
      <c r="G1504">
        <f t="shared" si="105"/>
        <v>8756000</v>
      </c>
      <c r="H1504">
        <f t="shared" si="106"/>
        <v>856039.73509933776</v>
      </c>
      <c r="I1504">
        <f t="shared" si="107"/>
        <v>115973.50993377484</v>
      </c>
    </row>
    <row r="1505" spans="1:9">
      <c r="A1505" t="s">
        <v>14</v>
      </c>
      <c r="B1505" t="s">
        <v>18</v>
      </c>
      <c r="C1505">
        <v>656000</v>
      </c>
      <c r="D1505">
        <v>676000</v>
      </c>
      <c r="E1505" t="str">
        <f>VLOOKUP(B1505,Лист2!A:E,5,0)</f>
        <v>малые</v>
      </c>
      <c r="F1505">
        <f>VLOOKUP(B1505,Лист2!A:E,4,0)</f>
        <v>2.5</v>
      </c>
      <c r="G1505">
        <f t="shared" si="105"/>
        <v>-20000</v>
      </c>
      <c r="H1505">
        <f t="shared" si="106"/>
        <v>262400</v>
      </c>
      <c r="I1505">
        <f t="shared" si="107"/>
        <v>-8000</v>
      </c>
    </row>
    <row r="1506" spans="1:9">
      <c r="A1506" t="s">
        <v>14</v>
      </c>
      <c r="B1506" t="s">
        <v>22</v>
      </c>
      <c r="C1506">
        <v>24601000</v>
      </c>
      <c r="D1506">
        <v>24558000</v>
      </c>
      <c r="E1506" t="str">
        <f>VLOOKUP(B1506,Лист2!A:E,5,0)</f>
        <v>малые</v>
      </c>
      <c r="F1506">
        <f>VLOOKUP(B1506,Лист2!A:E,4,0)</f>
        <v>13</v>
      </c>
      <c r="G1506">
        <f t="shared" si="105"/>
        <v>43000</v>
      </c>
      <c r="H1506">
        <f t="shared" si="106"/>
        <v>1892384.6153846155</v>
      </c>
      <c r="I1506">
        <f t="shared" si="107"/>
        <v>3307.6923076923076</v>
      </c>
    </row>
    <row r="1507" spans="1:9">
      <c r="A1507" t="s">
        <v>14</v>
      </c>
      <c r="B1507" t="s">
        <v>22</v>
      </c>
      <c r="C1507">
        <v>63245000</v>
      </c>
      <c r="D1507">
        <v>60782000</v>
      </c>
      <c r="E1507" t="str">
        <f>VLOOKUP(B1507,Лист2!A:E,5,0)</f>
        <v>малые</v>
      </c>
      <c r="F1507">
        <f>VLOOKUP(B1507,Лист2!A:E,4,0)</f>
        <v>13</v>
      </c>
      <c r="G1507">
        <f t="shared" si="105"/>
        <v>2463000</v>
      </c>
      <c r="H1507">
        <f t="shared" si="106"/>
        <v>4865000</v>
      </c>
      <c r="I1507">
        <f t="shared" si="107"/>
        <v>189461.53846153847</v>
      </c>
    </row>
    <row r="1508" spans="1:9">
      <c r="A1508" t="s">
        <v>14</v>
      </c>
      <c r="B1508" t="s">
        <v>18</v>
      </c>
      <c r="C1508">
        <v>7163000</v>
      </c>
      <c r="D1508">
        <v>9294000</v>
      </c>
      <c r="E1508" t="str">
        <f>VLOOKUP(B1508,Лист2!A:E,5,0)</f>
        <v>малые</v>
      </c>
      <c r="F1508">
        <f>VLOOKUP(B1508,Лист2!A:E,4,0)</f>
        <v>2.5</v>
      </c>
      <c r="G1508">
        <f t="shared" si="105"/>
        <v>-2131000</v>
      </c>
      <c r="H1508">
        <f t="shared" si="106"/>
        <v>2865200</v>
      </c>
      <c r="I1508">
        <f t="shared" si="107"/>
        <v>-852400</v>
      </c>
    </row>
    <row r="1509" spans="1:9">
      <c r="A1509" t="s">
        <v>14</v>
      </c>
      <c r="B1509" t="s">
        <v>18</v>
      </c>
      <c r="C1509">
        <v>909000</v>
      </c>
      <c r="D1509">
        <v>1467000</v>
      </c>
      <c r="E1509" t="str">
        <f>VLOOKUP(B1509,Лист2!A:E,5,0)</f>
        <v>малые</v>
      </c>
      <c r="F1509">
        <f>VLOOKUP(B1509,Лист2!A:E,4,0)</f>
        <v>2.5</v>
      </c>
      <c r="G1509">
        <f t="shared" si="105"/>
        <v>-558000</v>
      </c>
      <c r="H1509">
        <f t="shared" si="106"/>
        <v>363600</v>
      </c>
      <c r="I1509">
        <f t="shared" si="107"/>
        <v>-223200</v>
      </c>
    </row>
    <row r="1510" spans="1:9">
      <c r="A1510" t="s">
        <v>14</v>
      </c>
      <c r="B1510" t="s">
        <v>18</v>
      </c>
      <c r="C1510">
        <v>360000</v>
      </c>
      <c r="D1510">
        <v>352000</v>
      </c>
      <c r="E1510" t="str">
        <f>VLOOKUP(B1510,Лист2!A:E,5,0)</f>
        <v>малые</v>
      </c>
      <c r="F1510">
        <f>VLOOKUP(B1510,Лист2!A:E,4,0)</f>
        <v>2.5</v>
      </c>
      <c r="G1510">
        <f t="shared" si="105"/>
        <v>8000</v>
      </c>
      <c r="H1510">
        <f t="shared" si="106"/>
        <v>144000</v>
      </c>
      <c r="I1510">
        <f t="shared" si="107"/>
        <v>3200</v>
      </c>
    </row>
    <row r="1511" spans="1:9">
      <c r="A1511" t="s">
        <v>14</v>
      </c>
      <c r="B1511" t="s">
        <v>18</v>
      </c>
      <c r="C1511">
        <v>9194000</v>
      </c>
      <c r="D1511">
        <v>118023000</v>
      </c>
      <c r="E1511" t="str">
        <f>VLOOKUP(B1511,Лист2!A:E,5,0)</f>
        <v>малые</v>
      </c>
      <c r="F1511">
        <f>VLOOKUP(B1511,Лист2!A:E,4,0)</f>
        <v>2.5</v>
      </c>
      <c r="G1511">
        <f t="shared" si="105"/>
        <v>-108829000</v>
      </c>
      <c r="H1511">
        <f t="shared" si="106"/>
        <v>3677600</v>
      </c>
      <c r="I1511">
        <f t="shared" si="107"/>
        <v>-43531600</v>
      </c>
    </row>
    <row r="1512" spans="1:9">
      <c r="A1512" t="s">
        <v>14</v>
      </c>
      <c r="B1512" t="s">
        <v>18</v>
      </c>
      <c r="C1512">
        <v>15816000</v>
      </c>
      <c r="D1512">
        <v>13572000</v>
      </c>
      <c r="E1512" t="str">
        <f>VLOOKUP(B1512,Лист2!A:E,5,0)</f>
        <v>малые</v>
      </c>
      <c r="F1512">
        <f>VLOOKUP(B1512,Лист2!A:E,4,0)</f>
        <v>2.5</v>
      </c>
      <c r="G1512">
        <f t="shared" si="105"/>
        <v>2244000</v>
      </c>
      <c r="H1512">
        <f t="shared" si="106"/>
        <v>6326400</v>
      </c>
      <c r="I1512">
        <f t="shared" si="107"/>
        <v>897600</v>
      </c>
    </row>
    <row r="1513" spans="1:9">
      <c r="A1513" t="s">
        <v>14</v>
      </c>
      <c r="B1513" t="s">
        <v>18</v>
      </c>
      <c r="C1513">
        <v>2456000</v>
      </c>
      <c r="D1513">
        <v>2281000</v>
      </c>
      <c r="E1513" t="str">
        <f>VLOOKUP(B1513,Лист2!A:E,5,0)</f>
        <v>малые</v>
      </c>
      <c r="F1513">
        <f>VLOOKUP(B1513,Лист2!A:E,4,0)</f>
        <v>2.5</v>
      </c>
      <c r="G1513">
        <f t="shared" si="105"/>
        <v>175000</v>
      </c>
      <c r="H1513">
        <f t="shared" si="106"/>
        <v>982400</v>
      </c>
      <c r="I1513">
        <f t="shared" si="107"/>
        <v>70000</v>
      </c>
    </row>
    <row r="1514" spans="1:9">
      <c r="A1514" t="s">
        <v>25</v>
      </c>
      <c r="B1514" t="s">
        <v>18</v>
      </c>
      <c r="C1514">
        <v>2236000</v>
      </c>
      <c r="D1514">
        <v>2213000</v>
      </c>
      <c r="E1514" t="str">
        <f>VLOOKUP(B1514,Лист2!A:E,5,0)</f>
        <v>малые</v>
      </c>
      <c r="F1514">
        <f>VLOOKUP(B1514,Лист2!A:E,4,0)</f>
        <v>2.5</v>
      </c>
      <c r="G1514">
        <f t="shared" si="105"/>
        <v>23000</v>
      </c>
      <c r="H1514">
        <f t="shared" si="106"/>
        <v>894400</v>
      </c>
      <c r="I1514">
        <f t="shared" si="107"/>
        <v>9200</v>
      </c>
    </row>
    <row r="1515" spans="1:9">
      <c r="A1515" t="s">
        <v>25</v>
      </c>
      <c r="B1515" t="s">
        <v>18</v>
      </c>
      <c r="C1515">
        <v>868000</v>
      </c>
      <c r="D1515">
        <v>625000</v>
      </c>
      <c r="E1515" t="str">
        <f>VLOOKUP(B1515,Лист2!A:E,5,0)</f>
        <v>малые</v>
      </c>
      <c r="F1515">
        <f>VLOOKUP(B1515,Лист2!A:E,4,0)</f>
        <v>2.5</v>
      </c>
      <c r="G1515">
        <f t="shared" si="105"/>
        <v>243000</v>
      </c>
      <c r="H1515">
        <f t="shared" si="106"/>
        <v>347200</v>
      </c>
      <c r="I1515">
        <f t="shared" si="107"/>
        <v>97200</v>
      </c>
    </row>
    <row r="1516" spans="1:9">
      <c r="A1516" t="s">
        <v>14</v>
      </c>
      <c r="B1516" t="s">
        <v>18</v>
      </c>
      <c r="C1516">
        <v>3452000</v>
      </c>
      <c r="D1516">
        <v>3359000</v>
      </c>
      <c r="E1516" t="str">
        <f>VLOOKUP(B1516,Лист2!A:E,5,0)</f>
        <v>малые</v>
      </c>
      <c r="F1516">
        <f>VLOOKUP(B1516,Лист2!A:E,4,0)</f>
        <v>2.5</v>
      </c>
      <c r="G1516">
        <f t="shared" si="105"/>
        <v>93000</v>
      </c>
      <c r="H1516">
        <f t="shared" si="106"/>
        <v>1380800</v>
      </c>
      <c r="I1516">
        <f t="shared" si="107"/>
        <v>37200</v>
      </c>
    </row>
    <row r="1517" spans="1:9">
      <c r="A1517" t="s">
        <v>14</v>
      </c>
      <c r="B1517" t="s">
        <v>18</v>
      </c>
      <c r="C1517">
        <v>2517000</v>
      </c>
      <c r="D1517">
        <v>283000</v>
      </c>
      <c r="E1517" t="str">
        <f>VLOOKUP(B1517,Лист2!A:E,5,0)</f>
        <v>малые</v>
      </c>
      <c r="F1517">
        <f>VLOOKUP(B1517,Лист2!A:E,4,0)</f>
        <v>2.5</v>
      </c>
      <c r="G1517">
        <f t="shared" si="105"/>
        <v>2234000</v>
      </c>
      <c r="H1517">
        <f t="shared" si="106"/>
        <v>1006800</v>
      </c>
      <c r="I1517">
        <f t="shared" si="107"/>
        <v>893600</v>
      </c>
    </row>
    <row r="1518" spans="1:9">
      <c r="A1518" t="s">
        <v>14</v>
      </c>
      <c r="B1518" t="s">
        <v>18</v>
      </c>
      <c r="C1518">
        <v>3879000</v>
      </c>
      <c r="D1518">
        <v>2602000</v>
      </c>
      <c r="E1518" t="str">
        <f>VLOOKUP(B1518,Лист2!A:E,5,0)</f>
        <v>малые</v>
      </c>
      <c r="F1518">
        <f>VLOOKUP(B1518,Лист2!A:E,4,0)</f>
        <v>2.5</v>
      </c>
      <c r="G1518">
        <f t="shared" si="105"/>
        <v>1277000</v>
      </c>
      <c r="H1518">
        <f t="shared" si="106"/>
        <v>1551600</v>
      </c>
      <c r="I1518">
        <f t="shared" si="107"/>
        <v>510800</v>
      </c>
    </row>
    <row r="1519" spans="1:9">
      <c r="A1519" t="s">
        <v>14</v>
      </c>
      <c r="B1519" t="s">
        <v>18</v>
      </c>
      <c r="C1519">
        <v>8489000</v>
      </c>
      <c r="D1519">
        <v>7036000</v>
      </c>
      <c r="E1519" t="str">
        <f>VLOOKUP(B1519,Лист2!A:E,5,0)</f>
        <v>малые</v>
      </c>
      <c r="F1519">
        <f>VLOOKUP(B1519,Лист2!A:E,4,0)</f>
        <v>2.5</v>
      </c>
      <c r="G1519">
        <f t="shared" si="105"/>
        <v>1453000</v>
      </c>
      <c r="H1519">
        <f t="shared" si="106"/>
        <v>3395600</v>
      </c>
      <c r="I1519">
        <f t="shared" si="107"/>
        <v>581200</v>
      </c>
    </row>
    <row r="1520" spans="1:9">
      <c r="A1520" t="s">
        <v>14</v>
      </c>
      <c r="B1520" t="s">
        <v>18</v>
      </c>
      <c r="C1520">
        <v>1254000</v>
      </c>
      <c r="D1520">
        <v>1296000</v>
      </c>
      <c r="E1520" t="str">
        <f>VLOOKUP(B1520,Лист2!A:E,5,0)</f>
        <v>малые</v>
      </c>
      <c r="F1520">
        <f>VLOOKUP(B1520,Лист2!A:E,4,0)</f>
        <v>2.5</v>
      </c>
      <c r="G1520">
        <f t="shared" si="105"/>
        <v>-42000</v>
      </c>
      <c r="H1520">
        <f t="shared" si="106"/>
        <v>501600</v>
      </c>
      <c r="I1520">
        <f t="shared" si="107"/>
        <v>-16800</v>
      </c>
    </row>
    <row r="1521" spans="1:9">
      <c r="A1521" t="s">
        <v>14</v>
      </c>
      <c r="B1521" t="s">
        <v>18</v>
      </c>
      <c r="C1521">
        <v>174000</v>
      </c>
      <c r="D1521">
        <v>124000</v>
      </c>
      <c r="E1521" t="str">
        <f>VLOOKUP(B1521,Лист2!A:E,5,0)</f>
        <v>малые</v>
      </c>
      <c r="F1521">
        <f>VLOOKUP(B1521,Лист2!A:E,4,0)</f>
        <v>2.5</v>
      </c>
      <c r="G1521">
        <f t="shared" si="105"/>
        <v>50000</v>
      </c>
      <c r="H1521">
        <f t="shared" si="106"/>
        <v>69600</v>
      </c>
      <c r="I1521">
        <f t="shared" si="107"/>
        <v>20000</v>
      </c>
    </row>
    <row r="1522" spans="1:9">
      <c r="A1522" t="s">
        <v>14</v>
      </c>
      <c r="B1522" t="s">
        <v>18</v>
      </c>
      <c r="C1522">
        <v>28465000</v>
      </c>
      <c r="D1522">
        <v>19185000</v>
      </c>
      <c r="E1522" t="str">
        <f>VLOOKUP(B1522,Лист2!A:E,5,0)</f>
        <v>малые</v>
      </c>
      <c r="F1522">
        <f>VLOOKUP(B1522,Лист2!A:E,4,0)</f>
        <v>2.5</v>
      </c>
      <c r="G1522">
        <f t="shared" si="105"/>
        <v>9280000</v>
      </c>
      <c r="H1522">
        <f t="shared" si="106"/>
        <v>11386000</v>
      </c>
      <c r="I1522">
        <f t="shared" si="107"/>
        <v>3712000</v>
      </c>
    </row>
    <row r="1523" spans="1:9">
      <c r="A1523" t="s">
        <v>14</v>
      </c>
      <c r="B1523" t="s">
        <v>18</v>
      </c>
      <c r="C1523">
        <v>5253000</v>
      </c>
      <c r="D1523">
        <v>5234000</v>
      </c>
      <c r="E1523" t="str">
        <f>VLOOKUP(B1523,Лист2!A:E,5,0)</f>
        <v>малые</v>
      </c>
      <c r="F1523">
        <f>VLOOKUP(B1523,Лист2!A:E,4,0)</f>
        <v>2.5</v>
      </c>
      <c r="G1523">
        <f t="shared" si="105"/>
        <v>19000</v>
      </c>
      <c r="H1523">
        <f t="shared" si="106"/>
        <v>2101200</v>
      </c>
      <c r="I1523">
        <f t="shared" si="107"/>
        <v>7600</v>
      </c>
    </row>
    <row r="1524" spans="1:9">
      <c r="A1524" t="s">
        <v>25</v>
      </c>
      <c r="B1524" t="s">
        <v>18</v>
      </c>
      <c r="C1524">
        <v>2750000</v>
      </c>
      <c r="D1524">
        <v>2750000</v>
      </c>
      <c r="E1524" t="str">
        <f>VLOOKUP(B1524,Лист2!A:E,5,0)</f>
        <v>малые</v>
      </c>
      <c r="F1524">
        <f>VLOOKUP(B1524,Лист2!A:E,4,0)</f>
        <v>2.5</v>
      </c>
      <c r="G1524">
        <f t="shared" si="105"/>
        <v>0</v>
      </c>
      <c r="H1524">
        <f t="shared" si="106"/>
        <v>1100000</v>
      </c>
      <c r="I1524">
        <f t="shared" si="107"/>
        <v>0</v>
      </c>
    </row>
    <row r="1525" spans="1:9">
      <c r="A1525" t="s">
        <v>249</v>
      </c>
      <c r="B1525" t="s">
        <v>18</v>
      </c>
      <c r="C1525">
        <v>2178000</v>
      </c>
      <c r="D1525">
        <v>1692000</v>
      </c>
      <c r="E1525" t="str">
        <f>VLOOKUP(B1525,Лист2!A:E,5,0)</f>
        <v>малые</v>
      </c>
      <c r="F1525">
        <f>VLOOKUP(B1525,Лист2!A:E,4,0)</f>
        <v>2.5</v>
      </c>
      <c r="G1525">
        <f t="shared" si="105"/>
        <v>486000</v>
      </c>
      <c r="H1525">
        <f t="shared" si="106"/>
        <v>871200</v>
      </c>
      <c r="I1525">
        <f t="shared" si="107"/>
        <v>194400</v>
      </c>
    </row>
    <row r="1526" spans="1:9">
      <c r="A1526" t="s">
        <v>25</v>
      </c>
      <c r="B1526" t="s">
        <v>18</v>
      </c>
      <c r="C1526">
        <v>707000</v>
      </c>
      <c r="D1526">
        <v>118000</v>
      </c>
      <c r="E1526" t="str">
        <f>VLOOKUP(B1526,Лист2!A:E,5,0)</f>
        <v>малые</v>
      </c>
      <c r="F1526">
        <f>VLOOKUP(B1526,Лист2!A:E,4,0)</f>
        <v>2.5</v>
      </c>
      <c r="G1526">
        <f t="shared" si="105"/>
        <v>589000</v>
      </c>
      <c r="H1526">
        <f t="shared" si="106"/>
        <v>282800</v>
      </c>
      <c r="I1526">
        <f t="shared" si="107"/>
        <v>235600</v>
      </c>
    </row>
    <row r="1527" spans="1:9">
      <c r="A1527" t="s">
        <v>25</v>
      </c>
      <c r="B1527" t="s">
        <v>18</v>
      </c>
      <c r="C1527">
        <v>504000</v>
      </c>
      <c r="D1527">
        <v>464000</v>
      </c>
      <c r="E1527" t="str">
        <f>VLOOKUP(B1527,Лист2!A:E,5,0)</f>
        <v>малые</v>
      </c>
      <c r="F1527">
        <f>VLOOKUP(B1527,Лист2!A:E,4,0)</f>
        <v>2.5</v>
      </c>
      <c r="G1527">
        <f t="shared" si="105"/>
        <v>40000</v>
      </c>
      <c r="H1527">
        <f t="shared" si="106"/>
        <v>201600</v>
      </c>
      <c r="I1527">
        <f t="shared" si="107"/>
        <v>16000</v>
      </c>
    </row>
    <row r="1528" spans="1:9">
      <c r="A1528" t="s">
        <v>14</v>
      </c>
      <c r="B1528" t="s">
        <v>18</v>
      </c>
      <c r="C1528">
        <v>4990000</v>
      </c>
      <c r="D1528">
        <v>4980000</v>
      </c>
      <c r="E1528" t="str">
        <f>VLOOKUP(B1528,Лист2!A:E,5,0)</f>
        <v>малые</v>
      </c>
      <c r="F1528">
        <f>VLOOKUP(B1528,Лист2!A:E,4,0)</f>
        <v>2.5</v>
      </c>
      <c r="G1528">
        <f t="shared" si="105"/>
        <v>10000</v>
      </c>
      <c r="H1528">
        <f t="shared" si="106"/>
        <v>1996000</v>
      </c>
      <c r="I1528">
        <f t="shared" si="107"/>
        <v>4000</v>
      </c>
    </row>
    <row r="1529" spans="1:9">
      <c r="A1529" t="s">
        <v>25</v>
      </c>
      <c r="B1529" t="s">
        <v>18</v>
      </c>
      <c r="C1529">
        <v>829000</v>
      </c>
      <c r="D1529">
        <v>829000</v>
      </c>
      <c r="E1529" t="str">
        <f>VLOOKUP(B1529,Лист2!A:E,5,0)</f>
        <v>малые</v>
      </c>
      <c r="F1529">
        <f>VLOOKUP(B1529,Лист2!A:E,4,0)</f>
        <v>2.5</v>
      </c>
      <c r="G1529">
        <f t="shared" si="105"/>
        <v>0</v>
      </c>
      <c r="H1529">
        <f t="shared" si="106"/>
        <v>331600</v>
      </c>
      <c r="I1529">
        <f t="shared" si="107"/>
        <v>0</v>
      </c>
    </row>
    <row r="1530" spans="1:9">
      <c r="A1530" t="s">
        <v>14</v>
      </c>
      <c r="B1530" t="s">
        <v>18</v>
      </c>
      <c r="C1530">
        <v>465000</v>
      </c>
      <c r="D1530">
        <v>462000</v>
      </c>
      <c r="E1530" t="str">
        <f>VLOOKUP(B1530,Лист2!A:E,5,0)</f>
        <v>малые</v>
      </c>
      <c r="F1530">
        <f>VLOOKUP(B1530,Лист2!A:E,4,0)</f>
        <v>2.5</v>
      </c>
      <c r="G1530">
        <f t="shared" si="105"/>
        <v>3000</v>
      </c>
      <c r="H1530">
        <f t="shared" si="106"/>
        <v>186000</v>
      </c>
      <c r="I1530">
        <f t="shared" si="107"/>
        <v>1200</v>
      </c>
    </row>
    <row r="1531" spans="1:9">
      <c r="A1531" t="s">
        <v>25</v>
      </c>
      <c r="B1531" t="s">
        <v>18</v>
      </c>
      <c r="C1531">
        <v>508000</v>
      </c>
      <c r="D1531">
        <v>508000</v>
      </c>
      <c r="E1531" t="str">
        <f>VLOOKUP(B1531,Лист2!A:E,5,0)</f>
        <v>малые</v>
      </c>
      <c r="F1531">
        <f>VLOOKUP(B1531,Лист2!A:E,4,0)</f>
        <v>2.5</v>
      </c>
      <c r="G1531">
        <f t="shared" si="105"/>
        <v>0</v>
      </c>
      <c r="H1531">
        <f t="shared" si="106"/>
        <v>203200</v>
      </c>
      <c r="I1531">
        <f t="shared" si="107"/>
        <v>0</v>
      </c>
    </row>
    <row r="1532" spans="1:9">
      <c r="A1532" t="s">
        <v>14</v>
      </c>
      <c r="B1532" t="s">
        <v>18</v>
      </c>
      <c r="C1532">
        <v>550000</v>
      </c>
      <c r="D1532">
        <v>643000</v>
      </c>
      <c r="E1532" t="str">
        <f>VLOOKUP(B1532,Лист2!A:E,5,0)</f>
        <v>малые</v>
      </c>
      <c r="F1532">
        <f>VLOOKUP(B1532,Лист2!A:E,4,0)</f>
        <v>2.5</v>
      </c>
      <c r="G1532">
        <f t="shared" si="105"/>
        <v>-93000</v>
      </c>
      <c r="H1532">
        <f t="shared" si="106"/>
        <v>220000</v>
      </c>
      <c r="I1532">
        <f t="shared" si="107"/>
        <v>-37200</v>
      </c>
    </row>
    <row r="1533" spans="1:9">
      <c r="A1533" t="s">
        <v>25</v>
      </c>
      <c r="B1533" t="s">
        <v>18</v>
      </c>
      <c r="C1533">
        <v>1231000</v>
      </c>
      <c r="D1533">
        <v>1117000</v>
      </c>
      <c r="E1533" t="str">
        <f>VLOOKUP(B1533,Лист2!A:E,5,0)</f>
        <v>малые</v>
      </c>
      <c r="F1533">
        <f>VLOOKUP(B1533,Лист2!A:E,4,0)</f>
        <v>2.5</v>
      </c>
      <c r="G1533">
        <f t="shared" si="105"/>
        <v>114000</v>
      </c>
      <c r="H1533">
        <f t="shared" si="106"/>
        <v>492400</v>
      </c>
      <c r="I1533">
        <f t="shared" si="107"/>
        <v>45600</v>
      </c>
    </row>
    <row r="1534" spans="1:9">
      <c r="A1534" t="s">
        <v>25</v>
      </c>
      <c r="B1534" t="s">
        <v>18</v>
      </c>
      <c r="C1534">
        <v>821000</v>
      </c>
      <c r="D1534">
        <v>821000</v>
      </c>
      <c r="E1534" t="str">
        <f>VLOOKUP(B1534,Лист2!A:E,5,0)</f>
        <v>малые</v>
      </c>
      <c r="F1534">
        <f>VLOOKUP(B1534,Лист2!A:E,4,0)</f>
        <v>2.5</v>
      </c>
      <c r="G1534">
        <f t="shared" si="105"/>
        <v>0</v>
      </c>
      <c r="H1534">
        <f t="shared" si="106"/>
        <v>328400</v>
      </c>
      <c r="I1534">
        <f t="shared" si="107"/>
        <v>0</v>
      </c>
    </row>
    <row r="1535" spans="1:9">
      <c r="A1535" t="s">
        <v>14</v>
      </c>
      <c r="B1535" t="s">
        <v>18</v>
      </c>
      <c r="C1535">
        <v>1466000</v>
      </c>
      <c r="D1535">
        <v>1466000</v>
      </c>
      <c r="E1535" t="str">
        <f>VLOOKUP(B1535,Лист2!A:E,5,0)</f>
        <v>малые</v>
      </c>
      <c r="F1535">
        <f>VLOOKUP(B1535,Лист2!A:E,4,0)</f>
        <v>2.5</v>
      </c>
      <c r="G1535">
        <f t="shared" ref="G1535:G1578" si="108">C1535-D1535</f>
        <v>0</v>
      </c>
      <c r="H1535">
        <f t="shared" ref="H1535:H1578" si="109">C1535/F1535</f>
        <v>586400</v>
      </c>
      <c r="I1535">
        <f t="shared" ref="I1535:I1578" si="110">G1535/F1535</f>
        <v>0</v>
      </c>
    </row>
    <row r="1536" spans="1:9">
      <c r="A1536" t="s">
        <v>14</v>
      </c>
      <c r="B1536" t="s">
        <v>18</v>
      </c>
      <c r="C1536">
        <v>130000</v>
      </c>
      <c r="D1536">
        <v>19000</v>
      </c>
      <c r="E1536" t="str">
        <f>VLOOKUP(B1536,Лист2!A:E,5,0)</f>
        <v>малые</v>
      </c>
      <c r="F1536">
        <f>VLOOKUP(B1536,Лист2!A:E,4,0)</f>
        <v>2.5</v>
      </c>
      <c r="G1536">
        <f t="shared" si="108"/>
        <v>111000</v>
      </c>
      <c r="H1536">
        <f t="shared" si="109"/>
        <v>52000</v>
      </c>
      <c r="I1536">
        <f t="shared" si="110"/>
        <v>44400</v>
      </c>
    </row>
    <row r="1537" spans="1:9">
      <c r="A1537" t="s">
        <v>14</v>
      </c>
      <c r="B1537" t="s">
        <v>18</v>
      </c>
      <c r="C1537">
        <v>464000</v>
      </c>
      <c r="D1537">
        <v>464000</v>
      </c>
      <c r="E1537" t="str">
        <f>VLOOKUP(B1537,Лист2!A:E,5,0)</f>
        <v>малые</v>
      </c>
      <c r="F1537">
        <f>VLOOKUP(B1537,Лист2!A:E,4,0)</f>
        <v>2.5</v>
      </c>
      <c r="G1537">
        <f t="shared" si="108"/>
        <v>0</v>
      </c>
      <c r="H1537">
        <f t="shared" si="109"/>
        <v>185600</v>
      </c>
      <c r="I1537">
        <f t="shared" si="110"/>
        <v>0</v>
      </c>
    </row>
    <row r="1538" spans="1:9">
      <c r="A1538" t="s">
        <v>14</v>
      </c>
      <c r="B1538" t="s">
        <v>18</v>
      </c>
      <c r="C1538">
        <v>38879000</v>
      </c>
      <c r="D1538">
        <v>38214000</v>
      </c>
      <c r="E1538" t="str">
        <f>VLOOKUP(B1538,Лист2!A:E,5,0)</f>
        <v>малые</v>
      </c>
      <c r="F1538">
        <f>VLOOKUP(B1538,Лист2!A:E,4,0)</f>
        <v>2.5</v>
      </c>
      <c r="G1538">
        <f t="shared" si="108"/>
        <v>665000</v>
      </c>
      <c r="H1538">
        <f t="shared" si="109"/>
        <v>15551600</v>
      </c>
      <c r="I1538">
        <f t="shared" si="110"/>
        <v>266000</v>
      </c>
    </row>
    <row r="1539" spans="1:9">
      <c r="A1539" t="s">
        <v>14</v>
      </c>
      <c r="B1539" t="s">
        <v>18</v>
      </c>
      <c r="C1539">
        <v>1660000</v>
      </c>
      <c r="D1539">
        <v>2196000</v>
      </c>
      <c r="E1539" t="str">
        <f>VLOOKUP(B1539,Лист2!A:E,5,0)</f>
        <v>малые</v>
      </c>
      <c r="F1539">
        <f>VLOOKUP(B1539,Лист2!A:E,4,0)</f>
        <v>2.5</v>
      </c>
      <c r="G1539">
        <f t="shared" si="108"/>
        <v>-536000</v>
      </c>
      <c r="H1539">
        <f t="shared" si="109"/>
        <v>664000</v>
      </c>
      <c r="I1539">
        <f t="shared" si="110"/>
        <v>-214400</v>
      </c>
    </row>
    <row r="1540" spans="1:9">
      <c r="A1540" t="s">
        <v>14</v>
      </c>
      <c r="B1540" t="s">
        <v>18</v>
      </c>
      <c r="C1540">
        <v>12556000</v>
      </c>
      <c r="D1540">
        <v>9213000</v>
      </c>
      <c r="E1540" t="str">
        <f>VLOOKUP(B1540,Лист2!A:E,5,0)</f>
        <v>малые</v>
      </c>
      <c r="F1540">
        <f>VLOOKUP(B1540,Лист2!A:E,4,0)</f>
        <v>2.5</v>
      </c>
      <c r="G1540">
        <f t="shared" si="108"/>
        <v>3343000</v>
      </c>
      <c r="H1540">
        <f t="shared" si="109"/>
        <v>5022400</v>
      </c>
      <c r="I1540">
        <f t="shared" si="110"/>
        <v>1337200</v>
      </c>
    </row>
    <row r="1541" spans="1:9">
      <c r="A1541" t="s">
        <v>14</v>
      </c>
      <c r="B1541" t="s">
        <v>77</v>
      </c>
      <c r="C1541">
        <v>3843000</v>
      </c>
      <c r="D1541">
        <v>3559000</v>
      </c>
      <c r="E1541" t="str">
        <f>VLOOKUP(B1541,Лист2!A:E,5,0)</f>
        <v>малые</v>
      </c>
      <c r="F1541">
        <f>VLOOKUP(B1541,Лист2!A:E,4,0)</f>
        <v>8</v>
      </c>
      <c r="G1541">
        <f t="shared" si="108"/>
        <v>284000</v>
      </c>
      <c r="H1541">
        <f t="shared" si="109"/>
        <v>480375</v>
      </c>
      <c r="I1541">
        <f t="shared" si="110"/>
        <v>35500</v>
      </c>
    </row>
    <row r="1542" spans="1:9">
      <c r="A1542" t="s">
        <v>25</v>
      </c>
      <c r="B1542" t="s">
        <v>18</v>
      </c>
      <c r="C1542">
        <v>2454000</v>
      </c>
      <c r="D1542">
        <v>2461000</v>
      </c>
      <c r="E1542" t="str">
        <f>VLOOKUP(B1542,Лист2!A:E,5,0)</f>
        <v>малые</v>
      </c>
      <c r="F1542">
        <f>VLOOKUP(B1542,Лист2!A:E,4,0)</f>
        <v>2.5</v>
      </c>
      <c r="G1542">
        <f t="shared" si="108"/>
        <v>-7000</v>
      </c>
      <c r="H1542">
        <f t="shared" si="109"/>
        <v>981600</v>
      </c>
      <c r="I1542">
        <f t="shared" si="110"/>
        <v>-2800</v>
      </c>
    </row>
    <row r="1543" spans="1:9">
      <c r="A1543" t="s">
        <v>14</v>
      </c>
      <c r="B1543" t="s">
        <v>18</v>
      </c>
      <c r="C1543">
        <v>16245000</v>
      </c>
      <c r="D1543">
        <v>1433000</v>
      </c>
      <c r="E1543" t="str">
        <f>VLOOKUP(B1543,Лист2!A:E,5,0)</f>
        <v>малые</v>
      </c>
      <c r="F1543">
        <f>VLOOKUP(B1543,Лист2!A:E,4,0)</f>
        <v>2.5</v>
      </c>
      <c r="G1543">
        <f t="shared" si="108"/>
        <v>14812000</v>
      </c>
      <c r="H1543">
        <f t="shared" si="109"/>
        <v>6498000</v>
      </c>
      <c r="I1543">
        <f t="shared" si="110"/>
        <v>5924800</v>
      </c>
    </row>
    <row r="1544" spans="1:9">
      <c r="A1544" t="s">
        <v>14</v>
      </c>
      <c r="B1544" t="s">
        <v>18</v>
      </c>
      <c r="C1544">
        <v>10183000</v>
      </c>
      <c r="D1544">
        <v>10233000</v>
      </c>
      <c r="E1544" t="str">
        <f>VLOOKUP(B1544,Лист2!A:E,5,0)</f>
        <v>малые</v>
      </c>
      <c r="F1544">
        <f>VLOOKUP(B1544,Лист2!A:E,4,0)</f>
        <v>2.5</v>
      </c>
      <c r="G1544">
        <f t="shared" si="108"/>
        <v>-50000</v>
      </c>
      <c r="H1544">
        <f t="shared" si="109"/>
        <v>4073200</v>
      </c>
      <c r="I1544">
        <f t="shared" si="110"/>
        <v>-20000</v>
      </c>
    </row>
    <row r="1545" spans="1:9">
      <c r="A1545" t="s">
        <v>25</v>
      </c>
      <c r="B1545" t="s">
        <v>18</v>
      </c>
      <c r="C1545">
        <v>50000</v>
      </c>
      <c r="D1545">
        <v>125000</v>
      </c>
      <c r="E1545" t="str">
        <f>VLOOKUP(B1545,Лист2!A:E,5,0)</f>
        <v>малые</v>
      </c>
      <c r="F1545">
        <f>VLOOKUP(B1545,Лист2!A:E,4,0)</f>
        <v>2.5</v>
      </c>
      <c r="G1545">
        <f t="shared" si="108"/>
        <v>-75000</v>
      </c>
      <c r="H1545">
        <f t="shared" si="109"/>
        <v>20000</v>
      </c>
      <c r="I1545">
        <f t="shared" si="110"/>
        <v>-30000</v>
      </c>
    </row>
    <row r="1546" spans="1:9">
      <c r="A1546" t="s">
        <v>14</v>
      </c>
      <c r="B1546" t="s">
        <v>18</v>
      </c>
      <c r="C1546">
        <v>5547000</v>
      </c>
      <c r="D1546">
        <v>5720000</v>
      </c>
      <c r="E1546" t="str">
        <f>VLOOKUP(B1546,Лист2!A:E,5,0)</f>
        <v>малые</v>
      </c>
      <c r="F1546">
        <f>VLOOKUP(B1546,Лист2!A:E,4,0)</f>
        <v>2.5</v>
      </c>
      <c r="G1546">
        <f t="shared" si="108"/>
        <v>-173000</v>
      </c>
      <c r="H1546">
        <f t="shared" si="109"/>
        <v>2218800</v>
      </c>
      <c r="I1546">
        <f t="shared" si="110"/>
        <v>-69200</v>
      </c>
    </row>
    <row r="1547" spans="1:9">
      <c r="A1547" t="s">
        <v>14</v>
      </c>
      <c r="B1547" t="s">
        <v>18</v>
      </c>
      <c r="C1547">
        <v>5527000</v>
      </c>
      <c r="D1547">
        <v>3073000</v>
      </c>
      <c r="E1547" t="str">
        <f>VLOOKUP(B1547,Лист2!A:E,5,0)</f>
        <v>малые</v>
      </c>
      <c r="F1547">
        <f>VLOOKUP(B1547,Лист2!A:E,4,0)</f>
        <v>2.5</v>
      </c>
      <c r="G1547">
        <f t="shared" si="108"/>
        <v>2454000</v>
      </c>
      <c r="H1547">
        <f t="shared" si="109"/>
        <v>2210800</v>
      </c>
      <c r="I1547">
        <f t="shared" si="110"/>
        <v>981600</v>
      </c>
    </row>
    <row r="1548" spans="1:9">
      <c r="A1548" t="s">
        <v>25</v>
      </c>
      <c r="B1548" t="s">
        <v>18</v>
      </c>
      <c r="C1548">
        <v>3290000</v>
      </c>
      <c r="D1548">
        <v>4337000</v>
      </c>
      <c r="E1548" t="str">
        <f>VLOOKUP(B1548,Лист2!A:E,5,0)</f>
        <v>малые</v>
      </c>
      <c r="F1548">
        <f>VLOOKUP(B1548,Лист2!A:E,4,0)</f>
        <v>2.5</v>
      </c>
      <c r="G1548">
        <f t="shared" si="108"/>
        <v>-1047000</v>
      </c>
      <c r="H1548">
        <f t="shared" si="109"/>
        <v>1316000</v>
      </c>
      <c r="I1548">
        <f t="shared" si="110"/>
        <v>-418800</v>
      </c>
    </row>
    <row r="1549" spans="1:9">
      <c r="A1549" t="s">
        <v>14</v>
      </c>
      <c r="B1549" t="s">
        <v>18</v>
      </c>
      <c r="C1549">
        <v>143000</v>
      </c>
      <c r="D1549">
        <v>146000</v>
      </c>
      <c r="E1549" t="str">
        <f>VLOOKUP(B1549,Лист2!A:E,5,0)</f>
        <v>малые</v>
      </c>
      <c r="F1549">
        <f>VLOOKUP(B1549,Лист2!A:E,4,0)</f>
        <v>2.5</v>
      </c>
      <c r="G1549">
        <f t="shared" si="108"/>
        <v>-3000</v>
      </c>
      <c r="H1549">
        <f t="shared" si="109"/>
        <v>57200</v>
      </c>
      <c r="I1549">
        <f t="shared" si="110"/>
        <v>-1200</v>
      </c>
    </row>
    <row r="1550" spans="1:9">
      <c r="A1550" t="s">
        <v>14</v>
      </c>
      <c r="B1550" t="s">
        <v>18</v>
      </c>
      <c r="C1550">
        <v>317000</v>
      </c>
      <c r="D1550">
        <v>291000</v>
      </c>
      <c r="E1550" t="str">
        <f>VLOOKUP(B1550,Лист2!A:E,5,0)</f>
        <v>малые</v>
      </c>
      <c r="F1550">
        <f>VLOOKUP(B1550,Лист2!A:E,4,0)</f>
        <v>2.5</v>
      </c>
      <c r="G1550">
        <f t="shared" si="108"/>
        <v>26000</v>
      </c>
      <c r="H1550">
        <f t="shared" si="109"/>
        <v>126800</v>
      </c>
      <c r="I1550">
        <f t="shared" si="110"/>
        <v>10400</v>
      </c>
    </row>
    <row r="1551" spans="1:9">
      <c r="A1551" t="s">
        <v>14</v>
      </c>
      <c r="B1551" t="s">
        <v>18</v>
      </c>
      <c r="C1551">
        <v>5131000</v>
      </c>
      <c r="D1551">
        <v>3391000</v>
      </c>
      <c r="E1551" t="str">
        <f>VLOOKUP(B1551,Лист2!A:E,5,0)</f>
        <v>малые</v>
      </c>
      <c r="F1551">
        <f>VLOOKUP(B1551,Лист2!A:E,4,0)</f>
        <v>2.5</v>
      </c>
      <c r="G1551">
        <f t="shared" si="108"/>
        <v>1740000</v>
      </c>
      <c r="H1551">
        <f t="shared" si="109"/>
        <v>2052400</v>
      </c>
      <c r="I1551">
        <f t="shared" si="110"/>
        <v>696000</v>
      </c>
    </row>
    <row r="1552" spans="1:9">
      <c r="A1552" t="s">
        <v>14</v>
      </c>
      <c r="B1552" t="s">
        <v>18</v>
      </c>
      <c r="C1552">
        <v>6659000</v>
      </c>
      <c r="D1552">
        <v>4187000</v>
      </c>
      <c r="E1552" t="str">
        <f>VLOOKUP(B1552,Лист2!A:E,5,0)</f>
        <v>малые</v>
      </c>
      <c r="F1552">
        <f>VLOOKUP(B1552,Лист2!A:E,4,0)</f>
        <v>2.5</v>
      </c>
      <c r="G1552">
        <f t="shared" si="108"/>
        <v>2472000</v>
      </c>
      <c r="H1552">
        <f t="shared" si="109"/>
        <v>2663600</v>
      </c>
      <c r="I1552">
        <f t="shared" si="110"/>
        <v>988800</v>
      </c>
    </row>
    <row r="1553" spans="1:9">
      <c r="A1553" t="s">
        <v>14</v>
      </c>
      <c r="B1553" t="s">
        <v>18</v>
      </c>
      <c r="C1553">
        <v>4331000</v>
      </c>
      <c r="D1553">
        <v>4050000</v>
      </c>
      <c r="E1553" t="str">
        <f>VLOOKUP(B1553,Лист2!A:E,5,0)</f>
        <v>малые</v>
      </c>
      <c r="F1553">
        <f>VLOOKUP(B1553,Лист2!A:E,4,0)</f>
        <v>2.5</v>
      </c>
      <c r="G1553">
        <f t="shared" si="108"/>
        <v>281000</v>
      </c>
      <c r="H1553">
        <f t="shared" si="109"/>
        <v>1732400</v>
      </c>
      <c r="I1553">
        <f t="shared" si="110"/>
        <v>112400</v>
      </c>
    </row>
    <row r="1554" spans="1:9">
      <c r="A1554" t="s">
        <v>14</v>
      </c>
      <c r="B1554" t="s">
        <v>18</v>
      </c>
      <c r="C1554">
        <v>5525000</v>
      </c>
      <c r="D1554">
        <v>5525000</v>
      </c>
      <c r="E1554" t="str">
        <f>VLOOKUP(B1554,Лист2!A:E,5,0)</f>
        <v>малые</v>
      </c>
      <c r="F1554">
        <f>VLOOKUP(B1554,Лист2!A:E,4,0)</f>
        <v>2.5</v>
      </c>
      <c r="G1554">
        <f t="shared" si="108"/>
        <v>0</v>
      </c>
      <c r="H1554">
        <f t="shared" si="109"/>
        <v>2210000</v>
      </c>
      <c r="I1554">
        <f t="shared" si="110"/>
        <v>0</v>
      </c>
    </row>
    <row r="1555" spans="1:9">
      <c r="A1555" t="s">
        <v>14</v>
      </c>
      <c r="B1555" t="s">
        <v>18</v>
      </c>
      <c r="C1555">
        <v>5800000</v>
      </c>
      <c r="D1555">
        <v>5958000</v>
      </c>
      <c r="E1555" t="str">
        <f>VLOOKUP(B1555,Лист2!A:E,5,0)</f>
        <v>малые</v>
      </c>
      <c r="F1555">
        <f>VLOOKUP(B1555,Лист2!A:E,4,0)</f>
        <v>2.5</v>
      </c>
      <c r="G1555">
        <f t="shared" si="108"/>
        <v>-158000</v>
      </c>
      <c r="H1555">
        <f t="shared" si="109"/>
        <v>2320000</v>
      </c>
      <c r="I1555">
        <f t="shared" si="110"/>
        <v>-63200</v>
      </c>
    </row>
    <row r="1556" spans="1:9">
      <c r="A1556" t="s">
        <v>14</v>
      </c>
      <c r="B1556" t="s">
        <v>18</v>
      </c>
      <c r="C1556">
        <v>28000</v>
      </c>
      <c r="D1556">
        <v>33000</v>
      </c>
      <c r="E1556" t="str">
        <f>VLOOKUP(B1556,Лист2!A:E,5,0)</f>
        <v>малые</v>
      </c>
      <c r="F1556">
        <f>VLOOKUP(B1556,Лист2!A:E,4,0)</f>
        <v>2.5</v>
      </c>
      <c r="G1556">
        <f t="shared" si="108"/>
        <v>-5000</v>
      </c>
      <c r="H1556">
        <f t="shared" si="109"/>
        <v>11200</v>
      </c>
      <c r="I1556">
        <f t="shared" si="110"/>
        <v>-2000</v>
      </c>
    </row>
    <row r="1557" spans="1:9">
      <c r="A1557" t="s">
        <v>14</v>
      </c>
      <c r="B1557" t="s">
        <v>18</v>
      </c>
      <c r="C1557">
        <v>29000</v>
      </c>
      <c r="D1557">
        <v>105000</v>
      </c>
      <c r="E1557" t="str">
        <f>VLOOKUP(B1557,Лист2!A:E,5,0)</f>
        <v>малые</v>
      </c>
      <c r="F1557">
        <f>VLOOKUP(B1557,Лист2!A:E,4,0)</f>
        <v>2.5</v>
      </c>
      <c r="G1557">
        <f t="shared" si="108"/>
        <v>-76000</v>
      </c>
      <c r="H1557">
        <f t="shared" si="109"/>
        <v>11600</v>
      </c>
      <c r="I1557">
        <f t="shared" si="110"/>
        <v>-30400</v>
      </c>
    </row>
    <row r="1558" spans="1:9">
      <c r="A1558" t="s">
        <v>14</v>
      </c>
      <c r="B1558" t="s">
        <v>18</v>
      </c>
      <c r="C1558">
        <v>26318000</v>
      </c>
      <c r="D1558">
        <v>20740000</v>
      </c>
      <c r="E1558" t="str">
        <f>VLOOKUP(B1558,Лист2!A:E,5,0)</f>
        <v>малые</v>
      </c>
      <c r="F1558">
        <f>VLOOKUP(B1558,Лист2!A:E,4,0)</f>
        <v>2.5</v>
      </c>
      <c r="G1558">
        <f t="shared" si="108"/>
        <v>5578000</v>
      </c>
      <c r="H1558">
        <f t="shared" si="109"/>
        <v>10527200</v>
      </c>
      <c r="I1558">
        <f t="shared" si="110"/>
        <v>2231200</v>
      </c>
    </row>
    <row r="1559" spans="1:9">
      <c r="A1559" t="s">
        <v>14</v>
      </c>
      <c r="B1559" t="s">
        <v>22</v>
      </c>
      <c r="C1559">
        <v>77573000</v>
      </c>
      <c r="D1559">
        <v>73408000</v>
      </c>
      <c r="E1559" t="str">
        <f>VLOOKUP(B1559,Лист2!A:E,5,0)</f>
        <v>малые</v>
      </c>
      <c r="F1559">
        <f>VLOOKUP(B1559,Лист2!A:E,4,0)</f>
        <v>13</v>
      </c>
      <c r="G1559">
        <f t="shared" si="108"/>
        <v>4165000</v>
      </c>
      <c r="H1559">
        <f t="shared" si="109"/>
        <v>5967153.846153846</v>
      </c>
      <c r="I1559">
        <f t="shared" si="110"/>
        <v>320384.61538461538</v>
      </c>
    </row>
    <row r="1560" spans="1:9">
      <c r="A1560" t="s">
        <v>14</v>
      </c>
      <c r="B1560" t="s">
        <v>18</v>
      </c>
      <c r="C1560">
        <v>1482000</v>
      </c>
      <c r="D1560">
        <v>1266000</v>
      </c>
      <c r="E1560" t="str">
        <f>VLOOKUP(B1560,Лист2!A:E,5,0)</f>
        <v>малые</v>
      </c>
      <c r="F1560">
        <f>VLOOKUP(B1560,Лист2!A:E,4,0)</f>
        <v>2.5</v>
      </c>
      <c r="G1560">
        <f t="shared" si="108"/>
        <v>216000</v>
      </c>
      <c r="H1560">
        <f t="shared" si="109"/>
        <v>592800</v>
      </c>
      <c r="I1560">
        <f t="shared" si="110"/>
        <v>86400</v>
      </c>
    </row>
    <row r="1561" spans="1:9">
      <c r="A1561" t="s">
        <v>14</v>
      </c>
      <c r="B1561" t="s">
        <v>18</v>
      </c>
      <c r="C1561">
        <v>245000</v>
      </c>
      <c r="D1561">
        <v>245000</v>
      </c>
      <c r="E1561" t="str">
        <f>VLOOKUP(B1561,Лист2!A:E,5,0)</f>
        <v>малые</v>
      </c>
      <c r="F1561">
        <f>VLOOKUP(B1561,Лист2!A:E,4,0)</f>
        <v>2.5</v>
      </c>
      <c r="G1561">
        <f t="shared" si="108"/>
        <v>0</v>
      </c>
      <c r="H1561">
        <f t="shared" si="109"/>
        <v>98000</v>
      </c>
      <c r="I1561">
        <f t="shared" si="110"/>
        <v>0</v>
      </c>
    </row>
    <row r="1562" spans="1:9">
      <c r="A1562" t="s">
        <v>14</v>
      </c>
      <c r="B1562" t="s">
        <v>18</v>
      </c>
      <c r="C1562">
        <v>9968000</v>
      </c>
      <c r="D1562">
        <v>9022000</v>
      </c>
      <c r="E1562" t="str">
        <f>VLOOKUP(B1562,Лист2!A:E,5,0)</f>
        <v>малые</v>
      </c>
      <c r="F1562">
        <f>VLOOKUP(B1562,Лист2!A:E,4,0)</f>
        <v>2.5</v>
      </c>
      <c r="G1562">
        <f t="shared" si="108"/>
        <v>946000</v>
      </c>
      <c r="H1562">
        <f t="shared" si="109"/>
        <v>3987200</v>
      </c>
      <c r="I1562">
        <f t="shared" si="110"/>
        <v>378400</v>
      </c>
    </row>
    <row r="1563" spans="1:9">
      <c r="A1563" t="s">
        <v>14</v>
      </c>
      <c r="B1563" t="s">
        <v>18</v>
      </c>
      <c r="C1563">
        <v>4401000</v>
      </c>
      <c r="D1563">
        <v>4526000</v>
      </c>
      <c r="E1563" t="str">
        <f>VLOOKUP(B1563,Лист2!A:E,5,0)</f>
        <v>малые</v>
      </c>
      <c r="F1563">
        <f>VLOOKUP(B1563,Лист2!A:E,4,0)</f>
        <v>2.5</v>
      </c>
      <c r="G1563">
        <f t="shared" si="108"/>
        <v>-125000</v>
      </c>
      <c r="H1563">
        <f t="shared" si="109"/>
        <v>1760400</v>
      </c>
      <c r="I1563">
        <f t="shared" si="110"/>
        <v>-50000</v>
      </c>
    </row>
    <row r="1564" spans="1:9">
      <c r="A1564" t="s">
        <v>14</v>
      </c>
      <c r="B1564" t="s">
        <v>18</v>
      </c>
      <c r="C1564">
        <v>4341000</v>
      </c>
      <c r="D1564">
        <v>4442000</v>
      </c>
      <c r="E1564" t="str">
        <f>VLOOKUP(B1564,Лист2!A:E,5,0)</f>
        <v>малые</v>
      </c>
      <c r="F1564">
        <f>VLOOKUP(B1564,Лист2!A:E,4,0)</f>
        <v>2.5</v>
      </c>
      <c r="G1564">
        <f t="shared" si="108"/>
        <v>-101000</v>
      </c>
      <c r="H1564">
        <f t="shared" si="109"/>
        <v>1736400</v>
      </c>
      <c r="I1564">
        <f t="shared" si="110"/>
        <v>-40400</v>
      </c>
    </row>
    <row r="1565" spans="1:9">
      <c r="A1565" t="s">
        <v>14</v>
      </c>
      <c r="B1565" t="s">
        <v>18</v>
      </c>
      <c r="C1565">
        <v>8919000</v>
      </c>
      <c r="D1565">
        <v>7765000</v>
      </c>
      <c r="E1565" t="str">
        <f>VLOOKUP(B1565,Лист2!A:E,5,0)</f>
        <v>малые</v>
      </c>
      <c r="F1565">
        <f>VLOOKUP(B1565,Лист2!A:E,4,0)</f>
        <v>2.5</v>
      </c>
      <c r="G1565">
        <f t="shared" si="108"/>
        <v>1154000</v>
      </c>
      <c r="H1565">
        <f t="shared" si="109"/>
        <v>3567600</v>
      </c>
      <c r="I1565">
        <f t="shared" si="110"/>
        <v>461600</v>
      </c>
    </row>
    <row r="1566" spans="1:9">
      <c r="A1566" t="s">
        <v>14</v>
      </c>
      <c r="B1566" t="s">
        <v>18</v>
      </c>
      <c r="C1566">
        <v>9060000</v>
      </c>
      <c r="D1566">
        <v>9245000</v>
      </c>
      <c r="E1566" t="str">
        <f>VLOOKUP(B1566,Лист2!A:E,5,0)</f>
        <v>малые</v>
      </c>
      <c r="F1566">
        <f>VLOOKUP(B1566,Лист2!A:E,4,0)</f>
        <v>2.5</v>
      </c>
      <c r="G1566">
        <f t="shared" si="108"/>
        <v>-185000</v>
      </c>
      <c r="H1566">
        <f t="shared" si="109"/>
        <v>3624000</v>
      </c>
      <c r="I1566">
        <f t="shared" si="110"/>
        <v>-74000</v>
      </c>
    </row>
    <row r="1567" spans="1:9">
      <c r="A1567" t="s">
        <v>14</v>
      </c>
      <c r="B1567" t="s">
        <v>18</v>
      </c>
      <c r="C1567">
        <v>1788000</v>
      </c>
      <c r="D1567">
        <v>1764000</v>
      </c>
      <c r="E1567" t="str">
        <f>VLOOKUP(B1567,Лист2!A:E,5,0)</f>
        <v>малые</v>
      </c>
      <c r="F1567">
        <f>VLOOKUP(B1567,Лист2!A:E,4,0)</f>
        <v>2.5</v>
      </c>
      <c r="G1567">
        <f t="shared" si="108"/>
        <v>24000</v>
      </c>
      <c r="H1567">
        <f t="shared" si="109"/>
        <v>715200</v>
      </c>
      <c r="I1567">
        <f t="shared" si="110"/>
        <v>9600</v>
      </c>
    </row>
    <row r="1568" spans="1:9">
      <c r="A1568" t="s">
        <v>25</v>
      </c>
      <c r="B1568" t="s">
        <v>23</v>
      </c>
      <c r="C1568">
        <v>81043000</v>
      </c>
      <c r="D1568">
        <v>80721000</v>
      </c>
      <c r="E1568" t="str">
        <f>VLOOKUP(B1568,Лист2!A:E,5,0)</f>
        <v>средние</v>
      </c>
      <c r="F1568">
        <f>VLOOKUP(B1568,Лист2!A:E,4,0)</f>
        <v>75.5</v>
      </c>
      <c r="G1568">
        <f t="shared" si="108"/>
        <v>322000</v>
      </c>
      <c r="H1568">
        <f t="shared" si="109"/>
        <v>1073417.2185430464</v>
      </c>
      <c r="I1568">
        <f t="shared" si="110"/>
        <v>4264.9006622516554</v>
      </c>
    </row>
    <row r="1569" spans="1:9">
      <c r="A1569" t="s">
        <v>25</v>
      </c>
      <c r="B1569" t="s">
        <v>18</v>
      </c>
      <c r="C1569">
        <v>803000</v>
      </c>
      <c r="D1569">
        <v>811000</v>
      </c>
      <c r="E1569" t="str">
        <f>VLOOKUP(B1569,Лист2!A:E,5,0)</f>
        <v>малые</v>
      </c>
      <c r="F1569">
        <f>VLOOKUP(B1569,Лист2!A:E,4,0)</f>
        <v>2.5</v>
      </c>
      <c r="G1569">
        <f t="shared" si="108"/>
        <v>-8000</v>
      </c>
      <c r="H1569">
        <f t="shared" si="109"/>
        <v>321200</v>
      </c>
      <c r="I1569">
        <f t="shared" si="110"/>
        <v>-3200</v>
      </c>
    </row>
    <row r="1570" spans="1:9">
      <c r="A1570" t="s">
        <v>14</v>
      </c>
      <c r="B1570" t="s">
        <v>18</v>
      </c>
      <c r="C1570">
        <v>22214000</v>
      </c>
      <c r="D1570">
        <v>14294000</v>
      </c>
      <c r="E1570" t="str">
        <f>VLOOKUP(B1570,Лист2!A:E,5,0)</f>
        <v>малые</v>
      </c>
      <c r="F1570">
        <f>VLOOKUP(B1570,Лист2!A:E,4,0)</f>
        <v>2.5</v>
      </c>
      <c r="G1570">
        <f t="shared" si="108"/>
        <v>7920000</v>
      </c>
      <c r="H1570">
        <f t="shared" si="109"/>
        <v>8885600</v>
      </c>
      <c r="I1570">
        <f t="shared" si="110"/>
        <v>3168000</v>
      </c>
    </row>
    <row r="1571" spans="1:9">
      <c r="A1571" t="s">
        <v>14</v>
      </c>
      <c r="B1571" t="s">
        <v>22</v>
      </c>
      <c r="C1571">
        <v>23646000</v>
      </c>
      <c r="D1571">
        <v>21890000</v>
      </c>
      <c r="E1571" t="str">
        <f>VLOOKUP(B1571,Лист2!A:E,5,0)</f>
        <v>малые</v>
      </c>
      <c r="F1571">
        <f>VLOOKUP(B1571,Лист2!A:E,4,0)</f>
        <v>13</v>
      </c>
      <c r="G1571">
        <f t="shared" si="108"/>
        <v>1756000</v>
      </c>
      <c r="H1571">
        <f t="shared" si="109"/>
        <v>1818923.076923077</v>
      </c>
      <c r="I1571">
        <f t="shared" si="110"/>
        <v>135076.92307692306</v>
      </c>
    </row>
    <row r="1572" spans="1:9">
      <c r="A1572" t="s">
        <v>14</v>
      </c>
      <c r="B1572" t="s">
        <v>18</v>
      </c>
      <c r="C1572">
        <v>14600000</v>
      </c>
      <c r="D1572">
        <v>14552000</v>
      </c>
      <c r="E1572" t="str">
        <f>VLOOKUP(B1572,Лист2!A:E,5,0)</f>
        <v>малые</v>
      </c>
      <c r="F1572">
        <f>VLOOKUP(B1572,Лист2!A:E,4,0)</f>
        <v>2.5</v>
      </c>
      <c r="G1572">
        <f t="shared" si="108"/>
        <v>48000</v>
      </c>
      <c r="H1572">
        <f t="shared" si="109"/>
        <v>5840000</v>
      </c>
      <c r="I1572">
        <f t="shared" si="110"/>
        <v>19200</v>
      </c>
    </row>
    <row r="1573" spans="1:9">
      <c r="A1573" t="s">
        <v>14</v>
      </c>
      <c r="B1573" t="s">
        <v>18</v>
      </c>
      <c r="C1573">
        <v>3316000</v>
      </c>
      <c r="D1573">
        <v>3318000</v>
      </c>
      <c r="E1573" t="str">
        <f>VLOOKUP(B1573,Лист2!A:E,5,0)</f>
        <v>малые</v>
      </c>
      <c r="F1573">
        <f>VLOOKUP(B1573,Лист2!A:E,4,0)</f>
        <v>2.5</v>
      </c>
      <c r="G1573">
        <f t="shared" si="108"/>
        <v>-2000</v>
      </c>
      <c r="H1573">
        <f t="shared" si="109"/>
        <v>1326400</v>
      </c>
      <c r="I1573">
        <f t="shared" si="110"/>
        <v>-800</v>
      </c>
    </row>
    <row r="1574" spans="1:9">
      <c r="A1574" t="s">
        <v>14</v>
      </c>
      <c r="B1574" t="s">
        <v>18</v>
      </c>
      <c r="C1574">
        <v>18000</v>
      </c>
      <c r="D1574">
        <v>9000</v>
      </c>
      <c r="E1574" t="str">
        <f>VLOOKUP(B1574,Лист2!A:E,5,0)</f>
        <v>малые</v>
      </c>
      <c r="F1574">
        <f>VLOOKUP(B1574,Лист2!A:E,4,0)</f>
        <v>2.5</v>
      </c>
      <c r="G1574">
        <f t="shared" si="108"/>
        <v>9000</v>
      </c>
      <c r="H1574">
        <f t="shared" si="109"/>
        <v>7200</v>
      </c>
      <c r="I1574">
        <f t="shared" si="110"/>
        <v>3600</v>
      </c>
    </row>
    <row r="1575" spans="1:9">
      <c r="A1575" t="s">
        <v>14</v>
      </c>
      <c r="B1575" t="s">
        <v>18</v>
      </c>
      <c r="C1575">
        <v>2606000</v>
      </c>
      <c r="D1575">
        <v>2382000</v>
      </c>
      <c r="E1575" t="str">
        <f>VLOOKUP(B1575,Лист2!A:E,5,0)</f>
        <v>малые</v>
      </c>
      <c r="F1575">
        <f>VLOOKUP(B1575,Лист2!A:E,4,0)</f>
        <v>2.5</v>
      </c>
      <c r="G1575">
        <f t="shared" si="108"/>
        <v>224000</v>
      </c>
      <c r="H1575">
        <f t="shared" si="109"/>
        <v>1042400</v>
      </c>
      <c r="I1575">
        <f t="shared" si="110"/>
        <v>89600</v>
      </c>
    </row>
    <row r="1576" spans="1:9">
      <c r="A1576" t="s">
        <v>25</v>
      </c>
      <c r="B1576" t="s">
        <v>18</v>
      </c>
      <c r="C1576">
        <v>1592000</v>
      </c>
      <c r="D1576">
        <v>2310000</v>
      </c>
      <c r="E1576" t="str">
        <f>VLOOKUP(B1576,Лист2!A:E,5,0)</f>
        <v>малые</v>
      </c>
      <c r="F1576">
        <f>VLOOKUP(B1576,Лист2!A:E,4,0)</f>
        <v>2.5</v>
      </c>
      <c r="G1576">
        <f t="shared" si="108"/>
        <v>-718000</v>
      </c>
      <c r="H1576">
        <f t="shared" si="109"/>
        <v>636800</v>
      </c>
      <c r="I1576">
        <f t="shared" si="110"/>
        <v>-287200</v>
      </c>
    </row>
    <row r="1577" spans="1:9">
      <c r="A1577" t="s">
        <v>14</v>
      </c>
      <c r="B1577" t="s">
        <v>77</v>
      </c>
      <c r="C1577">
        <v>415495000</v>
      </c>
      <c r="D1577">
        <v>427203000</v>
      </c>
      <c r="E1577" t="str">
        <f>VLOOKUP(B1577,Лист2!A:E,5,0)</f>
        <v>малые</v>
      </c>
      <c r="F1577">
        <f>VLOOKUP(B1577,Лист2!A:E,4,0)</f>
        <v>8</v>
      </c>
      <c r="G1577">
        <f t="shared" si="108"/>
        <v>-11708000</v>
      </c>
      <c r="H1577">
        <f t="shared" si="109"/>
        <v>51936875</v>
      </c>
      <c r="I1577">
        <f t="shared" si="110"/>
        <v>-1463500</v>
      </c>
    </row>
    <row r="1578" spans="1:9">
      <c r="A1578" t="s">
        <v>14</v>
      </c>
      <c r="B1578" t="s">
        <v>18</v>
      </c>
      <c r="C1578">
        <v>4175000</v>
      </c>
      <c r="D1578">
        <v>4168000</v>
      </c>
      <c r="E1578" t="str">
        <f>VLOOKUP(B1578,Лист2!A:E,5,0)</f>
        <v>малые</v>
      </c>
      <c r="F1578">
        <f>VLOOKUP(B1578,Лист2!A:E,4,0)</f>
        <v>2.5</v>
      </c>
      <c r="G1578">
        <f t="shared" si="108"/>
        <v>7000</v>
      </c>
      <c r="H1578">
        <f t="shared" si="109"/>
        <v>1670000</v>
      </c>
      <c r="I1578">
        <f t="shared" si="110"/>
        <v>2800</v>
      </c>
    </row>
    <row r="1579" spans="1:9">
      <c r="A1579" t="s">
        <v>14</v>
      </c>
      <c r="B1579" t="s">
        <v>18</v>
      </c>
      <c r="C1579">
        <v>1078000</v>
      </c>
      <c r="D1579">
        <v>1095000</v>
      </c>
      <c r="E1579" t="str">
        <f>VLOOKUP(B1579,Лист2!A:E,5,0)</f>
        <v>малые</v>
      </c>
      <c r="F1579">
        <f>VLOOKUP(B1579,Лист2!A:E,4,0)</f>
        <v>2.5</v>
      </c>
      <c r="G1579">
        <f t="shared" ref="G1579:G1614" si="111">C1579-D1579</f>
        <v>-17000</v>
      </c>
      <c r="H1579">
        <f t="shared" ref="H1579:H1614" si="112">C1579/F1579</f>
        <v>431200</v>
      </c>
      <c r="I1579">
        <f t="shared" ref="I1579:I1614" si="113">G1579/F1579</f>
        <v>-6800</v>
      </c>
    </row>
    <row r="1580" spans="1:9">
      <c r="A1580" t="s">
        <v>14</v>
      </c>
      <c r="B1580" t="s">
        <v>22</v>
      </c>
      <c r="C1580">
        <v>2251000</v>
      </c>
      <c r="D1580">
        <v>2555000</v>
      </c>
      <c r="E1580" t="str">
        <f>VLOOKUP(B1580,Лист2!A:E,5,0)</f>
        <v>малые</v>
      </c>
      <c r="F1580">
        <f>VLOOKUP(B1580,Лист2!A:E,4,0)</f>
        <v>13</v>
      </c>
      <c r="G1580">
        <f t="shared" si="111"/>
        <v>-304000</v>
      </c>
      <c r="H1580">
        <f t="shared" si="112"/>
        <v>173153.84615384616</v>
      </c>
      <c r="I1580">
        <f t="shared" si="113"/>
        <v>-23384.615384615383</v>
      </c>
    </row>
    <row r="1581" spans="1:9">
      <c r="A1581" t="s">
        <v>14</v>
      </c>
      <c r="B1581" t="s">
        <v>18</v>
      </c>
      <c r="C1581">
        <v>7653000</v>
      </c>
      <c r="D1581">
        <v>8417000</v>
      </c>
      <c r="E1581" t="str">
        <f>VLOOKUP(B1581,Лист2!A:E,5,0)</f>
        <v>малые</v>
      </c>
      <c r="F1581">
        <f>VLOOKUP(B1581,Лист2!A:E,4,0)</f>
        <v>2.5</v>
      </c>
      <c r="G1581">
        <f t="shared" si="111"/>
        <v>-764000</v>
      </c>
      <c r="H1581">
        <f t="shared" si="112"/>
        <v>3061200</v>
      </c>
      <c r="I1581">
        <f t="shared" si="113"/>
        <v>-305600</v>
      </c>
    </row>
    <row r="1582" spans="1:9">
      <c r="A1582" t="s">
        <v>14</v>
      </c>
      <c r="B1582" t="s">
        <v>18</v>
      </c>
      <c r="C1582">
        <v>153000</v>
      </c>
      <c r="D1582">
        <v>155000</v>
      </c>
      <c r="E1582" t="str">
        <f>VLOOKUP(B1582,Лист2!A:E,5,0)</f>
        <v>малые</v>
      </c>
      <c r="F1582">
        <f>VLOOKUP(B1582,Лист2!A:E,4,0)</f>
        <v>2.5</v>
      </c>
      <c r="G1582">
        <f t="shared" si="111"/>
        <v>-2000</v>
      </c>
      <c r="H1582">
        <f t="shared" si="112"/>
        <v>61200</v>
      </c>
      <c r="I1582">
        <f t="shared" si="113"/>
        <v>-800</v>
      </c>
    </row>
    <row r="1583" spans="1:9">
      <c r="A1583" t="s">
        <v>14</v>
      </c>
      <c r="B1583" t="s">
        <v>18</v>
      </c>
      <c r="C1583">
        <v>527000</v>
      </c>
      <c r="D1583">
        <v>613000</v>
      </c>
      <c r="E1583" t="str">
        <f>VLOOKUP(B1583,Лист2!A:E,5,0)</f>
        <v>малые</v>
      </c>
      <c r="F1583">
        <f>VLOOKUP(B1583,Лист2!A:E,4,0)</f>
        <v>2.5</v>
      </c>
      <c r="G1583">
        <f t="shared" si="111"/>
        <v>-86000</v>
      </c>
      <c r="H1583">
        <f t="shared" si="112"/>
        <v>210800</v>
      </c>
      <c r="I1583">
        <f t="shared" si="113"/>
        <v>-34400</v>
      </c>
    </row>
    <row r="1584" spans="1:9">
      <c r="A1584" t="s">
        <v>14</v>
      </c>
      <c r="B1584" t="s">
        <v>18</v>
      </c>
      <c r="C1584">
        <v>890874</v>
      </c>
      <c r="D1584">
        <v>856414</v>
      </c>
      <c r="E1584" t="str">
        <f>VLOOKUP(B1584,Лист2!A:E,5,0)</f>
        <v>малые</v>
      </c>
      <c r="F1584">
        <f>VLOOKUP(B1584,Лист2!A:E,4,0)</f>
        <v>2.5</v>
      </c>
      <c r="G1584">
        <f t="shared" si="111"/>
        <v>34460</v>
      </c>
      <c r="H1584">
        <f t="shared" si="112"/>
        <v>356349.6</v>
      </c>
      <c r="I1584">
        <f t="shared" si="113"/>
        <v>13784</v>
      </c>
    </row>
    <row r="1585" spans="1:9">
      <c r="A1585" t="s">
        <v>14</v>
      </c>
      <c r="B1585" t="s">
        <v>77</v>
      </c>
      <c r="C1585">
        <v>2174000</v>
      </c>
      <c r="D1585">
        <v>2174000</v>
      </c>
      <c r="E1585" t="str">
        <f>VLOOKUP(B1585,Лист2!A:E,5,0)</f>
        <v>малые</v>
      </c>
      <c r="F1585">
        <f>VLOOKUP(B1585,Лист2!A:E,4,0)</f>
        <v>8</v>
      </c>
      <c r="G1585">
        <f t="shared" si="111"/>
        <v>0</v>
      </c>
      <c r="H1585">
        <f t="shared" si="112"/>
        <v>271750</v>
      </c>
      <c r="I1585">
        <f t="shared" si="113"/>
        <v>0</v>
      </c>
    </row>
    <row r="1586" spans="1:9">
      <c r="A1586" t="s">
        <v>14</v>
      </c>
      <c r="B1586" t="s">
        <v>18</v>
      </c>
      <c r="C1586">
        <v>5136000</v>
      </c>
      <c r="D1586">
        <v>33559000</v>
      </c>
      <c r="E1586" t="str">
        <f>VLOOKUP(B1586,Лист2!A:E,5,0)</f>
        <v>малые</v>
      </c>
      <c r="F1586">
        <f>VLOOKUP(B1586,Лист2!A:E,4,0)</f>
        <v>2.5</v>
      </c>
      <c r="G1586">
        <f t="shared" si="111"/>
        <v>-28423000</v>
      </c>
      <c r="H1586">
        <f t="shared" si="112"/>
        <v>2054400</v>
      </c>
      <c r="I1586">
        <f t="shared" si="113"/>
        <v>-11369200</v>
      </c>
    </row>
    <row r="1587" spans="1:9">
      <c r="A1587" t="s">
        <v>14</v>
      </c>
      <c r="B1587" t="s">
        <v>18</v>
      </c>
      <c r="C1587">
        <v>69835000</v>
      </c>
      <c r="D1587">
        <v>72426000</v>
      </c>
      <c r="E1587" t="str">
        <f>VLOOKUP(B1587,Лист2!A:E,5,0)</f>
        <v>малые</v>
      </c>
      <c r="F1587">
        <f>VLOOKUP(B1587,Лист2!A:E,4,0)</f>
        <v>2.5</v>
      </c>
      <c r="G1587">
        <f t="shared" si="111"/>
        <v>-2591000</v>
      </c>
      <c r="H1587">
        <f t="shared" si="112"/>
        <v>27934000</v>
      </c>
      <c r="I1587">
        <f t="shared" si="113"/>
        <v>-1036400</v>
      </c>
    </row>
    <row r="1588" spans="1:9">
      <c r="A1588" t="s">
        <v>14</v>
      </c>
      <c r="B1588" t="s">
        <v>18</v>
      </c>
      <c r="C1588">
        <v>18035000</v>
      </c>
      <c r="D1588">
        <v>17561000</v>
      </c>
      <c r="E1588" t="str">
        <f>VLOOKUP(B1588,Лист2!A:E,5,0)</f>
        <v>малые</v>
      </c>
      <c r="F1588">
        <f>VLOOKUP(B1588,Лист2!A:E,4,0)</f>
        <v>2.5</v>
      </c>
      <c r="G1588">
        <f t="shared" si="111"/>
        <v>474000</v>
      </c>
      <c r="H1588">
        <f t="shared" si="112"/>
        <v>7214000</v>
      </c>
      <c r="I1588">
        <f t="shared" si="113"/>
        <v>189600</v>
      </c>
    </row>
    <row r="1589" spans="1:9">
      <c r="A1589" t="s">
        <v>14</v>
      </c>
      <c r="B1589" t="s">
        <v>22</v>
      </c>
      <c r="C1589">
        <v>3710000</v>
      </c>
      <c r="D1589">
        <v>2233000</v>
      </c>
      <c r="E1589" t="str">
        <f>VLOOKUP(B1589,Лист2!A:E,5,0)</f>
        <v>малые</v>
      </c>
      <c r="F1589">
        <f>VLOOKUP(B1589,Лист2!A:E,4,0)</f>
        <v>13</v>
      </c>
      <c r="G1589">
        <f t="shared" si="111"/>
        <v>1477000</v>
      </c>
      <c r="H1589">
        <f t="shared" si="112"/>
        <v>285384.61538461538</v>
      </c>
      <c r="I1589">
        <f t="shared" si="113"/>
        <v>113615.38461538461</v>
      </c>
    </row>
    <row r="1590" spans="1:9">
      <c r="A1590" t="s">
        <v>14</v>
      </c>
      <c r="B1590" t="s">
        <v>18</v>
      </c>
      <c r="C1590">
        <v>1700000</v>
      </c>
      <c r="D1590">
        <v>1650000</v>
      </c>
      <c r="E1590" t="str">
        <f>VLOOKUP(B1590,Лист2!A:E,5,0)</f>
        <v>малые</v>
      </c>
      <c r="F1590">
        <f>VLOOKUP(B1590,Лист2!A:E,4,0)</f>
        <v>2.5</v>
      </c>
      <c r="G1590">
        <f t="shared" si="111"/>
        <v>50000</v>
      </c>
      <c r="H1590">
        <f t="shared" si="112"/>
        <v>680000</v>
      </c>
      <c r="I1590">
        <f t="shared" si="113"/>
        <v>20000</v>
      </c>
    </row>
    <row r="1591" spans="1:9">
      <c r="A1591" t="s">
        <v>14</v>
      </c>
      <c r="B1591" t="s">
        <v>18</v>
      </c>
      <c r="C1591">
        <v>8658000</v>
      </c>
      <c r="D1591">
        <v>7090000</v>
      </c>
      <c r="E1591" t="str">
        <f>VLOOKUP(B1591,Лист2!A:E,5,0)</f>
        <v>малые</v>
      </c>
      <c r="F1591">
        <f>VLOOKUP(B1591,Лист2!A:E,4,0)</f>
        <v>2.5</v>
      </c>
      <c r="G1591">
        <f t="shared" si="111"/>
        <v>1568000</v>
      </c>
      <c r="H1591">
        <f t="shared" si="112"/>
        <v>3463200</v>
      </c>
      <c r="I1591">
        <f t="shared" si="113"/>
        <v>627200</v>
      </c>
    </row>
    <row r="1592" spans="1:9">
      <c r="A1592" t="s">
        <v>14</v>
      </c>
      <c r="B1592" t="s">
        <v>18</v>
      </c>
      <c r="C1592">
        <v>1926000</v>
      </c>
      <c r="D1592">
        <v>2012000</v>
      </c>
      <c r="E1592" t="str">
        <f>VLOOKUP(B1592,Лист2!A:E,5,0)</f>
        <v>малые</v>
      </c>
      <c r="F1592">
        <f>VLOOKUP(B1592,Лист2!A:E,4,0)</f>
        <v>2.5</v>
      </c>
      <c r="G1592">
        <f t="shared" si="111"/>
        <v>-86000</v>
      </c>
      <c r="H1592">
        <f t="shared" si="112"/>
        <v>770400</v>
      </c>
      <c r="I1592">
        <f t="shared" si="113"/>
        <v>-34400</v>
      </c>
    </row>
    <row r="1593" spans="1:9">
      <c r="A1593" t="s">
        <v>14</v>
      </c>
      <c r="B1593" t="s">
        <v>18</v>
      </c>
      <c r="C1593">
        <v>11288000</v>
      </c>
      <c r="D1593">
        <v>11288000</v>
      </c>
      <c r="E1593" t="str">
        <f>VLOOKUP(B1593,Лист2!A:E,5,0)</f>
        <v>малые</v>
      </c>
      <c r="F1593">
        <f>VLOOKUP(B1593,Лист2!A:E,4,0)</f>
        <v>2.5</v>
      </c>
      <c r="G1593">
        <f t="shared" si="111"/>
        <v>0</v>
      </c>
      <c r="H1593">
        <f t="shared" si="112"/>
        <v>4515200</v>
      </c>
      <c r="I1593">
        <f t="shared" si="113"/>
        <v>0</v>
      </c>
    </row>
    <row r="1594" spans="1:9">
      <c r="A1594" t="s">
        <v>24</v>
      </c>
      <c r="B1594" t="s">
        <v>77</v>
      </c>
      <c r="C1594">
        <v>22122000</v>
      </c>
      <c r="D1594">
        <v>22904000</v>
      </c>
      <c r="E1594" t="str">
        <f>VLOOKUP(B1594,Лист2!A:E,5,0)</f>
        <v>малые</v>
      </c>
      <c r="F1594">
        <f>VLOOKUP(B1594,Лист2!A:E,4,0)</f>
        <v>8</v>
      </c>
      <c r="G1594">
        <f t="shared" si="111"/>
        <v>-782000</v>
      </c>
      <c r="H1594">
        <f t="shared" si="112"/>
        <v>2765250</v>
      </c>
      <c r="I1594">
        <f t="shared" si="113"/>
        <v>-97750</v>
      </c>
    </row>
    <row r="1595" spans="1:9">
      <c r="A1595" t="s">
        <v>14</v>
      </c>
      <c r="B1595" t="s">
        <v>18</v>
      </c>
      <c r="C1595">
        <v>118000</v>
      </c>
      <c r="D1595">
        <v>118000</v>
      </c>
      <c r="E1595" t="str">
        <f>VLOOKUP(B1595,Лист2!A:E,5,0)</f>
        <v>малые</v>
      </c>
      <c r="F1595">
        <f>VLOOKUP(B1595,Лист2!A:E,4,0)</f>
        <v>2.5</v>
      </c>
      <c r="G1595">
        <f t="shared" si="111"/>
        <v>0</v>
      </c>
      <c r="H1595">
        <f t="shared" si="112"/>
        <v>47200</v>
      </c>
      <c r="I1595">
        <f t="shared" si="113"/>
        <v>0</v>
      </c>
    </row>
    <row r="1596" spans="1:9">
      <c r="A1596" t="s">
        <v>14</v>
      </c>
      <c r="B1596" t="s">
        <v>18</v>
      </c>
      <c r="C1596">
        <v>217000</v>
      </c>
      <c r="D1596">
        <v>215000</v>
      </c>
      <c r="E1596" t="str">
        <f>VLOOKUP(B1596,Лист2!A:E,5,0)</f>
        <v>малые</v>
      </c>
      <c r="F1596">
        <f>VLOOKUP(B1596,Лист2!A:E,4,0)</f>
        <v>2.5</v>
      </c>
      <c r="G1596">
        <f t="shared" si="111"/>
        <v>2000</v>
      </c>
      <c r="H1596">
        <f t="shared" si="112"/>
        <v>86800</v>
      </c>
      <c r="I1596">
        <f t="shared" si="113"/>
        <v>800</v>
      </c>
    </row>
    <row r="1597" spans="1:9">
      <c r="A1597" t="s">
        <v>14</v>
      </c>
      <c r="B1597" t="s">
        <v>22</v>
      </c>
      <c r="C1597">
        <v>73700000</v>
      </c>
      <c r="D1597">
        <v>1193978000</v>
      </c>
      <c r="E1597" t="str">
        <f>VLOOKUP(B1597,Лист2!A:E,5,0)</f>
        <v>малые</v>
      </c>
      <c r="F1597">
        <f>VLOOKUP(B1597,Лист2!A:E,4,0)</f>
        <v>13</v>
      </c>
      <c r="G1597">
        <f t="shared" si="111"/>
        <v>-1120278000</v>
      </c>
      <c r="H1597">
        <f t="shared" si="112"/>
        <v>5669230.769230769</v>
      </c>
      <c r="I1597">
        <f t="shared" si="113"/>
        <v>-86175230.769230768</v>
      </c>
    </row>
    <row r="1598" spans="1:9">
      <c r="A1598" t="s">
        <v>25</v>
      </c>
      <c r="B1598" t="s">
        <v>18</v>
      </c>
      <c r="C1598">
        <v>32000</v>
      </c>
      <c r="D1598">
        <v>33000</v>
      </c>
      <c r="E1598" t="str">
        <f>VLOOKUP(B1598,Лист2!A:E,5,0)</f>
        <v>малые</v>
      </c>
      <c r="F1598">
        <f>VLOOKUP(B1598,Лист2!A:E,4,0)</f>
        <v>2.5</v>
      </c>
      <c r="G1598">
        <f t="shared" si="111"/>
        <v>-1000</v>
      </c>
      <c r="H1598">
        <f t="shared" si="112"/>
        <v>12800</v>
      </c>
      <c r="I1598">
        <f t="shared" si="113"/>
        <v>-400</v>
      </c>
    </row>
    <row r="1599" spans="1:9">
      <c r="A1599" t="s">
        <v>14</v>
      </c>
      <c r="B1599" t="s">
        <v>18</v>
      </c>
      <c r="C1599">
        <v>1243000</v>
      </c>
      <c r="D1599">
        <v>991000</v>
      </c>
      <c r="E1599" t="str">
        <f>VLOOKUP(B1599,Лист2!A:E,5,0)</f>
        <v>малые</v>
      </c>
      <c r="F1599">
        <f>VLOOKUP(B1599,Лист2!A:E,4,0)</f>
        <v>2.5</v>
      </c>
      <c r="G1599">
        <f t="shared" si="111"/>
        <v>252000</v>
      </c>
      <c r="H1599">
        <f t="shared" si="112"/>
        <v>497200</v>
      </c>
      <c r="I1599">
        <f t="shared" si="113"/>
        <v>100800</v>
      </c>
    </row>
    <row r="1600" spans="1:9">
      <c r="A1600" t="s">
        <v>25</v>
      </c>
      <c r="B1600" t="s">
        <v>18</v>
      </c>
      <c r="C1600">
        <v>95000</v>
      </c>
      <c r="D1600">
        <v>91000</v>
      </c>
      <c r="E1600" t="str">
        <f>VLOOKUP(B1600,Лист2!A:E,5,0)</f>
        <v>малые</v>
      </c>
      <c r="F1600">
        <f>VLOOKUP(B1600,Лист2!A:E,4,0)</f>
        <v>2.5</v>
      </c>
      <c r="G1600">
        <f t="shared" si="111"/>
        <v>4000</v>
      </c>
      <c r="H1600">
        <f t="shared" si="112"/>
        <v>38000</v>
      </c>
      <c r="I1600">
        <f t="shared" si="113"/>
        <v>1600</v>
      </c>
    </row>
    <row r="1601" spans="1:9">
      <c r="A1601" t="s">
        <v>14</v>
      </c>
      <c r="B1601" t="s">
        <v>18</v>
      </c>
      <c r="C1601">
        <v>769000</v>
      </c>
      <c r="D1601">
        <v>692000</v>
      </c>
      <c r="E1601" t="str">
        <f>VLOOKUP(B1601,Лист2!A:E,5,0)</f>
        <v>малые</v>
      </c>
      <c r="F1601">
        <f>VLOOKUP(B1601,Лист2!A:E,4,0)</f>
        <v>2.5</v>
      </c>
      <c r="G1601">
        <f t="shared" si="111"/>
        <v>77000</v>
      </c>
      <c r="H1601">
        <f t="shared" si="112"/>
        <v>307600</v>
      </c>
      <c r="I1601">
        <f t="shared" si="113"/>
        <v>30800</v>
      </c>
    </row>
    <row r="1602" spans="1:9">
      <c r="A1602" t="s">
        <v>14</v>
      </c>
      <c r="B1602" t="s">
        <v>18</v>
      </c>
      <c r="C1602">
        <v>460000</v>
      </c>
      <c r="D1602">
        <v>416000</v>
      </c>
      <c r="E1602" t="str">
        <f>VLOOKUP(B1602,Лист2!A:E,5,0)</f>
        <v>малые</v>
      </c>
      <c r="F1602">
        <f>VLOOKUP(B1602,Лист2!A:E,4,0)</f>
        <v>2.5</v>
      </c>
      <c r="G1602">
        <f t="shared" si="111"/>
        <v>44000</v>
      </c>
      <c r="H1602">
        <f t="shared" si="112"/>
        <v>184000</v>
      </c>
      <c r="I1602">
        <f t="shared" si="113"/>
        <v>17600</v>
      </c>
    </row>
    <row r="1603" spans="1:9">
      <c r="A1603" t="s">
        <v>25</v>
      </c>
      <c r="B1603" t="s">
        <v>18</v>
      </c>
      <c r="C1603">
        <v>2950000</v>
      </c>
      <c r="D1603">
        <v>5993000</v>
      </c>
      <c r="E1603" t="str">
        <f>VLOOKUP(B1603,Лист2!A:E,5,0)</f>
        <v>малые</v>
      </c>
      <c r="F1603">
        <f>VLOOKUP(B1603,Лист2!A:E,4,0)</f>
        <v>2.5</v>
      </c>
      <c r="G1603">
        <f t="shared" si="111"/>
        <v>-3043000</v>
      </c>
      <c r="H1603">
        <f t="shared" si="112"/>
        <v>1180000</v>
      </c>
      <c r="I1603">
        <f t="shared" si="113"/>
        <v>-1217200</v>
      </c>
    </row>
    <row r="1604" spans="1:9">
      <c r="A1604" t="s">
        <v>14</v>
      </c>
      <c r="B1604" t="s">
        <v>18</v>
      </c>
      <c r="C1604">
        <v>1205000</v>
      </c>
      <c r="D1604">
        <v>1267000</v>
      </c>
      <c r="E1604" t="str">
        <f>VLOOKUP(B1604,Лист2!A:E,5,0)</f>
        <v>малые</v>
      </c>
      <c r="F1604">
        <f>VLOOKUP(B1604,Лист2!A:E,4,0)</f>
        <v>2.5</v>
      </c>
      <c r="G1604">
        <f t="shared" si="111"/>
        <v>-62000</v>
      </c>
      <c r="H1604">
        <f t="shared" si="112"/>
        <v>482000</v>
      </c>
      <c r="I1604">
        <f t="shared" si="113"/>
        <v>-24800</v>
      </c>
    </row>
    <row r="1605" spans="1:9">
      <c r="A1605" t="s">
        <v>14</v>
      </c>
      <c r="B1605" t="s">
        <v>18</v>
      </c>
      <c r="C1605">
        <v>7336000</v>
      </c>
      <c r="D1605">
        <v>7040000</v>
      </c>
      <c r="E1605" t="str">
        <f>VLOOKUP(B1605,Лист2!A:E,5,0)</f>
        <v>малые</v>
      </c>
      <c r="F1605">
        <f>VLOOKUP(B1605,Лист2!A:E,4,0)</f>
        <v>2.5</v>
      </c>
      <c r="G1605">
        <f t="shared" si="111"/>
        <v>296000</v>
      </c>
      <c r="H1605">
        <f t="shared" si="112"/>
        <v>2934400</v>
      </c>
      <c r="I1605">
        <f t="shared" si="113"/>
        <v>118400</v>
      </c>
    </row>
    <row r="1606" spans="1:9">
      <c r="A1606" t="s">
        <v>14</v>
      </c>
      <c r="B1606" t="s">
        <v>18</v>
      </c>
      <c r="C1606">
        <v>629000</v>
      </c>
      <c r="D1606">
        <v>628000</v>
      </c>
      <c r="E1606" t="str">
        <f>VLOOKUP(B1606,Лист2!A:E,5,0)</f>
        <v>малые</v>
      </c>
      <c r="F1606">
        <f>VLOOKUP(B1606,Лист2!A:E,4,0)</f>
        <v>2.5</v>
      </c>
      <c r="G1606">
        <f t="shared" si="111"/>
        <v>1000</v>
      </c>
      <c r="H1606">
        <f t="shared" si="112"/>
        <v>251600</v>
      </c>
      <c r="I1606">
        <f t="shared" si="113"/>
        <v>400</v>
      </c>
    </row>
    <row r="1607" spans="1:9">
      <c r="A1607" t="s">
        <v>14</v>
      </c>
      <c r="B1607" t="s">
        <v>18</v>
      </c>
      <c r="C1607">
        <v>550000</v>
      </c>
      <c r="D1607">
        <v>790000</v>
      </c>
      <c r="E1607" t="str">
        <f>VLOOKUP(B1607,Лист2!A:E,5,0)</f>
        <v>малые</v>
      </c>
      <c r="F1607">
        <f>VLOOKUP(B1607,Лист2!A:E,4,0)</f>
        <v>2.5</v>
      </c>
      <c r="G1607">
        <f t="shared" si="111"/>
        <v>-240000</v>
      </c>
      <c r="H1607">
        <f t="shared" si="112"/>
        <v>220000</v>
      </c>
      <c r="I1607">
        <f t="shared" si="113"/>
        <v>-96000</v>
      </c>
    </row>
    <row r="1608" spans="1:9">
      <c r="A1608" t="s">
        <v>14</v>
      </c>
      <c r="B1608" t="s">
        <v>18</v>
      </c>
      <c r="C1608">
        <v>4000</v>
      </c>
      <c r="D1608">
        <v>8000</v>
      </c>
      <c r="E1608" t="str">
        <f>VLOOKUP(B1608,Лист2!A:E,5,0)</f>
        <v>малые</v>
      </c>
      <c r="F1608">
        <f>VLOOKUP(B1608,Лист2!A:E,4,0)</f>
        <v>2.5</v>
      </c>
      <c r="G1608">
        <f t="shared" si="111"/>
        <v>-4000</v>
      </c>
      <c r="H1608">
        <f t="shared" si="112"/>
        <v>1600</v>
      </c>
      <c r="I1608">
        <f t="shared" si="113"/>
        <v>-1600</v>
      </c>
    </row>
    <row r="1609" spans="1:9">
      <c r="A1609" t="s">
        <v>14</v>
      </c>
      <c r="B1609" t="s">
        <v>18</v>
      </c>
      <c r="C1609">
        <v>326000</v>
      </c>
      <c r="D1609">
        <v>377000</v>
      </c>
      <c r="E1609" t="str">
        <f>VLOOKUP(B1609,Лист2!A:E,5,0)</f>
        <v>малые</v>
      </c>
      <c r="F1609">
        <f>VLOOKUP(B1609,Лист2!A:E,4,0)</f>
        <v>2.5</v>
      </c>
      <c r="G1609">
        <f t="shared" si="111"/>
        <v>-51000</v>
      </c>
      <c r="H1609">
        <f t="shared" si="112"/>
        <v>130400</v>
      </c>
      <c r="I1609">
        <f t="shared" si="113"/>
        <v>-20400</v>
      </c>
    </row>
    <row r="1610" spans="1:9">
      <c r="A1610" t="s">
        <v>14</v>
      </c>
      <c r="B1610" t="s">
        <v>18</v>
      </c>
      <c r="C1610">
        <v>225000</v>
      </c>
      <c r="D1610">
        <v>225000</v>
      </c>
      <c r="E1610" t="str">
        <f>VLOOKUP(B1610,Лист2!A:E,5,0)</f>
        <v>малые</v>
      </c>
      <c r="F1610">
        <f>VLOOKUP(B1610,Лист2!A:E,4,0)</f>
        <v>2.5</v>
      </c>
      <c r="G1610">
        <f t="shared" si="111"/>
        <v>0</v>
      </c>
      <c r="H1610">
        <f t="shared" si="112"/>
        <v>90000</v>
      </c>
      <c r="I1610">
        <f t="shared" si="113"/>
        <v>0</v>
      </c>
    </row>
    <row r="1611" spans="1:9">
      <c r="A1611" t="s">
        <v>14</v>
      </c>
      <c r="B1611" t="s">
        <v>18</v>
      </c>
      <c r="C1611">
        <v>2305000</v>
      </c>
      <c r="D1611">
        <v>2305000</v>
      </c>
      <c r="E1611" t="str">
        <f>VLOOKUP(B1611,Лист2!A:E,5,0)</f>
        <v>малые</v>
      </c>
      <c r="F1611">
        <f>VLOOKUP(B1611,Лист2!A:E,4,0)</f>
        <v>2.5</v>
      </c>
      <c r="G1611">
        <f t="shared" si="111"/>
        <v>0</v>
      </c>
      <c r="H1611">
        <f t="shared" si="112"/>
        <v>922000</v>
      </c>
      <c r="I1611">
        <f t="shared" si="113"/>
        <v>0</v>
      </c>
    </row>
    <row r="1612" spans="1:9">
      <c r="A1612" t="s">
        <v>14</v>
      </c>
      <c r="B1612" t="s">
        <v>18</v>
      </c>
      <c r="C1612">
        <v>318000</v>
      </c>
      <c r="D1612">
        <v>338000</v>
      </c>
      <c r="E1612" t="str">
        <f>VLOOKUP(B1612,Лист2!A:E,5,0)</f>
        <v>малые</v>
      </c>
      <c r="F1612">
        <f>VLOOKUP(B1612,Лист2!A:E,4,0)</f>
        <v>2.5</v>
      </c>
      <c r="G1612">
        <f t="shared" si="111"/>
        <v>-20000</v>
      </c>
      <c r="H1612">
        <f t="shared" si="112"/>
        <v>127200</v>
      </c>
      <c r="I1612">
        <f t="shared" si="113"/>
        <v>-8000</v>
      </c>
    </row>
    <row r="1613" spans="1:9">
      <c r="A1613" t="s">
        <v>25</v>
      </c>
      <c r="B1613" t="s">
        <v>18</v>
      </c>
      <c r="C1613">
        <v>2579000</v>
      </c>
      <c r="D1613">
        <v>2038000</v>
      </c>
      <c r="E1613" t="str">
        <f>VLOOKUP(B1613,Лист2!A:E,5,0)</f>
        <v>малые</v>
      </c>
      <c r="F1613">
        <f>VLOOKUP(B1613,Лист2!A:E,4,0)</f>
        <v>2.5</v>
      </c>
      <c r="G1613">
        <f t="shared" si="111"/>
        <v>541000</v>
      </c>
      <c r="H1613">
        <f t="shared" si="112"/>
        <v>1031600</v>
      </c>
      <c r="I1613">
        <f t="shared" si="113"/>
        <v>216400</v>
      </c>
    </row>
    <row r="1614" spans="1:9">
      <c r="A1614" t="s">
        <v>14</v>
      </c>
      <c r="B1614" t="s">
        <v>18</v>
      </c>
      <c r="C1614">
        <v>1409000</v>
      </c>
      <c r="D1614">
        <v>1412000</v>
      </c>
      <c r="E1614" t="str">
        <f>VLOOKUP(B1614,Лист2!A:E,5,0)</f>
        <v>малые</v>
      </c>
      <c r="F1614">
        <f>VLOOKUP(B1614,Лист2!A:E,4,0)</f>
        <v>2.5</v>
      </c>
      <c r="G1614">
        <f t="shared" si="111"/>
        <v>-3000</v>
      </c>
      <c r="H1614">
        <f t="shared" si="112"/>
        <v>563600</v>
      </c>
      <c r="I1614">
        <f t="shared" si="113"/>
        <v>-1200</v>
      </c>
    </row>
    <row r="1615" spans="1:9">
      <c r="A1615" t="s">
        <v>14</v>
      </c>
      <c r="B1615" t="s">
        <v>18</v>
      </c>
      <c r="C1615">
        <v>17686000</v>
      </c>
      <c r="D1615">
        <v>17603000</v>
      </c>
      <c r="E1615" t="str">
        <f>VLOOKUP(B1615,Лист2!A:E,5,0)</f>
        <v>малые</v>
      </c>
      <c r="F1615">
        <f>VLOOKUP(B1615,Лист2!A:E,4,0)</f>
        <v>2.5</v>
      </c>
      <c r="G1615">
        <f t="shared" ref="G1615:G1658" si="114">C1615-D1615</f>
        <v>83000</v>
      </c>
      <c r="H1615">
        <f t="shared" ref="H1615:H1658" si="115">C1615/F1615</f>
        <v>7074400</v>
      </c>
      <c r="I1615">
        <f t="shared" ref="I1615:I1658" si="116">G1615/F1615</f>
        <v>33200</v>
      </c>
    </row>
    <row r="1616" spans="1:9">
      <c r="A1616" t="s">
        <v>14</v>
      </c>
      <c r="B1616" t="s">
        <v>18</v>
      </c>
      <c r="C1616">
        <v>350000</v>
      </c>
      <c r="D1616">
        <v>357000</v>
      </c>
      <c r="E1616" t="str">
        <f>VLOOKUP(B1616,Лист2!A:E,5,0)</f>
        <v>малые</v>
      </c>
      <c r="F1616">
        <f>VLOOKUP(B1616,Лист2!A:E,4,0)</f>
        <v>2.5</v>
      </c>
      <c r="G1616">
        <f t="shared" si="114"/>
        <v>-7000</v>
      </c>
      <c r="H1616">
        <f t="shared" si="115"/>
        <v>140000</v>
      </c>
      <c r="I1616">
        <f t="shared" si="116"/>
        <v>-2800</v>
      </c>
    </row>
    <row r="1617" spans="1:9">
      <c r="A1617" t="s">
        <v>25</v>
      </c>
      <c r="B1617" t="s">
        <v>18</v>
      </c>
      <c r="C1617">
        <v>1809000</v>
      </c>
      <c r="D1617">
        <v>2071000</v>
      </c>
      <c r="E1617" t="str">
        <f>VLOOKUP(B1617,Лист2!A:E,5,0)</f>
        <v>малые</v>
      </c>
      <c r="F1617">
        <f>VLOOKUP(B1617,Лист2!A:E,4,0)</f>
        <v>2.5</v>
      </c>
      <c r="G1617">
        <f t="shared" si="114"/>
        <v>-262000</v>
      </c>
      <c r="H1617">
        <f t="shared" si="115"/>
        <v>723600</v>
      </c>
      <c r="I1617">
        <f t="shared" si="116"/>
        <v>-104800</v>
      </c>
    </row>
    <row r="1618" spans="1:9">
      <c r="A1618" t="s">
        <v>14</v>
      </c>
      <c r="B1618" t="s">
        <v>18</v>
      </c>
      <c r="C1618">
        <v>1312000</v>
      </c>
      <c r="D1618">
        <v>1320000</v>
      </c>
      <c r="E1618" t="str">
        <f>VLOOKUP(B1618,Лист2!A:E,5,0)</f>
        <v>малые</v>
      </c>
      <c r="F1618">
        <f>VLOOKUP(B1618,Лист2!A:E,4,0)</f>
        <v>2.5</v>
      </c>
      <c r="G1618">
        <f t="shared" si="114"/>
        <v>-8000</v>
      </c>
      <c r="H1618">
        <f t="shared" si="115"/>
        <v>524800</v>
      </c>
      <c r="I1618">
        <f t="shared" si="116"/>
        <v>-3200</v>
      </c>
    </row>
    <row r="1619" spans="1:9">
      <c r="A1619" t="s">
        <v>14</v>
      </c>
      <c r="B1619" t="s">
        <v>18</v>
      </c>
      <c r="C1619">
        <v>29903000</v>
      </c>
      <c r="D1619">
        <v>45300000</v>
      </c>
      <c r="E1619" t="str">
        <f>VLOOKUP(B1619,Лист2!A:E,5,0)</f>
        <v>малые</v>
      </c>
      <c r="F1619">
        <f>VLOOKUP(B1619,Лист2!A:E,4,0)</f>
        <v>2.5</v>
      </c>
      <c r="G1619">
        <f t="shared" si="114"/>
        <v>-15397000</v>
      </c>
      <c r="H1619">
        <f t="shared" si="115"/>
        <v>11961200</v>
      </c>
      <c r="I1619">
        <f t="shared" si="116"/>
        <v>-6158800</v>
      </c>
    </row>
    <row r="1620" spans="1:9">
      <c r="A1620" t="s">
        <v>25</v>
      </c>
      <c r="B1620" t="s">
        <v>77</v>
      </c>
      <c r="C1620">
        <v>159615000</v>
      </c>
      <c r="D1620">
        <v>82060000</v>
      </c>
      <c r="E1620" t="str">
        <f>VLOOKUP(B1620,Лист2!A:E,5,0)</f>
        <v>малые</v>
      </c>
      <c r="F1620">
        <f>VLOOKUP(B1620,Лист2!A:E,4,0)</f>
        <v>8</v>
      </c>
      <c r="G1620">
        <f t="shared" si="114"/>
        <v>77555000</v>
      </c>
      <c r="H1620">
        <f t="shared" si="115"/>
        <v>19951875</v>
      </c>
      <c r="I1620">
        <f t="shared" si="116"/>
        <v>9694375</v>
      </c>
    </row>
    <row r="1621" spans="1:9">
      <c r="A1621" t="s">
        <v>14</v>
      </c>
      <c r="B1621" t="s">
        <v>18</v>
      </c>
      <c r="C1621">
        <v>5522000</v>
      </c>
      <c r="D1621">
        <v>5441000</v>
      </c>
      <c r="E1621" t="str">
        <f>VLOOKUP(B1621,Лист2!A:E,5,0)</f>
        <v>малые</v>
      </c>
      <c r="F1621">
        <f>VLOOKUP(B1621,Лист2!A:E,4,0)</f>
        <v>2.5</v>
      </c>
      <c r="G1621">
        <f t="shared" si="114"/>
        <v>81000</v>
      </c>
      <c r="H1621">
        <f t="shared" si="115"/>
        <v>2208800</v>
      </c>
      <c r="I1621">
        <f t="shared" si="116"/>
        <v>32400</v>
      </c>
    </row>
    <row r="1622" spans="1:9">
      <c r="A1622" t="s">
        <v>14</v>
      </c>
      <c r="B1622" t="s">
        <v>18</v>
      </c>
      <c r="C1622">
        <v>538000</v>
      </c>
      <c r="D1622">
        <v>562000</v>
      </c>
      <c r="E1622" t="str">
        <f>VLOOKUP(B1622,Лист2!A:E,5,0)</f>
        <v>малые</v>
      </c>
      <c r="F1622">
        <f>VLOOKUP(B1622,Лист2!A:E,4,0)</f>
        <v>2.5</v>
      </c>
      <c r="G1622">
        <f t="shared" si="114"/>
        <v>-24000</v>
      </c>
      <c r="H1622">
        <f t="shared" si="115"/>
        <v>215200</v>
      </c>
      <c r="I1622">
        <f t="shared" si="116"/>
        <v>-9600</v>
      </c>
    </row>
    <row r="1623" spans="1:9">
      <c r="A1623" t="s">
        <v>25</v>
      </c>
      <c r="B1623" t="s">
        <v>22</v>
      </c>
      <c r="C1623">
        <v>160000</v>
      </c>
      <c r="D1623">
        <v>811000</v>
      </c>
      <c r="E1623" t="str">
        <f>VLOOKUP(B1623,Лист2!A:E,5,0)</f>
        <v>малые</v>
      </c>
      <c r="F1623">
        <f>VLOOKUP(B1623,Лист2!A:E,4,0)</f>
        <v>13</v>
      </c>
      <c r="G1623">
        <f t="shared" si="114"/>
        <v>-651000</v>
      </c>
      <c r="H1623">
        <f t="shared" si="115"/>
        <v>12307.692307692309</v>
      </c>
      <c r="I1623">
        <f t="shared" si="116"/>
        <v>-50076.923076923078</v>
      </c>
    </row>
    <row r="1624" spans="1:9">
      <c r="A1624" t="s">
        <v>14</v>
      </c>
      <c r="B1624" t="s">
        <v>18</v>
      </c>
      <c r="C1624">
        <v>21000</v>
      </c>
      <c r="D1624">
        <v>21000</v>
      </c>
      <c r="E1624" t="str">
        <f>VLOOKUP(B1624,Лист2!A:E,5,0)</f>
        <v>малые</v>
      </c>
      <c r="F1624">
        <f>VLOOKUP(B1624,Лист2!A:E,4,0)</f>
        <v>2.5</v>
      </c>
      <c r="G1624">
        <f t="shared" si="114"/>
        <v>0</v>
      </c>
      <c r="H1624">
        <f t="shared" si="115"/>
        <v>8400</v>
      </c>
      <c r="I1624">
        <f t="shared" si="116"/>
        <v>0</v>
      </c>
    </row>
    <row r="1625" spans="1:9">
      <c r="A1625" t="s">
        <v>25</v>
      </c>
      <c r="B1625" t="s">
        <v>18</v>
      </c>
      <c r="C1625">
        <v>23000000</v>
      </c>
      <c r="D1625">
        <v>31215000</v>
      </c>
      <c r="E1625" t="str">
        <f>VLOOKUP(B1625,Лист2!A:E,5,0)</f>
        <v>малые</v>
      </c>
      <c r="F1625">
        <f>VLOOKUP(B1625,Лист2!A:E,4,0)</f>
        <v>2.5</v>
      </c>
      <c r="G1625">
        <f t="shared" si="114"/>
        <v>-8215000</v>
      </c>
      <c r="H1625">
        <f t="shared" si="115"/>
        <v>9200000</v>
      </c>
      <c r="I1625">
        <f t="shared" si="116"/>
        <v>-3286000</v>
      </c>
    </row>
    <row r="1626" spans="1:9">
      <c r="A1626" t="s">
        <v>24</v>
      </c>
      <c r="B1626" t="s">
        <v>23</v>
      </c>
      <c r="C1626">
        <v>3226282000</v>
      </c>
      <c r="D1626">
        <v>3029121000</v>
      </c>
      <c r="E1626" t="str">
        <f>VLOOKUP(B1626,Лист2!A:E,5,0)</f>
        <v>средние</v>
      </c>
      <c r="F1626">
        <f>VLOOKUP(B1626,Лист2!A:E,4,0)</f>
        <v>75.5</v>
      </c>
      <c r="G1626">
        <f t="shared" si="114"/>
        <v>197161000</v>
      </c>
      <c r="H1626">
        <f t="shared" si="115"/>
        <v>42732211.920529798</v>
      </c>
      <c r="I1626">
        <f t="shared" si="116"/>
        <v>2611403.9735099338</v>
      </c>
    </row>
    <row r="1627" spans="1:9">
      <c r="A1627" t="s">
        <v>14</v>
      </c>
      <c r="B1627" t="s">
        <v>18</v>
      </c>
      <c r="C1627">
        <v>23807000</v>
      </c>
      <c r="D1627">
        <v>13420000</v>
      </c>
      <c r="E1627" t="str">
        <f>VLOOKUP(B1627,Лист2!A:E,5,0)</f>
        <v>малые</v>
      </c>
      <c r="F1627">
        <f>VLOOKUP(B1627,Лист2!A:E,4,0)</f>
        <v>2.5</v>
      </c>
      <c r="G1627">
        <f t="shared" si="114"/>
        <v>10387000</v>
      </c>
      <c r="H1627">
        <f t="shared" si="115"/>
        <v>9522800</v>
      </c>
      <c r="I1627">
        <f t="shared" si="116"/>
        <v>4154800</v>
      </c>
    </row>
    <row r="1628" spans="1:9">
      <c r="A1628" t="s">
        <v>14</v>
      </c>
      <c r="B1628" t="s">
        <v>18</v>
      </c>
      <c r="C1628">
        <v>1503000</v>
      </c>
      <c r="D1628">
        <v>1299000</v>
      </c>
      <c r="E1628" t="str">
        <f>VLOOKUP(B1628,Лист2!A:E,5,0)</f>
        <v>малые</v>
      </c>
      <c r="F1628">
        <f>VLOOKUP(B1628,Лист2!A:E,4,0)</f>
        <v>2.5</v>
      </c>
      <c r="G1628">
        <f t="shared" si="114"/>
        <v>204000</v>
      </c>
      <c r="H1628">
        <f t="shared" si="115"/>
        <v>601200</v>
      </c>
      <c r="I1628">
        <f t="shared" si="116"/>
        <v>81600</v>
      </c>
    </row>
    <row r="1629" spans="1:9">
      <c r="A1629" t="s">
        <v>14</v>
      </c>
      <c r="B1629" t="s">
        <v>18</v>
      </c>
      <c r="C1629">
        <v>2369000</v>
      </c>
      <c r="D1629">
        <v>2273000</v>
      </c>
      <c r="E1629" t="str">
        <f>VLOOKUP(B1629,Лист2!A:E,5,0)</f>
        <v>малые</v>
      </c>
      <c r="F1629">
        <f>VLOOKUP(B1629,Лист2!A:E,4,0)</f>
        <v>2.5</v>
      </c>
      <c r="G1629">
        <f t="shared" si="114"/>
        <v>96000</v>
      </c>
      <c r="H1629">
        <f t="shared" si="115"/>
        <v>947600</v>
      </c>
      <c r="I1629">
        <f t="shared" si="116"/>
        <v>38400</v>
      </c>
    </row>
    <row r="1630" spans="1:9">
      <c r="A1630" t="s">
        <v>14</v>
      </c>
      <c r="B1630" t="s">
        <v>23</v>
      </c>
      <c r="C1630">
        <v>8061000</v>
      </c>
      <c r="D1630">
        <v>7663000</v>
      </c>
      <c r="E1630" t="str">
        <f>VLOOKUP(B1630,Лист2!A:E,5,0)</f>
        <v>средние</v>
      </c>
      <c r="F1630">
        <f>VLOOKUP(B1630,Лист2!A:E,4,0)</f>
        <v>75.5</v>
      </c>
      <c r="G1630">
        <f t="shared" si="114"/>
        <v>398000</v>
      </c>
      <c r="H1630">
        <f t="shared" si="115"/>
        <v>106768.21192052981</v>
      </c>
      <c r="I1630">
        <f t="shared" si="116"/>
        <v>5271.5231788079473</v>
      </c>
    </row>
    <row r="1631" spans="1:9">
      <c r="A1631" t="s">
        <v>25</v>
      </c>
      <c r="B1631" t="s">
        <v>77</v>
      </c>
      <c r="C1631">
        <v>263699000</v>
      </c>
      <c r="D1631">
        <v>255008000</v>
      </c>
      <c r="E1631" t="str">
        <f>VLOOKUP(B1631,Лист2!A:E,5,0)</f>
        <v>малые</v>
      </c>
      <c r="F1631">
        <f>VLOOKUP(B1631,Лист2!A:E,4,0)</f>
        <v>8</v>
      </c>
      <c r="G1631">
        <f t="shared" si="114"/>
        <v>8691000</v>
      </c>
      <c r="H1631">
        <f t="shared" si="115"/>
        <v>32962375</v>
      </c>
      <c r="I1631">
        <f t="shared" si="116"/>
        <v>1086375</v>
      </c>
    </row>
    <row r="1632" spans="1:9">
      <c r="A1632" t="s">
        <v>25</v>
      </c>
      <c r="B1632" t="s">
        <v>18</v>
      </c>
      <c r="C1632">
        <v>226000</v>
      </c>
      <c r="D1632">
        <v>4000</v>
      </c>
      <c r="E1632" t="str">
        <f>VLOOKUP(B1632,Лист2!A:E,5,0)</f>
        <v>малые</v>
      </c>
      <c r="F1632">
        <f>VLOOKUP(B1632,Лист2!A:E,4,0)</f>
        <v>2.5</v>
      </c>
      <c r="G1632">
        <f t="shared" si="114"/>
        <v>222000</v>
      </c>
      <c r="H1632">
        <f t="shared" si="115"/>
        <v>90400</v>
      </c>
      <c r="I1632">
        <f t="shared" si="116"/>
        <v>88800</v>
      </c>
    </row>
    <row r="1633" spans="1:9">
      <c r="A1633" t="s">
        <v>14</v>
      </c>
      <c r="B1633" t="s">
        <v>18</v>
      </c>
      <c r="C1633">
        <v>365000</v>
      </c>
      <c r="D1633">
        <v>410000</v>
      </c>
      <c r="E1633" t="str">
        <f>VLOOKUP(B1633,Лист2!A:E,5,0)</f>
        <v>малые</v>
      </c>
      <c r="F1633">
        <f>VLOOKUP(B1633,Лист2!A:E,4,0)</f>
        <v>2.5</v>
      </c>
      <c r="G1633">
        <f t="shared" si="114"/>
        <v>-45000</v>
      </c>
      <c r="H1633">
        <f t="shared" si="115"/>
        <v>146000</v>
      </c>
      <c r="I1633">
        <f t="shared" si="116"/>
        <v>-18000</v>
      </c>
    </row>
    <row r="1634" spans="1:9">
      <c r="A1634" t="s">
        <v>25</v>
      </c>
      <c r="B1634" t="s">
        <v>18</v>
      </c>
      <c r="C1634">
        <v>1342000</v>
      </c>
      <c r="D1634">
        <v>1293000</v>
      </c>
      <c r="E1634" t="str">
        <f>VLOOKUP(B1634,Лист2!A:E,5,0)</f>
        <v>малые</v>
      </c>
      <c r="F1634">
        <f>VLOOKUP(B1634,Лист2!A:E,4,0)</f>
        <v>2.5</v>
      </c>
      <c r="G1634">
        <f t="shared" si="114"/>
        <v>49000</v>
      </c>
      <c r="H1634">
        <f t="shared" si="115"/>
        <v>536800</v>
      </c>
      <c r="I1634">
        <f t="shared" si="116"/>
        <v>19600</v>
      </c>
    </row>
    <row r="1635" spans="1:9">
      <c r="A1635" t="s">
        <v>14</v>
      </c>
      <c r="B1635" t="s">
        <v>18</v>
      </c>
      <c r="C1635">
        <v>370000</v>
      </c>
      <c r="D1635">
        <v>43000</v>
      </c>
      <c r="E1635" t="str">
        <f>VLOOKUP(B1635,Лист2!A:E,5,0)</f>
        <v>малые</v>
      </c>
      <c r="F1635">
        <f>VLOOKUP(B1635,Лист2!A:E,4,0)</f>
        <v>2.5</v>
      </c>
      <c r="G1635">
        <f t="shared" si="114"/>
        <v>327000</v>
      </c>
      <c r="H1635">
        <f t="shared" si="115"/>
        <v>148000</v>
      </c>
      <c r="I1635">
        <f t="shared" si="116"/>
        <v>130800</v>
      </c>
    </row>
    <row r="1636" spans="1:9">
      <c r="A1636" t="s">
        <v>14</v>
      </c>
      <c r="B1636" t="s">
        <v>18</v>
      </c>
      <c r="C1636">
        <v>3209000</v>
      </c>
      <c r="D1636">
        <v>2846000</v>
      </c>
      <c r="E1636" t="str">
        <f>VLOOKUP(B1636,Лист2!A:E,5,0)</f>
        <v>малые</v>
      </c>
      <c r="F1636">
        <f>VLOOKUP(B1636,Лист2!A:E,4,0)</f>
        <v>2.5</v>
      </c>
      <c r="G1636">
        <f t="shared" si="114"/>
        <v>363000</v>
      </c>
      <c r="H1636">
        <f t="shared" si="115"/>
        <v>1283600</v>
      </c>
      <c r="I1636">
        <f t="shared" si="116"/>
        <v>145200</v>
      </c>
    </row>
    <row r="1637" spans="1:9">
      <c r="A1637" t="s">
        <v>25</v>
      </c>
      <c r="B1637" t="s">
        <v>18</v>
      </c>
      <c r="C1637">
        <v>3668000</v>
      </c>
      <c r="D1637">
        <v>3757000</v>
      </c>
      <c r="E1637" t="str">
        <f>VLOOKUP(B1637,Лист2!A:E,5,0)</f>
        <v>малые</v>
      </c>
      <c r="F1637">
        <f>VLOOKUP(B1637,Лист2!A:E,4,0)</f>
        <v>2.5</v>
      </c>
      <c r="G1637">
        <f t="shared" si="114"/>
        <v>-89000</v>
      </c>
      <c r="H1637">
        <f t="shared" si="115"/>
        <v>1467200</v>
      </c>
      <c r="I1637">
        <f t="shared" si="116"/>
        <v>-35600</v>
      </c>
    </row>
    <row r="1638" spans="1:9">
      <c r="A1638" t="s">
        <v>14</v>
      </c>
      <c r="B1638" t="s">
        <v>18</v>
      </c>
      <c r="C1638">
        <v>1585000</v>
      </c>
      <c r="D1638">
        <v>1564000</v>
      </c>
      <c r="E1638" t="str">
        <f>VLOOKUP(B1638,Лист2!A:E,5,0)</f>
        <v>малые</v>
      </c>
      <c r="F1638">
        <f>VLOOKUP(B1638,Лист2!A:E,4,0)</f>
        <v>2.5</v>
      </c>
      <c r="G1638">
        <f t="shared" si="114"/>
        <v>21000</v>
      </c>
      <c r="H1638">
        <f t="shared" si="115"/>
        <v>634000</v>
      </c>
      <c r="I1638">
        <f t="shared" si="116"/>
        <v>8400</v>
      </c>
    </row>
    <row r="1639" spans="1:9">
      <c r="A1639" t="s">
        <v>25</v>
      </c>
      <c r="B1639" t="s">
        <v>18</v>
      </c>
      <c r="C1639">
        <v>1241000</v>
      </c>
      <c r="D1639">
        <v>1240000</v>
      </c>
      <c r="E1639" t="str">
        <f>VLOOKUP(B1639,Лист2!A:E,5,0)</f>
        <v>малые</v>
      </c>
      <c r="F1639">
        <f>VLOOKUP(B1639,Лист2!A:E,4,0)</f>
        <v>2.5</v>
      </c>
      <c r="G1639">
        <f t="shared" si="114"/>
        <v>1000</v>
      </c>
      <c r="H1639">
        <f t="shared" si="115"/>
        <v>496400</v>
      </c>
      <c r="I1639">
        <f t="shared" si="116"/>
        <v>400</v>
      </c>
    </row>
    <row r="1640" spans="1:9">
      <c r="A1640" t="s">
        <v>14</v>
      </c>
      <c r="B1640" t="s">
        <v>18</v>
      </c>
      <c r="C1640">
        <v>624000</v>
      </c>
      <c r="D1640">
        <v>789000</v>
      </c>
      <c r="E1640" t="str">
        <f>VLOOKUP(B1640,Лист2!A:E,5,0)</f>
        <v>малые</v>
      </c>
      <c r="F1640">
        <f>VLOOKUP(B1640,Лист2!A:E,4,0)</f>
        <v>2.5</v>
      </c>
      <c r="G1640">
        <f t="shared" si="114"/>
        <v>-165000</v>
      </c>
      <c r="H1640">
        <f t="shared" si="115"/>
        <v>249600</v>
      </c>
      <c r="I1640">
        <f t="shared" si="116"/>
        <v>-66000</v>
      </c>
    </row>
    <row r="1641" spans="1:9">
      <c r="A1641" t="s">
        <v>14</v>
      </c>
      <c r="B1641" t="s">
        <v>18</v>
      </c>
      <c r="C1641">
        <v>1144000</v>
      </c>
      <c r="D1641">
        <v>1133000</v>
      </c>
      <c r="E1641" t="str">
        <f>VLOOKUP(B1641,Лист2!A:E,5,0)</f>
        <v>малые</v>
      </c>
      <c r="F1641">
        <f>VLOOKUP(B1641,Лист2!A:E,4,0)</f>
        <v>2.5</v>
      </c>
      <c r="G1641">
        <f t="shared" si="114"/>
        <v>11000</v>
      </c>
      <c r="H1641">
        <f t="shared" si="115"/>
        <v>457600</v>
      </c>
      <c r="I1641">
        <f t="shared" si="116"/>
        <v>4400</v>
      </c>
    </row>
    <row r="1642" spans="1:9">
      <c r="A1642" t="s">
        <v>25</v>
      </c>
      <c r="B1642" t="s">
        <v>18</v>
      </c>
      <c r="C1642">
        <v>1250000</v>
      </c>
      <c r="D1642">
        <v>132000</v>
      </c>
      <c r="E1642" t="str">
        <f>VLOOKUP(B1642,Лист2!A:E,5,0)</f>
        <v>малые</v>
      </c>
      <c r="F1642">
        <f>VLOOKUP(B1642,Лист2!A:E,4,0)</f>
        <v>2.5</v>
      </c>
      <c r="G1642">
        <f t="shared" si="114"/>
        <v>1118000</v>
      </c>
      <c r="H1642">
        <f t="shared" si="115"/>
        <v>500000</v>
      </c>
      <c r="I1642">
        <f t="shared" si="116"/>
        <v>447200</v>
      </c>
    </row>
    <row r="1643" spans="1:9">
      <c r="A1643" t="s">
        <v>25</v>
      </c>
      <c r="B1643" t="s">
        <v>18</v>
      </c>
      <c r="C1643">
        <v>1221000</v>
      </c>
      <c r="D1643">
        <v>1131000</v>
      </c>
      <c r="E1643" t="str">
        <f>VLOOKUP(B1643,Лист2!A:E,5,0)</f>
        <v>малые</v>
      </c>
      <c r="F1643">
        <f>VLOOKUP(B1643,Лист2!A:E,4,0)</f>
        <v>2.5</v>
      </c>
      <c r="G1643">
        <f t="shared" si="114"/>
        <v>90000</v>
      </c>
      <c r="H1643">
        <f t="shared" si="115"/>
        <v>488400</v>
      </c>
      <c r="I1643">
        <f t="shared" si="116"/>
        <v>36000</v>
      </c>
    </row>
    <row r="1644" spans="1:9">
      <c r="A1644" t="s">
        <v>14</v>
      </c>
      <c r="B1644" t="s">
        <v>18</v>
      </c>
      <c r="C1644">
        <v>398000</v>
      </c>
      <c r="D1644">
        <v>451000</v>
      </c>
      <c r="E1644" t="str">
        <f>VLOOKUP(B1644,Лист2!A:E,5,0)</f>
        <v>малые</v>
      </c>
      <c r="F1644">
        <f>VLOOKUP(B1644,Лист2!A:E,4,0)</f>
        <v>2.5</v>
      </c>
      <c r="G1644">
        <f t="shared" si="114"/>
        <v>-53000</v>
      </c>
      <c r="H1644">
        <f t="shared" si="115"/>
        <v>159200</v>
      </c>
      <c r="I1644">
        <f t="shared" si="116"/>
        <v>-21200</v>
      </c>
    </row>
    <row r="1645" spans="1:9">
      <c r="A1645" t="s">
        <v>14</v>
      </c>
      <c r="B1645" t="s">
        <v>18</v>
      </c>
      <c r="C1645">
        <v>20407000</v>
      </c>
      <c r="D1645">
        <v>17939000</v>
      </c>
      <c r="E1645" t="str">
        <f>VLOOKUP(B1645,Лист2!A:E,5,0)</f>
        <v>малые</v>
      </c>
      <c r="F1645">
        <f>VLOOKUP(B1645,Лист2!A:E,4,0)</f>
        <v>2.5</v>
      </c>
      <c r="G1645">
        <f t="shared" si="114"/>
        <v>2468000</v>
      </c>
      <c r="H1645">
        <f t="shared" si="115"/>
        <v>8162800</v>
      </c>
      <c r="I1645">
        <f t="shared" si="116"/>
        <v>987200</v>
      </c>
    </row>
    <row r="1646" spans="1:9">
      <c r="A1646" t="s">
        <v>25</v>
      </c>
      <c r="B1646" t="s">
        <v>18</v>
      </c>
      <c r="C1646">
        <v>1424000</v>
      </c>
      <c r="D1646">
        <v>1420000</v>
      </c>
      <c r="E1646" t="str">
        <f>VLOOKUP(B1646,Лист2!A:E,5,0)</f>
        <v>малые</v>
      </c>
      <c r="F1646">
        <f>VLOOKUP(B1646,Лист2!A:E,4,0)</f>
        <v>2.5</v>
      </c>
      <c r="G1646">
        <f t="shared" si="114"/>
        <v>4000</v>
      </c>
      <c r="H1646">
        <f t="shared" si="115"/>
        <v>569600</v>
      </c>
      <c r="I1646">
        <f t="shared" si="116"/>
        <v>1600</v>
      </c>
    </row>
    <row r="1647" spans="1:9">
      <c r="A1647" t="s">
        <v>14</v>
      </c>
      <c r="B1647" t="s">
        <v>18</v>
      </c>
      <c r="C1647">
        <v>1745000</v>
      </c>
      <c r="D1647">
        <v>1746000</v>
      </c>
      <c r="E1647" t="str">
        <f>VLOOKUP(B1647,Лист2!A:E,5,0)</f>
        <v>малые</v>
      </c>
      <c r="F1647">
        <f>VLOOKUP(B1647,Лист2!A:E,4,0)</f>
        <v>2.5</v>
      </c>
      <c r="G1647">
        <f t="shared" si="114"/>
        <v>-1000</v>
      </c>
      <c r="H1647">
        <f t="shared" si="115"/>
        <v>698000</v>
      </c>
      <c r="I1647">
        <f t="shared" si="116"/>
        <v>-400</v>
      </c>
    </row>
    <row r="1648" spans="1:9">
      <c r="A1648" t="s">
        <v>14</v>
      </c>
      <c r="B1648" t="s">
        <v>18</v>
      </c>
      <c r="C1648">
        <v>23271000</v>
      </c>
      <c r="D1648">
        <v>12868000</v>
      </c>
      <c r="E1648" t="str">
        <f>VLOOKUP(B1648,Лист2!A:E,5,0)</f>
        <v>малые</v>
      </c>
      <c r="F1648">
        <f>VLOOKUP(B1648,Лист2!A:E,4,0)</f>
        <v>2.5</v>
      </c>
      <c r="G1648">
        <f t="shared" si="114"/>
        <v>10403000</v>
      </c>
      <c r="H1648">
        <f t="shared" si="115"/>
        <v>9308400</v>
      </c>
      <c r="I1648">
        <f t="shared" si="116"/>
        <v>4161200</v>
      </c>
    </row>
    <row r="1649" spans="1:9">
      <c r="A1649" t="s">
        <v>25</v>
      </c>
      <c r="B1649" t="s">
        <v>18</v>
      </c>
      <c r="C1649">
        <v>2593000</v>
      </c>
      <c r="D1649">
        <v>2278000</v>
      </c>
      <c r="E1649" t="str">
        <f>VLOOKUP(B1649,Лист2!A:E,5,0)</f>
        <v>малые</v>
      </c>
      <c r="F1649">
        <f>VLOOKUP(B1649,Лист2!A:E,4,0)</f>
        <v>2.5</v>
      </c>
      <c r="G1649">
        <f t="shared" si="114"/>
        <v>315000</v>
      </c>
      <c r="H1649">
        <f t="shared" si="115"/>
        <v>1037200</v>
      </c>
      <c r="I1649">
        <f t="shared" si="116"/>
        <v>126000</v>
      </c>
    </row>
    <row r="1650" spans="1:9">
      <c r="A1650" t="s">
        <v>14</v>
      </c>
      <c r="B1650" t="s">
        <v>77</v>
      </c>
      <c r="C1650">
        <v>29187000</v>
      </c>
      <c r="D1650">
        <v>23176000</v>
      </c>
      <c r="E1650" t="str">
        <f>VLOOKUP(B1650,Лист2!A:E,5,0)</f>
        <v>малые</v>
      </c>
      <c r="F1650">
        <f>VLOOKUP(B1650,Лист2!A:E,4,0)</f>
        <v>8</v>
      </c>
      <c r="G1650">
        <f t="shared" si="114"/>
        <v>6011000</v>
      </c>
      <c r="H1650">
        <f t="shared" si="115"/>
        <v>3648375</v>
      </c>
      <c r="I1650">
        <f t="shared" si="116"/>
        <v>751375</v>
      </c>
    </row>
    <row r="1651" spans="1:9">
      <c r="A1651" t="s">
        <v>14</v>
      </c>
      <c r="B1651" t="s">
        <v>18</v>
      </c>
      <c r="C1651">
        <v>2747000</v>
      </c>
      <c r="D1651">
        <v>2727000</v>
      </c>
      <c r="E1651" t="str">
        <f>VLOOKUP(B1651,Лист2!A:E,5,0)</f>
        <v>малые</v>
      </c>
      <c r="F1651">
        <f>VLOOKUP(B1651,Лист2!A:E,4,0)</f>
        <v>2.5</v>
      </c>
      <c r="G1651">
        <f t="shared" si="114"/>
        <v>20000</v>
      </c>
      <c r="H1651">
        <f t="shared" si="115"/>
        <v>1098800</v>
      </c>
      <c r="I1651">
        <f t="shared" si="116"/>
        <v>8000</v>
      </c>
    </row>
    <row r="1652" spans="1:9">
      <c r="A1652" t="s">
        <v>14</v>
      </c>
      <c r="B1652" t="s">
        <v>18</v>
      </c>
      <c r="C1652">
        <v>5775000</v>
      </c>
      <c r="D1652">
        <v>5598000</v>
      </c>
      <c r="E1652" t="str">
        <f>VLOOKUP(B1652,Лист2!A:E,5,0)</f>
        <v>малые</v>
      </c>
      <c r="F1652">
        <f>VLOOKUP(B1652,Лист2!A:E,4,0)</f>
        <v>2.5</v>
      </c>
      <c r="G1652">
        <f t="shared" si="114"/>
        <v>177000</v>
      </c>
      <c r="H1652">
        <f t="shared" si="115"/>
        <v>2310000</v>
      </c>
      <c r="I1652">
        <f t="shared" si="116"/>
        <v>70800</v>
      </c>
    </row>
    <row r="1653" spans="1:9">
      <c r="A1653" t="s">
        <v>25</v>
      </c>
      <c r="B1653" t="s">
        <v>18</v>
      </c>
      <c r="C1653">
        <v>9176000</v>
      </c>
      <c r="D1653">
        <v>12611000</v>
      </c>
      <c r="E1653" t="str">
        <f>VLOOKUP(B1653,Лист2!A:E,5,0)</f>
        <v>малые</v>
      </c>
      <c r="F1653">
        <f>VLOOKUP(B1653,Лист2!A:E,4,0)</f>
        <v>2.5</v>
      </c>
      <c r="G1653">
        <f t="shared" si="114"/>
        <v>-3435000</v>
      </c>
      <c r="H1653">
        <f t="shared" si="115"/>
        <v>3670400</v>
      </c>
      <c r="I1653">
        <f t="shared" si="116"/>
        <v>-1374000</v>
      </c>
    </row>
    <row r="1654" spans="1:9">
      <c r="A1654" t="s">
        <v>25</v>
      </c>
      <c r="B1654" t="s">
        <v>18</v>
      </c>
      <c r="C1654">
        <v>604000</v>
      </c>
      <c r="D1654">
        <v>987000</v>
      </c>
      <c r="E1654" t="str">
        <f>VLOOKUP(B1654,Лист2!A:E,5,0)</f>
        <v>малые</v>
      </c>
      <c r="F1654">
        <f>VLOOKUP(B1654,Лист2!A:E,4,0)</f>
        <v>2.5</v>
      </c>
      <c r="G1654">
        <f t="shared" si="114"/>
        <v>-383000</v>
      </c>
      <c r="H1654">
        <f t="shared" si="115"/>
        <v>241600</v>
      </c>
      <c r="I1654">
        <f t="shared" si="116"/>
        <v>-153200</v>
      </c>
    </row>
    <row r="1655" spans="1:9">
      <c r="A1655" t="s">
        <v>14</v>
      </c>
      <c r="B1655" t="s">
        <v>18</v>
      </c>
      <c r="C1655">
        <v>118984000</v>
      </c>
      <c r="D1655">
        <v>38623000</v>
      </c>
      <c r="E1655" t="str">
        <f>VLOOKUP(B1655,Лист2!A:E,5,0)</f>
        <v>малые</v>
      </c>
      <c r="F1655">
        <f>VLOOKUP(B1655,Лист2!A:E,4,0)</f>
        <v>2.5</v>
      </c>
      <c r="G1655">
        <f t="shared" si="114"/>
        <v>80361000</v>
      </c>
      <c r="H1655">
        <f t="shared" si="115"/>
        <v>47593600</v>
      </c>
      <c r="I1655">
        <f t="shared" si="116"/>
        <v>32144400</v>
      </c>
    </row>
    <row r="1656" spans="1:9">
      <c r="A1656" t="s">
        <v>14</v>
      </c>
      <c r="B1656" t="s">
        <v>18</v>
      </c>
      <c r="C1656">
        <v>1031000</v>
      </c>
      <c r="D1656">
        <v>934000</v>
      </c>
      <c r="E1656" t="str">
        <f>VLOOKUP(B1656,Лист2!A:E,5,0)</f>
        <v>малые</v>
      </c>
      <c r="F1656">
        <f>VLOOKUP(B1656,Лист2!A:E,4,0)</f>
        <v>2.5</v>
      </c>
      <c r="G1656">
        <f t="shared" si="114"/>
        <v>97000</v>
      </c>
      <c r="H1656">
        <f t="shared" si="115"/>
        <v>412400</v>
      </c>
      <c r="I1656">
        <f t="shared" si="116"/>
        <v>38800</v>
      </c>
    </row>
    <row r="1657" spans="1:9">
      <c r="A1657" t="s">
        <v>25</v>
      </c>
      <c r="B1657" t="s">
        <v>18</v>
      </c>
      <c r="C1657">
        <v>8887000</v>
      </c>
      <c r="D1657">
        <v>8971000</v>
      </c>
      <c r="E1657" t="str">
        <f>VLOOKUP(B1657,Лист2!A:E,5,0)</f>
        <v>малые</v>
      </c>
      <c r="F1657">
        <f>VLOOKUP(B1657,Лист2!A:E,4,0)</f>
        <v>2.5</v>
      </c>
      <c r="G1657">
        <f t="shared" si="114"/>
        <v>-84000</v>
      </c>
      <c r="H1657">
        <f t="shared" si="115"/>
        <v>3554800</v>
      </c>
      <c r="I1657">
        <f t="shared" si="116"/>
        <v>-33600</v>
      </c>
    </row>
    <row r="1658" spans="1:9">
      <c r="A1658" t="s">
        <v>25</v>
      </c>
      <c r="B1658" t="s">
        <v>18</v>
      </c>
      <c r="C1658">
        <v>50000</v>
      </c>
      <c r="D1658">
        <v>59000</v>
      </c>
      <c r="E1658" t="str">
        <f>VLOOKUP(B1658,Лист2!A:E,5,0)</f>
        <v>малые</v>
      </c>
      <c r="F1658">
        <f>VLOOKUP(B1658,Лист2!A:E,4,0)</f>
        <v>2.5</v>
      </c>
      <c r="G1658">
        <f t="shared" si="114"/>
        <v>-9000</v>
      </c>
      <c r="H1658">
        <f t="shared" si="115"/>
        <v>20000</v>
      </c>
      <c r="I1658">
        <f t="shared" si="116"/>
        <v>-3600</v>
      </c>
    </row>
    <row r="1659" spans="1:9">
      <c r="A1659" t="s">
        <v>25</v>
      </c>
      <c r="B1659" t="s">
        <v>77</v>
      </c>
      <c r="C1659">
        <v>31765000</v>
      </c>
      <c r="D1659">
        <v>34134000</v>
      </c>
      <c r="E1659" t="str">
        <f>VLOOKUP(B1659,Лист2!A:E,5,0)</f>
        <v>малые</v>
      </c>
      <c r="F1659">
        <f>VLOOKUP(B1659,Лист2!A:E,4,0)</f>
        <v>8</v>
      </c>
      <c r="G1659">
        <f t="shared" ref="G1659:G1694" si="117">C1659-D1659</f>
        <v>-2369000</v>
      </c>
      <c r="H1659">
        <f t="shared" ref="H1659:H1694" si="118">C1659/F1659</f>
        <v>3970625</v>
      </c>
      <c r="I1659">
        <f t="shared" ref="I1659:I1694" si="119">G1659/F1659</f>
        <v>-296125</v>
      </c>
    </row>
    <row r="1660" spans="1:9">
      <c r="A1660" t="s">
        <v>14</v>
      </c>
      <c r="B1660" t="s">
        <v>18</v>
      </c>
      <c r="C1660">
        <v>561000</v>
      </c>
      <c r="D1660">
        <v>628000</v>
      </c>
      <c r="E1660" t="str">
        <f>VLOOKUP(B1660,Лист2!A:E,5,0)</f>
        <v>малые</v>
      </c>
      <c r="F1660">
        <f>VLOOKUP(B1660,Лист2!A:E,4,0)</f>
        <v>2.5</v>
      </c>
      <c r="G1660">
        <f t="shared" si="117"/>
        <v>-67000</v>
      </c>
      <c r="H1660">
        <f t="shared" si="118"/>
        <v>224400</v>
      </c>
      <c r="I1660">
        <f t="shared" si="119"/>
        <v>-26800</v>
      </c>
    </row>
    <row r="1661" spans="1:9">
      <c r="A1661" t="s">
        <v>25</v>
      </c>
      <c r="B1661" t="s">
        <v>18</v>
      </c>
      <c r="C1661">
        <v>764000</v>
      </c>
      <c r="D1661">
        <v>764000</v>
      </c>
      <c r="E1661" t="str">
        <f>VLOOKUP(B1661,Лист2!A:E,5,0)</f>
        <v>малые</v>
      </c>
      <c r="F1661">
        <f>VLOOKUP(B1661,Лист2!A:E,4,0)</f>
        <v>2.5</v>
      </c>
      <c r="G1661">
        <f t="shared" si="117"/>
        <v>0</v>
      </c>
      <c r="H1661">
        <f t="shared" si="118"/>
        <v>305600</v>
      </c>
      <c r="I1661">
        <f t="shared" si="119"/>
        <v>0</v>
      </c>
    </row>
    <row r="1662" spans="1:9">
      <c r="A1662" t="s">
        <v>25</v>
      </c>
      <c r="B1662" t="s">
        <v>18</v>
      </c>
      <c r="C1662">
        <v>5425000</v>
      </c>
      <c r="D1662">
        <v>5419000</v>
      </c>
      <c r="E1662" t="str">
        <f>VLOOKUP(B1662,Лист2!A:E,5,0)</f>
        <v>малые</v>
      </c>
      <c r="F1662">
        <f>VLOOKUP(B1662,Лист2!A:E,4,0)</f>
        <v>2.5</v>
      </c>
      <c r="G1662">
        <f t="shared" si="117"/>
        <v>6000</v>
      </c>
      <c r="H1662">
        <f t="shared" si="118"/>
        <v>2170000</v>
      </c>
      <c r="I1662">
        <f t="shared" si="119"/>
        <v>2400</v>
      </c>
    </row>
    <row r="1663" spans="1:9">
      <c r="A1663" t="s">
        <v>25</v>
      </c>
      <c r="B1663" t="s">
        <v>18</v>
      </c>
      <c r="C1663">
        <v>82308000</v>
      </c>
      <c r="D1663">
        <v>78395000</v>
      </c>
      <c r="E1663" t="str">
        <f>VLOOKUP(B1663,Лист2!A:E,5,0)</f>
        <v>малые</v>
      </c>
      <c r="F1663">
        <f>VLOOKUP(B1663,Лист2!A:E,4,0)</f>
        <v>2.5</v>
      </c>
      <c r="G1663">
        <f t="shared" si="117"/>
        <v>3913000</v>
      </c>
      <c r="H1663">
        <f t="shared" si="118"/>
        <v>32923200</v>
      </c>
      <c r="I1663">
        <f t="shared" si="119"/>
        <v>1565200</v>
      </c>
    </row>
    <row r="1664" spans="1:9">
      <c r="A1664" t="s">
        <v>25</v>
      </c>
      <c r="B1664" t="s">
        <v>18</v>
      </c>
      <c r="C1664">
        <v>12048000</v>
      </c>
      <c r="D1664">
        <v>12048000</v>
      </c>
      <c r="E1664" t="str">
        <f>VLOOKUP(B1664,Лист2!A:E,5,0)</f>
        <v>малые</v>
      </c>
      <c r="F1664">
        <f>VLOOKUP(B1664,Лист2!A:E,4,0)</f>
        <v>2.5</v>
      </c>
      <c r="G1664">
        <f t="shared" si="117"/>
        <v>0</v>
      </c>
      <c r="H1664">
        <f t="shared" si="118"/>
        <v>4819200</v>
      </c>
      <c r="I1664">
        <f t="shared" si="119"/>
        <v>0</v>
      </c>
    </row>
    <row r="1665" spans="1:9">
      <c r="A1665" t="s">
        <v>14</v>
      </c>
      <c r="B1665" t="s">
        <v>22</v>
      </c>
      <c r="C1665">
        <v>787000</v>
      </c>
      <c r="D1665">
        <v>2786000</v>
      </c>
      <c r="E1665" t="str">
        <f>VLOOKUP(B1665,Лист2!A:E,5,0)</f>
        <v>малые</v>
      </c>
      <c r="F1665">
        <f>VLOOKUP(B1665,Лист2!A:E,4,0)</f>
        <v>13</v>
      </c>
      <c r="G1665">
        <f t="shared" si="117"/>
        <v>-1999000</v>
      </c>
      <c r="H1665">
        <f t="shared" si="118"/>
        <v>60538.461538461539</v>
      </c>
      <c r="I1665">
        <f t="shared" si="119"/>
        <v>-153769.23076923078</v>
      </c>
    </row>
    <row r="1666" spans="1:9">
      <c r="A1666" t="s">
        <v>14</v>
      </c>
      <c r="B1666" t="s">
        <v>18</v>
      </c>
      <c r="C1666">
        <v>25905000</v>
      </c>
      <c r="D1666">
        <v>26371000</v>
      </c>
      <c r="E1666" t="str">
        <f>VLOOKUP(B1666,Лист2!A:E,5,0)</f>
        <v>малые</v>
      </c>
      <c r="F1666">
        <f>VLOOKUP(B1666,Лист2!A:E,4,0)</f>
        <v>2.5</v>
      </c>
      <c r="G1666">
        <f t="shared" si="117"/>
        <v>-466000</v>
      </c>
      <c r="H1666">
        <f t="shared" si="118"/>
        <v>10362000</v>
      </c>
      <c r="I1666">
        <f t="shared" si="119"/>
        <v>-186400</v>
      </c>
    </row>
    <row r="1667" spans="1:9">
      <c r="A1667" t="s">
        <v>14</v>
      </c>
      <c r="B1667" t="s">
        <v>22</v>
      </c>
      <c r="C1667">
        <v>5933000</v>
      </c>
      <c r="D1667">
        <v>6059000</v>
      </c>
      <c r="E1667" t="str">
        <f>VLOOKUP(B1667,Лист2!A:E,5,0)</f>
        <v>малые</v>
      </c>
      <c r="F1667">
        <f>VLOOKUP(B1667,Лист2!A:E,4,0)</f>
        <v>13</v>
      </c>
      <c r="G1667">
        <f t="shared" si="117"/>
        <v>-126000</v>
      </c>
      <c r="H1667">
        <f t="shared" si="118"/>
        <v>456384.61538461538</v>
      </c>
      <c r="I1667">
        <f t="shared" si="119"/>
        <v>-9692.3076923076915</v>
      </c>
    </row>
    <row r="1668" spans="1:9">
      <c r="A1668" t="s">
        <v>14</v>
      </c>
      <c r="B1668" t="s">
        <v>807</v>
      </c>
      <c r="C1668">
        <v>61367000</v>
      </c>
      <c r="D1668">
        <v>61661000</v>
      </c>
      <c r="E1668" t="str">
        <f>VLOOKUP(B1668,Лист2!A:E,5,0)</f>
        <v>средние</v>
      </c>
      <c r="F1668">
        <f>VLOOKUP(B1668,Лист2!A:E,4,0)</f>
        <v>175.5</v>
      </c>
      <c r="G1668">
        <f t="shared" si="117"/>
        <v>-294000</v>
      </c>
      <c r="H1668">
        <f t="shared" si="118"/>
        <v>349669.51566951565</v>
      </c>
      <c r="I1668">
        <f t="shared" si="119"/>
        <v>-1675.2136752136753</v>
      </c>
    </row>
    <row r="1669" spans="1:9">
      <c r="A1669" t="s">
        <v>14</v>
      </c>
      <c r="B1669" t="s">
        <v>18</v>
      </c>
      <c r="C1669">
        <v>1038000</v>
      </c>
      <c r="D1669">
        <v>1657000</v>
      </c>
      <c r="E1669" t="str">
        <f>VLOOKUP(B1669,Лист2!A:E,5,0)</f>
        <v>малые</v>
      </c>
      <c r="F1669">
        <f>VLOOKUP(B1669,Лист2!A:E,4,0)</f>
        <v>2.5</v>
      </c>
      <c r="G1669">
        <f t="shared" si="117"/>
        <v>-619000</v>
      </c>
      <c r="H1669">
        <f t="shared" si="118"/>
        <v>415200</v>
      </c>
      <c r="I1669">
        <f t="shared" si="119"/>
        <v>-247600</v>
      </c>
    </row>
    <row r="1670" spans="1:9">
      <c r="A1670" t="s">
        <v>14</v>
      </c>
      <c r="B1670" t="s">
        <v>23</v>
      </c>
      <c r="C1670">
        <v>25311000</v>
      </c>
      <c r="D1670">
        <v>25228000</v>
      </c>
      <c r="E1670" t="str">
        <f>VLOOKUP(B1670,Лист2!A:E,5,0)</f>
        <v>средние</v>
      </c>
      <c r="F1670">
        <f>VLOOKUP(B1670,Лист2!A:E,4,0)</f>
        <v>75.5</v>
      </c>
      <c r="G1670">
        <f t="shared" si="117"/>
        <v>83000</v>
      </c>
      <c r="H1670">
        <f t="shared" si="118"/>
        <v>335245.03311258281</v>
      </c>
      <c r="I1670">
        <f t="shared" si="119"/>
        <v>1099.3377483443708</v>
      </c>
    </row>
    <row r="1671" spans="1:9">
      <c r="A1671" t="s">
        <v>14</v>
      </c>
      <c r="B1671" t="s">
        <v>18</v>
      </c>
      <c r="C1671">
        <v>5070000</v>
      </c>
      <c r="D1671">
        <v>5510000</v>
      </c>
      <c r="E1671" t="str">
        <f>VLOOKUP(B1671,Лист2!A:E,5,0)</f>
        <v>малые</v>
      </c>
      <c r="F1671">
        <f>VLOOKUP(B1671,Лист2!A:E,4,0)</f>
        <v>2.5</v>
      </c>
      <c r="G1671">
        <f t="shared" si="117"/>
        <v>-440000</v>
      </c>
      <c r="H1671">
        <f t="shared" si="118"/>
        <v>2028000</v>
      </c>
      <c r="I1671">
        <f t="shared" si="119"/>
        <v>-176000</v>
      </c>
    </row>
    <row r="1672" spans="1:9">
      <c r="A1672" t="s">
        <v>25</v>
      </c>
      <c r="B1672" t="s">
        <v>18</v>
      </c>
      <c r="C1672">
        <v>3840000</v>
      </c>
      <c r="D1672">
        <v>3840000</v>
      </c>
      <c r="E1672" t="str">
        <f>VLOOKUP(B1672,Лист2!A:E,5,0)</f>
        <v>малые</v>
      </c>
      <c r="F1672">
        <f>VLOOKUP(B1672,Лист2!A:E,4,0)</f>
        <v>2.5</v>
      </c>
      <c r="G1672">
        <f t="shared" si="117"/>
        <v>0</v>
      </c>
      <c r="H1672">
        <f t="shared" si="118"/>
        <v>1536000</v>
      </c>
      <c r="I1672">
        <f t="shared" si="119"/>
        <v>0</v>
      </c>
    </row>
    <row r="1673" spans="1:9">
      <c r="A1673" t="s">
        <v>14</v>
      </c>
      <c r="B1673" t="s">
        <v>18</v>
      </c>
      <c r="C1673">
        <v>4185000</v>
      </c>
      <c r="D1673">
        <v>3606000</v>
      </c>
      <c r="E1673" t="str">
        <f>VLOOKUP(B1673,Лист2!A:E,5,0)</f>
        <v>малые</v>
      </c>
      <c r="F1673">
        <f>VLOOKUP(B1673,Лист2!A:E,4,0)</f>
        <v>2.5</v>
      </c>
      <c r="G1673">
        <f t="shared" si="117"/>
        <v>579000</v>
      </c>
      <c r="H1673">
        <f t="shared" si="118"/>
        <v>1674000</v>
      </c>
      <c r="I1673">
        <f t="shared" si="119"/>
        <v>231600</v>
      </c>
    </row>
    <row r="1674" spans="1:9">
      <c r="A1674" t="s">
        <v>14</v>
      </c>
      <c r="B1674" t="s">
        <v>22</v>
      </c>
      <c r="C1674">
        <v>1416000</v>
      </c>
      <c r="D1674">
        <v>1519000</v>
      </c>
      <c r="E1674" t="str">
        <f>VLOOKUP(B1674,Лист2!A:E,5,0)</f>
        <v>малые</v>
      </c>
      <c r="F1674">
        <f>VLOOKUP(B1674,Лист2!A:E,4,0)</f>
        <v>13</v>
      </c>
      <c r="G1674">
        <f t="shared" si="117"/>
        <v>-103000</v>
      </c>
      <c r="H1674">
        <f t="shared" si="118"/>
        <v>108923.07692307692</v>
      </c>
      <c r="I1674">
        <f t="shared" si="119"/>
        <v>-7923.0769230769229</v>
      </c>
    </row>
    <row r="1675" spans="1:9">
      <c r="A1675" t="s">
        <v>25</v>
      </c>
      <c r="B1675" t="s">
        <v>23</v>
      </c>
      <c r="C1675">
        <v>23834000</v>
      </c>
      <c r="D1675">
        <v>23717000</v>
      </c>
      <c r="E1675" t="str">
        <f>VLOOKUP(B1675,Лист2!A:E,5,0)</f>
        <v>средние</v>
      </c>
      <c r="F1675">
        <f>VLOOKUP(B1675,Лист2!A:E,4,0)</f>
        <v>75.5</v>
      </c>
      <c r="G1675">
        <f t="shared" si="117"/>
        <v>117000</v>
      </c>
      <c r="H1675">
        <f t="shared" si="118"/>
        <v>315682.11920529802</v>
      </c>
      <c r="I1675">
        <f t="shared" si="119"/>
        <v>1549.6688741721855</v>
      </c>
    </row>
    <row r="1676" spans="1:9">
      <c r="A1676" t="s">
        <v>14</v>
      </c>
      <c r="B1676" t="s">
        <v>23</v>
      </c>
      <c r="C1676">
        <v>29407000</v>
      </c>
      <c r="D1676">
        <v>28853000</v>
      </c>
      <c r="E1676" t="str">
        <f>VLOOKUP(B1676,Лист2!A:E,5,0)</f>
        <v>средние</v>
      </c>
      <c r="F1676">
        <f>VLOOKUP(B1676,Лист2!A:E,4,0)</f>
        <v>75.5</v>
      </c>
      <c r="G1676">
        <f t="shared" si="117"/>
        <v>554000</v>
      </c>
      <c r="H1676">
        <f t="shared" si="118"/>
        <v>389496.68874172185</v>
      </c>
      <c r="I1676">
        <f t="shared" si="119"/>
        <v>7337.7483443708607</v>
      </c>
    </row>
    <row r="1677" spans="1:9">
      <c r="A1677" t="s">
        <v>14</v>
      </c>
      <c r="B1677" t="s">
        <v>23</v>
      </c>
      <c r="C1677">
        <v>38447000</v>
      </c>
      <c r="D1677">
        <v>38389000</v>
      </c>
      <c r="E1677" t="str">
        <f>VLOOKUP(B1677,Лист2!A:E,5,0)</f>
        <v>средние</v>
      </c>
      <c r="F1677">
        <f>VLOOKUP(B1677,Лист2!A:E,4,0)</f>
        <v>75.5</v>
      </c>
      <c r="G1677">
        <f t="shared" si="117"/>
        <v>58000</v>
      </c>
      <c r="H1677">
        <f t="shared" si="118"/>
        <v>509231.78807947022</v>
      </c>
      <c r="I1677">
        <f t="shared" si="119"/>
        <v>768.21192052980132</v>
      </c>
    </row>
    <row r="1678" spans="1:9">
      <c r="A1678" t="s">
        <v>14</v>
      </c>
      <c r="B1678" t="s">
        <v>23</v>
      </c>
      <c r="C1678">
        <v>22798000</v>
      </c>
      <c r="D1678">
        <v>22374000</v>
      </c>
      <c r="E1678" t="str">
        <f>VLOOKUP(B1678,Лист2!A:E,5,0)</f>
        <v>средние</v>
      </c>
      <c r="F1678">
        <f>VLOOKUP(B1678,Лист2!A:E,4,0)</f>
        <v>75.5</v>
      </c>
      <c r="G1678">
        <f t="shared" si="117"/>
        <v>424000</v>
      </c>
      <c r="H1678">
        <f t="shared" si="118"/>
        <v>301960.26490066224</v>
      </c>
      <c r="I1678">
        <f t="shared" si="119"/>
        <v>5615.8940397350989</v>
      </c>
    </row>
    <row r="1679" spans="1:9">
      <c r="A1679" t="s">
        <v>14</v>
      </c>
      <c r="B1679" t="s">
        <v>23</v>
      </c>
      <c r="C1679">
        <v>19355000</v>
      </c>
      <c r="D1679">
        <v>17444000</v>
      </c>
      <c r="E1679" t="str">
        <f>VLOOKUP(B1679,Лист2!A:E,5,0)</f>
        <v>средние</v>
      </c>
      <c r="F1679">
        <f>VLOOKUP(B1679,Лист2!A:E,4,0)</f>
        <v>75.5</v>
      </c>
      <c r="G1679">
        <f t="shared" si="117"/>
        <v>1911000</v>
      </c>
      <c r="H1679">
        <f t="shared" si="118"/>
        <v>256357.61589403974</v>
      </c>
      <c r="I1679">
        <f t="shared" si="119"/>
        <v>25311.258278145695</v>
      </c>
    </row>
    <row r="1680" spans="1:9">
      <c r="A1680" t="s">
        <v>14</v>
      </c>
      <c r="B1680" t="s">
        <v>18</v>
      </c>
      <c r="C1680">
        <v>10400000</v>
      </c>
      <c r="D1680">
        <v>8102000</v>
      </c>
      <c r="E1680" t="str">
        <f>VLOOKUP(B1680,Лист2!A:E,5,0)</f>
        <v>малые</v>
      </c>
      <c r="F1680">
        <f>VLOOKUP(B1680,Лист2!A:E,4,0)</f>
        <v>2.5</v>
      </c>
      <c r="G1680">
        <f t="shared" si="117"/>
        <v>2298000</v>
      </c>
      <c r="H1680">
        <f t="shared" si="118"/>
        <v>4160000</v>
      </c>
      <c r="I1680">
        <f t="shared" si="119"/>
        <v>919200</v>
      </c>
    </row>
    <row r="1681" spans="1:9">
      <c r="A1681" t="s">
        <v>14</v>
      </c>
      <c r="B1681" t="s">
        <v>18</v>
      </c>
      <c r="C1681">
        <v>306000</v>
      </c>
      <c r="D1681">
        <v>92000</v>
      </c>
      <c r="E1681" t="str">
        <f>VLOOKUP(B1681,Лист2!A:E,5,0)</f>
        <v>малые</v>
      </c>
      <c r="F1681">
        <f>VLOOKUP(B1681,Лист2!A:E,4,0)</f>
        <v>2.5</v>
      </c>
      <c r="G1681">
        <f t="shared" si="117"/>
        <v>214000</v>
      </c>
      <c r="H1681">
        <f t="shared" si="118"/>
        <v>122400</v>
      </c>
      <c r="I1681">
        <f t="shared" si="119"/>
        <v>85600</v>
      </c>
    </row>
    <row r="1682" spans="1:9">
      <c r="A1682" t="s">
        <v>14</v>
      </c>
      <c r="B1682" t="s">
        <v>77</v>
      </c>
      <c r="C1682">
        <v>387000</v>
      </c>
      <c r="D1682">
        <v>543000</v>
      </c>
      <c r="E1682" t="str">
        <f>VLOOKUP(B1682,Лист2!A:E,5,0)</f>
        <v>малые</v>
      </c>
      <c r="F1682">
        <f>VLOOKUP(B1682,Лист2!A:E,4,0)</f>
        <v>8</v>
      </c>
      <c r="G1682">
        <f t="shared" si="117"/>
        <v>-156000</v>
      </c>
      <c r="H1682">
        <f t="shared" si="118"/>
        <v>48375</v>
      </c>
      <c r="I1682">
        <f t="shared" si="119"/>
        <v>-19500</v>
      </c>
    </row>
    <row r="1683" spans="1:9">
      <c r="A1683" t="s">
        <v>25</v>
      </c>
      <c r="B1683" t="s">
        <v>18</v>
      </c>
      <c r="C1683">
        <v>773000</v>
      </c>
      <c r="D1683">
        <v>779000</v>
      </c>
      <c r="E1683" t="str">
        <f>VLOOKUP(B1683,Лист2!A:E,5,0)</f>
        <v>малые</v>
      </c>
      <c r="F1683">
        <f>VLOOKUP(B1683,Лист2!A:E,4,0)</f>
        <v>2.5</v>
      </c>
      <c r="G1683">
        <f t="shared" si="117"/>
        <v>-6000</v>
      </c>
      <c r="H1683">
        <f t="shared" si="118"/>
        <v>309200</v>
      </c>
      <c r="I1683">
        <f t="shared" si="119"/>
        <v>-2400</v>
      </c>
    </row>
    <row r="1684" spans="1:9">
      <c r="A1684" t="s">
        <v>14</v>
      </c>
      <c r="B1684" t="s">
        <v>18</v>
      </c>
      <c r="C1684">
        <v>4131000</v>
      </c>
      <c r="D1684">
        <v>4118000</v>
      </c>
      <c r="E1684" t="str">
        <f>VLOOKUP(B1684,Лист2!A:E,5,0)</f>
        <v>малые</v>
      </c>
      <c r="F1684">
        <f>VLOOKUP(B1684,Лист2!A:E,4,0)</f>
        <v>2.5</v>
      </c>
      <c r="G1684">
        <f t="shared" si="117"/>
        <v>13000</v>
      </c>
      <c r="H1684">
        <f t="shared" si="118"/>
        <v>1652400</v>
      </c>
      <c r="I1684">
        <f t="shared" si="119"/>
        <v>5200</v>
      </c>
    </row>
    <row r="1685" spans="1:9">
      <c r="A1685" t="s">
        <v>14</v>
      </c>
      <c r="B1685" t="s">
        <v>18</v>
      </c>
      <c r="C1685">
        <v>595000</v>
      </c>
      <c r="D1685">
        <v>594000</v>
      </c>
      <c r="E1685" t="str">
        <f>VLOOKUP(B1685,Лист2!A:E,5,0)</f>
        <v>малые</v>
      </c>
      <c r="F1685">
        <f>VLOOKUP(B1685,Лист2!A:E,4,0)</f>
        <v>2.5</v>
      </c>
      <c r="G1685">
        <f t="shared" si="117"/>
        <v>1000</v>
      </c>
      <c r="H1685">
        <f t="shared" si="118"/>
        <v>238000</v>
      </c>
      <c r="I1685">
        <f t="shared" si="119"/>
        <v>400</v>
      </c>
    </row>
    <row r="1686" spans="1:9">
      <c r="A1686" t="s">
        <v>14</v>
      </c>
      <c r="B1686" t="s">
        <v>22</v>
      </c>
      <c r="C1686">
        <v>23321000</v>
      </c>
      <c r="D1686">
        <v>22731000</v>
      </c>
      <c r="E1686" t="str">
        <f>VLOOKUP(B1686,Лист2!A:E,5,0)</f>
        <v>малые</v>
      </c>
      <c r="F1686">
        <f>VLOOKUP(B1686,Лист2!A:E,4,0)</f>
        <v>13</v>
      </c>
      <c r="G1686">
        <f t="shared" si="117"/>
        <v>590000</v>
      </c>
      <c r="H1686">
        <f t="shared" si="118"/>
        <v>1793923.076923077</v>
      </c>
      <c r="I1686">
        <f t="shared" si="119"/>
        <v>45384.615384615383</v>
      </c>
    </row>
    <row r="1687" spans="1:9">
      <c r="A1687" t="s">
        <v>14</v>
      </c>
      <c r="B1687" t="s">
        <v>22</v>
      </c>
      <c r="C1687">
        <v>8030000</v>
      </c>
      <c r="D1687">
        <v>5350000</v>
      </c>
      <c r="E1687" t="str">
        <f>VLOOKUP(B1687,Лист2!A:E,5,0)</f>
        <v>малые</v>
      </c>
      <c r="F1687">
        <f>VLOOKUP(B1687,Лист2!A:E,4,0)</f>
        <v>13</v>
      </c>
      <c r="G1687">
        <f t="shared" si="117"/>
        <v>2680000</v>
      </c>
      <c r="H1687">
        <f t="shared" si="118"/>
        <v>617692.30769230775</v>
      </c>
      <c r="I1687">
        <f t="shared" si="119"/>
        <v>206153.84615384616</v>
      </c>
    </row>
    <row r="1688" spans="1:9">
      <c r="A1688" t="s">
        <v>14</v>
      </c>
      <c r="B1688" t="s">
        <v>18</v>
      </c>
      <c r="C1688">
        <v>1930000</v>
      </c>
      <c r="D1688">
        <v>1948000</v>
      </c>
      <c r="E1688" t="str">
        <f>VLOOKUP(B1688,Лист2!A:E,5,0)</f>
        <v>малые</v>
      </c>
      <c r="F1688">
        <f>VLOOKUP(B1688,Лист2!A:E,4,0)</f>
        <v>2.5</v>
      </c>
      <c r="G1688">
        <f t="shared" si="117"/>
        <v>-18000</v>
      </c>
      <c r="H1688">
        <f t="shared" si="118"/>
        <v>772000</v>
      </c>
      <c r="I1688">
        <f t="shared" si="119"/>
        <v>-7200</v>
      </c>
    </row>
    <row r="1689" spans="1:9">
      <c r="A1689" t="s">
        <v>25</v>
      </c>
      <c r="B1689" t="s">
        <v>18</v>
      </c>
      <c r="C1689">
        <v>48550000</v>
      </c>
      <c r="D1689">
        <v>50669000</v>
      </c>
      <c r="E1689" t="str">
        <f>VLOOKUP(B1689,Лист2!A:E,5,0)</f>
        <v>малые</v>
      </c>
      <c r="F1689">
        <f>VLOOKUP(B1689,Лист2!A:E,4,0)</f>
        <v>2.5</v>
      </c>
      <c r="G1689">
        <f t="shared" si="117"/>
        <v>-2119000</v>
      </c>
      <c r="H1689">
        <f t="shared" si="118"/>
        <v>19420000</v>
      </c>
      <c r="I1689">
        <f t="shared" si="119"/>
        <v>-847600</v>
      </c>
    </row>
    <row r="1690" spans="1:9">
      <c r="A1690" t="s">
        <v>25</v>
      </c>
      <c r="B1690" t="s">
        <v>18</v>
      </c>
      <c r="C1690">
        <v>925000</v>
      </c>
      <c r="D1690">
        <v>1035000</v>
      </c>
      <c r="E1690" t="str">
        <f>VLOOKUP(B1690,Лист2!A:E,5,0)</f>
        <v>малые</v>
      </c>
      <c r="F1690">
        <f>VLOOKUP(B1690,Лист2!A:E,4,0)</f>
        <v>2.5</v>
      </c>
      <c r="G1690">
        <f t="shared" si="117"/>
        <v>-110000</v>
      </c>
      <c r="H1690">
        <f t="shared" si="118"/>
        <v>370000</v>
      </c>
      <c r="I1690">
        <f t="shared" si="119"/>
        <v>-44000</v>
      </c>
    </row>
    <row r="1691" spans="1:9">
      <c r="A1691" t="s">
        <v>14</v>
      </c>
      <c r="B1691" t="s">
        <v>18</v>
      </c>
      <c r="C1691">
        <v>684000</v>
      </c>
      <c r="D1691">
        <v>775000</v>
      </c>
      <c r="E1691" t="str">
        <f>VLOOKUP(B1691,Лист2!A:E,5,0)</f>
        <v>малые</v>
      </c>
      <c r="F1691">
        <f>VLOOKUP(B1691,Лист2!A:E,4,0)</f>
        <v>2.5</v>
      </c>
      <c r="G1691">
        <f t="shared" si="117"/>
        <v>-91000</v>
      </c>
      <c r="H1691">
        <f t="shared" si="118"/>
        <v>273600</v>
      </c>
      <c r="I1691">
        <f t="shared" si="119"/>
        <v>-36400</v>
      </c>
    </row>
    <row r="1692" spans="1:9">
      <c r="A1692" t="s">
        <v>14</v>
      </c>
      <c r="B1692" t="s">
        <v>302</v>
      </c>
      <c r="C1692">
        <v>803889000</v>
      </c>
      <c r="D1692">
        <v>797290000</v>
      </c>
      <c r="E1692" t="str">
        <f>VLOOKUP(B1692,Лист2!A:E,5,0)</f>
        <v>средние</v>
      </c>
      <c r="F1692">
        <f>VLOOKUP(B1692,Лист2!A:E,4,0)</f>
        <v>125.5</v>
      </c>
      <c r="G1692">
        <f t="shared" si="117"/>
        <v>6599000</v>
      </c>
      <c r="H1692">
        <f t="shared" si="118"/>
        <v>6405490.0398406377</v>
      </c>
      <c r="I1692">
        <f t="shared" si="119"/>
        <v>52581.673306772907</v>
      </c>
    </row>
    <row r="1693" spans="1:9">
      <c r="A1693" t="s">
        <v>25</v>
      </c>
      <c r="B1693" t="s">
        <v>18</v>
      </c>
      <c r="C1693">
        <v>15604000</v>
      </c>
      <c r="D1693">
        <v>15641000</v>
      </c>
      <c r="E1693" t="str">
        <f>VLOOKUP(B1693,Лист2!A:E,5,0)</f>
        <v>малые</v>
      </c>
      <c r="F1693">
        <f>VLOOKUP(B1693,Лист2!A:E,4,0)</f>
        <v>2.5</v>
      </c>
      <c r="G1693">
        <f t="shared" si="117"/>
        <v>-37000</v>
      </c>
      <c r="H1693">
        <f t="shared" si="118"/>
        <v>6241600</v>
      </c>
      <c r="I1693">
        <f t="shared" si="119"/>
        <v>-14800</v>
      </c>
    </row>
    <row r="1694" spans="1:9">
      <c r="A1694" t="s">
        <v>14</v>
      </c>
      <c r="B1694" t="s">
        <v>18</v>
      </c>
      <c r="C1694">
        <v>9601000</v>
      </c>
      <c r="D1694">
        <v>8712000</v>
      </c>
      <c r="E1694" t="str">
        <f>VLOOKUP(B1694,Лист2!A:E,5,0)</f>
        <v>малые</v>
      </c>
      <c r="F1694">
        <f>VLOOKUP(B1694,Лист2!A:E,4,0)</f>
        <v>2.5</v>
      </c>
      <c r="G1694">
        <f t="shared" si="117"/>
        <v>889000</v>
      </c>
      <c r="H1694">
        <f t="shared" si="118"/>
        <v>3840400</v>
      </c>
      <c r="I1694">
        <f t="shared" si="119"/>
        <v>355600</v>
      </c>
    </row>
    <row r="1695" spans="1:9">
      <c r="A1695" t="s">
        <v>25</v>
      </c>
      <c r="B1695" t="s">
        <v>18</v>
      </c>
      <c r="C1695">
        <v>50000</v>
      </c>
      <c r="D1695">
        <v>50000</v>
      </c>
      <c r="E1695" t="str">
        <f>VLOOKUP(B1695,Лист2!A:E,5,0)</f>
        <v>малые</v>
      </c>
      <c r="F1695">
        <f>VLOOKUP(B1695,Лист2!A:E,4,0)</f>
        <v>2.5</v>
      </c>
      <c r="G1695">
        <f t="shared" ref="G1695:G1722" si="120">C1695-D1695</f>
        <v>0</v>
      </c>
      <c r="H1695">
        <f t="shared" ref="H1695:H1722" si="121">C1695/F1695</f>
        <v>20000</v>
      </c>
      <c r="I1695">
        <f t="shared" ref="I1695:I1722" si="122">G1695/F1695</f>
        <v>0</v>
      </c>
    </row>
    <row r="1696" spans="1:9">
      <c r="A1696" t="s">
        <v>14</v>
      </c>
      <c r="B1696" t="s">
        <v>18</v>
      </c>
      <c r="C1696">
        <v>569000</v>
      </c>
      <c r="D1696">
        <v>809000</v>
      </c>
      <c r="E1696" t="str">
        <f>VLOOKUP(B1696,Лист2!A:E,5,0)</f>
        <v>малые</v>
      </c>
      <c r="F1696">
        <f>VLOOKUP(B1696,Лист2!A:E,4,0)</f>
        <v>2.5</v>
      </c>
      <c r="G1696">
        <f t="shared" si="120"/>
        <v>-240000</v>
      </c>
      <c r="H1696">
        <f t="shared" si="121"/>
        <v>227600</v>
      </c>
      <c r="I1696">
        <f t="shared" si="122"/>
        <v>-96000</v>
      </c>
    </row>
    <row r="1697" spans="1:9">
      <c r="A1697" t="s">
        <v>14</v>
      </c>
      <c r="B1697" t="s">
        <v>18</v>
      </c>
      <c r="C1697">
        <v>2816000</v>
      </c>
      <c r="D1697">
        <v>2593000</v>
      </c>
      <c r="E1697" t="str">
        <f>VLOOKUP(B1697,Лист2!A:E,5,0)</f>
        <v>малые</v>
      </c>
      <c r="F1697">
        <f>VLOOKUP(B1697,Лист2!A:E,4,0)</f>
        <v>2.5</v>
      </c>
      <c r="G1697">
        <f t="shared" si="120"/>
        <v>223000</v>
      </c>
      <c r="H1697">
        <f t="shared" si="121"/>
        <v>1126400</v>
      </c>
      <c r="I1697">
        <f t="shared" si="122"/>
        <v>89200</v>
      </c>
    </row>
    <row r="1698" spans="1:9">
      <c r="A1698" t="s">
        <v>14</v>
      </c>
      <c r="B1698" t="s">
        <v>18</v>
      </c>
      <c r="C1698">
        <v>3203000</v>
      </c>
      <c r="D1698">
        <v>2795000</v>
      </c>
      <c r="E1698" t="str">
        <f>VLOOKUP(B1698,Лист2!A:E,5,0)</f>
        <v>малые</v>
      </c>
      <c r="F1698">
        <f>VLOOKUP(B1698,Лист2!A:E,4,0)</f>
        <v>2.5</v>
      </c>
      <c r="G1698">
        <f t="shared" si="120"/>
        <v>408000</v>
      </c>
      <c r="H1698">
        <f t="shared" si="121"/>
        <v>1281200</v>
      </c>
      <c r="I1698">
        <f t="shared" si="122"/>
        <v>163200</v>
      </c>
    </row>
    <row r="1699" spans="1:9">
      <c r="A1699" t="s">
        <v>14</v>
      </c>
      <c r="B1699" t="s">
        <v>18</v>
      </c>
      <c r="C1699">
        <v>746000</v>
      </c>
      <c r="D1699">
        <v>712000</v>
      </c>
      <c r="E1699" t="str">
        <f>VLOOKUP(B1699,Лист2!A:E,5,0)</f>
        <v>малые</v>
      </c>
      <c r="F1699">
        <f>VLOOKUP(B1699,Лист2!A:E,4,0)</f>
        <v>2.5</v>
      </c>
      <c r="G1699">
        <f t="shared" si="120"/>
        <v>34000</v>
      </c>
      <c r="H1699">
        <f t="shared" si="121"/>
        <v>298400</v>
      </c>
      <c r="I1699">
        <f t="shared" si="122"/>
        <v>13600</v>
      </c>
    </row>
    <row r="1700" spans="1:9">
      <c r="A1700" t="s">
        <v>25</v>
      </c>
      <c r="B1700" t="s">
        <v>18</v>
      </c>
      <c r="C1700">
        <v>15687000</v>
      </c>
      <c r="D1700">
        <v>16605000</v>
      </c>
      <c r="E1700" t="str">
        <f>VLOOKUP(B1700,Лист2!A:E,5,0)</f>
        <v>малые</v>
      </c>
      <c r="F1700">
        <f>VLOOKUP(B1700,Лист2!A:E,4,0)</f>
        <v>2.5</v>
      </c>
      <c r="G1700">
        <f t="shared" si="120"/>
        <v>-918000</v>
      </c>
      <c r="H1700">
        <f t="shared" si="121"/>
        <v>6274800</v>
      </c>
      <c r="I1700">
        <f t="shared" si="122"/>
        <v>-367200</v>
      </c>
    </row>
    <row r="1701" spans="1:9">
      <c r="A1701" t="s">
        <v>14</v>
      </c>
      <c r="B1701" t="s">
        <v>18</v>
      </c>
      <c r="C1701">
        <v>5072000</v>
      </c>
      <c r="D1701">
        <v>5210000</v>
      </c>
      <c r="E1701" t="str">
        <f>VLOOKUP(B1701,Лист2!A:E,5,0)</f>
        <v>малые</v>
      </c>
      <c r="F1701">
        <f>VLOOKUP(B1701,Лист2!A:E,4,0)</f>
        <v>2.5</v>
      </c>
      <c r="G1701">
        <f t="shared" si="120"/>
        <v>-138000</v>
      </c>
      <c r="H1701">
        <f t="shared" si="121"/>
        <v>2028800</v>
      </c>
      <c r="I1701">
        <f t="shared" si="122"/>
        <v>-55200</v>
      </c>
    </row>
    <row r="1702" spans="1:9">
      <c r="A1702" t="s">
        <v>14</v>
      </c>
      <c r="B1702" t="s">
        <v>18</v>
      </c>
      <c r="C1702">
        <v>1222000</v>
      </c>
      <c r="D1702">
        <v>1222000</v>
      </c>
      <c r="E1702" t="str">
        <f>VLOOKUP(B1702,Лист2!A:E,5,0)</f>
        <v>малые</v>
      </c>
      <c r="F1702">
        <f>VLOOKUP(B1702,Лист2!A:E,4,0)</f>
        <v>2.5</v>
      </c>
      <c r="G1702">
        <f t="shared" si="120"/>
        <v>0</v>
      </c>
      <c r="H1702">
        <f t="shared" si="121"/>
        <v>488800</v>
      </c>
      <c r="I1702">
        <f t="shared" si="122"/>
        <v>0</v>
      </c>
    </row>
    <row r="1703" spans="1:9">
      <c r="A1703" t="s">
        <v>14</v>
      </c>
      <c r="B1703" t="s">
        <v>22</v>
      </c>
      <c r="C1703">
        <v>82176000</v>
      </c>
      <c r="D1703">
        <v>20911000</v>
      </c>
      <c r="E1703" t="str">
        <f>VLOOKUP(B1703,Лист2!A:E,5,0)</f>
        <v>малые</v>
      </c>
      <c r="F1703">
        <f>VLOOKUP(B1703,Лист2!A:E,4,0)</f>
        <v>13</v>
      </c>
      <c r="G1703">
        <f t="shared" si="120"/>
        <v>61265000</v>
      </c>
      <c r="H1703">
        <f t="shared" si="121"/>
        <v>6321230.769230769</v>
      </c>
      <c r="I1703">
        <f t="shared" si="122"/>
        <v>4712692.307692308</v>
      </c>
    </row>
    <row r="1704" spans="1:9">
      <c r="A1704" t="s">
        <v>14</v>
      </c>
      <c r="B1704" t="s">
        <v>18</v>
      </c>
      <c r="C1704">
        <v>1791000</v>
      </c>
      <c r="D1704">
        <v>1875000</v>
      </c>
      <c r="E1704" t="str">
        <f>VLOOKUP(B1704,Лист2!A:E,5,0)</f>
        <v>малые</v>
      </c>
      <c r="F1704">
        <f>VLOOKUP(B1704,Лист2!A:E,4,0)</f>
        <v>2.5</v>
      </c>
      <c r="G1704">
        <f t="shared" si="120"/>
        <v>-84000</v>
      </c>
      <c r="H1704">
        <f t="shared" si="121"/>
        <v>716400</v>
      </c>
      <c r="I1704">
        <f t="shared" si="122"/>
        <v>-33600</v>
      </c>
    </row>
    <row r="1705" spans="1:9">
      <c r="A1705" t="s">
        <v>14</v>
      </c>
      <c r="B1705" t="s">
        <v>18</v>
      </c>
      <c r="C1705">
        <v>64000</v>
      </c>
      <c r="D1705">
        <v>64000</v>
      </c>
      <c r="E1705" t="str">
        <f>VLOOKUP(B1705,Лист2!A:E,5,0)</f>
        <v>малые</v>
      </c>
      <c r="F1705">
        <f>VLOOKUP(B1705,Лист2!A:E,4,0)</f>
        <v>2.5</v>
      </c>
      <c r="G1705">
        <f t="shared" si="120"/>
        <v>0</v>
      </c>
      <c r="H1705">
        <f t="shared" si="121"/>
        <v>25600</v>
      </c>
      <c r="I1705">
        <f t="shared" si="122"/>
        <v>0</v>
      </c>
    </row>
    <row r="1706" spans="1:9">
      <c r="A1706" t="s">
        <v>14</v>
      </c>
      <c r="B1706" t="s">
        <v>18</v>
      </c>
      <c r="C1706">
        <v>49813000</v>
      </c>
      <c r="D1706">
        <v>46691000</v>
      </c>
      <c r="E1706" t="str">
        <f>VLOOKUP(B1706,Лист2!A:E,5,0)</f>
        <v>малые</v>
      </c>
      <c r="F1706">
        <f>VLOOKUP(B1706,Лист2!A:E,4,0)</f>
        <v>2.5</v>
      </c>
      <c r="G1706">
        <f t="shared" si="120"/>
        <v>3122000</v>
      </c>
      <c r="H1706">
        <f t="shared" si="121"/>
        <v>19925200</v>
      </c>
      <c r="I1706">
        <f t="shared" si="122"/>
        <v>1248800</v>
      </c>
    </row>
    <row r="1707" spans="1:9">
      <c r="A1707" t="s">
        <v>14</v>
      </c>
      <c r="B1707" t="s">
        <v>18</v>
      </c>
      <c r="C1707">
        <v>200000</v>
      </c>
      <c r="D1707">
        <v>272000</v>
      </c>
      <c r="E1707" t="str">
        <f>VLOOKUP(B1707,Лист2!A:E,5,0)</f>
        <v>малые</v>
      </c>
      <c r="F1707">
        <f>VLOOKUP(B1707,Лист2!A:E,4,0)</f>
        <v>2.5</v>
      </c>
      <c r="G1707">
        <f t="shared" si="120"/>
        <v>-72000</v>
      </c>
      <c r="H1707">
        <f t="shared" si="121"/>
        <v>80000</v>
      </c>
      <c r="I1707">
        <f t="shared" si="122"/>
        <v>-28800</v>
      </c>
    </row>
    <row r="1708" spans="1:9">
      <c r="A1708" t="s">
        <v>25</v>
      </c>
      <c r="B1708" t="s">
        <v>23</v>
      </c>
      <c r="C1708">
        <v>17537000</v>
      </c>
      <c r="D1708">
        <v>17366000</v>
      </c>
      <c r="E1708" t="str">
        <f>VLOOKUP(B1708,Лист2!A:E,5,0)</f>
        <v>средние</v>
      </c>
      <c r="F1708">
        <f>VLOOKUP(B1708,Лист2!A:E,4,0)</f>
        <v>75.5</v>
      </c>
      <c r="G1708">
        <f t="shared" si="120"/>
        <v>171000</v>
      </c>
      <c r="H1708">
        <f t="shared" si="121"/>
        <v>232278.14569536425</v>
      </c>
      <c r="I1708">
        <f t="shared" si="122"/>
        <v>2264.9006622516558</v>
      </c>
    </row>
    <row r="1709" spans="1:9">
      <c r="A1709" t="s">
        <v>14</v>
      </c>
      <c r="B1709" t="s">
        <v>18</v>
      </c>
      <c r="C1709">
        <v>7328000</v>
      </c>
      <c r="D1709">
        <v>6879000</v>
      </c>
      <c r="E1709" t="str">
        <f>VLOOKUP(B1709,Лист2!A:E,5,0)</f>
        <v>малые</v>
      </c>
      <c r="F1709">
        <f>VLOOKUP(B1709,Лист2!A:E,4,0)</f>
        <v>2.5</v>
      </c>
      <c r="G1709">
        <f t="shared" si="120"/>
        <v>449000</v>
      </c>
      <c r="H1709">
        <f t="shared" si="121"/>
        <v>2931200</v>
      </c>
      <c r="I1709">
        <f t="shared" si="122"/>
        <v>179600</v>
      </c>
    </row>
    <row r="1710" spans="1:9">
      <c r="A1710" t="s">
        <v>25</v>
      </c>
      <c r="B1710" t="s">
        <v>18</v>
      </c>
      <c r="C1710">
        <v>256000</v>
      </c>
      <c r="D1710">
        <v>243000</v>
      </c>
      <c r="E1710" t="str">
        <f>VLOOKUP(B1710,Лист2!A:E,5,0)</f>
        <v>малые</v>
      </c>
      <c r="F1710">
        <f>VLOOKUP(B1710,Лист2!A:E,4,0)</f>
        <v>2.5</v>
      </c>
      <c r="G1710">
        <f t="shared" si="120"/>
        <v>13000</v>
      </c>
      <c r="H1710">
        <f t="shared" si="121"/>
        <v>102400</v>
      </c>
      <c r="I1710">
        <f t="shared" si="122"/>
        <v>5200</v>
      </c>
    </row>
    <row r="1711" spans="1:9">
      <c r="A1711" t="s">
        <v>14</v>
      </c>
      <c r="B1711" t="s">
        <v>77</v>
      </c>
      <c r="C1711">
        <v>12726000</v>
      </c>
      <c r="D1711">
        <v>12263000</v>
      </c>
      <c r="E1711" t="str">
        <f>VLOOKUP(B1711,Лист2!A:E,5,0)</f>
        <v>малые</v>
      </c>
      <c r="F1711">
        <f>VLOOKUP(B1711,Лист2!A:E,4,0)</f>
        <v>8</v>
      </c>
      <c r="G1711">
        <f t="shared" si="120"/>
        <v>463000</v>
      </c>
      <c r="H1711">
        <f t="shared" si="121"/>
        <v>1590750</v>
      </c>
      <c r="I1711">
        <f t="shared" si="122"/>
        <v>57875</v>
      </c>
    </row>
    <row r="1712" spans="1:9">
      <c r="A1712" t="s">
        <v>25</v>
      </c>
      <c r="B1712" t="s">
        <v>18</v>
      </c>
      <c r="C1712">
        <v>4635000</v>
      </c>
      <c r="D1712">
        <v>4917000</v>
      </c>
      <c r="E1712" t="str">
        <f>VLOOKUP(B1712,Лист2!A:E,5,0)</f>
        <v>малые</v>
      </c>
      <c r="F1712">
        <f>VLOOKUP(B1712,Лист2!A:E,4,0)</f>
        <v>2.5</v>
      </c>
      <c r="G1712">
        <f t="shared" si="120"/>
        <v>-282000</v>
      </c>
      <c r="H1712">
        <f t="shared" si="121"/>
        <v>1854000</v>
      </c>
      <c r="I1712">
        <f t="shared" si="122"/>
        <v>-112800</v>
      </c>
    </row>
    <row r="1713" spans="1:9">
      <c r="A1713" t="s">
        <v>14</v>
      </c>
      <c r="B1713" t="s">
        <v>18</v>
      </c>
      <c r="C1713">
        <v>3141000</v>
      </c>
      <c r="D1713">
        <v>3090000</v>
      </c>
      <c r="E1713" t="str">
        <f>VLOOKUP(B1713,Лист2!A:E,5,0)</f>
        <v>малые</v>
      </c>
      <c r="F1713">
        <f>VLOOKUP(B1713,Лист2!A:E,4,0)</f>
        <v>2.5</v>
      </c>
      <c r="G1713">
        <f t="shared" si="120"/>
        <v>51000</v>
      </c>
      <c r="H1713">
        <f t="shared" si="121"/>
        <v>1256400</v>
      </c>
      <c r="I1713">
        <f t="shared" si="122"/>
        <v>20400</v>
      </c>
    </row>
    <row r="1714" spans="1:9">
      <c r="A1714" t="s">
        <v>14</v>
      </c>
      <c r="B1714" t="s">
        <v>18</v>
      </c>
      <c r="C1714">
        <v>2915000</v>
      </c>
      <c r="D1714">
        <v>2794000</v>
      </c>
      <c r="E1714" t="str">
        <f>VLOOKUP(B1714,Лист2!A:E,5,0)</f>
        <v>малые</v>
      </c>
      <c r="F1714">
        <f>VLOOKUP(B1714,Лист2!A:E,4,0)</f>
        <v>2.5</v>
      </c>
      <c r="G1714">
        <f t="shared" si="120"/>
        <v>121000</v>
      </c>
      <c r="H1714">
        <f t="shared" si="121"/>
        <v>1166000</v>
      </c>
      <c r="I1714">
        <f t="shared" si="122"/>
        <v>48400</v>
      </c>
    </row>
    <row r="1715" spans="1:9">
      <c r="A1715" t="s">
        <v>14</v>
      </c>
      <c r="B1715" t="s">
        <v>18</v>
      </c>
      <c r="C1715">
        <v>699000</v>
      </c>
      <c r="D1715">
        <v>706000</v>
      </c>
      <c r="E1715" t="str">
        <f>VLOOKUP(B1715,Лист2!A:E,5,0)</f>
        <v>малые</v>
      </c>
      <c r="F1715">
        <f>VLOOKUP(B1715,Лист2!A:E,4,0)</f>
        <v>2.5</v>
      </c>
      <c r="G1715">
        <f t="shared" si="120"/>
        <v>-7000</v>
      </c>
      <c r="H1715">
        <f t="shared" si="121"/>
        <v>279600</v>
      </c>
      <c r="I1715">
        <f t="shared" si="122"/>
        <v>-2800</v>
      </c>
    </row>
    <row r="1716" spans="1:9">
      <c r="A1716" t="s">
        <v>14</v>
      </c>
      <c r="B1716" t="s">
        <v>18</v>
      </c>
      <c r="C1716">
        <v>39931000</v>
      </c>
      <c r="D1716">
        <v>40087000</v>
      </c>
      <c r="E1716" t="str">
        <f>VLOOKUP(B1716,Лист2!A:E,5,0)</f>
        <v>малые</v>
      </c>
      <c r="F1716">
        <f>VLOOKUP(B1716,Лист2!A:E,4,0)</f>
        <v>2.5</v>
      </c>
      <c r="G1716">
        <f t="shared" si="120"/>
        <v>-156000</v>
      </c>
      <c r="H1716">
        <f t="shared" si="121"/>
        <v>15972400</v>
      </c>
      <c r="I1716">
        <f t="shared" si="122"/>
        <v>-62400</v>
      </c>
    </row>
    <row r="1717" spans="1:9">
      <c r="A1717" t="s">
        <v>14</v>
      </c>
      <c r="B1717" t="s">
        <v>18</v>
      </c>
      <c r="C1717">
        <v>295000</v>
      </c>
      <c r="D1717">
        <v>295000</v>
      </c>
      <c r="E1717" t="str">
        <f>VLOOKUP(B1717,Лист2!A:E,5,0)</f>
        <v>малые</v>
      </c>
      <c r="F1717">
        <f>VLOOKUP(B1717,Лист2!A:E,4,0)</f>
        <v>2.5</v>
      </c>
      <c r="G1717">
        <f t="shared" si="120"/>
        <v>0</v>
      </c>
      <c r="H1717">
        <f t="shared" si="121"/>
        <v>118000</v>
      </c>
      <c r="I1717">
        <f t="shared" si="122"/>
        <v>0</v>
      </c>
    </row>
    <row r="1718" spans="1:9">
      <c r="A1718" t="s">
        <v>14</v>
      </c>
      <c r="B1718" t="s">
        <v>77</v>
      </c>
      <c r="C1718">
        <v>21745000</v>
      </c>
      <c r="D1718">
        <v>22882000</v>
      </c>
      <c r="E1718" t="str">
        <f>VLOOKUP(B1718,Лист2!A:E,5,0)</f>
        <v>малые</v>
      </c>
      <c r="F1718">
        <f>VLOOKUP(B1718,Лист2!A:E,4,0)</f>
        <v>8</v>
      </c>
      <c r="G1718">
        <f t="shared" si="120"/>
        <v>-1137000</v>
      </c>
      <c r="H1718">
        <f t="shared" si="121"/>
        <v>2718125</v>
      </c>
      <c r="I1718">
        <f t="shared" si="122"/>
        <v>-142125</v>
      </c>
    </row>
    <row r="1719" spans="1:9">
      <c r="A1719" t="s">
        <v>14</v>
      </c>
      <c r="B1719" t="s">
        <v>18</v>
      </c>
      <c r="C1719">
        <v>15065000</v>
      </c>
      <c r="D1719">
        <v>14492000</v>
      </c>
      <c r="E1719" t="str">
        <f>VLOOKUP(B1719,Лист2!A:E,5,0)</f>
        <v>малые</v>
      </c>
      <c r="F1719">
        <f>VLOOKUP(B1719,Лист2!A:E,4,0)</f>
        <v>2.5</v>
      </c>
      <c r="G1719">
        <f t="shared" si="120"/>
        <v>573000</v>
      </c>
      <c r="H1719">
        <f t="shared" si="121"/>
        <v>6026000</v>
      </c>
      <c r="I1719">
        <f t="shared" si="122"/>
        <v>229200</v>
      </c>
    </row>
    <row r="1720" spans="1:9">
      <c r="A1720" t="s">
        <v>25</v>
      </c>
      <c r="B1720" t="s">
        <v>18</v>
      </c>
      <c r="C1720">
        <v>10000</v>
      </c>
      <c r="D1720">
        <v>10000</v>
      </c>
      <c r="E1720" t="str">
        <f>VLOOKUP(B1720,Лист2!A:E,5,0)</f>
        <v>малые</v>
      </c>
      <c r="F1720">
        <f>VLOOKUP(B1720,Лист2!A:E,4,0)</f>
        <v>2.5</v>
      </c>
      <c r="G1720">
        <f t="shared" si="120"/>
        <v>0</v>
      </c>
      <c r="H1720">
        <f t="shared" si="121"/>
        <v>4000</v>
      </c>
      <c r="I1720">
        <f t="shared" si="122"/>
        <v>0</v>
      </c>
    </row>
    <row r="1721" spans="1:9">
      <c r="A1721" t="s">
        <v>14</v>
      </c>
      <c r="B1721" t="s">
        <v>23</v>
      </c>
      <c r="C1721">
        <v>248596000</v>
      </c>
      <c r="D1721">
        <v>408668000</v>
      </c>
      <c r="E1721" t="str">
        <f>VLOOKUP(B1721,Лист2!A:E,5,0)</f>
        <v>средние</v>
      </c>
      <c r="F1721">
        <f>VLOOKUP(B1721,Лист2!A:E,4,0)</f>
        <v>75.5</v>
      </c>
      <c r="G1721">
        <f t="shared" si="120"/>
        <v>-160072000</v>
      </c>
      <c r="H1721">
        <f t="shared" si="121"/>
        <v>3292662.2516556294</v>
      </c>
      <c r="I1721">
        <f t="shared" si="122"/>
        <v>-2120158.940397351</v>
      </c>
    </row>
    <row r="1722" spans="1:9">
      <c r="A1722" t="s">
        <v>25</v>
      </c>
      <c r="B1722" t="s">
        <v>23</v>
      </c>
      <c r="C1722">
        <v>25410000</v>
      </c>
      <c r="D1722">
        <v>24228000</v>
      </c>
      <c r="E1722" t="str">
        <f>VLOOKUP(B1722,Лист2!A:E,5,0)</f>
        <v>средние</v>
      </c>
      <c r="F1722">
        <f>VLOOKUP(B1722,Лист2!A:E,4,0)</f>
        <v>75.5</v>
      </c>
      <c r="G1722">
        <f t="shared" si="120"/>
        <v>1182000</v>
      </c>
      <c r="H1722">
        <f t="shared" si="121"/>
        <v>336556.2913907285</v>
      </c>
      <c r="I1722">
        <f t="shared" si="122"/>
        <v>15655.629139072847</v>
      </c>
    </row>
    <row r="1723" spans="1:9">
      <c r="A1723" t="s">
        <v>14</v>
      </c>
      <c r="B1723" t="s">
        <v>23</v>
      </c>
      <c r="C1723">
        <v>105573000</v>
      </c>
      <c r="D1723">
        <v>107906000</v>
      </c>
      <c r="E1723" t="str">
        <f>VLOOKUP(B1723,Лист2!A:E,5,0)</f>
        <v>средние</v>
      </c>
      <c r="F1723">
        <f>VLOOKUP(B1723,Лист2!A:E,4,0)</f>
        <v>75.5</v>
      </c>
      <c r="G1723">
        <f t="shared" ref="G1723:G1724" si="123">C1723-D1723</f>
        <v>-2333000</v>
      </c>
      <c r="H1723">
        <f t="shared" ref="H1723:H1724" si="124">C1723/F1723</f>
        <v>1398317.8807947021</v>
      </c>
      <c r="I1723">
        <f t="shared" ref="I1723:I1724" si="125">G1723/F1723</f>
        <v>-30900.662251655631</v>
      </c>
    </row>
    <row r="1724" spans="1:9">
      <c r="A1724" t="s">
        <v>14</v>
      </c>
      <c r="B1724" t="s">
        <v>23</v>
      </c>
      <c r="C1724">
        <v>192711000</v>
      </c>
      <c r="D1724">
        <v>181373000</v>
      </c>
      <c r="E1724" t="str">
        <f>VLOOKUP(B1724,Лист2!A:E,5,0)</f>
        <v>средние</v>
      </c>
      <c r="F1724">
        <f>VLOOKUP(B1724,Лист2!A:E,4,0)</f>
        <v>75.5</v>
      </c>
      <c r="G1724">
        <f t="shared" si="123"/>
        <v>11338000</v>
      </c>
      <c r="H1724">
        <f t="shared" si="124"/>
        <v>2552463.5761589403</v>
      </c>
      <c r="I1724">
        <f t="shared" si="125"/>
        <v>150172.18543046358</v>
      </c>
    </row>
    <row r="1725" spans="1:9">
      <c r="A1725" t="s">
        <v>14</v>
      </c>
      <c r="B1725" t="s">
        <v>23</v>
      </c>
      <c r="C1725">
        <v>392217000</v>
      </c>
      <c r="D1725">
        <v>391510000</v>
      </c>
      <c r="E1725" t="str">
        <f>VLOOKUP(B1725,Лист2!A:E,5,0)</f>
        <v>средние</v>
      </c>
      <c r="F1725">
        <f>VLOOKUP(B1725,Лист2!A:E,4,0)</f>
        <v>75.5</v>
      </c>
      <c r="G1725">
        <f t="shared" ref="G1725:G1728" si="126">C1725-D1725</f>
        <v>707000</v>
      </c>
      <c r="H1725">
        <f t="shared" ref="H1725:H1728" si="127">C1725/F1725</f>
        <v>5194927.1523178807</v>
      </c>
      <c r="I1725">
        <f t="shared" ref="I1725:I1728" si="128">G1725/F1725</f>
        <v>9364.2384105960264</v>
      </c>
    </row>
    <row r="1726" spans="1:9">
      <c r="A1726" t="s">
        <v>14</v>
      </c>
      <c r="B1726" t="s">
        <v>23</v>
      </c>
      <c r="C1726">
        <v>81438000</v>
      </c>
      <c r="D1726">
        <v>80312000</v>
      </c>
      <c r="E1726" t="str">
        <f>VLOOKUP(B1726,Лист2!A:E,5,0)</f>
        <v>средние</v>
      </c>
      <c r="F1726">
        <f>VLOOKUP(B1726,Лист2!A:E,4,0)</f>
        <v>75.5</v>
      </c>
      <c r="G1726">
        <f t="shared" si="126"/>
        <v>1126000</v>
      </c>
      <c r="H1726">
        <f t="shared" si="127"/>
        <v>1078649.0066225166</v>
      </c>
      <c r="I1726">
        <f t="shared" si="128"/>
        <v>14913.907284768213</v>
      </c>
    </row>
    <row r="1727" spans="1:9">
      <c r="A1727" t="s">
        <v>14</v>
      </c>
      <c r="B1727" t="s">
        <v>23</v>
      </c>
      <c r="C1727">
        <v>77820000</v>
      </c>
      <c r="D1727">
        <v>80423000</v>
      </c>
      <c r="E1727" t="str">
        <f>VLOOKUP(B1727,Лист2!A:E,5,0)</f>
        <v>средние</v>
      </c>
      <c r="F1727">
        <f>VLOOKUP(B1727,Лист2!A:E,4,0)</f>
        <v>75.5</v>
      </c>
      <c r="G1727">
        <f t="shared" si="126"/>
        <v>-2603000</v>
      </c>
      <c r="H1727">
        <f t="shared" si="127"/>
        <v>1030728.4768211921</v>
      </c>
      <c r="I1727">
        <f t="shared" si="128"/>
        <v>-34476.821192052979</v>
      </c>
    </row>
    <row r="1728" spans="1:9">
      <c r="A1728" t="s">
        <v>14</v>
      </c>
      <c r="B1728" t="s">
        <v>23</v>
      </c>
      <c r="C1728">
        <v>34662000</v>
      </c>
      <c r="D1728">
        <v>36655000</v>
      </c>
      <c r="E1728" t="str">
        <f>VLOOKUP(B1728,Лист2!A:E,5,0)</f>
        <v>средние</v>
      </c>
      <c r="F1728">
        <f>VLOOKUP(B1728,Лист2!A:E,4,0)</f>
        <v>75.5</v>
      </c>
      <c r="G1728">
        <f t="shared" si="126"/>
        <v>-1993000</v>
      </c>
      <c r="H1728">
        <f t="shared" si="127"/>
        <v>459099.33774834435</v>
      </c>
      <c r="I1728">
        <f t="shared" si="128"/>
        <v>-26397.350993377484</v>
      </c>
    </row>
    <row r="1729" spans="1:9">
      <c r="A1729" t="s">
        <v>14</v>
      </c>
      <c r="B1729" t="s">
        <v>302</v>
      </c>
      <c r="C1729">
        <v>91183000</v>
      </c>
      <c r="D1729">
        <v>91135000</v>
      </c>
      <c r="E1729" t="str">
        <f>VLOOKUP(B1729,Лист2!A:E,5,0)</f>
        <v>средние</v>
      </c>
      <c r="F1729">
        <f>VLOOKUP(B1729,Лист2!A:E,4,0)</f>
        <v>125.5</v>
      </c>
      <c r="G1729">
        <f t="shared" ref="G1729:G1730" si="129">C1729-D1729</f>
        <v>48000</v>
      </c>
      <c r="H1729">
        <f t="shared" ref="H1729:H1730" si="130">C1729/F1729</f>
        <v>726557.76892430277</v>
      </c>
      <c r="I1729">
        <f t="shared" ref="I1729:I1730" si="131">G1729/F1729</f>
        <v>382.47011952191235</v>
      </c>
    </row>
    <row r="1730" spans="1:9">
      <c r="A1730" t="s">
        <v>14</v>
      </c>
      <c r="B1730" t="s">
        <v>807</v>
      </c>
      <c r="C1730">
        <v>19983000</v>
      </c>
      <c r="D1730">
        <v>17902000</v>
      </c>
      <c r="E1730" t="str">
        <f>VLOOKUP(B1730,Лист2!A:E,5,0)</f>
        <v>средние</v>
      </c>
      <c r="F1730">
        <f>VLOOKUP(B1730,Лист2!A:E,4,0)</f>
        <v>175.5</v>
      </c>
      <c r="G1730">
        <f t="shared" si="129"/>
        <v>2081000</v>
      </c>
      <c r="H1730">
        <f t="shared" si="130"/>
        <v>113863.24786324786</v>
      </c>
      <c r="I1730">
        <f t="shared" si="131"/>
        <v>11857.549857549857</v>
      </c>
    </row>
    <row r="1731" spans="1:9">
      <c r="A1731" t="s">
        <v>14</v>
      </c>
      <c r="B1731" t="s">
        <v>23</v>
      </c>
      <c r="C1731">
        <v>4525000</v>
      </c>
      <c r="D1731">
        <v>4514000</v>
      </c>
      <c r="E1731" t="str">
        <f>VLOOKUP(B1731,Лист2!A:E,5,0)</f>
        <v>средние</v>
      </c>
      <c r="F1731">
        <f>VLOOKUP(B1731,Лист2!A:E,4,0)</f>
        <v>75.5</v>
      </c>
      <c r="G1731">
        <f t="shared" ref="G1731:G1738" si="132">C1731-D1731</f>
        <v>11000</v>
      </c>
      <c r="H1731">
        <f t="shared" ref="H1731:H1738" si="133">C1731/F1731</f>
        <v>59933.774834437085</v>
      </c>
      <c r="I1731">
        <f t="shared" ref="I1731:I1738" si="134">G1731/F1731</f>
        <v>145.6953642384106</v>
      </c>
    </row>
    <row r="1732" spans="1:9">
      <c r="A1732" t="s">
        <v>14</v>
      </c>
      <c r="B1732" t="s">
        <v>23</v>
      </c>
      <c r="C1732">
        <v>159153000</v>
      </c>
      <c r="D1732">
        <v>153781000</v>
      </c>
      <c r="E1732" t="str">
        <f>VLOOKUP(B1732,Лист2!A:E,5,0)</f>
        <v>средние</v>
      </c>
      <c r="F1732">
        <f>VLOOKUP(B1732,Лист2!A:E,4,0)</f>
        <v>75.5</v>
      </c>
      <c r="G1732">
        <f t="shared" si="132"/>
        <v>5372000</v>
      </c>
      <c r="H1732">
        <f t="shared" si="133"/>
        <v>2107986.7549668876</v>
      </c>
      <c r="I1732">
        <f t="shared" si="134"/>
        <v>71152.317880794697</v>
      </c>
    </row>
    <row r="1733" spans="1:9">
      <c r="A1733" t="s">
        <v>14</v>
      </c>
      <c r="B1733" t="s">
        <v>23</v>
      </c>
      <c r="C1733">
        <v>203789000</v>
      </c>
      <c r="D1733">
        <v>204316000</v>
      </c>
      <c r="E1733" t="str">
        <f>VLOOKUP(B1733,Лист2!A:E,5,0)</f>
        <v>средние</v>
      </c>
      <c r="F1733">
        <f>VLOOKUP(B1733,Лист2!A:E,4,0)</f>
        <v>75.5</v>
      </c>
      <c r="G1733">
        <f t="shared" si="132"/>
        <v>-527000</v>
      </c>
      <c r="H1733">
        <f t="shared" si="133"/>
        <v>2699192.0529801324</v>
      </c>
      <c r="I1733">
        <f t="shared" si="134"/>
        <v>-6980.1324503311262</v>
      </c>
    </row>
    <row r="1734" spans="1:9">
      <c r="A1734" t="s">
        <v>14</v>
      </c>
      <c r="B1734" t="s">
        <v>23</v>
      </c>
      <c r="C1734">
        <v>90314000</v>
      </c>
      <c r="D1734">
        <v>87220000</v>
      </c>
      <c r="E1734" t="str">
        <f>VLOOKUP(B1734,Лист2!A:E,5,0)</f>
        <v>средние</v>
      </c>
      <c r="F1734">
        <f>VLOOKUP(B1734,Лист2!A:E,4,0)</f>
        <v>75.5</v>
      </c>
      <c r="G1734">
        <f t="shared" si="132"/>
        <v>3094000</v>
      </c>
      <c r="H1734">
        <f t="shared" si="133"/>
        <v>1196211.9205298014</v>
      </c>
      <c r="I1734">
        <f t="shared" si="134"/>
        <v>40980.132450331126</v>
      </c>
    </row>
    <row r="1735" spans="1:9">
      <c r="A1735" t="s">
        <v>14</v>
      </c>
      <c r="B1735" t="s">
        <v>23</v>
      </c>
      <c r="C1735">
        <v>2076845000</v>
      </c>
      <c r="D1735">
        <v>2023573000</v>
      </c>
      <c r="E1735" t="str">
        <f>VLOOKUP(B1735,Лист2!A:E,5,0)</f>
        <v>средние</v>
      </c>
      <c r="F1735">
        <f>VLOOKUP(B1735,Лист2!A:E,4,0)</f>
        <v>75.5</v>
      </c>
      <c r="G1735">
        <f t="shared" si="132"/>
        <v>53272000</v>
      </c>
      <c r="H1735">
        <f t="shared" si="133"/>
        <v>27507880.794701986</v>
      </c>
      <c r="I1735">
        <f t="shared" si="134"/>
        <v>705589.40397350991</v>
      </c>
    </row>
    <row r="1736" spans="1:9">
      <c r="A1736" t="s">
        <v>14</v>
      </c>
      <c r="B1736" t="s">
        <v>23</v>
      </c>
      <c r="C1736">
        <v>439278000</v>
      </c>
      <c r="D1736">
        <v>475360000</v>
      </c>
      <c r="E1736" t="str">
        <f>VLOOKUP(B1736,Лист2!A:E,5,0)</f>
        <v>средние</v>
      </c>
      <c r="F1736">
        <f>VLOOKUP(B1736,Лист2!A:E,4,0)</f>
        <v>75.5</v>
      </c>
      <c r="G1736">
        <f t="shared" si="132"/>
        <v>-36082000</v>
      </c>
      <c r="H1736">
        <f t="shared" si="133"/>
        <v>5818251.6556291394</v>
      </c>
      <c r="I1736">
        <f t="shared" si="134"/>
        <v>-477907.28476821195</v>
      </c>
    </row>
    <row r="1737" spans="1:9">
      <c r="A1737" t="s">
        <v>14</v>
      </c>
      <c r="B1737" t="s">
        <v>23</v>
      </c>
      <c r="C1737">
        <v>1459022000</v>
      </c>
      <c r="D1737">
        <v>724737000</v>
      </c>
      <c r="E1737" t="str">
        <f>VLOOKUP(B1737,Лист2!A:E,5,0)</f>
        <v>средние</v>
      </c>
      <c r="F1737">
        <f>VLOOKUP(B1737,Лист2!A:E,4,0)</f>
        <v>75.5</v>
      </c>
      <c r="G1737">
        <f t="shared" si="132"/>
        <v>734285000</v>
      </c>
      <c r="H1737">
        <f t="shared" si="133"/>
        <v>19324794.701986756</v>
      </c>
      <c r="I1737">
        <f t="shared" si="134"/>
        <v>9725629.1390728485</v>
      </c>
    </row>
    <row r="1738" spans="1:9">
      <c r="A1738" t="s">
        <v>14</v>
      </c>
      <c r="B1738" t="s">
        <v>23</v>
      </c>
      <c r="C1738">
        <v>4187359000</v>
      </c>
      <c r="D1738">
        <v>4161157000</v>
      </c>
      <c r="E1738" t="str">
        <f>VLOOKUP(B1738,Лист2!A:E,5,0)</f>
        <v>средние</v>
      </c>
      <c r="F1738">
        <f>VLOOKUP(B1738,Лист2!A:E,4,0)</f>
        <v>75.5</v>
      </c>
      <c r="G1738">
        <f t="shared" si="132"/>
        <v>26202000</v>
      </c>
      <c r="H1738">
        <f t="shared" si="133"/>
        <v>55461708.609271526</v>
      </c>
      <c r="I1738">
        <f t="shared" si="134"/>
        <v>347046.35761589406</v>
      </c>
    </row>
    <row r="1739" spans="1:9">
      <c r="A1739" t="s">
        <v>14</v>
      </c>
      <c r="B1739" t="s">
        <v>1136</v>
      </c>
      <c r="C1739">
        <v>326065000</v>
      </c>
      <c r="D1739">
        <v>325313000</v>
      </c>
      <c r="E1739" t="str">
        <f>VLOOKUP(B1739,Лист2!A:E,5,0)</f>
        <v>крупные</v>
      </c>
      <c r="F1739">
        <f>VLOOKUP(B1739,Лист2!A:E,4,0)</f>
        <v>750.5</v>
      </c>
      <c r="G1739">
        <f t="shared" ref="G1739:G1740" si="135">C1739-D1739</f>
        <v>752000</v>
      </c>
      <c r="H1739">
        <f t="shared" ref="H1739:H1740" si="136">C1739/F1739</f>
        <v>434463.69087275153</v>
      </c>
      <c r="I1739">
        <f t="shared" ref="I1739:I1740" si="137">G1739/F1739</f>
        <v>1001.9986675549634</v>
      </c>
    </row>
    <row r="1740" spans="1:9">
      <c r="A1740" t="s">
        <v>14</v>
      </c>
      <c r="B1740" t="s">
        <v>23</v>
      </c>
      <c r="C1740">
        <v>1581036000</v>
      </c>
      <c r="D1740">
        <v>1451184000</v>
      </c>
      <c r="E1740" t="str">
        <f>VLOOKUP(B1740,Лист2!A:E,5,0)</f>
        <v>средние</v>
      </c>
      <c r="F1740">
        <f>VLOOKUP(B1740,Лист2!A:E,4,0)</f>
        <v>75.5</v>
      </c>
      <c r="G1740">
        <f t="shared" si="135"/>
        <v>129852000</v>
      </c>
      <c r="H1740">
        <f t="shared" si="136"/>
        <v>20940874.172185432</v>
      </c>
      <c r="I1740">
        <f t="shared" si="137"/>
        <v>1719894.0397350993</v>
      </c>
    </row>
    <row r="1741" spans="1:9">
      <c r="A1741" t="s">
        <v>14</v>
      </c>
      <c r="B1741" t="s">
        <v>23</v>
      </c>
      <c r="C1741">
        <v>272017000</v>
      </c>
      <c r="D1741">
        <v>181180000</v>
      </c>
      <c r="E1741" t="str">
        <f>VLOOKUP(B1741,Лист2!A:E,5,0)</f>
        <v>средние</v>
      </c>
      <c r="F1741">
        <f>VLOOKUP(B1741,Лист2!A:E,4,0)</f>
        <v>75.5</v>
      </c>
      <c r="G1741">
        <f t="shared" ref="G1741:G1743" si="138">C1741-D1741</f>
        <v>90837000</v>
      </c>
      <c r="H1741">
        <f t="shared" ref="H1741:H1743" si="139">C1741/F1741</f>
        <v>3602874.1721854303</v>
      </c>
      <c r="I1741">
        <f t="shared" ref="I1741:I1743" si="140">G1741/F1741</f>
        <v>1203139.0728476821</v>
      </c>
    </row>
    <row r="1742" spans="1:9">
      <c r="A1742" t="s">
        <v>14</v>
      </c>
      <c r="B1742" t="s">
        <v>302</v>
      </c>
      <c r="C1742">
        <v>57364000</v>
      </c>
      <c r="D1742">
        <v>57481000</v>
      </c>
      <c r="E1742" t="str">
        <f>VLOOKUP(B1742,Лист2!A:E,5,0)</f>
        <v>средние</v>
      </c>
      <c r="F1742">
        <f>VLOOKUP(B1742,Лист2!A:E,4,0)</f>
        <v>125.5</v>
      </c>
      <c r="G1742">
        <f t="shared" si="138"/>
        <v>-117000</v>
      </c>
      <c r="H1742">
        <f t="shared" si="139"/>
        <v>457083.6653386454</v>
      </c>
      <c r="I1742">
        <f t="shared" si="140"/>
        <v>-932.27091633466136</v>
      </c>
    </row>
    <row r="1743" spans="1:9">
      <c r="A1743" t="s">
        <v>14</v>
      </c>
      <c r="B1743" t="s">
        <v>23</v>
      </c>
      <c r="C1743">
        <v>9496000</v>
      </c>
      <c r="D1743">
        <v>9201000</v>
      </c>
      <c r="E1743" t="str">
        <f>VLOOKUP(B1743,Лист2!A:E,5,0)</f>
        <v>средние</v>
      </c>
      <c r="F1743">
        <f>VLOOKUP(B1743,Лист2!A:E,4,0)</f>
        <v>75.5</v>
      </c>
      <c r="G1743">
        <f t="shared" si="138"/>
        <v>295000</v>
      </c>
      <c r="H1743">
        <f t="shared" si="139"/>
        <v>125774.83443708609</v>
      </c>
      <c r="I1743">
        <f t="shared" si="140"/>
        <v>3907.2847682119204</v>
      </c>
    </row>
    <row r="1744" spans="1:9">
      <c r="A1744" t="s">
        <v>14</v>
      </c>
      <c r="B1744" t="s">
        <v>1135</v>
      </c>
      <c r="C1744">
        <v>335990000</v>
      </c>
      <c r="D1744">
        <v>329313000</v>
      </c>
      <c r="E1744" t="str">
        <f>VLOOKUP(B1744,Лист2!A:E,5,0)</f>
        <v>крупные</v>
      </c>
      <c r="F1744">
        <f>VLOOKUP(B1744,Лист2!A:E,4,0)</f>
        <v>375.5</v>
      </c>
      <c r="G1744">
        <f t="shared" ref="G1744" si="141">C1744-D1744</f>
        <v>6677000</v>
      </c>
      <c r="H1744">
        <f t="shared" ref="H1744" si="142">C1744/F1744</f>
        <v>894780.29294274305</v>
      </c>
      <c r="I1744">
        <f t="shared" ref="I1744" si="143">G1744/F1744</f>
        <v>17781.624500665777</v>
      </c>
    </row>
    <row r="1745" spans="1:9">
      <c r="A1745" t="s">
        <v>14</v>
      </c>
      <c r="B1745" t="s">
        <v>23</v>
      </c>
      <c r="C1745">
        <v>11517000</v>
      </c>
      <c r="D1745">
        <v>13188000</v>
      </c>
      <c r="E1745" t="str">
        <f>VLOOKUP(B1745,Лист2!A:E,5,0)</f>
        <v>средние</v>
      </c>
      <c r="F1745">
        <f>VLOOKUP(B1745,Лист2!A:E,4,0)</f>
        <v>75.5</v>
      </c>
      <c r="G1745">
        <f t="shared" ref="G1745:G1747" si="144">C1745-D1745</f>
        <v>-1671000</v>
      </c>
      <c r="H1745">
        <f t="shared" ref="H1745:H1747" si="145">C1745/F1745</f>
        <v>152543.04635761588</v>
      </c>
      <c r="I1745">
        <f t="shared" ref="I1745:I1747" si="146">G1745/F1745</f>
        <v>-22132.450331125827</v>
      </c>
    </row>
    <row r="1746" spans="1:9">
      <c r="A1746" t="s">
        <v>14</v>
      </c>
      <c r="B1746" t="s">
        <v>23</v>
      </c>
      <c r="C1746">
        <v>5550000</v>
      </c>
      <c r="D1746">
        <v>7175000</v>
      </c>
      <c r="E1746" t="str">
        <f>VLOOKUP(B1746,Лист2!A:E,5,0)</f>
        <v>средние</v>
      </c>
      <c r="F1746">
        <f>VLOOKUP(B1746,Лист2!A:E,4,0)</f>
        <v>75.5</v>
      </c>
      <c r="G1746">
        <f t="shared" si="144"/>
        <v>-1625000</v>
      </c>
      <c r="H1746">
        <f t="shared" si="145"/>
        <v>73509.933774834441</v>
      </c>
      <c r="I1746">
        <f t="shared" si="146"/>
        <v>-21523.178807947021</v>
      </c>
    </row>
    <row r="1747" spans="1:9">
      <c r="A1747" t="s">
        <v>14</v>
      </c>
      <c r="B1747" t="s">
        <v>23</v>
      </c>
      <c r="C1747">
        <v>61154000</v>
      </c>
      <c r="D1747">
        <v>45500000</v>
      </c>
      <c r="E1747" t="str">
        <f>VLOOKUP(B1747,Лист2!A:E,5,0)</f>
        <v>средние</v>
      </c>
      <c r="F1747">
        <f>VLOOKUP(B1747,Лист2!A:E,4,0)</f>
        <v>75.5</v>
      </c>
      <c r="G1747">
        <f t="shared" si="144"/>
        <v>15654000</v>
      </c>
      <c r="H1747">
        <f t="shared" si="145"/>
        <v>809986.75496688741</v>
      </c>
      <c r="I1747">
        <f t="shared" si="146"/>
        <v>207337.74834437086</v>
      </c>
    </row>
    <row r="1748" spans="1:9">
      <c r="A1748" t="s">
        <v>14</v>
      </c>
      <c r="B1748" t="s">
        <v>23</v>
      </c>
      <c r="C1748">
        <v>15897000</v>
      </c>
      <c r="D1748">
        <v>17196000</v>
      </c>
      <c r="E1748" t="str">
        <f>VLOOKUP(B1748,Лист2!A:E,5,0)</f>
        <v>средние</v>
      </c>
      <c r="F1748">
        <f>VLOOKUP(B1748,Лист2!A:E,4,0)</f>
        <v>75.5</v>
      </c>
      <c r="G1748">
        <f t="shared" ref="G1748" si="147">C1748-D1748</f>
        <v>-1299000</v>
      </c>
      <c r="H1748">
        <f t="shared" ref="H1748" si="148">C1748/F1748</f>
        <v>210556.29139072847</v>
      </c>
      <c r="I1748">
        <f t="shared" ref="I1748" si="149">G1748/F1748</f>
        <v>-17205.298013245032</v>
      </c>
    </row>
    <row r="1749" spans="1:9">
      <c r="A1749" t="s">
        <v>25</v>
      </c>
      <c r="B1749" t="s">
        <v>23</v>
      </c>
      <c r="C1749">
        <v>266777000</v>
      </c>
      <c r="D1749">
        <v>172925000</v>
      </c>
      <c r="E1749" t="str">
        <f>VLOOKUP(B1749,Лист2!A:E,5,0)</f>
        <v>средние</v>
      </c>
      <c r="F1749">
        <f>VLOOKUP(B1749,Лист2!A:E,4,0)</f>
        <v>75.5</v>
      </c>
      <c r="G1749">
        <f t="shared" ref="G1749" si="150">C1749-D1749</f>
        <v>93852000</v>
      </c>
      <c r="H1749">
        <f t="shared" ref="H1749" si="151">C1749/F1749</f>
        <v>3533470.1986754965</v>
      </c>
      <c r="I1749">
        <f t="shared" ref="I1749" si="152">G1749/F1749</f>
        <v>1243072.8476821191</v>
      </c>
    </row>
    <row r="1750" spans="1:9">
      <c r="A1750" t="s">
        <v>14</v>
      </c>
      <c r="B1750" t="s">
        <v>23</v>
      </c>
      <c r="C1750">
        <v>37497000</v>
      </c>
      <c r="D1750">
        <v>34710000</v>
      </c>
      <c r="E1750" t="str">
        <f>VLOOKUP(B1750,Лист2!A:E,5,0)</f>
        <v>средние</v>
      </c>
      <c r="F1750">
        <f>VLOOKUP(B1750,Лист2!A:E,4,0)</f>
        <v>75.5</v>
      </c>
      <c r="G1750">
        <f t="shared" ref="G1750" si="153">C1750-D1750</f>
        <v>2787000</v>
      </c>
      <c r="H1750">
        <f t="shared" ref="H1750" si="154">C1750/F1750</f>
        <v>496649.00662251655</v>
      </c>
      <c r="I1750">
        <f t="shared" ref="I1750" si="155">G1750/F1750</f>
        <v>36913.907284768211</v>
      </c>
    </row>
    <row r="1751" spans="1:9">
      <c r="A1751" t="s">
        <v>14</v>
      </c>
      <c r="B1751" t="s">
        <v>807</v>
      </c>
      <c r="C1751">
        <v>84435000</v>
      </c>
      <c r="D1751">
        <v>80654000</v>
      </c>
      <c r="E1751" t="str">
        <f>VLOOKUP(B1751,Лист2!A:E,5,0)</f>
        <v>средние</v>
      </c>
      <c r="F1751">
        <f>VLOOKUP(B1751,Лист2!A:E,4,0)</f>
        <v>175.5</v>
      </c>
      <c r="G1751">
        <f t="shared" ref="G1751:G1752" si="156">C1751-D1751</f>
        <v>3781000</v>
      </c>
      <c r="H1751">
        <f t="shared" ref="H1751:H1752" si="157">C1751/F1751</f>
        <v>481111.11111111112</v>
      </c>
      <c r="I1751">
        <f t="shared" ref="I1751:I1752" si="158">G1751/F1751</f>
        <v>21544.159544159545</v>
      </c>
    </row>
    <row r="1752" spans="1:9">
      <c r="A1752" t="s">
        <v>14</v>
      </c>
      <c r="B1752" t="s">
        <v>302</v>
      </c>
      <c r="C1752">
        <v>26908000</v>
      </c>
      <c r="D1752">
        <v>26315000</v>
      </c>
      <c r="E1752" t="str">
        <f>VLOOKUP(B1752,Лист2!A:E,5,0)</f>
        <v>средние</v>
      </c>
      <c r="F1752">
        <f>VLOOKUP(B1752,Лист2!A:E,4,0)</f>
        <v>125.5</v>
      </c>
      <c r="G1752">
        <f t="shared" si="156"/>
        <v>593000</v>
      </c>
      <c r="H1752">
        <f t="shared" si="157"/>
        <v>214406.37450199205</v>
      </c>
      <c r="I1752">
        <f t="shared" si="158"/>
        <v>4725.0996015936253</v>
      </c>
    </row>
    <row r="1753" spans="1:9">
      <c r="A1753" t="s">
        <v>14</v>
      </c>
      <c r="B1753" t="s">
        <v>302</v>
      </c>
      <c r="C1753">
        <v>409184000</v>
      </c>
      <c r="D1753">
        <v>381551000</v>
      </c>
      <c r="E1753" t="str">
        <f>VLOOKUP(B1753,Лист2!A:E,5,0)</f>
        <v>средние</v>
      </c>
      <c r="F1753">
        <f>VLOOKUP(B1753,Лист2!A:E,4,0)</f>
        <v>125.5</v>
      </c>
      <c r="G1753">
        <f t="shared" ref="G1753" si="159">C1753-D1753</f>
        <v>27633000</v>
      </c>
      <c r="H1753">
        <f t="shared" ref="H1753" si="160">C1753/F1753</f>
        <v>3260430.2788844621</v>
      </c>
      <c r="I1753">
        <f t="shared" ref="I1753" si="161">G1753/F1753</f>
        <v>220183.26693227093</v>
      </c>
    </row>
    <row r="1754" spans="1:9">
      <c r="A1754" t="s">
        <v>25</v>
      </c>
      <c r="B1754" t="s">
        <v>23</v>
      </c>
      <c r="C1754">
        <v>20904000</v>
      </c>
      <c r="D1754">
        <v>40169000</v>
      </c>
      <c r="E1754" t="str">
        <f>VLOOKUP(B1754,Лист2!A:E,5,0)</f>
        <v>средние</v>
      </c>
      <c r="F1754">
        <f>VLOOKUP(B1754,Лист2!A:E,4,0)</f>
        <v>75.5</v>
      </c>
      <c r="G1754">
        <f t="shared" ref="G1754" si="162">C1754-D1754</f>
        <v>-19265000</v>
      </c>
      <c r="H1754">
        <f t="shared" ref="H1754" si="163">C1754/F1754</f>
        <v>276874.17218543048</v>
      </c>
      <c r="I1754">
        <f t="shared" ref="I1754" si="164">G1754/F1754</f>
        <v>-255165.56291390728</v>
      </c>
    </row>
    <row r="1755" spans="1:9">
      <c r="A1755" t="s">
        <v>14</v>
      </c>
      <c r="B1755" t="s">
        <v>23</v>
      </c>
      <c r="C1755">
        <v>699844000</v>
      </c>
      <c r="D1755">
        <v>700977000</v>
      </c>
      <c r="E1755" t="str">
        <f>VLOOKUP(B1755,Лист2!A:E,5,0)</f>
        <v>средние</v>
      </c>
      <c r="F1755">
        <f>VLOOKUP(B1755,Лист2!A:E,4,0)</f>
        <v>75.5</v>
      </c>
      <c r="G1755">
        <f t="shared" ref="G1755" si="165">C1755-D1755</f>
        <v>-1133000</v>
      </c>
      <c r="H1755">
        <f t="shared" ref="H1755" si="166">C1755/F1755</f>
        <v>9269456.9536423832</v>
      </c>
      <c r="I1755">
        <f t="shared" ref="I1755" si="167">G1755/F1755</f>
        <v>-15006.622516556292</v>
      </c>
    </row>
    <row r="1756" spans="1:9">
      <c r="A1756" t="s">
        <v>25</v>
      </c>
      <c r="B1756" t="s">
        <v>23</v>
      </c>
      <c r="C1756">
        <v>103150000</v>
      </c>
      <c r="D1756">
        <v>107313000</v>
      </c>
      <c r="E1756" t="str">
        <f>VLOOKUP(B1756,Лист2!A:E,5,0)</f>
        <v>средние</v>
      </c>
      <c r="F1756">
        <f>VLOOKUP(B1756,Лист2!A:E,4,0)</f>
        <v>75.5</v>
      </c>
      <c r="G1756">
        <f t="shared" ref="G1756" si="168">C1756-D1756</f>
        <v>-4163000</v>
      </c>
      <c r="H1756">
        <f t="shared" ref="H1756" si="169">C1756/F1756</f>
        <v>1366225.165562914</v>
      </c>
      <c r="I1756">
        <f t="shared" ref="I1756" si="170">G1756/F1756</f>
        <v>-55139.072847682117</v>
      </c>
    </row>
    <row r="1757" spans="1:9">
      <c r="A1757" t="s">
        <v>14</v>
      </c>
      <c r="B1757" t="s">
        <v>23</v>
      </c>
      <c r="C1757">
        <v>18164000</v>
      </c>
      <c r="D1757">
        <v>42059000</v>
      </c>
      <c r="E1757" t="str">
        <f>VLOOKUP(B1757,Лист2!A:E,5,0)</f>
        <v>средние</v>
      </c>
      <c r="F1757">
        <f>VLOOKUP(B1757,Лист2!A:E,4,0)</f>
        <v>75.5</v>
      </c>
      <c r="G1757">
        <f t="shared" ref="G1757" si="171">C1757-D1757</f>
        <v>-23895000</v>
      </c>
      <c r="H1757">
        <f t="shared" ref="H1757" si="172">C1757/F1757</f>
        <v>240582.78145695364</v>
      </c>
      <c r="I1757">
        <f t="shared" ref="I1757" si="173">G1757/F1757</f>
        <v>-316490.06622516556</v>
      </c>
    </row>
    <row r="1758" spans="1:9">
      <c r="A1758" t="s">
        <v>14</v>
      </c>
      <c r="B1758" t="s">
        <v>23</v>
      </c>
      <c r="C1758">
        <v>18591000</v>
      </c>
      <c r="D1758">
        <v>20115000</v>
      </c>
      <c r="E1758" t="str">
        <f>VLOOKUP(B1758,Лист2!A:E,5,0)</f>
        <v>средние</v>
      </c>
      <c r="F1758">
        <f>VLOOKUP(B1758,Лист2!A:E,4,0)</f>
        <v>75.5</v>
      </c>
      <c r="G1758">
        <f t="shared" ref="G1758" si="174">C1758-D1758</f>
        <v>-1524000</v>
      </c>
      <c r="H1758">
        <f t="shared" ref="H1758" si="175">C1758/F1758</f>
        <v>246238.41059602649</v>
      </c>
      <c r="I1758">
        <f t="shared" ref="I1758" si="176">G1758/F1758</f>
        <v>-20185.430463576158</v>
      </c>
    </row>
    <row r="1759" spans="1:9">
      <c r="A1759" t="s">
        <v>14</v>
      </c>
      <c r="B1759" t="s">
        <v>302</v>
      </c>
      <c r="C1759">
        <v>73755000</v>
      </c>
      <c r="D1759">
        <v>74899000</v>
      </c>
      <c r="E1759" t="str">
        <f>VLOOKUP(B1759,Лист2!A:E,5,0)</f>
        <v>средние</v>
      </c>
      <c r="F1759">
        <f>VLOOKUP(B1759,Лист2!A:E,4,0)</f>
        <v>125.5</v>
      </c>
      <c r="G1759">
        <f t="shared" ref="G1759" si="177">C1759-D1759</f>
        <v>-1144000</v>
      </c>
      <c r="H1759">
        <f t="shared" ref="H1759" si="178">C1759/F1759</f>
        <v>587689.24302788847</v>
      </c>
      <c r="I1759">
        <f t="shared" ref="I1759" si="179">G1759/F1759</f>
        <v>-9115.5378486055779</v>
      </c>
    </row>
    <row r="1760" spans="1:9">
      <c r="A1760" t="s">
        <v>14</v>
      </c>
      <c r="B1760" t="s">
        <v>23</v>
      </c>
      <c r="C1760">
        <v>71152000</v>
      </c>
      <c r="D1760">
        <v>64023000</v>
      </c>
      <c r="E1760" t="str">
        <f>VLOOKUP(B1760,Лист2!A:E,5,0)</f>
        <v>средние</v>
      </c>
      <c r="F1760">
        <f>VLOOKUP(B1760,Лист2!A:E,4,0)</f>
        <v>75.5</v>
      </c>
      <c r="G1760">
        <f t="shared" ref="G1760" si="180">C1760-D1760</f>
        <v>7129000</v>
      </c>
      <c r="H1760">
        <f t="shared" ref="H1760" si="181">C1760/F1760</f>
        <v>942410.59602649009</v>
      </c>
      <c r="I1760">
        <f t="shared" ref="I1760" si="182">G1760/F1760</f>
        <v>94423.841059602652</v>
      </c>
    </row>
    <row r="1761" spans="1:9">
      <c r="A1761" t="s">
        <v>14</v>
      </c>
      <c r="B1761" t="s">
        <v>23</v>
      </c>
      <c r="C1761">
        <v>10913000</v>
      </c>
      <c r="D1761">
        <v>18192000</v>
      </c>
      <c r="E1761" t="str">
        <f>VLOOKUP(B1761,Лист2!A:E,5,0)</f>
        <v>средние</v>
      </c>
      <c r="F1761">
        <f>VLOOKUP(B1761,Лист2!A:E,4,0)</f>
        <v>75.5</v>
      </c>
      <c r="G1761">
        <f t="shared" ref="G1761:G1762" si="183">C1761-D1761</f>
        <v>-7279000</v>
      </c>
      <c r="H1761">
        <f t="shared" ref="H1761:H1762" si="184">C1761/F1761</f>
        <v>144543.04635761588</v>
      </c>
      <c r="I1761">
        <f t="shared" ref="I1761:I1762" si="185">G1761/F1761</f>
        <v>-96410.596026490064</v>
      </c>
    </row>
    <row r="1762" spans="1:9">
      <c r="A1762" t="s">
        <v>25</v>
      </c>
      <c r="B1762" t="s">
        <v>23</v>
      </c>
      <c r="C1762">
        <v>141272000</v>
      </c>
      <c r="D1762">
        <v>134790000</v>
      </c>
      <c r="E1762" t="str">
        <f>VLOOKUP(B1762,Лист2!A:E,5,0)</f>
        <v>средние</v>
      </c>
      <c r="F1762">
        <f>VLOOKUP(B1762,Лист2!A:E,4,0)</f>
        <v>75.5</v>
      </c>
      <c r="G1762">
        <f t="shared" si="183"/>
        <v>6482000</v>
      </c>
      <c r="H1762">
        <f t="shared" si="184"/>
        <v>1871152.3178807946</v>
      </c>
      <c r="I1762">
        <f t="shared" si="185"/>
        <v>85854.304635761582</v>
      </c>
    </row>
    <row r="1763" spans="1:9">
      <c r="A1763" t="s">
        <v>24</v>
      </c>
      <c r="B1763" t="s">
        <v>23</v>
      </c>
      <c r="C1763">
        <v>3482906000</v>
      </c>
      <c r="D1763">
        <v>3578104000</v>
      </c>
      <c r="E1763" t="str">
        <f>VLOOKUP(B1763,Лист2!A:E,5,0)</f>
        <v>средние</v>
      </c>
      <c r="F1763">
        <f>VLOOKUP(B1763,Лист2!A:E,4,0)</f>
        <v>75.5</v>
      </c>
      <c r="G1763">
        <f t="shared" ref="G1763" si="186">C1763-D1763</f>
        <v>-95198000</v>
      </c>
      <c r="H1763">
        <f t="shared" ref="H1763" si="187">C1763/F1763</f>
        <v>46131205.298013248</v>
      </c>
      <c r="I1763">
        <f t="shared" ref="I1763" si="188">G1763/F1763</f>
        <v>-1260900.6622516557</v>
      </c>
    </row>
    <row r="1764" spans="1:9">
      <c r="A1764" t="s">
        <v>14</v>
      </c>
      <c r="B1764" t="s">
        <v>280</v>
      </c>
      <c r="C1764">
        <v>70891000</v>
      </c>
      <c r="D1764">
        <v>70487000</v>
      </c>
      <c r="E1764" t="str">
        <f>VLOOKUP(B1764,Лист2!A:E,5,0)</f>
        <v>крупные</v>
      </c>
      <c r="F1764">
        <f>VLOOKUP(B1764,Лист2!A:E,4,0)</f>
        <v>225.5</v>
      </c>
      <c r="G1764">
        <f t="shared" ref="G1764:G1771" si="189">C1764-D1764</f>
        <v>404000</v>
      </c>
      <c r="H1764">
        <f t="shared" ref="H1764:H1771" si="190">C1764/F1764</f>
        <v>314372.50554323726</v>
      </c>
      <c r="I1764">
        <f t="shared" ref="I1764:I1771" si="191">G1764/F1764</f>
        <v>1791.5742793791574</v>
      </c>
    </row>
    <row r="1765" spans="1:9">
      <c r="A1765" t="s">
        <v>14</v>
      </c>
      <c r="B1765" t="s">
        <v>23</v>
      </c>
      <c r="C1765">
        <v>34964000</v>
      </c>
      <c r="D1765">
        <v>34972000</v>
      </c>
      <c r="E1765" t="str">
        <f>VLOOKUP(B1765,Лист2!A:E,5,0)</f>
        <v>средние</v>
      </c>
      <c r="F1765">
        <f>VLOOKUP(B1765,Лист2!A:E,4,0)</f>
        <v>75.5</v>
      </c>
      <c r="G1765">
        <f t="shared" si="189"/>
        <v>-8000</v>
      </c>
      <c r="H1765">
        <f t="shared" si="190"/>
        <v>463099.33774834435</v>
      </c>
      <c r="I1765">
        <f t="shared" si="191"/>
        <v>-105.96026490066225</v>
      </c>
    </row>
    <row r="1766" spans="1:9">
      <c r="A1766" t="s">
        <v>25</v>
      </c>
      <c r="B1766" t="s">
        <v>23</v>
      </c>
      <c r="C1766">
        <v>27352000</v>
      </c>
      <c r="D1766">
        <v>27122000</v>
      </c>
      <c r="E1766" t="str">
        <f>VLOOKUP(B1766,Лист2!A:E,5,0)</f>
        <v>средние</v>
      </c>
      <c r="F1766">
        <f>VLOOKUP(B1766,Лист2!A:E,4,0)</f>
        <v>75.5</v>
      </c>
      <c r="G1766">
        <f t="shared" si="189"/>
        <v>230000</v>
      </c>
      <c r="H1766">
        <f t="shared" si="190"/>
        <v>362278.14569536422</v>
      </c>
      <c r="I1766">
        <f t="shared" si="191"/>
        <v>3046.3576158940396</v>
      </c>
    </row>
    <row r="1767" spans="1:9">
      <c r="A1767" t="s">
        <v>14</v>
      </c>
      <c r="B1767" t="s">
        <v>302</v>
      </c>
      <c r="C1767">
        <v>39799000</v>
      </c>
      <c r="D1767">
        <v>40614000</v>
      </c>
      <c r="E1767" t="str">
        <f>VLOOKUP(B1767,Лист2!A:E,5,0)</f>
        <v>средние</v>
      </c>
      <c r="F1767">
        <f>VLOOKUP(B1767,Лист2!A:E,4,0)</f>
        <v>125.5</v>
      </c>
      <c r="G1767">
        <f t="shared" si="189"/>
        <v>-815000</v>
      </c>
      <c r="H1767">
        <f t="shared" si="190"/>
        <v>317123.50597609562</v>
      </c>
      <c r="I1767">
        <f t="shared" si="191"/>
        <v>-6494.0239043824704</v>
      </c>
    </row>
    <row r="1768" spans="1:9">
      <c r="A1768" t="s">
        <v>14</v>
      </c>
      <c r="B1768" t="s">
        <v>23</v>
      </c>
      <c r="C1768">
        <v>46365000</v>
      </c>
      <c r="D1768">
        <v>45726000</v>
      </c>
      <c r="E1768" t="str">
        <f>VLOOKUP(B1768,Лист2!A:E,5,0)</f>
        <v>средние</v>
      </c>
      <c r="F1768">
        <f>VLOOKUP(B1768,Лист2!A:E,4,0)</f>
        <v>75.5</v>
      </c>
      <c r="G1768">
        <f t="shared" si="189"/>
        <v>639000</v>
      </c>
      <c r="H1768">
        <f t="shared" si="190"/>
        <v>614105.9602649007</v>
      </c>
      <c r="I1768">
        <f t="shared" si="191"/>
        <v>8463.5761589403974</v>
      </c>
    </row>
    <row r="1769" spans="1:9">
      <c r="A1769" t="s">
        <v>14</v>
      </c>
      <c r="B1769" t="s">
        <v>23</v>
      </c>
      <c r="C1769">
        <v>37020000</v>
      </c>
      <c r="D1769">
        <v>36940000</v>
      </c>
      <c r="E1769" t="str">
        <f>VLOOKUP(B1769,Лист2!A:E,5,0)</f>
        <v>средние</v>
      </c>
      <c r="F1769">
        <f>VLOOKUP(B1769,Лист2!A:E,4,0)</f>
        <v>75.5</v>
      </c>
      <c r="G1769">
        <f t="shared" si="189"/>
        <v>80000</v>
      </c>
      <c r="H1769">
        <f t="shared" si="190"/>
        <v>490331.12582781457</v>
      </c>
      <c r="I1769">
        <f t="shared" si="191"/>
        <v>1059.6026490066224</v>
      </c>
    </row>
    <row r="1770" spans="1:9">
      <c r="A1770" t="s">
        <v>14</v>
      </c>
      <c r="B1770" t="s">
        <v>23</v>
      </c>
      <c r="C1770">
        <v>21694000</v>
      </c>
      <c r="D1770">
        <v>22363000</v>
      </c>
      <c r="E1770" t="str">
        <f>VLOOKUP(B1770,Лист2!A:E,5,0)</f>
        <v>средние</v>
      </c>
      <c r="F1770">
        <f>VLOOKUP(B1770,Лист2!A:E,4,0)</f>
        <v>75.5</v>
      </c>
      <c r="G1770">
        <f t="shared" si="189"/>
        <v>-669000</v>
      </c>
      <c r="H1770">
        <f t="shared" si="190"/>
        <v>287337.74834437086</v>
      </c>
      <c r="I1770">
        <f t="shared" si="191"/>
        <v>-8860.9271523178813</v>
      </c>
    </row>
    <row r="1771" spans="1:9">
      <c r="A1771" t="s">
        <v>14</v>
      </c>
      <c r="B1771" t="s">
        <v>280</v>
      </c>
      <c r="C1771">
        <v>995636000</v>
      </c>
      <c r="D1771">
        <v>985164000</v>
      </c>
      <c r="E1771" t="str">
        <f>VLOOKUP(B1771,Лист2!A:E,5,0)</f>
        <v>крупные</v>
      </c>
      <c r="F1771">
        <f>VLOOKUP(B1771,Лист2!A:E,4,0)</f>
        <v>225.5</v>
      </c>
      <c r="G1771">
        <f t="shared" si="189"/>
        <v>10472000</v>
      </c>
      <c r="H1771">
        <f t="shared" si="190"/>
        <v>4415237.2505543241</v>
      </c>
      <c r="I1771">
        <f t="shared" si="191"/>
        <v>46439.024390243903</v>
      </c>
    </row>
  </sheetData>
  <autoFilter ref="A1:I1771" xr:uid="{597C1C62-1CF6-49CA-9099-656B05EC369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D9F0-DD28-4C90-8682-3DF011FD04C6}">
  <dimension ref="A1:L9"/>
  <sheetViews>
    <sheetView workbookViewId="0">
      <selection activeCell="L1" sqref="L1:L5"/>
    </sheetView>
  </sheetViews>
  <sheetFormatPr defaultRowHeight="15"/>
  <sheetData>
    <row r="1" spans="1:12">
      <c r="A1" t="s">
        <v>18</v>
      </c>
      <c r="B1">
        <v>0</v>
      </c>
      <c r="C1">
        <v>5</v>
      </c>
      <c r="D1">
        <f>AVERAGE(B1:C1)</f>
        <v>2.5</v>
      </c>
      <c r="E1" s="9" t="s">
        <v>7896</v>
      </c>
      <c r="L1" t="s">
        <v>14</v>
      </c>
    </row>
    <row r="2" spans="1:12">
      <c r="A2" t="s">
        <v>77</v>
      </c>
      <c r="B2">
        <v>6</v>
      </c>
      <c r="C2">
        <v>10</v>
      </c>
      <c r="D2">
        <f t="shared" ref="D2:D9" si="0">AVERAGE(B2:C2)</f>
        <v>8</v>
      </c>
      <c r="E2" s="9" t="s">
        <v>7896</v>
      </c>
      <c r="L2" t="s">
        <v>25</v>
      </c>
    </row>
    <row r="3" spans="1:12">
      <c r="A3" t="s">
        <v>22</v>
      </c>
      <c r="B3">
        <v>11</v>
      </c>
      <c r="C3">
        <v>15</v>
      </c>
      <c r="D3">
        <f t="shared" si="0"/>
        <v>13</v>
      </c>
      <c r="E3" s="9" t="s">
        <v>7896</v>
      </c>
      <c r="L3" t="s">
        <v>24</v>
      </c>
    </row>
    <row r="4" spans="1:12">
      <c r="A4" t="s">
        <v>23</v>
      </c>
      <c r="B4">
        <v>51</v>
      </c>
      <c r="C4">
        <v>100</v>
      </c>
      <c r="D4">
        <f t="shared" si="0"/>
        <v>75.5</v>
      </c>
      <c r="E4" s="9" t="s">
        <v>7897</v>
      </c>
      <c r="L4" t="s">
        <v>249</v>
      </c>
    </row>
    <row r="5" spans="1:12">
      <c r="A5" t="s">
        <v>302</v>
      </c>
      <c r="B5">
        <v>101</v>
      </c>
      <c r="C5">
        <v>150</v>
      </c>
      <c r="D5">
        <f t="shared" si="0"/>
        <v>125.5</v>
      </c>
      <c r="E5" s="9" t="s">
        <v>7897</v>
      </c>
      <c r="L5" t="s">
        <v>3796</v>
      </c>
    </row>
    <row r="6" spans="1:12">
      <c r="A6" t="s">
        <v>807</v>
      </c>
      <c r="B6">
        <v>151</v>
      </c>
      <c r="C6">
        <v>200</v>
      </c>
      <c r="D6">
        <f t="shared" si="0"/>
        <v>175.5</v>
      </c>
      <c r="E6" s="9" t="s">
        <v>7897</v>
      </c>
    </row>
    <row r="7" spans="1:12">
      <c r="A7" t="s">
        <v>280</v>
      </c>
      <c r="B7">
        <v>201</v>
      </c>
      <c r="C7">
        <v>250</v>
      </c>
      <c r="D7">
        <f t="shared" si="0"/>
        <v>225.5</v>
      </c>
      <c r="E7" s="9" t="s">
        <v>7898</v>
      </c>
    </row>
    <row r="8" spans="1:12">
      <c r="A8" t="s">
        <v>1135</v>
      </c>
      <c r="B8">
        <v>251</v>
      </c>
      <c r="C8">
        <v>500</v>
      </c>
      <c r="D8">
        <f t="shared" si="0"/>
        <v>375.5</v>
      </c>
      <c r="E8" s="9" t="s">
        <v>7898</v>
      </c>
    </row>
    <row r="9" spans="1:12">
      <c r="A9" t="s">
        <v>1136</v>
      </c>
      <c r="B9">
        <v>501</v>
      </c>
      <c r="C9">
        <v>1000</v>
      </c>
      <c r="D9">
        <f t="shared" si="0"/>
        <v>750.5</v>
      </c>
      <c r="E9" s="9" t="s">
        <v>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report</vt:lpstr>
      <vt:lpstr>report2</vt:lpstr>
      <vt:lpstr>report3</vt:lpstr>
      <vt:lpstr>report4</vt:lpstr>
      <vt:lpstr>report5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Sidorov</cp:lastModifiedBy>
  <dcterms:modified xsi:type="dcterms:W3CDTF">2025-10-19T18:13:07Z</dcterms:modified>
</cp:coreProperties>
</file>